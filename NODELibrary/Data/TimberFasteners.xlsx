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s\NODEMaple\NODELibrary\Data\"/>
    </mc:Choice>
  </mc:AlternateContent>
  <xr:revisionPtr revIDLastSave="0" documentId="13_ncr:1_{8F5805A5-82E1-44C1-B32E-635BAE3FB531}" xr6:coauthVersionLast="47" xr6:coauthVersionMax="47" xr10:uidLastSave="{00000000-0000-0000-0000-000000000000}"/>
  <bookViews>
    <workbookView xWindow="-28920" yWindow="-120" windowWidth="29040" windowHeight="18240" tabRatio="779" activeTab="1" xr2:uid="{00000000-000D-0000-FFFF-FFFF00000000}"/>
  </bookViews>
  <sheets>
    <sheet name="TimberFasteners" sheetId="4" r:id="rId1"/>
    <sheet name="Washers" sheetId="25" r:id="rId2"/>
    <sheet name="BoltGrades" sheetId="17" r:id="rId3"/>
    <sheet name="DIN 571" sheetId="14" r:id="rId4"/>
    <sheet name="Dowels" sheetId="6" r:id="rId5"/>
    <sheet name="ESSVE Screws" sheetId="9" r:id="rId6"/>
    <sheet name="Eurotec Screws" sheetId="20" r:id="rId7"/>
    <sheet name="ISO 4014 Bolts" sheetId="16" r:id="rId8"/>
    <sheet name="Motek screws" sheetId="15" r:id="rId9"/>
    <sheet name="Rothoblaas Nails" sheetId="8" r:id="rId10"/>
    <sheet name="Rothoblaas Screws" sheetId="3" r:id="rId11"/>
    <sheet name="Rothoblaas Bolts" sheetId="5" r:id="rId12"/>
    <sheet name="Rothoblaas Washers" sheetId="10" r:id="rId13"/>
    <sheet name="Rothoblaas Sharp Metal" sheetId="12" r:id="rId14"/>
    <sheet name="Simpson SplitRing" sheetId="19" r:id="rId15"/>
    <sheet name="Strongtie Nails" sheetId="2" r:id="rId16"/>
    <sheet name="Strongtie Screws (utgått)" sheetId="1" r:id="rId17"/>
    <sheet name="Strongtie Screws" sheetId="7" r:id="rId18"/>
    <sheet name="Schmid Screws" sheetId="21" r:id="rId19"/>
    <sheet name="Schmid Washers" sheetId="24" r:id="rId20"/>
    <sheet name="Spax Screws" sheetId="23" r:id="rId21"/>
    <sheet name="ToothedPlateConnectors" sheetId="18" r:id="rId22"/>
  </sheets>
  <definedNames>
    <definedName name="_xlnm._FilterDatabase" localSheetId="3" hidden="1">'DIN 571'!$A$1:$Y$533</definedName>
    <definedName name="_xlnm._FilterDatabase" localSheetId="4" hidden="1">Dowels!$A$1:$H$1</definedName>
    <definedName name="_xlnm._FilterDatabase" localSheetId="5" hidden="1">'ESSVE Screws'!$A$1:$Y$551</definedName>
    <definedName name="_xlnm._FilterDatabase" localSheetId="7" hidden="1">'ISO 4014 Bolts'!$A$1:$Y$924</definedName>
    <definedName name="_xlnm._FilterDatabase" localSheetId="8" hidden="1">'Motek screws'!$A$1:$Y$534</definedName>
    <definedName name="_xlnm._FilterDatabase" localSheetId="11" hidden="1">'Rothoblaas Bolts'!$A$1:$Q$168</definedName>
    <definedName name="_xlnm._FilterDatabase" localSheetId="10" hidden="1">'Rothoblaas Screws'!$A$1:$P$309</definedName>
    <definedName name="_xlnm._FilterDatabase" localSheetId="12" hidden="1">'Rothoblaas Washers'!$A$1:$O$30</definedName>
    <definedName name="_xlnm._FilterDatabase" localSheetId="14" hidden="1">'Simpson SplitRing'!$A$1:$N$3</definedName>
    <definedName name="_xlnm._FilterDatabase" localSheetId="17" hidden="1">'Strongtie Screws'!$A$1:$Y$274</definedName>
    <definedName name="_xlnm._FilterDatabase" localSheetId="0" hidden="1">TimberFasteners!$A$1:$N$2974</definedName>
    <definedName name="_xlnm._FilterDatabase" localSheetId="21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7" i="4" l="1"/>
  <c r="I2487" i="4"/>
  <c r="M2486" i="4"/>
  <c r="I2486" i="4"/>
  <c r="M2485" i="4"/>
  <c r="I2485" i="4"/>
  <c r="M2484" i="4"/>
  <c r="I2484" i="4"/>
  <c r="M2483" i="4"/>
  <c r="I2483" i="4"/>
  <c r="M2482" i="4"/>
  <c r="I2482" i="4"/>
  <c r="M2481" i="4"/>
  <c r="I2481" i="4"/>
  <c r="M2480" i="4"/>
  <c r="I2480" i="4"/>
  <c r="M2479" i="4"/>
  <c r="I2479" i="4"/>
  <c r="M2478" i="4"/>
  <c r="I2478" i="4"/>
  <c r="M2477" i="4"/>
  <c r="I2477" i="4"/>
  <c r="M2476" i="4"/>
  <c r="I2476" i="4"/>
  <c r="M2475" i="4"/>
  <c r="I2475" i="4"/>
  <c r="M2474" i="4"/>
  <c r="I2474" i="4"/>
  <c r="M2473" i="4"/>
  <c r="I2473" i="4"/>
  <c r="M2472" i="4"/>
  <c r="I2472" i="4"/>
  <c r="M2471" i="4"/>
  <c r="I2471" i="4"/>
  <c r="M2470" i="4"/>
  <c r="I2470" i="4"/>
  <c r="M2469" i="4"/>
  <c r="I2469" i="4"/>
  <c r="M2468" i="4"/>
  <c r="I2468" i="4"/>
  <c r="M2467" i="4"/>
  <c r="I2467" i="4"/>
  <c r="M2466" i="4"/>
  <c r="I2466" i="4"/>
  <c r="M2465" i="4"/>
  <c r="I2465" i="4"/>
  <c r="M2464" i="4"/>
  <c r="I2464" i="4"/>
  <c r="M2463" i="4"/>
  <c r="I2463" i="4"/>
  <c r="M2462" i="4"/>
  <c r="I2462" i="4"/>
  <c r="M2461" i="4"/>
  <c r="I2461" i="4"/>
  <c r="M2460" i="4"/>
  <c r="I2460" i="4"/>
  <c r="M2459" i="4"/>
  <c r="I2459" i="4"/>
  <c r="M2458" i="4"/>
  <c r="I2458" i="4"/>
  <c r="M2457" i="4"/>
  <c r="I2457" i="4"/>
  <c r="M2456" i="4"/>
  <c r="I2456" i="4"/>
  <c r="M2455" i="4"/>
  <c r="I2455" i="4"/>
  <c r="M2454" i="4"/>
  <c r="I2454" i="4"/>
  <c r="M2453" i="4"/>
  <c r="I2453" i="4"/>
  <c r="M2452" i="4"/>
  <c r="I2452" i="4"/>
  <c r="M2451" i="4"/>
  <c r="I2451" i="4"/>
  <c r="M2450" i="4"/>
  <c r="I2450" i="4"/>
  <c r="M2449" i="4"/>
  <c r="I2449" i="4"/>
  <c r="M2448" i="4"/>
  <c r="I2448" i="4"/>
  <c r="M2447" i="4"/>
  <c r="I2447" i="4"/>
  <c r="M2446" i="4"/>
  <c r="I2446" i="4"/>
  <c r="M2445" i="4"/>
  <c r="I2445" i="4"/>
  <c r="M2444" i="4"/>
  <c r="I2444" i="4"/>
  <c r="M2443" i="4"/>
  <c r="I2443" i="4"/>
  <c r="M2442" i="4"/>
  <c r="I2442" i="4"/>
  <c r="M2441" i="4"/>
  <c r="I2441" i="4"/>
  <c r="M2440" i="4"/>
  <c r="I2440" i="4"/>
  <c r="M2439" i="4"/>
  <c r="I2439" i="4"/>
  <c r="M2438" i="4"/>
  <c r="I2438" i="4"/>
  <c r="M2437" i="4"/>
  <c r="I2437" i="4"/>
  <c r="M2436" i="4"/>
  <c r="I2436" i="4"/>
  <c r="M2435" i="4"/>
  <c r="I2435" i="4"/>
  <c r="M2434" i="4"/>
  <c r="I2434" i="4"/>
  <c r="M2433" i="4"/>
  <c r="I2433" i="4"/>
  <c r="M2432" i="4"/>
  <c r="I2432" i="4"/>
  <c r="M2431" i="4"/>
  <c r="I2431" i="4"/>
  <c r="M2430" i="4"/>
  <c r="I2430" i="4"/>
  <c r="M2429" i="4"/>
  <c r="I2429" i="4"/>
  <c r="M2428" i="4"/>
  <c r="I2428" i="4"/>
  <c r="M2427" i="4"/>
  <c r="I2427" i="4"/>
  <c r="M2426" i="4"/>
  <c r="I2426" i="4"/>
  <c r="M2425" i="4"/>
  <c r="I2425" i="4"/>
  <c r="M2424" i="4"/>
  <c r="I2424" i="4"/>
  <c r="M2423" i="4"/>
  <c r="I2423" i="4"/>
  <c r="M2422" i="4"/>
  <c r="I2422" i="4"/>
  <c r="M2421" i="4"/>
  <c r="I2421" i="4"/>
  <c r="M2420" i="4"/>
  <c r="I2420" i="4"/>
  <c r="M2419" i="4"/>
  <c r="I2419" i="4"/>
  <c r="M2418" i="4"/>
  <c r="I2418" i="4"/>
  <c r="M2417" i="4"/>
  <c r="I2417" i="4"/>
  <c r="M2416" i="4"/>
  <c r="I2416" i="4"/>
  <c r="M2415" i="4"/>
  <c r="I2415" i="4"/>
  <c r="M2414" i="4"/>
  <c r="I2414" i="4"/>
  <c r="M2413" i="4"/>
  <c r="I2413" i="4"/>
  <c r="M2412" i="4"/>
  <c r="I2412" i="4"/>
  <c r="M2411" i="4"/>
  <c r="I2411" i="4"/>
  <c r="M2410" i="4"/>
  <c r="I2410" i="4"/>
  <c r="M2409" i="4"/>
  <c r="I2409" i="4"/>
  <c r="M2408" i="4"/>
  <c r="I2408" i="4"/>
  <c r="M2407" i="4"/>
  <c r="I2407" i="4"/>
  <c r="M2406" i="4"/>
  <c r="I2406" i="4"/>
  <c r="M2405" i="4"/>
  <c r="I2405" i="4"/>
  <c r="M2404" i="4"/>
  <c r="I2404" i="4"/>
  <c r="M2403" i="4"/>
  <c r="I2403" i="4"/>
  <c r="M2402" i="4"/>
  <c r="I2402" i="4"/>
  <c r="M2401" i="4"/>
  <c r="I2401" i="4"/>
  <c r="M2400" i="4"/>
  <c r="I2400" i="4"/>
  <c r="M2399" i="4"/>
  <c r="I2399" i="4"/>
  <c r="M2398" i="4"/>
  <c r="I2398" i="4"/>
  <c r="M2397" i="4"/>
  <c r="I2397" i="4"/>
  <c r="M2396" i="4"/>
  <c r="I2396" i="4"/>
  <c r="M2395" i="4"/>
  <c r="I2395" i="4"/>
  <c r="M2394" i="4"/>
  <c r="I2394" i="4"/>
  <c r="M2393" i="4"/>
  <c r="I2393" i="4"/>
  <c r="M2392" i="4"/>
  <c r="I2392" i="4"/>
  <c r="M2391" i="4"/>
  <c r="I2391" i="4"/>
  <c r="M2390" i="4"/>
  <c r="I2390" i="4"/>
  <c r="M2389" i="4"/>
  <c r="I2389" i="4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2" i="23"/>
  <c r="M2216" i="4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<sst xmlns="http://schemas.openxmlformats.org/spreadsheetml/2006/main" count="23715" uniqueCount="527">
  <si>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</si>
  <si>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</si>
  <si>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</si>
  <si>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</si>
  <si>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</si>
  <si>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</si>
  <si>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</si>
  <si>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</si>
  <si>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</si>
  <si>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</si>
  <si>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</si>
  <si>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</si>
  <si>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</si>
  <si>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</si>
  <si>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</si>
  <si>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</si>
  <si>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</si>
  <si>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</si>
  <si>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</si>
  <si>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</si>
  <si>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</si>
  <si>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</si>
  <si>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</si>
  <si>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</si>
  <si>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</si>
  <si>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</si>
  <si>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</si>
  <si>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</si>
  <si>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</si>
  <si>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</si>
  <si>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</si>
  <si>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</si>
  <si>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</si>
  <si>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</si>
  <si>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</si>
  <si>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</si>
  <si>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</si>
  <si>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</si>
  <si>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</si>
  <si>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</si>
  <si>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</si>
  <si>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</si>
  <si>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</si>
  <si>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</si>
  <si>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</si>
  <si>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</si>
  <si>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</si>
  <si>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</si>
  <si>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</si>
  <si>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</si>
  <si>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</si>
  <si>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</si>
  <si>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</si>
  <si>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</si>
  <si>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</si>
  <si>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</si>
  <si>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</si>
  <si>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</si>
  <si>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</si>
  <si>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</si>
  <si>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</si>
  <si>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</si>
  <si>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</si>
  <si>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</si>
  <si>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</si>
  <si>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</si>
  <si>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</si>
  <si>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</si>
  <si>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</si>
  <si>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</si>
  <si>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</si>
  <si>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</si>
  <si>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</si>
  <si>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</si>
  <si>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</si>
  <si>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</si>
  <si>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</si>
  <si>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</si>
  <si>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</si>
  <si>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</si>
  <si>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</si>
  <si>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</si>
  <si>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</si>
  <si>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</si>
  <si>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</si>
  <si>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</si>
  <si>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</si>
  <si>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</si>
  <si>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</si>
  <si>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</si>
  <si>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</si>
  <si>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</si>
  <si>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</si>
  <si>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</si>
  <si>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</si>
  <si>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</si>
  <si>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</si>
  <si>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</si>
  <si>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</si>
  <si>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</si>
  <si>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</si>
  <si>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</si>
  <si>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</si>
  <si>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</si>
  <si>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</si>
  <si>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</si>
  <si>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</si>
  <si>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</si>
  <si>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</si>
  <si>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</si>
  <si>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</si>
  <si>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</si>
  <si>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</si>
  <si>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</si>
  <si>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</si>
  <si>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</si>
  <si>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</si>
  <si>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</si>
  <si>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</si>
  <si>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</si>
  <si>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</si>
  <si>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</si>
  <si>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</si>
  <si>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</si>
  <si>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</si>
  <si>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</si>
  <si>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</si>
  <si>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</si>
  <si>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</si>
  <si>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</si>
  <si>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</si>
  <si>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</si>
  <si>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</si>
  <si>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</si>
  <si>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</si>
  <si>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</si>
  <si>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</si>
  <si>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</si>
  <si>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</si>
  <si>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</si>
  <si>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</si>
  <si>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</si>
  <si>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</si>
  <si>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</si>
  <si>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</si>
  <si>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</si>
  <si>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</si>
  <si>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</si>
  <si>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</si>
  <si>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</si>
  <si>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</si>
  <si>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</si>
  <si>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</si>
  <si>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</si>
  <si>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</si>
  <si>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</si>
  <si>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</si>
  <si>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</si>
  <si>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</si>
  <si>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</si>
  <si>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</si>
  <si>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</si>
  <si>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</si>
  <si>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</si>
  <si>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</si>
  <si>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</si>
  <si>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</si>
  <si>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</si>
  <si>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</si>
  <si>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</si>
  <si>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</si>
  <si>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</si>
  <si>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</si>
  <si>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</si>
  <si>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</si>
  <si>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</si>
  <si>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</si>
  <si>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</si>
  <si>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</si>
  <si>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</si>
  <si>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</si>
  <si>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</si>
  <si>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</si>
  <si>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</si>
  <si>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</si>
  <si>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</si>
  <si>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</si>
  <si>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</si>
  <si>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</si>
  <si>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</si>
  <si>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</si>
  <si>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</si>
  <si>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</si>
  <si>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</si>
  <si>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</si>
  <si>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</si>
  <si>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</si>
  <si>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</si>
  <si>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</si>
  <si>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</si>
  <si>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</si>
  <si>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</si>
  <si>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</si>
  <si>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</si>
  <si>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</si>
  <si>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</si>
  <si>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</si>
  <si>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</si>
  <si>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</si>
  <si>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</si>
  <si>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</si>
  <si>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</si>
  <si>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</si>
  <si>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</si>
  <si>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</si>
  <si>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</si>
  <si>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</si>
  <si>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</si>
  <si>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</si>
  <si>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</si>
  <si>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</si>
  <si>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</si>
  <si>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</si>
  <si>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</si>
  <si>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</si>
  <si>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</si>
  <si>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</si>
  <si>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</si>
  <si>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</si>
  <si>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</si>
  <si>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</si>
  <si>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</si>
  <si>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</si>
  <si>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</si>
  <si>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</si>
  <si>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</si>
  <si>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</si>
  <si>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</si>
  <si>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</si>
  <si>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</si>
  <si>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</si>
  <si>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</si>
  <si>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</si>
  <si>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</si>
  <si>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</si>
  <si>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</si>
  <si>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</si>
  <si>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</si>
  <si>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</si>
  <si>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</si>
  <si>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</si>
  <si>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</si>
  <si>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</si>
  <si>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</si>
  <si>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</si>
  <si>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</si>
  <si>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</si>
  <si>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</si>
  <si>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</si>
  <si>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</si>
  <si>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</si>
  <si>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</si>
  <si>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</si>
  <si>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</si>
  <si>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</si>
  <si>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</si>
  <si>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</si>
  <si>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</si>
  <si>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</si>
  <si>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</si>
  <si>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</si>
  <si>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</si>
  <si>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</si>
  <si>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</si>
  <si>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</si>
  <si>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</si>
  <si>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</si>
  <si>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</si>
  <si>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</si>
  <si>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</si>
  <si>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</si>
  <si>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</si>
  <si>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</si>
  <si>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</si>
  <si>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</si>
  <si>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</si>
  <si>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</si>
  <si>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</si>
  <si>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</si>
  <si>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</si>
  <si>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</si>
  <si>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</si>
  <si>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</si>
  <si>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</si>
  <si>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</si>
  <si>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</si>
  <si>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</si>
  <si>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</si>
  <si>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</si>
  <si>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</si>
  <si>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</si>
  <si>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</si>
  <si>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</si>
  <si>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</si>
  <si>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</si>
  <si>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</si>
  <si>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</si>
  <si>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</si>
  <si>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</si>
  <si>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</si>
  <si>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</si>
  <si>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</si>
  <si>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</si>
  <si>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</si>
  <si>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</si>
  <si>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</si>
  <si>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</si>
  <si>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</si>
  <si>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</si>
  <si>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</si>
  <si>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</si>
  <si>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</si>
  <si>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</si>
  <si>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</si>
  <si>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</si>
  <si>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</si>
  <si>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</si>
  <si>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</si>
  <si>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</si>
  <si>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</si>
  <si>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</si>
  <si>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</si>
  <si>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</si>
  <si>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</si>
  <si>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</si>
  <si>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</si>
  <si>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</si>
  <si>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</si>
  <si>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</si>
  <si>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</si>
  <si>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</si>
  <si>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</si>
  <si>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</si>
  <si>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</si>
  <si>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</si>
  <si>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</si>
  <si>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</si>
  <si>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</si>
  <si>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</si>
  <si>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</si>
  <si>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</si>
  <si>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</si>
  <si>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</si>
  <si>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</si>
  <si>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</si>
  <si>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</si>
  <si>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</si>
  <si>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</si>
  <si>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</si>
  <si>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</si>
  <si>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</si>
  <si>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</si>
  <si>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</si>
  <si>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</si>
  <si>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</si>
  <si>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</si>
  <si>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</si>
  <si>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</si>
  <si>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</si>
  <si>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</si>
  <si>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</si>
  <si>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</si>
  <si>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</si>
  <si>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</si>
  <si>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</si>
  <si>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</si>
  <si>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</si>
  <si>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</si>
  <si>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</si>
  <si>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</si>
  <si>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</si>
  <si>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</si>
  <si>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</si>
  <si>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</si>
  <si>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</si>
  <si>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</si>
  <si>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</si>
  <si>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</si>
  <si>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</si>
  <si>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</si>
  <si>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</si>
  <si>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</si>
  <si>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</si>
  <si>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</si>
  <si>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</si>
  <si>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</si>
  <si>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</si>
  <si>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</si>
  <si>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</si>
  <si>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</si>
  <si>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</si>
  <si>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</si>
  <si>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</si>
  <si>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</si>
  <si>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</si>
  <si>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</si>
  <si>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</si>
  <si>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</si>
  <si>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</si>
  <si>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</si>
  <si>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</si>
  <si>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</si>
  <si>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</si>
  <si>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</si>
  <si>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</si>
  <si>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</si>
  <si>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</si>
  <si>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</si>
  <si>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</si>
  <si>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</si>
  <si>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</si>
  <si>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</si>
  <si>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</si>
  <si>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</si>
  <si>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</si>
  <si>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</si>
  <si>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</si>
  <si>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</si>
  <si>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</si>
  <si>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</si>
  <si>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</si>
  <si>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</si>
  <si>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</si>
  <si>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</si>
  <si>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</si>
  <si>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</si>
  <si>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</si>
  <si>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</si>
  <si>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</si>
  <si>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</si>
  <si>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</si>
  <si>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</si>
  <si>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</si>
  <si>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</si>
  <si>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</si>
  <si>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</si>
  <si>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</si>
  <si>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</si>
  <si>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</si>
  <si>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</si>
  <si>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</si>
  <si>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</si>
  <si>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</si>
  <si>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</si>
  <si>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</si>
  <si>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</si>
  <si>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</si>
  <si>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</si>
  <si>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</si>
  <si>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</si>
  <si>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</si>
  <si>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</si>
  <si>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</si>
  <si>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</si>
  <si>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</si>
  <si>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</si>
  <si>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</si>
  <si>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</si>
  <si>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</si>
  <si>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</si>
  <si>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</si>
  <si>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</si>
  <si>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</si>
  <si>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</si>
  <si>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</si>
  <si>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</si>
  <si>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</si>
  <si>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</si>
  <si>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</si>
  <si>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</si>
  <si>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</si>
  <si>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</si>
  <si>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</si>
  <si>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</si>
  <si>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</si>
  <si>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</si>
  <si>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</si>
  <si>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</si>
  <si>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</si>
  <si>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</si>
  <si>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</si>
  <si>
    <t>StarDrive GPR CS</t>
  </si>
  <si>
    <t>StarDrive GPR WH</t>
  </si>
  <si>
    <t>Countersunk head, partial thread</t>
  </si>
  <si>
    <t>Washer head, partial thread</t>
  </si>
  <si>
    <t>SCHMID</t>
  </si>
  <si>
    <t>SPAX</t>
  </si>
  <si>
    <t>Flat countersunk head, full thread, T-STAR plus</t>
  </si>
  <si>
    <t>T-STAR plus A2</t>
  </si>
  <si>
    <t>T-STAR plus WIROX</t>
  </si>
  <si>
    <t>T-STAR plus A4</t>
  </si>
  <si>
    <t>RAPID® CS</t>
  </si>
  <si>
    <t>RAPID® WH</t>
  </si>
  <si>
    <t>RAPID® DUAL</t>
  </si>
  <si>
    <t>Dual Hex head, partial thread</t>
  </si>
  <si>
    <t>RAPID® SSF</t>
  </si>
  <si>
    <t>SuperSenkFix Washer head, partial thread</t>
  </si>
  <si>
    <t>StarDrive GPR CS A2</t>
  </si>
  <si>
    <t>Countersunk head, partial thread, stainless steel</t>
  </si>
  <si>
    <t>StarDrive GPR WH A2</t>
  </si>
  <si>
    <t>Washer head, partial thread, stainless steel</t>
  </si>
  <si>
    <t xml:space="preserve">StarDrive GPR PS </t>
  </si>
  <si>
    <t>Washer head, full thread</t>
  </si>
  <si>
    <t>RAPID® FT CL</t>
  </si>
  <si>
    <t>Cylinder head, full thread</t>
  </si>
  <si>
    <t>Cylinder head, full thread, HSP</t>
  </si>
  <si>
    <t>RAPID® FT CS</t>
  </si>
  <si>
    <t>Countersunk head, full thread, HSP</t>
  </si>
  <si>
    <t>RAPID® T-LIFT</t>
  </si>
  <si>
    <t>Dual Hex head, full thread</t>
  </si>
  <si>
    <t>RAPID® HARDWOOD WH</t>
  </si>
  <si>
    <t>RAPID® HARDWOOD CS</t>
  </si>
  <si>
    <t>RAPID® TOP-2-ROOF</t>
  </si>
  <si>
    <t>Cylinder head, duo thread</t>
  </si>
  <si>
    <t>RAPID® T-Con</t>
  </si>
  <si>
    <t/>
  </si>
  <si>
    <t>Washer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</si>
</sst>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8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16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  <xf numFmtId="0" fontId="9" fillId="0" borderId="0" xfId="0" applyFont="1"/>
    <xf numFmtId="0" fontId="8" fillId="0" borderId="0" xfId="0" applyFont="1" applyFill="1"/>
    <xf numFmtId="2" fontId="9" fillId="0" borderId="0" xfId="0" applyNumberFormat="1" applyFont="1"/>
    <xf numFmtId="2" fontId="10" fillId="9" borderId="9" xfId="2" applyNumberFormat="1" applyFont="1" applyAlignment="1">
      <alignment horizontal="right"/>
    </xf>
    <xf numFmtId="1" fontId="9" fillId="0" borderId="0" xfId="0" applyNumberFormat="1" applyFont="1"/>
  </cellXfs>
  <cellStyles count="8">
    <cellStyle name="Beregning" xfId="2" builtinId="22"/>
    <cellStyle name="Dårlig" xfId="4" builtinId="27"/>
    <cellStyle name="Hyperkobling" xfId="1" builtinId="8"/>
    <cellStyle name="Komma" xfId="3" builtinId="3"/>
    <cellStyle name="Komma 2" xfId="5" xr:uid="{AA47772F-2D51-43D2-AB53-FB49A26F12A8}"/>
    <cellStyle name="Komma 2 2" xfId="7" xr:uid="{8E4B763A-1C28-4750-A3B9-FBF3197F2727}"/>
    <cellStyle name="Komma 3" xfId="6" xr:uid="{EE5CA376-B1A9-4799-A3D6-E686E215F364}"/>
    <cellStyle name="Normal" xfId="0" builtinId="0"/>
  </cellStyles>
  <dxfs count="4"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974"/>
  <sheetViews>
    <sheetView workbookViewId="0">
      <pane ySplit="1" topLeftCell="A2" activePane="bottomLeft" state="frozen"/>
      <selection pane="bottomLeft" activeCell="P334" sqref="P334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4" customFormat="1" ht="45.75" customHeight="1" x14ac:dyDescent="0.25">
      <c r="A1" s="7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74" t="s">
        <v>18</v>
      </c>
      <c r="G1" s="74" t="s">
        <v>20</v>
      </c>
      <c r="H1" s="7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Nails'!J2</f>
        <v>1.2889999999999999</v>
      </c>
      <c r="J2" s="43">
        <f>'Strongtie Nails'!K2</f>
        <v>2.5</v>
      </c>
      <c r="K2" s="43">
        <f>'Strongtie Nails'!L2</f>
        <v>8.6</v>
      </c>
      <c r="L2" s="43">
        <f>'Strongtie Nails'!M2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Nails'!J4</f>
        <v>2.5659999999999998</v>
      </c>
      <c r="J3" s="43">
        <f>'Strongtie Nails'!K4</f>
        <v>2.5</v>
      </c>
      <c r="K3" s="43">
        <f>'Strongtie Nails'!L4</f>
        <v>8.6</v>
      </c>
      <c r="L3" s="43">
        <f>'Strongtie Nails'!M4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Nails'!J5</f>
        <v>4.1440000000000001</v>
      </c>
      <c r="J4" s="43">
        <f>'Strongtie Nails'!K5</f>
        <v>2.5</v>
      </c>
      <c r="K4" s="43">
        <f>'Strongtie Nails'!L5</f>
        <v>8.6</v>
      </c>
      <c r="L4" s="43">
        <f>'Strongtie Nails'!M5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Nails'!J13</f>
        <v>3.3</v>
      </c>
      <c r="J5" s="43">
        <f>'Strongtie Nails'!K13</f>
        <v>2.5</v>
      </c>
      <c r="K5" s="43">
        <f>'Strongtie Nails'!L13</f>
        <v>8.6</v>
      </c>
      <c r="L5" s="43">
        <f>'Strongtie Nails'!M13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Nails'!J14</f>
        <v>4.3</v>
      </c>
      <c r="J6" s="43">
        <f>'Strongtie Nails'!K14</f>
        <v>2.5</v>
      </c>
      <c r="K6" s="43">
        <f>'Strongtie Nails'!L14</f>
        <v>8.6</v>
      </c>
      <c r="L6" s="43">
        <f>'Strongtie Nails'!M14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Nails'!J15</f>
        <v>4.3</v>
      </c>
      <c r="J7" s="43">
        <f>'Strongtie Nails'!K15</f>
        <v>2.5</v>
      </c>
      <c r="K7" s="43">
        <f>'Strongtie Nails'!L15</f>
        <v>8.6</v>
      </c>
      <c r="L7" s="43">
        <f>'Strongtie Nails'!M15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Nails'!J16</f>
        <v>4.3</v>
      </c>
      <c r="J8" s="43">
        <f>'Strongtie Nails'!K16</f>
        <v>2.5</v>
      </c>
      <c r="K8" s="43">
        <f>'Strongtie Nails'!L16</f>
        <v>8.6</v>
      </c>
      <c r="L8" s="43">
        <f>'Strongtie Nails'!M16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Nails'!J17</f>
        <v>7</v>
      </c>
      <c r="J9" s="43">
        <f>'Strongtie Nails'!K17</f>
        <v>2.5</v>
      </c>
      <c r="K9" s="43">
        <f>'Strongtie Nails'!L17</f>
        <v>8.6</v>
      </c>
      <c r="L9" s="43">
        <f>'Strongtie Nails'!M17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Nails'!J18</f>
        <v>13.7</v>
      </c>
      <c r="J10" s="43">
        <f>'Strongtie Nails'!K18</f>
        <v>2.5</v>
      </c>
      <c r="K10" s="43">
        <f>'Strongtie Nails'!L18</f>
        <v>8.6</v>
      </c>
      <c r="L10" s="43">
        <f>'Strongtie Nails'!M18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Nails'!J19</f>
        <v>15.1</v>
      </c>
      <c r="J11" s="43">
        <f>'Strongtie Nails'!K19</f>
        <v>2.5</v>
      </c>
      <c r="K11" s="43">
        <f>'Strongtie Nails'!L19</f>
        <v>8.6</v>
      </c>
      <c r="L11" s="43">
        <f>'Strongtie Nails'!M19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Nails'!J20</f>
        <v>29.3</v>
      </c>
      <c r="J12" s="43">
        <f>'Strongtie Nails'!K20</f>
        <v>2.5</v>
      </c>
      <c r="K12" s="43">
        <f>'Strongtie Nails'!L20</f>
        <v>8.6</v>
      </c>
      <c r="L12" s="43">
        <f>'Strongtie Nails'!M20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Nails'!J21</f>
        <v>34</v>
      </c>
      <c r="J13" s="43">
        <f>'Strongtie Nails'!K21</f>
        <v>2.5</v>
      </c>
      <c r="K13" s="43">
        <f>'Strongtie Nails'!L21</f>
        <v>8.6</v>
      </c>
      <c r="L13" s="43">
        <f>'Strongtie Nails'!M21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Nails'!J22</f>
        <v>35.1</v>
      </c>
      <c r="J14" s="43">
        <f>'Strongtie Nails'!K22</f>
        <v>2.5</v>
      </c>
      <c r="K14" s="43">
        <f>'Strongtie Nails'!L22</f>
        <v>8.6</v>
      </c>
      <c r="L14" s="43">
        <f>'Strongtie Nails'!M22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Nails'!J25</f>
        <v>3.3</v>
      </c>
      <c r="J15" s="43">
        <f>'Strongtie Nails'!K25</f>
        <v>2.5</v>
      </c>
      <c r="K15" s="43">
        <f>'Strongtie Nails'!L25</f>
        <v>8.6</v>
      </c>
      <c r="L15" s="43">
        <f>'Strongtie Nails'!M25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Nails'!J26</f>
        <v>4.3</v>
      </c>
      <c r="J16" s="43">
        <f>'Strongtie Nails'!K26</f>
        <v>2.5</v>
      </c>
      <c r="K16" s="43">
        <f>'Strongtie Nails'!L26</f>
        <v>8.6</v>
      </c>
      <c r="L16" s="43">
        <f>'Strongtie Nails'!M26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Nails'!J27</f>
        <v>7</v>
      </c>
      <c r="J17" s="43">
        <f>'Strongtie Nails'!K27</f>
        <v>2.5</v>
      </c>
      <c r="K17" s="43">
        <f>'Strongtie Nails'!L27</f>
        <v>8.6</v>
      </c>
      <c r="L17" s="43">
        <f>'Strongtie Nails'!M27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Nails'!J37</f>
        <v>2.6</v>
      </c>
      <c r="J18" s="43">
        <f>'Strongtie Nails'!K37</f>
        <v>4.9000000000000004</v>
      </c>
      <c r="K18" s="43">
        <f>'Strongtie Nails'!L37</f>
        <v>22.6</v>
      </c>
      <c r="L18" s="43">
        <f>'Strongtie Nails'!M37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Nails'!J38</f>
        <v>2.6</v>
      </c>
      <c r="J19" s="43">
        <f>'Strongtie Nails'!K38</f>
        <v>4.9000000000000004</v>
      </c>
      <c r="K19" s="43">
        <f>'Strongtie Nails'!L38</f>
        <v>22.6</v>
      </c>
      <c r="L19" s="43">
        <f>'Strongtie Nails'!M38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Nails'!J39</f>
        <v>2.6</v>
      </c>
      <c r="J20" s="43">
        <f>'Strongtie Nails'!K39</f>
        <v>4.9000000000000004</v>
      </c>
      <c r="K20" s="43">
        <f>'Strongtie Nails'!L39</f>
        <v>22.6</v>
      </c>
      <c r="L20" s="43">
        <f>'Strongtie Nails'!M39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Nails'!J40</f>
        <v>2.6</v>
      </c>
      <c r="J21" s="43">
        <f>'Strongtie Nails'!K40</f>
        <v>4.9000000000000004</v>
      </c>
      <c r="K21" s="43">
        <f>'Strongtie Nails'!L40</f>
        <v>22.6</v>
      </c>
      <c r="L21" s="43">
        <f>'Strongtie Nails'!M40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Nails'!J41</f>
        <v>3.9</v>
      </c>
      <c r="J22" s="43">
        <f>'Strongtie Nails'!K41</f>
        <v>5.4</v>
      </c>
      <c r="K22" s="43">
        <f>'Strongtie Nails'!L41</f>
        <v>20.9</v>
      </c>
      <c r="L22" s="43">
        <f>'Strongtie Nails'!M41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Nails'!J42</f>
        <v>3.7</v>
      </c>
      <c r="J23" s="43">
        <f>'Strongtie Nails'!K42</f>
        <v>2.5</v>
      </c>
      <c r="K23" s="43">
        <f>'Strongtie Nails'!L42</f>
        <v>20.5</v>
      </c>
      <c r="L23" s="43">
        <f>'Strongtie Nails'!M42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Nails'!J43</f>
        <v>3.7</v>
      </c>
      <c r="J24" s="43">
        <f>'Strongtie Nails'!K43</f>
        <v>2.5</v>
      </c>
      <c r="K24" s="43">
        <f>'Strongtie Nails'!L43</f>
        <v>20.5</v>
      </c>
      <c r="L24" s="43">
        <f>'Strongtie Nails'!M43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Nails'!J44</f>
        <v>3.7</v>
      </c>
      <c r="J25" s="43">
        <f>'Strongtie Nails'!K44</f>
        <v>2.5</v>
      </c>
      <c r="K25" s="43">
        <f>'Strongtie Nails'!L44</f>
        <v>20.5</v>
      </c>
      <c r="L25" s="43">
        <f>'Strongtie Nails'!M44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Nails'!J45</f>
        <v>3.2</v>
      </c>
      <c r="J26" s="43">
        <f>'Strongtie Nails'!K45</f>
        <v>8.9</v>
      </c>
      <c r="K26" s="43">
        <f>'Strongtie Nails'!L45</f>
        <v>29.4</v>
      </c>
      <c r="L26" s="43">
        <f>'Strongtie Nails'!M45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Nails'!J46</f>
        <v>3.2</v>
      </c>
      <c r="J27" s="43">
        <f>'Strongtie Nails'!K46</f>
        <v>8.9</v>
      </c>
      <c r="K27" s="43">
        <f>'Strongtie Nails'!L46</f>
        <v>29.4</v>
      </c>
      <c r="L27" s="43">
        <f>'Strongtie Nails'!M46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Nails'!J47</f>
        <v>4.5999999999999996</v>
      </c>
      <c r="J28" s="43">
        <f>'Strongtie Nails'!K47</f>
        <v>8.3000000000000007</v>
      </c>
      <c r="K28" s="43">
        <f>'Strongtie Nails'!L47</f>
        <v>18.100000000000001</v>
      </c>
      <c r="L28" s="43">
        <f>'Strongtie Nails'!M47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Nails'!J48</f>
        <v>4.5999999999999996</v>
      </c>
      <c r="J29" s="43">
        <f>'Strongtie Nails'!K48</f>
        <v>8.3000000000000007</v>
      </c>
      <c r="K29" s="43">
        <f>'Strongtie Nails'!L48</f>
        <v>18.100000000000001</v>
      </c>
      <c r="L29" s="43">
        <f>'Strongtie Nails'!M48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Nails'!J49</f>
        <v>3.2</v>
      </c>
      <c r="J30" s="43">
        <f>'Strongtie Nails'!K49</f>
        <v>10.7</v>
      </c>
      <c r="K30" s="43">
        <f>'Strongtie Nails'!L49</f>
        <v>30.1</v>
      </c>
      <c r="L30" s="43">
        <f>'Strongtie Nails'!M49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Nails'!J50</f>
        <v>3.2</v>
      </c>
      <c r="J31" s="43">
        <f>'Strongtie Nails'!K50</f>
        <v>10.7</v>
      </c>
      <c r="K31" s="43">
        <f>'Strongtie Nails'!L50</f>
        <v>30.1</v>
      </c>
      <c r="L31" s="43">
        <f>'Strongtie Nails'!M50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Nails'!J51</f>
        <v>4.4000000000000004</v>
      </c>
      <c r="J32" s="43">
        <f>'Strongtie Nails'!K51</f>
        <v>9.5</v>
      </c>
      <c r="K32" s="43">
        <f>'Strongtie Nails'!L51</f>
        <v>20.8</v>
      </c>
      <c r="L32" s="43">
        <f>'Strongtie Nails'!M51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Nails'!J52</f>
        <v>3.9</v>
      </c>
      <c r="J33" s="43">
        <f>'Strongtie Nails'!K52</f>
        <v>2.2999999999999998</v>
      </c>
      <c r="K33" s="43">
        <f>'Strongtie Nails'!L52</f>
        <v>19.399999999999999</v>
      </c>
      <c r="L33" s="43">
        <f>'Strongtie Nails'!M52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Nails'!J53</f>
        <v>2</v>
      </c>
      <c r="J34" s="43">
        <f>'Strongtie Nails'!K53</f>
        <v>5.0999999999999996</v>
      </c>
      <c r="K34" s="43">
        <f>'Strongtie Nails'!L53</f>
        <v>22</v>
      </c>
      <c r="L34" s="43">
        <f>'Strongtie Nails'!M53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Nails'!J54</f>
        <v>2</v>
      </c>
      <c r="J35" s="43">
        <f>'Strongtie Nails'!K54</f>
        <v>5.0999999999999996</v>
      </c>
      <c r="K35" s="43">
        <f>'Strongtie Nails'!L54</f>
        <v>22</v>
      </c>
      <c r="L35" s="43">
        <f>'Strongtie Nails'!M54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Nails'!J55</f>
        <v>2</v>
      </c>
      <c r="J36" s="43">
        <f>'Strongtie Nails'!K55</f>
        <v>5.0999999999999996</v>
      </c>
      <c r="K36" s="43">
        <f>'Strongtie Nails'!L55</f>
        <v>22</v>
      </c>
      <c r="L36" s="43">
        <f>'Strongtie Nails'!M55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Nails'!J56</f>
        <v>3.2</v>
      </c>
      <c r="J37" s="43">
        <f>'Strongtie Nails'!K56</f>
        <v>8.9</v>
      </c>
      <c r="K37" s="43">
        <f>'Strongtie Nails'!L56</f>
        <v>29.4</v>
      </c>
      <c r="L37" s="43">
        <f>'Strongtie Nails'!M56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Nails'!J57</f>
        <v>4.5999999999999996</v>
      </c>
      <c r="J38" s="43">
        <f>'Strongtie Nails'!K57</f>
        <v>8.3000000000000007</v>
      </c>
      <c r="K38" s="43">
        <f>'Strongtie Nails'!L57</f>
        <v>18.100000000000001</v>
      </c>
      <c r="L38" s="43">
        <f>'Strongtie Nails'!M57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Nails'!J58</f>
        <v>4.5999999999999996</v>
      </c>
      <c r="J39" s="43">
        <f>'Strongtie Nails'!K58</f>
        <v>8.3000000000000007</v>
      </c>
      <c r="K39" s="43">
        <f>'Strongtie Nails'!L58</f>
        <v>18.100000000000001</v>
      </c>
      <c r="L39" s="43">
        <f>'Strongtie Nails'!M58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13.5</v>
      </c>
      <c r="I314" s="50">
        <v>33.4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13.5</v>
      </c>
      <c r="I315" s="50">
        <v>33.4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13.5</v>
      </c>
      <c r="I316" s="50">
        <v>33.4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13.5</v>
      </c>
      <c r="I317" s="50">
        <v>33.4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13.5</v>
      </c>
      <c r="I318" s="50">
        <v>33.4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16.5</v>
      </c>
      <c r="I319" s="50">
        <v>45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16.5</v>
      </c>
      <c r="I320" s="50">
        <v>45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16.5</v>
      </c>
      <c r="I321" s="50">
        <v>45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16.5</v>
      </c>
      <c r="I322" s="50">
        <v>45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16.5</v>
      </c>
      <c r="I323" s="50">
        <v>45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18.5</v>
      </c>
      <c r="I324" s="50">
        <v>65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18.5</v>
      </c>
      <c r="I325" s="50">
        <v>65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18.5</v>
      </c>
      <c r="I326" s="50">
        <v>65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18.5</v>
      </c>
      <c r="I327" s="50">
        <v>65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18.5</v>
      </c>
      <c r="I328" s="50">
        <v>65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16.5</v>
      </c>
      <c r="I329" s="50">
        <v>45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16.5</v>
      </c>
      <c r="I330" s="50">
        <v>45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16.5</v>
      </c>
      <c r="I331" s="50">
        <v>45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16.5</v>
      </c>
      <c r="I332" s="50">
        <v>45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16.5</v>
      </c>
      <c r="I333" s="50">
        <v>45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16.5</v>
      </c>
      <c r="I334" s="50">
        <v>45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16.5</v>
      </c>
      <c r="I335" s="50">
        <v>45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13.5</v>
      </c>
      <c r="I336" s="50">
        <v>33.4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13.5</v>
      </c>
      <c r="I337" s="50">
        <v>33.4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13.5</v>
      </c>
      <c r="I338" s="50">
        <v>33.4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13.5</v>
      </c>
      <c r="I339" s="50">
        <v>33.4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13.5</v>
      </c>
      <c r="I340" s="50">
        <v>33.4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13.5</v>
      </c>
      <c r="I341" s="50">
        <v>33.4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13.5</v>
      </c>
      <c r="I342" s="50">
        <v>33.4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6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6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6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6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6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6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6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6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6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6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6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6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6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6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6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6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6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6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6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6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6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6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6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6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6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6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6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6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6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6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6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6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6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6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6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6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6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6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6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6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6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6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6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6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6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6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6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6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6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6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6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6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6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6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6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6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6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6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6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6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6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6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6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6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6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6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6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6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6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6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6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6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6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6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6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6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6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6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6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6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6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6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6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6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6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6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6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6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6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6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6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6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6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6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6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6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6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6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6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6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6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6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6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6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6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6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6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6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6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6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6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6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6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6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6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6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6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6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6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6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6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6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6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6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6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6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6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6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6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6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6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6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6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6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6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6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6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6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6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6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6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6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6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6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6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6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6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6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6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6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6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6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6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6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6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6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6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6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6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6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6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6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6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6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6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6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6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6.68</v>
      </c>
      <c r="J860" s="51">
        <v>6.43</v>
      </c>
      <c r="K860" s="51"/>
      <c r="L860" s="51">
        <v>6.5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6.68</v>
      </c>
      <c r="J861" s="51">
        <v>6.43</v>
      </c>
      <c r="K861" s="51"/>
      <c r="L861" s="51">
        <v>6.5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6.68</v>
      </c>
      <c r="J862" s="51">
        <v>6.43</v>
      </c>
      <c r="K862" s="51"/>
      <c r="L862" s="51">
        <v>6.5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6.68</v>
      </c>
      <c r="J863" s="51">
        <v>6.43</v>
      </c>
      <c r="K863" s="51"/>
      <c r="L863" s="51">
        <v>6.5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6.68</v>
      </c>
      <c r="J864" s="51">
        <v>6.43</v>
      </c>
      <c r="K864" s="51"/>
      <c r="L864" s="51">
        <v>6.5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20.2</v>
      </c>
      <c r="J865" s="51">
        <v>6.43</v>
      </c>
      <c r="K865" s="51"/>
      <c r="L865" s="51">
        <v>17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20.2</v>
      </c>
      <c r="J866" s="51">
        <v>6.43</v>
      </c>
      <c r="K866" s="51"/>
      <c r="L866" s="51">
        <v>17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20.2</v>
      </c>
      <c r="J867" s="51">
        <v>6.43</v>
      </c>
      <c r="K867" s="51"/>
      <c r="L867" s="51">
        <v>17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7.18</v>
      </c>
      <c r="J868" s="51">
        <v>6.43</v>
      </c>
      <c r="K868" s="51"/>
      <c r="L868" s="51">
        <v>6.5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58" t="s">
        <v>213</v>
      </c>
      <c r="B1522" s="58" t="s">
        <v>377</v>
      </c>
      <c r="C1522" s="58" t="s">
        <v>379</v>
      </c>
      <c r="D1522" s="58" t="s">
        <v>378</v>
      </c>
      <c r="E1522" s="58">
        <v>3</v>
      </c>
      <c r="F1522" s="58">
        <v>6</v>
      </c>
      <c r="G1522" s="58">
        <v>30</v>
      </c>
      <c r="H1522" s="58">
        <v>10</v>
      </c>
      <c r="I1522" s="58"/>
      <c r="J1522" s="58"/>
      <c r="K1522" s="58"/>
      <c r="L1522" s="58"/>
      <c r="M1522" s="58">
        <v>18</v>
      </c>
      <c r="N1522" s="58"/>
    </row>
    <row r="1523" spans="1:14" x14ac:dyDescent="0.25">
      <c r="A1523" s="58" t="s">
        <v>213</v>
      </c>
      <c r="B1523" s="58" t="s">
        <v>377</v>
      </c>
      <c r="C1523" s="58" t="s">
        <v>379</v>
      </c>
      <c r="D1523" s="58" t="s">
        <v>378</v>
      </c>
      <c r="E1523" s="58">
        <v>3</v>
      </c>
      <c r="F1523" s="58">
        <v>6</v>
      </c>
      <c r="G1523" s="58">
        <v>35</v>
      </c>
      <c r="H1523" s="58">
        <v>10</v>
      </c>
      <c r="I1523" s="58"/>
      <c r="J1523" s="58"/>
      <c r="K1523" s="58"/>
      <c r="L1523" s="58"/>
      <c r="M1523" s="58">
        <v>18</v>
      </c>
      <c r="N1523" s="58"/>
    </row>
    <row r="1524" spans="1:14" x14ac:dyDescent="0.25">
      <c r="A1524" s="58" t="s">
        <v>213</v>
      </c>
      <c r="B1524" s="58" t="s">
        <v>377</v>
      </c>
      <c r="C1524" s="58" t="s">
        <v>379</v>
      </c>
      <c r="D1524" s="58" t="s">
        <v>378</v>
      </c>
      <c r="E1524" s="58">
        <v>3</v>
      </c>
      <c r="F1524" s="58">
        <v>6</v>
      </c>
      <c r="G1524" s="58">
        <v>40</v>
      </c>
      <c r="H1524" s="58">
        <v>10</v>
      </c>
      <c r="I1524" s="58"/>
      <c r="J1524" s="58"/>
      <c r="K1524" s="58"/>
      <c r="L1524" s="58"/>
      <c r="M1524" s="58">
        <v>18</v>
      </c>
      <c r="N1524" s="58"/>
    </row>
    <row r="1525" spans="1:14" x14ac:dyDescent="0.25">
      <c r="A1525" s="58" t="s">
        <v>213</v>
      </c>
      <c r="B1525" s="58" t="s">
        <v>377</v>
      </c>
      <c r="C1525" s="58" t="s">
        <v>379</v>
      </c>
      <c r="D1525" s="58" t="s">
        <v>378</v>
      </c>
      <c r="E1525" s="58">
        <v>3</v>
      </c>
      <c r="F1525" s="58">
        <v>6</v>
      </c>
      <c r="G1525" s="58">
        <v>45</v>
      </c>
      <c r="H1525" s="58">
        <v>10</v>
      </c>
      <c r="I1525" s="58"/>
      <c r="J1525" s="58"/>
      <c r="K1525" s="58"/>
      <c r="L1525" s="58"/>
      <c r="M1525" s="58">
        <v>18</v>
      </c>
      <c r="N1525" s="58"/>
    </row>
    <row r="1526" spans="1:14" x14ac:dyDescent="0.25">
      <c r="A1526" s="58" t="s">
        <v>213</v>
      </c>
      <c r="B1526" s="58" t="s">
        <v>377</v>
      </c>
      <c r="C1526" s="58" t="s">
        <v>379</v>
      </c>
      <c r="D1526" s="58" t="s">
        <v>378</v>
      </c>
      <c r="E1526" s="58">
        <v>3</v>
      </c>
      <c r="F1526" s="58">
        <v>6</v>
      </c>
      <c r="G1526" s="58">
        <v>50</v>
      </c>
      <c r="H1526" s="58">
        <v>10</v>
      </c>
      <c r="I1526" s="58"/>
      <c r="J1526" s="58"/>
      <c r="K1526" s="58"/>
      <c r="L1526" s="58"/>
      <c r="M1526" s="58">
        <v>18</v>
      </c>
      <c r="N1526" s="58"/>
    </row>
    <row r="1527" spans="1:14" x14ac:dyDescent="0.25">
      <c r="A1527" s="58" t="s">
        <v>213</v>
      </c>
      <c r="B1527" s="58" t="s">
        <v>377</v>
      </c>
      <c r="C1527" s="58" t="s">
        <v>379</v>
      </c>
      <c r="D1527" s="58" t="s">
        <v>378</v>
      </c>
      <c r="E1527" s="58">
        <v>3</v>
      </c>
      <c r="F1527" s="58">
        <v>6</v>
      </c>
      <c r="G1527" s="58">
        <v>55</v>
      </c>
      <c r="H1527" s="58">
        <v>10</v>
      </c>
      <c r="I1527" s="58"/>
      <c r="J1527" s="58"/>
      <c r="K1527" s="58"/>
      <c r="L1527" s="58"/>
      <c r="M1527" s="58">
        <v>18</v>
      </c>
      <c r="N1527" s="58"/>
    </row>
    <row r="1528" spans="1:14" x14ac:dyDescent="0.25">
      <c r="A1528" s="58" t="s">
        <v>213</v>
      </c>
      <c r="B1528" s="58" t="s">
        <v>377</v>
      </c>
      <c r="C1528" s="58" t="s">
        <v>379</v>
      </c>
      <c r="D1528" s="58" t="s">
        <v>378</v>
      </c>
      <c r="E1528" s="58">
        <v>3</v>
      </c>
      <c r="F1528" s="58">
        <v>6</v>
      </c>
      <c r="G1528" s="58">
        <v>60</v>
      </c>
      <c r="H1528" s="58">
        <v>10</v>
      </c>
      <c r="I1528" s="58"/>
      <c r="J1528" s="58"/>
      <c r="K1528" s="58"/>
      <c r="L1528" s="58"/>
      <c r="M1528" s="58">
        <v>18</v>
      </c>
      <c r="N1528" s="58"/>
    </row>
    <row r="1529" spans="1:14" x14ac:dyDescent="0.25">
      <c r="A1529" s="58" t="s">
        <v>213</v>
      </c>
      <c r="B1529" s="58" t="s">
        <v>377</v>
      </c>
      <c r="C1529" s="58" t="s">
        <v>379</v>
      </c>
      <c r="D1529" s="58" t="s">
        <v>378</v>
      </c>
      <c r="E1529" s="58">
        <v>3</v>
      </c>
      <c r="F1529" s="58">
        <v>6</v>
      </c>
      <c r="G1529" s="58">
        <v>65</v>
      </c>
      <c r="H1529" s="58">
        <v>10</v>
      </c>
      <c r="I1529" s="58"/>
      <c r="J1529" s="58"/>
      <c r="K1529" s="58"/>
      <c r="L1529" s="58"/>
      <c r="M1529" s="58">
        <v>18</v>
      </c>
      <c r="N1529" s="58"/>
    </row>
    <row r="1530" spans="1:14" x14ac:dyDescent="0.25">
      <c r="A1530" s="58" t="s">
        <v>213</v>
      </c>
      <c r="B1530" s="58" t="s">
        <v>377</v>
      </c>
      <c r="C1530" s="58" t="s">
        <v>379</v>
      </c>
      <c r="D1530" s="58" t="s">
        <v>378</v>
      </c>
      <c r="E1530" s="58">
        <v>3</v>
      </c>
      <c r="F1530" s="58">
        <v>6</v>
      </c>
      <c r="G1530" s="58">
        <v>70</v>
      </c>
      <c r="H1530" s="58">
        <v>10</v>
      </c>
      <c r="I1530" s="58"/>
      <c r="J1530" s="58"/>
      <c r="K1530" s="58"/>
      <c r="L1530" s="58"/>
      <c r="M1530" s="58">
        <v>18</v>
      </c>
      <c r="N1530" s="58"/>
    </row>
    <row r="1531" spans="1:14" x14ac:dyDescent="0.25">
      <c r="A1531" s="58" t="s">
        <v>213</v>
      </c>
      <c r="B1531" s="58" t="s">
        <v>377</v>
      </c>
      <c r="C1531" s="58" t="s">
        <v>379</v>
      </c>
      <c r="D1531" s="58" t="s">
        <v>378</v>
      </c>
      <c r="E1531" s="58">
        <v>3</v>
      </c>
      <c r="F1531" s="58">
        <v>6</v>
      </c>
      <c r="G1531" s="58">
        <v>75</v>
      </c>
      <c r="H1531" s="58">
        <v>10</v>
      </c>
      <c r="I1531" s="58"/>
      <c r="J1531" s="58"/>
      <c r="K1531" s="58"/>
      <c r="L1531" s="58"/>
      <c r="M1531" s="58">
        <v>18</v>
      </c>
      <c r="N1531" s="58"/>
    </row>
    <row r="1532" spans="1:14" x14ac:dyDescent="0.25">
      <c r="A1532" s="58" t="s">
        <v>213</v>
      </c>
      <c r="B1532" s="58" t="s">
        <v>377</v>
      </c>
      <c r="C1532" s="58" t="s">
        <v>379</v>
      </c>
      <c r="D1532" s="58" t="s">
        <v>378</v>
      </c>
      <c r="E1532" s="58">
        <v>3</v>
      </c>
      <c r="F1532" s="58">
        <v>6</v>
      </c>
      <c r="G1532" s="58">
        <v>80</v>
      </c>
      <c r="H1532" s="58">
        <v>10</v>
      </c>
      <c r="I1532" s="58"/>
      <c r="J1532" s="58"/>
      <c r="K1532" s="58"/>
      <c r="L1532" s="58"/>
      <c r="M1532" s="58">
        <v>18</v>
      </c>
      <c r="N1532" s="58"/>
    </row>
    <row r="1533" spans="1:14" x14ac:dyDescent="0.25">
      <c r="A1533" s="58" t="s">
        <v>213</v>
      </c>
      <c r="B1533" s="58" t="s">
        <v>377</v>
      </c>
      <c r="C1533" s="58" t="s">
        <v>379</v>
      </c>
      <c r="D1533" s="58" t="s">
        <v>378</v>
      </c>
      <c r="E1533" s="58">
        <v>3</v>
      </c>
      <c r="F1533" s="58">
        <v>6</v>
      </c>
      <c r="G1533" s="58">
        <v>85</v>
      </c>
      <c r="H1533" s="58">
        <v>10</v>
      </c>
      <c r="I1533" s="58"/>
      <c r="J1533" s="58"/>
      <c r="K1533" s="58"/>
      <c r="L1533" s="58"/>
      <c r="M1533" s="58">
        <v>18</v>
      </c>
      <c r="N1533" s="58"/>
    </row>
    <row r="1534" spans="1:14" x14ac:dyDescent="0.25">
      <c r="A1534" s="58" t="s">
        <v>213</v>
      </c>
      <c r="B1534" s="58" t="s">
        <v>377</v>
      </c>
      <c r="C1534" s="58" t="s">
        <v>379</v>
      </c>
      <c r="D1534" s="58" t="s">
        <v>378</v>
      </c>
      <c r="E1534" s="58">
        <v>3</v>
      </c>
      <c r="F1534" s="58">
        <v>6</v>
      </c>
      <c r="G1534" s="58">
        <v>90</v>
      </c>
      <c r="H1534" s="58">
        <v>10</v>
      </c>
      <c r="I1534" s="58"/>
      <c r="J1534" s="58"/>
      <c r="K1534" s="58"/>
      <c r="L1534" s="58"/>
      <c r="M1534" s="58">
        <v>18</v>
      </c>
      <c r="N1534" s="58"/>
    </row>
    <row r="1535" spans="1:14" x14ac:dyDescent="0.25">
      <c r="A1535" s="58" t="s">
        <v>213</v>
      </c>
      <c r="B1535" s="58" t="s">
        <v>377</v>
      </c>
      <c r="C1535" s="58" t="s">
        <v>379</v>
      </c>
      <c r="D1535" s="58" t="s">
        <v>378</v>
      </c>
      <c r="E1535" s="58">
        <v>3</v>
      </c>
      <c r="F1535" s="58">
        <v>6</v>
      </c>
      <c r="G1535" s="58">
        <v>95</v>
      </c>
      <c r="H1535" s="58">
        <v>10</v>
      </c>
      <c r="I1535" s="58"/>
      <c r="J1535" s="58"/>
      <c r="K1535" s="58"/>
      <c r="L1535" s="58"/>
      <c r="M1535" s="58">
        <v>18</v>
      </c>
      <c r="N1535" s="58"/>
    </row>
    <row r="1536" spans="1:14" x14ac:dyDescent="0.25">
      <c r="A1536" s="58" t="s">
        <v>213</v>
      </c>
      <c r="B1536" s="58" t="s">
        <v>377</v>
      </c>
      <c r="C1536" s="58" t="s">
        <v>379</v>
      </c>
      <c r="D1536" s="58" t="s">
        <v>378</v>
      </c>
      <c r="E1536" s="58">
        <v>3</v>
      </c>
      <c r="F1536" s="58">
        <v>6</v>
      </c>
      <c r="G1536" s="58">
        <v>100</v>
      </c>
      <c r="H1536" s="58">
        <v>10</v>
      </c>
      <c r="I1536" s="58"/>
      <c r="J1536" s="58"/>
      <c r="K1536" s="58"/>
      <c r="L1536" s="58"/>
      <c r="M1536" s="58">
        <v>18</v>
      </c>
      <c r="N1536" s="58"/>
    </row>
    <row r="1537" spans="1:14" x14ac:dyDescent="0.25">
      <c r="A1537" s="58" t="s">
        <v>213</v>
      </c>
      <c r="B1537" s="58" t="s">
        <v>377</v>
      </c>
      <c r="C1537" s="58" t="s">
        <v>379</v>
      </c>
      <c r="D1537" s="58" t="s">
        <v>378</v>
      </c>
      <c r="E1537" s="58">
        <v>3</v>
      </c>
      <c r="F1537" s="58">
        <v>6</v>
      </c>
      <c r="G1537" s="58">
        <v>105</v>
      </c>
      <c r="H1537" s="58">
        <v>10</v>
      </c>
      <c r="I1537" s="58"/>
      <c r="J1537" s="58"/>
      <c r="K1537" s="58"/>
      <c r="L1537" s="58"/>
      <c r="M1537" s="58">
        <v>18</v>
      </c>
      <c r="N1537" s="58"/>
    </row>
    <row r="1538" spans="1:14" x14ac:dyDescent="0.25">
      <c r="A1538" s="58" t="s">
        <v>213</v>
      </c>
      <c r="B1538" s="58" t="s">
        <v>377</v>
      </c>
      <c r="C1538" s="58" t="s">
        <v>379</v>
      </c>
      <c r="D1538" s="58" t="s">
        <v>378</v>
      </c>
      <c r="E1538" s="58">
        <v>3</v>
      </c>
      <c r="F1538" s="58">
        <v>6</v>
      </c>
      <c r="G1538" s="58">
        <v>110</v>
      </c>
      <c r="H1538" s="58">
        <v>10</v>
      </c>
      <c r="I1538" s="58"/>
      <c r="J1538" s="58"/>
      <c r="K1538" s="58"/>
      <c r="L1538" s="58"/>
      <c r="M1538" s="58">
        <v>18</v>
      </c>
      <c r="N1538" s="58"/>
    </row>
    <row r="1539" spans="1:14" x14ac:dyDescent="0.25">
      <c r="A1539" s="58" t="s">
        <v>213</v>
      </c>
      <c r="B1539" s="58" t="s">
        <v>377</v>
      </c>
      <c r="C1539" s="58" t="s">
        <v>379</v>
      </c>
      <c r="D1539" s="58" t="s">
        <v>378</v>
      </c>
      <c r="E1539" s="58">
        <v>3</v>
      </c>
      <c r="F1539" s="58">
        <v>6</v>
      </c>
      <c r="G1539" s="58">
        <v>120</v>
      </c>
      <c r="H1539" s="58">
        <v>10</v>
      </c>
      <c r="I1539" s="58"/>
      <c r="J1539" s="58"/>
      <c r="K1539" s="58"/>
      <c r="L1539" s="58"/>
      <c r="M1539" s="58">
        <v>18</v>
      </c>
      <c r="N1539" s="58"/>
    </row>
    <row r="1540" spans="1:14" x14ac:dyDescent="0.25">
      <c r="A1540" s="58" t="s">
        <v>213</v>
      </c>
      <c r="B1540" s="58" t="s">
        <v>377</v>
      </c>
      <c r="C1540" s="58" t="s">
        <v>379</v>
      </c>
      <c r="D1540" s="58" t="s">
        <v>378</v>
      </c>
      <c r="E1540" s="58">
        <v>3</v>
      </c>
      <c r="F1540" s="58">
        <v>6</v>
      </c>
      <c r="G1540" s="58">
        <v>130</v>
      </c>
      <c r="H1540" s="58">
        <v>10</v>
      </c>
      <c r="I1540" s="58"/>
      <c r="J1540" s="58"/>
      <c r="K1540" s="58"/>
      <c r="L1540" s="58"/>
      <c r="M1540" s="58">
        <v>24</v>
      </c>
      <c r="N1540" s="58"/>
    </row>
    <row r="1541" spans="1:14" x14ac:dyDescent="0.25">
      <c r="A1541" s="58" t="s">
        <v>213</v>
      </c>
      <c r="B1541" s="58" t="s">
        <v>377</v>
      </c>
      <c r="C1541" s="58" t="s">
        <v>379</v>
      </c>
      <c r="D1541" s="58" t="s">
        <v>378</v>
      </c>
      <c r="E1541" s="58">
        <v>3</v>
      </c>
      <c r="F1541" s="58">
        <v>6</v>
      </c>
      <c r="G1541" s="58">
        <v>140</v>
      </c>
      <c r="H1541" s="58">
        <v>10</v>
      </c>
      <c r="I1541" s="58"/>
      <c r="J1541" s="58"/>
      <c r="K1541" s="58"/>
      <c r="L1541" s="58"/>
      <c r="M1541" s="58">
        <v>24</v>
      </c>
      <c r="N1541" s="58"/>
    </row>
    <row r="1542" spans="1:14" x14ac:dyDescent="0.25">
      <c r="A1542" s="58" t="s">
        <v>213</v>
      </c>
      <c r="B1542" s="58" t="s">
        <v>377</v>
      </c>
      <c r="C1542" s="58" t="s">
        <v>379</v>
      </c>
      <c r="D1542" s="58" t="s">
        <v>378</v>
      </c>
      <c r="E1542" s="58">
        <v>3</v>
      </c>
      <c r="F1542" s="58">
        <v>6</v>
      </c>
      <c r="G1542" s="58">
        <v>150</v>
      </c>
      <c r="H1542" s="58">
        <v>10</v>
      </c>
      <c r="I1542" s="58"/>
      <c r="J1542" s="58"/>
      <c r="K1542" s="58"/>
      <c r="L1542" s="58"/>
      <c r="M1542" s="58">
        <v>24</v>
      </c>
      <c r="N1542" s="58"/>
    </row>
    <row r="1543" spans="1:14" x14ac:dyDescent="0.25">
      <c r="A1543" s="58" t="s">
        <v>213</v>
      </c>
      <c r="B1543" s="58" t="s">
        <v>377</v>
      </c>
      <c r="C1543" s="58" t="s">
        <v>379</v>
      </c>
      <c r="D1543" s="58" t="s">
        <v>378</v>
      </c>
      <c r="E1543" s="58">
        <v>3</v>
      </c>
      <c r="F1543" s="58">
        <v>6</v>
      </c>
      <c r="G1543" s="58">
        <v>160</v>
      </c>
      <c r="H1543" s="58">
        <v>10</v>
      </c>
      <c r="I1543" s="58"/>
      <c r="J1543" s="58"/>
      <c r="K1543" s="58"/>
      <c r="L1543" s="58"/>
      <c r="M1543" s="58">
        <v>24</v>
      </c>
      <c r="N1543" s="58"/>
    </row>
    <row r="1544" spans="1:14" x14ac:dyDescent="0.25">
      <c r="A1544" s="58" t="s">
        <v>213</v>
      </c>
      <c r="B1544" s="58" t="s">
        <v>377</v>
      </c>
      <c r="C1544" s="58" t="s">
        <v>379</v>
      </c>
      <c r="D1544" s="58" t="s">
        <v>378</v>
      </c>
      <c r="E1544" s="58">
        <v>3</v>
      </c>
      <c r="F1544" s="58">
        <v>6</v>
      </c>
      <c r="G1544" s="58">
        <v>170</v>
      </c>
      <c r="H1544" s="58">
        <v>10</v>
      </c>
      <c r="I1544" s="58"/>
      <c r="J1544" s="58"/>
      <c r="K1544" s="58"/>
      <c r="L1544" s="58"/>
      <c r="M1544" s="58">
        <v>24</v>
      </c>
      <c r="N1544" s="58"/>
    </row>
    <row r="1545" spans="1:14" x14ac:dyDescent="0.25">
      <c r="A1545" s="58" t="s">
        <v>213</v>
      </c>
      <c r="B1545" s="58" t="s">
        <v>377</v>
      </c>
      <c r="C1545" s="58" t="s">
        <v>379</v>
      </c>
      <c r="D1545" s="58" t="s">
        <v>378</v>
      </c>
      <c r="E1545" s="58">
        <v>3</v>
      </c>
      <c r="F1545" s="58">
        <v>6</v>
      </c>
      <c r="G1545" s="58">
        <v>180</v>
      </c>
      <c r="H1545" s="58">
        <v>10</v>
      </c>
      <c r="I1545" s="58"/>
      <c r="J1545" s="58"/>
      <c r="K1545" s="58"/>
      <c r="L1545" s="58"/>
      <c r="M1545" s="58">
        <v>24</v>
      </c>
      <c r="N1545" s="58"/>
    </row>
    <row r="1546" spans="1:14" x14ac:dyDescent="0.25">
      <c r="A1546" s="58" t="s">
        <v>213</v>
      </c>
      <c r="B1546" s="58" t="s">
        <v>377</v>
      </c>
      <c r="C1546" s="58" t="s">
        <v>379</v>
      </c>
      <c r="D1546" s="58" t="s">
        <v>378</v>
      </c>
      <c r="E1546" s="58">
        <v>3</v>
      </c>
      <c r="F1546" s="58">
        <v>6</v>
      </c>
      <c r="G1546" s="58">
        <v>200</v>
      </c>
      <c r="H1546" s="58">
        <v>10</v>
      </c>
      <c r="I1546" s="58"/>
      <c r="J1546" s="58"/>
      <c r="K1546" s="58"/>
      <c r="L1546" s="58"/>
      <c r="M1546" s="58">
        <v>24</v>
      </c>
      <c r="N1546" s="58"/>
    </row>
    <row r="1547" spans="1:14" x14ac:dyDescent="0.25">
      <c r="A1547" s="58" t="s">
        <v>213</v>
      </c>
      <c r="B1547" s="58" t="s">
        <v>377</v>
      </c>
      <c r="C1547" s="58" t="s">
        <v>379</v>
      </c>
      <c r="D1547" s="58" t="s">
        <v>378</v>
      </c>
      <c r="E1547" s="58">
        <v>3</v>
      </c>
      <c r="F1547" s="58">
        <v>8</v>
      </c>
      <c r="G1547" s="58">
        <v>30</v>
      </c>
      <c r="H1547" s="58">
        <v>10</v>
      </c>
      <c r="I1547" s="58"/>
      <c r="J1547" s="58"/>
      <c r="K1547" s="58"/>
      <c r="L1547" s="58"/>
      <c r="M1547" s="58">
        <v>22</v>
      </c>
      <c r="N1547" s="58"/>
    </row>
    <row r="1548" spans="1:14" x14ac:dyDescent="0.25">
      <c r="A1548" s="58" t="s">
        <v>213</v>
      </c>
      <c r="B1548" s="58" t="s">
        <v>377</v>
      </c>
      <c r="C1548" s="58" t="s">
        <v>379</v>
      </c>
      <c r="D1548" s="58" t="s">
        <v>378</v>
      </c>
      <c r="E1548" s="58">
        <v>3</v>
      </c>
      <c r="F1548" s="58">
        <v>8</v>
      </c>
      <c r="G1548" s="58">
        <v>35</v>
      </c>
      <c r="H1548" s="58">
        <v>10</v>
      </c>
      <c r="I1548" s="58"/>
      <c r="J1548" s="58"/>
      <c r="K1548" s="58"/>
      <c r="L1548" s="58"/>
      <c r="M1548" s="58">
        <v>22</v>
      </c>
      <c r="N1548" s="58"/>
    </row>
    <row r="1549" spans="1:14" x14ac:dyDescent="0.25">
      <c r="A1549" s="58" t="s">
        <v>213</v>
      </c>
      <c r="B1549" s="58" t="s">
        <v>377</v>
      </c>
      <c r="C1549" s="58" t="s">
        <v>379</v>
      </c>
      <c r="D1549" s="58" t="s">
        <v>378</v>
      </c>
      <c r="E1549" s="58">
        <v>3</v>
      </c>
      <c r="F1549" s="58">
        <v>8</v>
      </c>
      <c r="G1549" s="58">
        <v>40</v>
      </c>
      <c r="H1549" s="58">
        <v>10</v>
      </c>
      <c r="I1549" s="58"/>
      <c r="J1549" s="58"/>
      <c r="K1549" s="58"/>
      <c r="L1549" s="58"/>
      <c r="M1549" s="58">
        <v>22</v>
      </c>
      <c r="N1549" s="58"/>
    </row>
    <row r="1550" spans="1:14" x14ac:dyDescent="0.25">
      <c r="A1550" s="58" t="s">
        <v>213</v>
      </c>
      <c r="B1550" s="58" t="s">
        <v>377</v>
      </c>
      <c r="C1550" s="58" t="s">
        <v>379</v>
      </c>
      <c r="D1550" s="58" t="s">
        <v>378</v>
      </c>
      <c r="E1550" s="58">
        <v>3</v>
      </c>
      <c r="F1550" s="58">
        <v>8</v>
      </c>
      <c r="G1550" s="58">
        <v>45</v>
      </c>
      <c r="H1550" s="58">
        <v>10</v>
      </c>
      <c r="I1550" s="58"/>
      <c r="J1550" s="58"/>
      <c r="K1550" s="58"/>
      <c r="L1550" s="58"/>
      <c r="M1550" s="58">
        <v>22</v>
      </c>
      <c r="N1550" s="58"/>
    </row>
    <row r="1551" spans="1:14" x14ac:dyDescent="0.25">
      <c r="A1551" s="58" t="s">
        <v>213</v>
      </c>
      <c r="B1551" s="58" t="s">
        <v>377</v>
      </c>
      <c r="C1551" s="58" t="s">
        <v>379</v>
      </c>
      <c r="D1551" s="58" t="s">
        <v>378</v>
      </c>
      <c r="E1551" s="58">
        <v>3</v>
      </c>
      <c r="F1551" s="58">
        <v>8</v>
      </c>
      <c r="G1551" s="58">
        <v>50</v>
      </c>
      <c r="H1551" s="58">
        <v>10</v>
      </c>
      <c r="I1551" s="58"/>
      <c r="J1551" s="58"/>
      <c r="K1551" s="58"/>
      <c r="L1551" s="58"/>
      <c r="M1551" s="58">
        <v>22</v>
      </c>
      <c r="N1551" s="58"/>
    </row>
    <row r="1552" spans="1:14" x14ac:dyDescent="0.25">
      <c r="A1552" s="58" t="s">
        <v>213</v>
      </c>
      <c r="B1552" s="58" t="s">
        <v>377</v>
      </c>
      <c r="C1552" s="58" t="s">
        <v>379</v>
      </c>
      <c r="D1552" s="58" t="s">
        <v>378</v>
      </c>
      <c r="E1552" s="58">
        <v>3</v>
      </c>
      <c r="F1552" s="58">
        <v>8</v>
      </c>
      <c r="G1552" s="58">
        <v>55</v>
      </c>
      <c r="H1552" s="58">
        <v>10</v>
      </c>
      <c r="I1552" s="58"/>
      <c r="J1552" s="58"/>
      <c r="K1552" s="58"/>
      <c r="L1552" s="58"/>
      <c r="M1552" s="58">
        <v>22</v>
      </c>
      <c r="N1552" s="58"/>
    </row>
    <row r="1553" spans="1:14" x14ac:dyDescent="0.25">
      <c r="A1553" s="58" t="s">
        <v>213</v>
      </c>
      <c r="B1553" s="58" t="s">
        <v>377</v>
      </c>
      <c r="C1553" s="58" t="s">
        <v>379</v>
      </c>
      <c r="D1553" s="58" t="s">
        <v>378</v>
      </c>
      <c r="E1553" s="58">
        <v>3</v>
      </c>
      <c r="F1553" s="58">
        <v>8</v>
      </c>
      <c r="G1553" s="58">
        <v>60</v>
      </c>
      <c r="H1553" s="58">
        <v>10</v>
      </c>
      <c r="I1553" s="58"/>
      <c r="J1553" s="58"/>
      <c r="K1553" s="58"/>
      <c r="L1553" s="58"/>
      <c r="M1553" s="58">
        <v>22</v>
      </c>
      <c r="N1553" s="58"/>
    </row>
    <row r="1554" spans="1:14" x14ac:dyDescent="0.25">
      <c r="A1554" s="58" t="s">
        <v>213</v>
      </c>
      <c r="B1554" s="58" t="s">
        <v>377</v>
      </c>
      <c r="C1554" s="58" t="s">
        <v>379</v>
      </c>
      <c r="D1554" s="58" t="s">
        <v>378</v>
      </c>
      <c r="E1554" s="58">
        <v>3</v>
      </c>
      <c r="F1554" s="58">
        <v>8</v>
      </c>
      <c r="G1554" s="58">
        <v>65</v>
      </c>
      <c r="H1554" s="58">
        <v>10</v>
      </c>
      <c r="I1554" s="58"/>
      <c r="J1554" s="58"/>
      <c r="K1554" s="58"/>
      <c r="L1554" s="58"/>
      <c r="M1554" s="58">
        <v>22</v>
      </c>
      <c r="N1554" s="58"/>
    </row>
    <row r="1555" spans="1:14" x14ac:dyDescent="0.25">
      <c r="A1555" s="58" t="s">
        <v>213</v>
      </c>
      <c r="B1555" s="58" t="s">
        <v>377</v>
      </c>
      <c r="C1555" s="58" t="s">
        <v>379</v>
      </c>
      <c r="D1555" s="58" t="s">
        <v>378</v>
      </c>
      <c r="E1555" s="58">
        <v>3</v>
      </c>
      <c r="F1555" s="58">
        <v>8</v>
      </c>
      <c r="G1555" s="58">
        <v>70</v>
      </c>
      <c r="H1555" s="58">
        <v>10</v>
      </c>
      <c r="I1555" s="58"/>
      <c r="J1555" s="58"/>
      <c r="K1555" s="58"/>
      <c r="L1555" s="58"/>
      <c r="M1555" s="58">
        <v>22</v>
      </c>
      <c r="N1555" s="58"/>
    </row>
    <row r="1556" spans="1:14" x14ac:dyDescent="0.25">
      <c r="A1556" s="58" t="s">
        <v>213</v>
      </c>
      <c r="B1556" s="58" t="s">
        <v>377</v>
      </c>
      <c r="C1556" s="58" t="s">
        <v>379</v>
      </c>
      <c r="D1556" s="58" t="s">
        <v>378</v>
      </c>
      <c r="E1556" s="58">
        <v>3</v>
      </c>
      <c r="F1556" s="58">
        <v>8</v>
      </c>
      <c r="G1556" s="58">
        <v>75</v>
      </c>
      <c r="H1556" s="58">
        <v>10</v>
      </c>
      <c r="I1556" s="58"/>
      <c r="J1556" s="58"/>
      <c r="K1556" s="58"/>
      <c r="L1556" s="58"/>
      <c r="M1556" s="58">
        <v>22</v>
      </c>
      <c r="N1556" s="58"/>
    </row>
    <row r="1557" spans="1:14" x14ac:dyDescent="0.25">
      <c r="A1557" s="58" t="s">
        <v>213</v>
      </c>
      <c r="B1557" s="58" t="s">
        <v>377</v>
      </c>
      <c r="C1557" s="58" t="s">
        <v>379</v>
      </c>
      <c r="D1557" s="58" t="s">
        <v>378</v>
      </c>
      <c r="E1557" s="58">
        <v>3</v>
      </c>
      <c r="F1557" s="58">
        <v>8</v>
      </c>
      <c r="G1557" s="58">
        <v>80</v>
      </c>
      <c r="H1557" s="58">
        <v>10</v>
      </c>
      <c r="I1557" s="58"/>
      <c r="J1557" s="58"/>
      <c r="K1557" s="58"/>
      <c r="L1557" s="58"/>
      <c r="M1557" s="58">
        <v>22</v>
      </c>
      <c r="N1557" s="58"/>
    </row>
    <row r="1558" spans="1:14" x14ac:dyDescent="0.25">
      <c r="A1558" s="58" t="s">
        <v>213</v>
      </c>
      <c r="B1558" s="58" t="s">
        <v>377</v>
      </c>
      <c r="C1558" s="58" t="s">
        <v>379</v>
      </c>
      <c r="D1558" s="58" t="s">
        <v>378</v>
      </c>
      <c r="E1558" s="58">
        <v>3</v>
      </c>
      <c r="F1558" s="58">
        <v>8</v>
      </c>
      <c r="G1558" s="58">
        <v>85</v>
      </c>
      <c r="H1558" s="58">
        <v>10</v>
      </c>
      <c r="I1558" s="58"/>
      <c r="J1558" s="58"/>
      <c r="K1558" s="58"/>
      <c r="L1558" s="58"/>
      <c r="M1558" s="58">
        <v>22</v>
      </c>
      <c r="N1558" s="58"/>
    </row>
    <row r="1559" spans="1:14" x14ac:dyDescent="0.25">
      <c r="A1559" s="58" t="s">
        <v>213</v>
      </c>
      <c r="B1559" s="58" t="s">
        <v>377</v>
      </c>
      <c r="C1559" s="58" t="s">
        <v>379</v>
      </c>
      <c r="D1559" s="58" t="s">
        <v>378</v>
      </c>
      <c r="E1559" s="58">
        <v>3</v>
      </c>
      <c r="F1559" s="58">
        <v>8</v>
      </c>
      <c r="G1559" s="58">
        <v>90</v>
      </c>
      <c r="H1559" s="58">
        <v>10</v>
      </c>
      <c r="I1559" s="58"/>
      <c r="J1559" s="58"/>
      <c r="K1559" s="58"/>
      <c r="L1559" s="58"/>
      <c r="M1559" s="58">
        <v>22</v>
      </c>
      <c r="N1559" s="58"/>
    </row>
    <row r="1560" spans="1:14" x14ac:dyDescent="0.25">
      <c r="A1560" s="58" t="s">
        <v>213</v>
      </c>
      <c r="B1560" s="58" t="s">
        <v>377</v>
      </c>
      <c r="C1560" s="58" t="s">
        <v>379</v>
      </c>
      <c r="D1560" s="58" t="s">
        <v>378</v>
      </c>
      <c r="E1560" s="58">
        <v>3</v>
      </c>
      <c r="F1560" s="58">
        <v>8</v>
      </c>
      <c r="G1560" s="58">
        <v>95</v>
      </c>
      <c r="H1560" s="58">
        <v>10</v>
      </c>
      <c r="I1560" s="58"/>
      <c r="J1560" s="58"/>
      <c r="K1560" s="58"/>
      <c r="L1560" s="58"/>
      <c r="M1560" s="58">
        <v>22</v>
      </c>
      <c r="N1560" s="58"/>
    </row>
    <row r="1561" spans="1:14" x14ac:dyDescent="0.25">
      <c r="A1561" s="58" t="s">
        <v>213</v>
      </c>
      <c r="B1561" s="58" t="s">
        <v>377</v>
      </c>
      <c r="C1561" s="58" t="s">
        <v>379</v>
      </c>
      <c r="D1561" s="58" t="s">
        <v>378</v>
      </c>
      <c r="E1561" s="58">
        <v>3</v>
      </c>
      <c r="F1561" s="58">
        <v>8</v>
      </c>
      <c r="G1561" s="58">
        <v>100</v>
      </c>
      <c r="H1561" s="58">
        <v>13</v>
      </c>
      <c r="I1561" s="58"/>
      <c r="J1561" s="58"/>
      <c r="K1561" s="58"/>
      <c r="L1561" s="58"/>
      <c r="M1561" s="58">
        <v>22</v>
      </c>
      <c r="N1561" s="58"/>
    </row>
    <row r="1562" spans="1:14" x14ac:dyDescent="0.25">
      <c r="A1562" s="58" t="s">
        <v>213</v>
      </c>
      <c r="B1562" s="58" t="s">
        <v>377</v>
      </c>
      <c r="C1562" s="58" t="s">
        <v>379</v>
      </c>
      <c r="D1562" s="58" t="s">
        <v>378</v>
      </c>
      <c r="E1562" s="58">
        <v>3</v>
      </c>
      <c r="F1562" s="58">
        <v>8</v>
      </c>
      <c r="G1562" s="58">
        <v>110</v>
      </c>
      <c r="H1562" s="58">
        <v>13</v>
      </c>
      <c r="I1562" s="58"/>
      <c r="J1562" s="58"/>
      <c r="K1562" s="58"/>
      <c r="L1562" s="58"/>
      <c r="M1562" s="58">
        <v>22</v>
      </c>
      <c r="N1562" s="58"/>
    </row>
    <row r="1563" spans="1:14" x14ac:dyDescent="0.25">
      <c r="A1563" s="58" t="s">
        <v>213</v>
      </c>
      <c r="B1563" s="58" t="s">
        <v>377</v>
      </c>
      <c r="C1563" s="58" t="s">
        <v>379</v>
      </c>
      <c r="D1563" s="58" t="s">
        <v>378</v>
      </c>
      <c r="E1563" s="58">
        <v>3</v>
      </c>
      <c r="F1563" s="58">
        <v>8</v>
      </c>
      <c r="G1563" s="58">
        <v>120</v>
      </c>
      <c r="H1563" s="58">
        <v>13</v>
      </c>
      <c r="I1563" s="58"/>
      <c r="J1563" s="58"/>
      <c r="K1563" s="58"/>
      <c r="L1563" s="58"/>
      <c r="M1563" s="58">
        <v>22</v>
      </c>
      <c r="N1563" s="58"/>
    </row>
    <row r="1564" spans="1:14" x14ac:dyDescent="0.25">
      <c r="A1564" s="58" t="s">
        <v>213</v>
      </c>
      <c r="B1564" s="58" t="s">
        <v>377</v>
      </c>
      <c r="C1564" s="58" t="s">
        <v>379</v>
      </c>
      <c r="D1564" s="58" t="s">
        <v>378</v>
      </c>
      <c r="E1564" s="58">
        <v>3</v>
      </c>
      <c r="F1564" s="58">
        <v>8</v>
      </c>
      <c r="G1564" s="58">
        <v>130</v>
      </c>
      <c r="H1564" s="58">
        <v>13</v>
      </c>
      <c r="I1564" s="58"/>
      <c r="J1564" s="58"/>
      <c r="K1564" s="58"/>
      <c r="L1564" s="58"/>
      <c r="M1564" s="58">
        <v>28</v>
      </c>
      <c r="N1564" s="58"/>
    </row>
    <row r="1565" spans="1:14" x14ac:dyDescent="0.25">
      <c r="A1565" s="58" t="s">
        <v>213</v>
      </c>
      <c r="B1565" s="58" t="s">
        <v>377</v>
      </c>
      <c r="C1565" s="58" t="s">
        <v>379</v>
      </c>
      <c r="D1565" s="58" t="s">
        <v>378</v>
      </c>
      <c r="E1565" s="58">
        <v>3</v>
      </c>
      <c r="F1565" s="58">
        <v>8</v>
      </c>
      <c r="G1565" s="58">
        <v>140</v>
      </c>
      <c r="H1565" s="58">
        <v>13</v>
      </c>
      <c r="I1565" s="58"/>
      <c r="J1565" s="58"/>
      <c r="K1565" s="58"/>
      <c r="L1565" s="58"/>
      <c r="M1565" s="58">
        <v>28</v>
      </c>
      <c r="N1565" s="58"/>
    </row>
    <row r="1566" spans="1:14" x14ac:dyDescent="0.25">
      <c r="A1566" s="58" t="s">
        <v>213</v>
      </c>
      <c r="B1566" s="58" t="s">
        <v>377</v>
      </c>
      <c r="C1566" s="58" t="s">
        <v>379</v>
      </c>
      <c r="D1566" s="58" t="s">
        <v>378</v>
      </c>
      <c r="E1566" s="58">
        <v>3</v>
      </c>
      <c r="F1566" s="58">
        <v>8</v>
      </c>
      <c r="G1566" s="58">
        <v>150</v>
      </c>
      <c r="H1566" s="58">
        <v>13</v>
      </c>
      <c r="I1566" s="58"/>
      <c r="J1566" s="58"/>
      <c r="K1566" s="58"/>
      <c r="L1566" s="58"/>
      <c r="M1566" s="58">
        <v>28</v>
      </c>
      <c r="N1566" s="58"/>
    </row>
    <row r="1567" spans="1:14" x14ac:dyDescent="0.25">
      <c r="A1567" s="58" t="s">
        <v>213</v>
      </c>
      <c r="B1567" s="58" t="s">
        <v>377</v>
      </c>
      <c r="C1567" s="58" t="s">
        <v>379</v>
      </c>
      <c r="D1567" s="58" t="s">
        <v>378</v>
      </c>
      <c r="E1567" s="58">
        <v>3</v>
      </c>
      <c r="F1567" s="58">
        <v>8</v>
      </c>
      <c r="G1567" s="58">
        <v>160</v>
      </c>
      <c r="H1567" s="58">
        <v>13</v>
      </c>
      <c r="I1567" s="58"/>
      <c r="J1567" s="58"/>
      <c r="K1567" s="58"/>
      <c r="L1567" s="58"/>
      <c r="M1567" s="58">
        <v>28</v>
      </c>
      <c r="N1567" s="58"/>
    </row>
    <row r="1568" spans="1:14" x14ac:dyDescent="0.25">
      <c r="A1568" s="58" t="s">
        <v>213</v>
      </c>
      <c r="B1568" s="58" t="s">
        <v>377</v>
      </c>
      <c r="C1568" s="58" t="s">
        <v>379</v>
      </c>
      <c r="D1568" s="58" t="s">
        <v>378</v>
      </c>
      <c r="E1568" s="58">
        <v>3</v>
      </c>
      <c r="F1568" s="58">
        <v>8</v>
      </c>
      <c r="G1568" s="58">
        <v>170</v>
      </c>
      <c r="H1568" s="58">
        <v>13</v>
      </c>
      <c r="I1568" s="58"/>
      <c r="J1568" s="58"/>
      <c r="K1568" s="58"/>
      <c r="L1568" s="58"/>
      <c r="M1568" s="58">
        <v>28</v>
      </c>
      <c r="N1568" s="58"/>
    </row>
    <row r="1569" spans="1:14" x14ac:dyDescent="0.25">
      <c r="A1569" s="58" t="s">
        <v>213</v>
      </c>
      <c r="B1569" s="58" t="s">
        <v>377</v>
      </c>
      <c r="C1569" s="58" t="s">
        <v>379</v>
      </c>
      <c r="D1569" s="58" t="s">
        <v>378</v>
      </c>
      <c r="E1569" s="58">
        <v>3</v>
      </c>
      <c r="F1569" s="58">
        <v>8</v>
      </c>
      <c r="G1569" s="58">
        <v>180</v>
      </c>
      <c r="H1569" s="58">
        <v>13</v>
      </c>
      <c r="I1569" s="58"/>
      <c r="J1569" s="58"/>
      <c r="K1569" s="58"/>
      <c r="L1569" s="58"/>
      <c r="M1569" s="58">
        <v>28</v>
      </c>
      <c r="N1569" s="58"/>
    </row>
    <row r="1570" spans="1:14" x14ac:dyDescent="0.25">
      <c r="A1570" s="58" t="s">
        <v>213</v>
      </c>
      <c r="B1570" s="58" t="s">
        <v>377</v>
      </c>
      <c r="C1570" s="58" t="s">
        <v>379</v>
      </c>
      <c r="D1570" s="58" t="s">
        <v>378</v>
      </c>
      <c r="E1570" s="58">
        <v>3</v>
      </c>
      <c r="F1570" s="58">
        <v>8</v>
      </c>
      <c r="G1570" s="58">
        <v>190</v>
      </c>
      <c r="H1570" s="58">
        <v>13</v>
      </c>
      <c r="I1570" s="58"/>
      <c r="J1570" s="58"/>
      <c r="K1570" s="58"/>
      <c r="L1570" s="58"/>
      <c r="M1570" s="58">
        <v>28</v>
      </c>
      <c r="N1570" s="58"/>
    </row>
    <row r="1571" spans="1:14" x14ac:dyDescent="0.25">
      <c r="A1571" s="58" t="s">
        <v>213</v>
      </c>
      <c r="B1571" s="58" t="s">
        <v>377</v>
      </c>
      <c r="C1571" s="58" t="s">
        <v>379</v>
      </c>
      <c r="D1571" s="58" t="s">
        <v>378</v>
      </c>
      <c r="E1571" s="58">
        <v>3</v>
      </c>
      <c r="F1571" s="58">
        <v>8</v>
      </c>
      <c r="G1571" s="58">
        <v>200</v>
      </c>
      <c r="H1571" s="58">
        <v>13</v>
      </c>
      <c r="I1571" s="58"/>
      <c r="J1571" s="58"/>
      <c r="K1571" s="58"/>
      <c r="L1571" s="58"/>
      <c r="M1571" s="58">
        <v>28</v>
      </c>
      <c r="N1571" s="58"/>
    </row>
    <row r="1572" spans="1:14" x14ac:dyDescent="0.25">
      <c r="A1572" s="58" t="s">
        <v>213</v>
      </c>
      <c r="B1572" s="58" t="s">
        <v>377</v>
      </c>
      <c r="C1572" s="58" t="s">
        <v>379</v>
      </c>
      <c r="D1572" s="58" t="s">
        <v>378</v>
      </c>
      <c r="E1572" s="58">
        <v>3</v>
      </c>
      <c r="F1572" s="58">
        <v>8</v>
      </c>
      <c r="G1572" s="58">
        <v>210</v>
      </c>
      <c r="H1572" s="58">
        <v>13</v>
      </c>
      <c r="I1572" s="58"/>
      <c r="J1572" s="58"/>
      <c r="K1572" s="58"/>
      <c r="L1572" s="58"/>
      <c r="M1572" s="58">
        <v>28</v>
      </c>
      <c r="N1572" s="58"/>
    </row>
    <row r="1573" spans="1:14" x14ac:dyDescent="0.25">
      <c r="A1573" s="58" t="s">
        <v>213</v>
      </c>
      <c r="B1573" s="58" t="s">
        <v>377</v>
      </c>
      <c r="C1573" s="58" t="s">
        <v>379</v>
      </c>
      <c r="D1573" s="58" t="s">
        <v>378</v>
      </c>
      <c r="E1573" s="58">
        <v>3</v>
      </c>
      <c r="F1573" s="58">
        <v>8</v>
      </c>
      <c r="G1573" s="58">
        <v>220</v>
      </c>
      <c r="H1573" s="58">
        <v>13</v>
      </c>
      <c r="I1573" s="58"/>
      <c r="J1573" s="58"/>
      <c r="K1573" s="58"/>
      <c r="L1573" s="58"/>
      <c r="M1573" s="58">
        <v>28</v>
      </c>
      <c r="N1573" s="58"/>
    </row>
    <row r="1574" spans="1:14" x14ac:dyDescent="0.25">
      <c r="A1574" s="58" t="s">
        <v>213</v>
      </c>
      <c r="B1574" s="58" t="s">
        <v>377</v>
      </c>
      <c r="C1574" s="58" t="s">
        <v>379</v>
      </c>
      <c r="D1574" s="58" t="s">
        <v>378</v>
      </c>
      <c r="E1574" s="58">
        <v>3</v>
      </c>
      <c r="F1574" s="58">
        <v>10</v>
      </c>
      <c r="G1574" s="58">
        <v>40</v>
      </c>
      <c r="H1574" s="58">
        <v>13</v>
      </c>
      <c r="I1574" s="58"/>
      <c r="J1574" s="58"/>
      <c r="K1574" s="58"/>
      <c r="L1574" s="58"/>
      <c r="M1574" s="58">
        <v>26</v>
      </c>
      <c r="N1574" s="58"/>
    </row>
    <row r="1575" spans="1:14" x14ac:dyDescent="0.25">
      <c r="A1575" s="58" t="s">
        <v>213</v>
      </c>
      <c r="B1575" s="58" t="s">
        <v>377</v>
      </c>
      <c r="C1575" s="58" t="s">
        <v>379</v>
      </c>
      <c r="D1575" s="58" t="s">
        <v>378</v>
      </c>
      <c r="E1575" s="58">
        <v>3</v>
      </c>
      <c r="F1575" s="58">
        <v>10</v>
      </c>
      <c r="G1575" s="58">
        <v>45</v>
      </c>
      <c r="H1575" s="58">
        <v>13</v>
      </c>
      <c r="I1575" s="58"/>
      <c r="J1575" s="58"/>
      <c r="K1575" s="58"/>
      <c r="L1575" s="58"/>
      <c r="M1575" s="58">
        <v>26</v>
      </c>
      <c r="N1575" s="58"/>
    </row>
    <row r="1576" spans="1:14" x14ac:dyDescent="0.25">
      <c r="A1576" s="58" t="s">
        <v>213</v>
      </c>
      <c r="B1576" s="58" t="s">
        <v>377</v>
      </c>
      <c r="C1576" s="58" t="s">
        <v>379</v>
      </c>
      <c r="D1576" s="58" t="s">
        <v>378</v>
      </c>
      <c r="E1576" s="58">
        <v>3</v>
      </c>
      <c r="F1576" s="58">
        <v>10</v>
      </c>
      <c r="G1576" s="58">
        <v>50</v>
      </c>
      <c r="H1576" s="58">
        <v>13</v>
      </c>
      <c r="I1576" s="58"/>
      <c r="J1576" s="58"/>
      <c r="K1576" s="58"/>
      <c r="L1576" s="58"/>
      <c r="M1576" s="58">
        <v>26</v>
      </c>
      <c r="N1576" s="58"/>
    </row>
    <row r="1577" spans="1:14" x14ac:dyDescent="0.25">
      <c r="A1577" s="58" t="s">
        <v>213</v>
      </c>
      <c r="B1577" s="58" t="s">
        <v>377</v>
      </c>
      <c r="C1577" s="58" t="s">
        <v>379</v>
      </c>
      <c r="D1577" s="58" t="s">
        <v>378</v>
      </c>
      <c r="E1577" s="58">
        <v>3</v>
      </c>
      <c r="F1577" s="58">
        <v>10</v>
      </c>
      <c r="G1577" s="58">
        <v>55</v>
      </c>
      <c r="H1577" s="58">
        <v>13</v>
      </c>
      <c r="I1577" s="58"/>
      <c r="J1577" s="58"/>
      <c r="K1577" s="58"/>
      <c r="L1577" s="58"/>
      <c r="M1577" s="58">
        <v>26</v>
      </c>
      <c r="N1577" s="58"/>
    </row>
    <row r="1578" spans="1:14" x14ac:dyDescent="0.25">
      <c r="A1578" s="58" t="s">
        <v>213</v>
      </c>
      <c r="B1578" s="58" t="s">
        <v>377</v>
      </c>
      <c r="C1578" s="58" t="s">
        <v>379</v>
      </c>
      <c r="D1578" s="58" t="s">
        <v>378</v>
      </c>
      <c r="E1578" s="58">
        <v>3</v>
      </c>
      <c r="F1578" s="58">
        <v>10</v>
      </c>
      <c r="G1578" s="58">
        <v>60</v>
      </c>
      <c r="H1578" s="58">
        <v>13</v>
      </c>
      <c r="I1578" s="58"/>
      <c r="J1578" s="58"/>
      <c r="K1578" s="58"/>
      <c r="L1578" s="58"/>
      <c r="M1578" s="58">
        <v>26</v>
      </c>
      <c r="N1578" s="58"/>
    </row>
    <row r="1579" spans="1:14" x14ac:dyDescent="0.25">
      <c r="A1579" s="58" t="s">
        <v>213</v>
      </c>
      <c r="B1579" s="58" t="s">
        <v>377</v>
      </c>
      <c r="C1579" s="58" t="s">
        <v>379</v>
      </c>
      <c r="D1579" s="58" t="s">
        <v>378</v>
      </c>
      <c r="E1579" s="58">
        <v>3</v>
      </c>
      <c r="F1579" s="58">
        <v>10</v>
      </c>
      <c r="G1579" s="58">
        <v>65</v>
      </c>
      <c r="H1579" s="58">
        <v>13</v>
      </c>
      <c r="I1579" s="58"/>
      <c r="J1579" s="58"/>
      <c r="K1579" s="58"/>
      <c r="L1579" s="58"/>
      <c r="M1579" s="58">
        <v>26</v>
      </c>
      <c r="N1579" s="58"/>
    </row>
    <row r="1580" spans="1:14" x14ac:dyDescent="0.25">
      <c r="A1580" s="58" t="s">
        <v>213</v>
      </c>
      <c r="B1580" s="58" t="s">
        <v>377</v>
      </c>
      <c r="C1580" s="58" t="s">
        <v>379</v>
      </c>
      <c r="D1580" s="58" t="s">
        <v>378</v>
      </c>
      <c r="E1580" s="58">
        <v>3</v>
      </c>
      <c r="F1580" s="58">
        <v>10</v>
      </c>
      <c r="G1580" s="58">
        <v>70</v>
      </c>
      <c r="H1580" s="58">
        <v>13</v>
      </c>
      <c r="I1580" s="58"/>
      <c r="J1580" s="58"/>
      <c r="K1580" s="58"/>
      <c r="L1580" s="58"/>
      <c r="M1580" s="58">
        <v>26</v>
      </c>
      <c r="N1580" s="58"/>
    </row>
    <row r="1581" spans="1:14" x14ac:dyDescent="0.25">
      <c r="A1581" s="58" t="s">
        <v>213</v>
      </c>
      <c r="B1581" s="58" t="s">
        <v>377</v>
      </c>
      <c r="C1581" s="58" t="s">
        <v>379</v>
      </c>
      <c r="D1581" s="58" t="s">
        <v>378</v>
      </c>
      <c r="E1581" s="58">
        <v>3</v>
      </c>
      <c r="F1581" s="58">
        <v>10</v>
      </c>
      <c r="G1581" s="58">
        <v>75</v>
      </c>
      <c r="H1581" s="58">
        <v>13</v>
      </c>
      <c r="I1581" s="58"/>
      <c r="J1581" s="58"/>
      <c r="K1581" s="58"/>
      <c r="L1581" s="58"/>
      <c r="M1581" s="58">
        <v>26</v>
      </c>
      <c r="N1581" s="58"/>
    </row>
    <row r="1582" spans="1:14" x14ac:dyDescent="0.25">
      <c r="A1582" s="58" t="s">
        <v>213</v>
      </c>
      <c r="B1582" s="58" t="s">
        <v>377</v>
      </c>
      <c r="C1582" s="58" t="s">
        <v>379</v>
      </c>
      <c r="D1582" s="58" t="s">
        <v>378</v>
      </c>
      <c r="E1582" s="58">
        <v>3</v>
      </c>
      <c r="F1582" s="58">
        <v>10</v>
      </c>
      <c r="G1582" s="58">
        <v>80</v>
      </c>
      <c r="H1582" s="58">
        <v>13</v>
      </c>
      <c r="I1582" s="58"/>
      <c r="J1582" s="58"/>
      <c r="K1582" s="58"/>
      <c r="L1582" s="58"/>
      <c r="M1582" s="58">
        <v>26</v>
      </c>
      <c r="N1582" s="58"/>
    </row>
    <row r="1583" spans="1:14" x14ac:dyDescent="0.25">
      <c r="A1583" s="58" t="s">
        <v>213</v>
      </c>
      <c r="B1583" s="58" t="s">
        <v>377</v>
      </c>
      <c r="C1583" s="58" t="s">
        <v>379</v>
      </c>
      <c r="D1583" s="58" t="s">
        <v>378</v>
      </c>
      <c r="E1583" s="58">
        <v>3</v>
      </c>
      <c r="F1583" s="58">
        <v>10</v>
      </c>
      <c r="G1583" s="58">
        <v>85</v>
      </c>
      <c r="H1583" s="58">
        <v>13</v>
      </c>
      <c r="I1583" s="58"/>
      <c r="J1583" s="58"/>
      <c r="K1583" s="58"/>
      <c r="L1583" s="58"/>
      <c r="M1583" s="58">
        <v>26</v>
      </c>
      <c r="N1583" s="58"/>
    </row>
    <row r="1584" spans="1:14" x14ac:dyDescent="0.25">
      <c r="A1584" s="58" t="s">
        <v>213</v>
      </c>
      <c r="B1584" s="58" t="s">
        <v>377</v>
      </c>
      <c r="C1584" s="58" t="s">
        <v>379</v>
      </c>
      <c r="D1584" s="58" t="s">
        <v>378</v>
      </c>
      <c r="E1584" s="58">
        <v>3</v>
      </c>
      <c r="F1584" s="58">
        <v>10</v>
      </c>
      <c r="G1584" s="58">
        <v>90</v>
      </c>
      <c r="H1584" s="58">
        <v>13</v>
      </c>
      <c r="I1584" s="58"/>
      <c r="J1584" s="58"/>
      <c r="K1584" s="58"/>
      <c r="L1584" s="58"/>
      <c r="M1584" s="58">
        <v>26</v>
      </c>
      <c r="N1584" s="58"/>
    </row>
    <row r="1585" spans="1:14" x14ac:dyDescent="0.25">
      <c r="A1585" s="58" t="s">
        <v>213</v>
      </c>
      <c r="B1585" s="58" t="s">
        <v>377</v>
      </c>
      <c r="C1585" s="58" t="s">
        <v>379</v>
      </c>
      <c r="D1585" s="58" t="s">
        <v>378</v>
      </c>
      <c r="E1585" s="58">
        <v>3</v>
      </c>
      <c r="F1585" s="58">
        <v>10</v>
      </c>
      <c r="G1585" s="58">
        <v>95</v>
      </c>
      <c r="H1585" s="58">
        <v>13</v>
      </c>
      <c r="I1585" s="58"/>
      <c r="J1585" s="58"/>
      <c r="K1585" s="58"/>
      <c r="L1585" s="58"/>
      <c r="M1585" s="58">
        <v>26</v>
      </c>
      <c r="N1585" s="58"/>
    </row>
    <row r="1586" spans="1:14" x14ac:dyDescent="0.25">
      <c r="A1586" s="58" t="s">
        <v>213</v>
      </c>
      <c r="B1586" s="58" t="s">
        <v>377</v>
      </c>
      <c r="C1586" s="58" t="s">
        <v>379</v>
      </c>
      <c r="D1586" s="58" t="s">
        <v>378</v>
      </c>
      <c r="E1586" s="58">
        <v>3</v>
      </c>
      <c r="F1586" s="58">
        <v>10</v>
      </c>
      <c r="G1586" s="58">
        <v>100</v>
      </c>
      <c r="H1586" s="58">
        <v>16</v>
      </c>
      <c r="I1586" s="58"/>
      <c r="J1586" s="58"/>
      <c r="K1586" s="58"/>
      <c r="L1586" s="58"/>
      <c r="M1586" s="58">
        <v>26</v>
      </c>
      <c r="N1586" s="58"/>
    </row>
    <row r="1587" spans="1:14" x14ac:dyDescent="0.25">
      <c r="A1587" s="58" t="s">
        <v>213</v>
      </c>
      <c r="B1587" s="58" t="s">
        <v>377</v>
      </c>
      <c r="C1587" s="58" t="s">
        <v>379</v>
      </c>
      <c r="D1587" s="58" t="s">
        <v>378</v>
      </c>
      <c r="E1587" s="58">
        <v>3</v>
      </c>
      <c r="F1587" s="58">
        <v>10</v>
      </c>
      <c r="G1587" s="58">
        <v>105</v>
      </c>
      <c r="H1587" s="58">
        <v>16</v>
      </c>
      <c r="I1587" s="58"/>
      <c r="J1587" s="58"/>
      <c r="K1587" s="58"/>
      <c r="L1587" s="58"/>
      <c r="M1587" s="58">
        <v>26</v>
      </c>
      <c r="N1587" s="58"/>
    </row>
    <row r="1588" spans="1:14" x14ac:dyDescent="0.25">
      <c r="A1588" s="58" t="s">
        <v>213</v>
      </c>
      <c r="B1588" s="58" t="s">
        <v>377</v>
      </c>
      <c r="C1588" s="58" t="s">
        <v>379</v>
      </c>
      <c r="D1588" s="58" t="s">
        <v>378</v>
      </c>
      <c r="E1588" s="58">
        <v>3</v>
      </c>
      <c r="F1588" s="58">
        <v>10</v>
      </c>
      <c r="G1588" s="58">
        <v>110</v>
      </c>
      <c r="H1588" s="58">
        <v>16</v>
      </c>
      <c r="I1588" s="58"/>
      <c r="J1588" s="58"/>
      <c r="K1588" s="58"/>
      <c r="L1588" s="58"/>
      <c r="M1588" s="58">
        <v>26</v>
      </c>
      <c r="N1588" s="58"/>
    </row>
    <row r="1589" spans="1:14" x14ac:dyDescent="0.25">
      <c r="A1589" s="58" t="s">
        <v>213</v>
      </c>
      <c r="B1589" s="58" t="s">
        <v>377</v>
      </c>
      <c r="C1589" s="58" t="s">
        <v>379</v>
      </c>
      <c r="D1589" s="58" t="s">
        <v>378</v>
      </c>
      <c r="E1589" s="58">
        <v>3</v>
      </c>
      <c r="F1589" s="58">
        <v>10</v>
      </c>
      <c r="G1589" s="58">
        <v>115</v>
      </c>
      <c r="H1589" s="58">
        <v>16</v>
      </c>
      <c r="I1589" s="58"/>
      <c r="J1589" s="58"/>
      <c r="K1589" s="58"/>
      <c r="L1589" s="58"/>
      <c r="M1589" s="58">
        <v>26</v>
      </c>
      <c r="N1589" s="58"/>
    </row>
    <row r="1590" spans="1:14" x14ac:dyDescent="0.25">
      <c r="A1590" s="58" t="s">
        <v>213</v>
      </c>
      <c r="B1590" s="58" t="s">
        <v>377</v>
      </c>
      <c r="C1590" s="58" t="s">
        <v>379</v>
      </c>
      <c r="D1590" s="58" t="s">
        <v>378</v>
      </c>
      <c r="E1590" s="58">
        <v>3</v>
      </c>
      <c r="F1590" s="58">
        <v>10</v>
      </c>
      <c r="G1590" s="58">
        <v>120</v>
      </c>
      <c r="H1590" s="58">
        <v>16</v>
      </c>
      <c r="I1590" s="58"/>
      <c r="J1590" s="58"/>
      <c r="K1590" s="58"/>
      <c r="L1590" s="58"/>
      <c r="M1590" s="58">
        <v>26</v>
      </c>
      <c r="N1590" s="58"/>
    </row>
    <row r="1591" spans="1:14" x14ac:dyDescent="0.25">
      <c r="A1591" s="58" t="s">
        <v>213</v>
      </c>
      <c r="B1591" s="58" t="s">
        <v>377</v>
      </c>
      <c r="C1591" s="58" t="s">
        <v>379</v>
      </c>
      <c r="D1591" s="58" t="s">
        <v>378</v>
      </c>
      <c r="E1591" s="58">
        <v>3</v>
      </c>
      <c r="F1591" s="58">
        <v>10</v>
      </c>
      <c r="G1591" s="58">
        <v>130</v>
      </c>
      <c r="H1591" s="58">
        <v>16</v>
      </c>
      <c r="I1591" s="58"/>
      <c r="J1591" s="58"/>
      <c r="K1591" s="58"/>
      <c r="L1591" s="58"/>
      <c r="M1591" s="58">
        <v>32</v>
      </c>
      <c r="N1591" s="58"/>
    </row>
    <row r="1592" spans="1:14" x14ac:dyDescent="0.25">
      <c r="A1592" s="58" t="s">
        <v>213</v>
      </c>
      <c r="B1592" s="58" t="s">
        <v>377</v>
      </c>
      <c r="C1592" s="58" t="s">
        <v>379</v>
      </c>
      <c r="D1592" s="58" t="s">
        <v>378</v>
      </c>
      <c r="E1592" s="58">
        <v>3</v>
      </c>
      <c r="F1592" s="58">
        <v>10</v>
      </c>
      <c r="G1592" s="58">
        <v>140</v>
      </c>
      <c r="H1592" s="58">
        <v>16</v>
      </c>
      <c r="I1592" s="58"/>
      <c r="J1592" s="58"/>
      <c r="K1592" s="58"/>
      <c r="L1592" s="58"/>
      <c r="M1592" s="58">
        <v>32</v>
      </c>
      <c r="N1592" s="58"/>
    </row>
    <row r="1593" spans="1:14" x14ac:dyDescent="0.25">
      <c r="A1593" s="58" t="s">
        <v>213</v>
      </c>
      <c r="B1593" s="58" t="s">
        <v>377</v>
      </c>
      <c r="C1593" s="58" t="s">
        <v>379</v>
      </c>
      <c r="D1593" s="58" t="s">
        <v>378</v>
      </c>
      <c r="E1593" s="58">
        <v>3</v>
      </c>
      <c r="F1593" s="58">
        <v>10</v>
      </c>
      <c r="G1593" s="58">
        <v>150</v>
      </c>
      <c r="H1593" s="58">
        <v>16</v>
      </c>
      <c r="I1593" s="58"/>
      <c r="J1593" s="58"/>
      <c r="K1593" s="58"/>
      <c r="L1593" s="58"/>
      <c r="M1593" s="58">
        <v>32</v>
      </c>
      <c r="N1593" s="58"/>
    </row>
    <row r="1594" spans="1:14" x14ac:dyDescent="0.25">
      <c r="A1594" s="58" t="s">
        <v>213</v>
      </c>
      <c r="B1594" s="58" t="s">
        <v>377</v>
      </c>
      <c r="C1594" s="58" t="s">
        <v>379</v>
      </c>
      <c r="D1594" s="58" t="s">
        <v>378</v>
      </c>
      <c r="E1594" s="58">
        <v>3</v>
      </c>
      <c r="F1594" s="58">
        <v>10</v>
      </c>
      <c r="G1594" s="58">
        <v>160</v>
      </c>
      <c r="H1594" s="58">
        <v>16</v>
      </c>
      <c r="I1594" s="58"/>
      <c r="J1594" s="58"/>
      <c r="K1594" s="58"/>
      <c r="L1594" s="58"/>
      <c r="M1594" s="58">
        <v>32</v>
      </c>
      <c r="N1594" s="58"/>
    </row>
    <row r="1595" spans="1:14" x14ac:dyDescent="0.25">
      <c r="A1595" s="58" t="s">
        <v>213</v>
      </c>
      <c r="B1595" s="58" t="s">
        <v>377</v>
      </c>
      <c r="C1595" s="58" t="s">
        <v>379</v>
      </c>
      <c r="D1595" s="58" t="s">
        <v>378</v>
      </c>
      <c r="E1595" s="58">
        <v>3</v>
      </c>
      <c r="F1595" s="58">
        <v>10</v>
      </c>
      <c r="G1595" s="58">
        <v>170</v>
      </c>
      <c r="H1595" s="58">
        <v>16</v>
      </c>
      <c r="I1595" s="58"/>
      <c r="J1595" s="58"/>
      <c r="K1595" s="58"/>
      <c r="L1595" s="58"/>
      <c r="M1595" s="58">
        <v>32</v>
      </c>
      <c r="N1595" s="58"/>
    </row>
    <row r="1596" spans="1:14" x14ac:dyDescent="0.25">
      <c r="A1596" s="58" t="s">
        <v>213</v>
      </c>
      <c r="B1596" s="58" t="s">
        <v>377</v>
      </c>
      <c r="C1596" s="58" t="s">
        <v>379</v>
      </c>
      <c r="D1596" s="58" t="s">
        <v>378</v>
      </c>
      <c r="E1596" s="58">
        <v>3</v>
      </c>
      <c r="F1596" s="58">
        <v>10</v>
      </c>
      <c r="G1596" s="58">
        <v>180</v>
      </c>
      <c r="H1596" s="58">
        <v>16</v>
      </c>
      <c r="I1596" s="58"/>
      <c r="J1596" s="58"/>
      <c r="K1596" s="58"/>
      <c r="L1596" s="58"/>
      <c r="M1596" s="58">
        <v>32</v>
      </c>
      <c r="N1596" s="58"/>
    </row>
    <row r="1597" spans="1:14" x14ac:dyDescent="0.25">
      <c r="A1597" s="58" t="s">
        <v>213</v>
      </c>
      <c r="B1597" s="58" t="s">
        <v>377</v>
      </c>
      <c r="C1597" s="58" t="s">
        <v>379</v>
      </c>
      <c r="D1597" s="58" t="s">
        <v>378</v>
      </c>
      <c r="E1597" s="58">
        <v>3</v>
      </c>
      <c r="F1597" s="58">
        <v>10</v>
      </c>
      <c r="G1597" s="58">
        <v>190</v>
      </c>
      <c r="H1597" s="58">
        <v>16</v>
      </c>
      <c r="I1597" s="58"/>
      <c r="J1597" s="58"/>
      <c r="K1597" s="58"/>
      <c r="L1597" s="58"/>
      <c r="M1597" s="58">
        <v>32</v>
      </c>
      <c r="N1597" s="58"/>
    </row>
    <row r="1598" spans="1:14" x14ac:dyDescent="0.25">
      <c r="A1598" s="58" t="s">
        <v>213</v>
      </c>
      <c r="B1598" s="58" t="s">
        <v>377</v>
      </c>
      <c r="C1598" s="58" t="s">
        <v>379</v>
      </c>
      <c r="D1598" s="58" t="s">
        <v>378</v>
      </c>
      <c r="E1598" s="58">
        <v>3</v>
      </c>
      <c r="F1598" s="58">
        <v>10</v>
      </c>
      <c r="G1598" s="58">
        <v>200</v>
      </c>
      <c r="H1598" s="58">
        <v>16</v>
      </c>
      <c r="I1598" s="58"/>
      <c r="J1598" s="58"/>
      <c r="K1598" s="58"/>
      <c r="L1598" s="58"/>
      <c r="M1598" s="58">
        <v>32</v>
      </c>
      <c r="N1598" s="58"/>
    </row>
    <row r="1599" spans="1:14" x14ac:dyDescent="0.25">
      <c r="A1599" s="58" t="s">
        <v>213</v>
      </c>
      <c r="B1599" s="58" t="s">
        <v>377</v>
      </c>
      <c r="C1599" s="58" t="s">
        <v>379</v>
      </c>
      <c r="D1599" s="58" t="s">
        <v>378</v>
      </c>
      <c r="E1599" s="58">
        <v>3</v>
      </c>
      <c r="F1599" s="58">
        <v>10</v>
      </c>
      <c r="G1599" s="58">
        <v>210</v>
      </c>
      <c r="H1599" s="58">
        <v>16</v>
      </c>
      <c r="I1599" s="59"/>
      <c r="J1599" s="59"/>
      <c r="K1599" s="59"/>
      <c r="L1599" s="59"/>
      <c r="M1599" s="58">
        <v>45</v>
      </c>
      <c r="N1599" s="59"/>
    </row>
    <row r="1600" spans="1:14" x14ac:dyDescent="0.25">
      <c r="A1600" s="58" t="s">
        <v>213</v>
      </c>
      <c r="B1600" s="58" t="s">
        <v>377</v>
      </c>
      <c r="C1600" s="58" t="s">
        <v>379</v>
      </c>
      <c r="D1600" s="58" t="s">
        <v>378</v>
      </c>
      <c r="E1600" s="58">
        <v>3</v>
      </c>
      <c r="F1600" s="58">
        <v>10</v>
      </c>
      <c r="G1600" s="58">
        <v>220</v>
      </c>
      <c r="H1600" s="58">
        <v>16</v>
      </c>
      <c r="I1600" s="59"/>
      <c r="J1600" s="59"/>
      <c r="K1600" s="59"/>
      <c r="L1600" s="59"/>
      <c r="M1600" s="58">
        <v>45</v>
      </c>
      <c r="N1600" s="59"/>
    </row>
    <row r="1601" spans="1:14" x14ac:dyDescent="0.25">
      <c r="A1601" s="58" t="s">
        <v>213</v>
      </c>
      <c r="B1601" s="58" t="s">
        <v>377</v>
      </c>
      <c r="C1601" s="58" t="s">
        <v>379</v>
      </c>
      <c r="D1601" s="58" t="s">
        <v>378</v>
      </c>
      <c r="E1601" s="58">
        <v>3</v>
      </c>
      <c r="F1601" s="58">
        <v>10</v>
      </c>
      <c r="G1601" s="58">
        <v>230</v>
      </c>
      <c r="H1601" s="58">
        <v>16</v>
      </c>
      <c r="I1601" s="59"/>
      <c r="J1601" s="59"/>
      <c r="K1601" s="59"/>
      <c r="L1601" s="59"/>
      <c r="M1601" s="58">
        <v>45</v>
      </c>
      <c r="N1601" s="59"/>
    </row>
    <row r="1602" spans="1:14" x14ac:dyDescent="0.25">
      <c r="A1602" s="58" t="s">
        <v>213</v>
      </c>
      <c r="B1602" s="58" t="s">
        <v>377</v>
      </c>
      <c r="C1602" s="58" t="s">
        <v>379</v>
      </c>
      <c r="D1602" s="58" t="s">
        <v>378</v>
      </c>
      <c r="E1602" s="58">
        <v>3</v>
      </c>
      <c r="F1602" s="58">
        <v>10</v>
      </c>
      <c r="G1602" s="58">
        <v>240</v>
      </c>
      <c r="H1602" s="58">
        <v>16</v>
      </c>
      <c r="I1602" s="59"/>
      <c r="J1602" s="59"/>
      <c r="K1602" s="59"/>
      <c r="L1602" s="59"/>
      <c r="M1602" s="58">
        <v>45</v>
      </c>
      <c r="N1602" s="59"/>
    </row>
    <row r="1603" spans="1:14" x14ac:dyDescent="0.25">
      <c r="A1603" s="58" t="s">
        <v>213</v>
      </c>
      <c r="B1603" s="58" t="s">
        <v>377</v>
      </c>
      <c r="C1603" s="58" t="s">
        <v>379</v>
      </c>
      <c r="D1603" s="58" t="s">
        <v>378</v>
      </c>
      <c r="E1603" s="58">
        <v>3</v>
      </c>
      <c r="F1603" s="58">
        <v>10</v>
      </c>
      <c r="G1603" s="58">
        <v>250</v>
      </c>
      <c r="H1603" s="58">
        <v>16</v>
      </c>
      <c r="I1603" s="59"/>
      <c r="J1603" s="59"/>
      <c r="K1603" s="59"/>
      <c r="L1603" s="59"/>
      <c r="M1603" s="58">
        <v>45</v>
      </c>
      <c r="N1603" s="59"/>
    </row>
    <row r="1604" spans="1:14" x14ac:dyDescent="0.25">
      <c r="A1604" s="58" t="s">
        <v>213</v>
      </c>
      <c r="B1604" s="58" t="s">
        <v>377</v>
      </c>
      <c r="C1604" s="58" t="s">
        <v>379</v>
      </c>
      <c r="D1604" s="58" t="s">
        <v>378</v>
      </c>
      <c r="E1604" s="58">
        <v>3</v>
      </c>
      <c r="F1604" s="58">
        <v>10</v>
      </c>
      <c r="G1604" s="58">
        <v>260</v>
      </c>
      <c r="H1604" s="58">
        <v>16</v>
      </c>
      <c r="I1604" s="59"/>
      <c r="J1604" s="59"/>
      <c r="K1604" s="59"/>
      <c r="L1604" s="59"/>
      <c r="M1604" s="58">
        <v>45</v>
      </c>
      <c r="N1604" s="59"/>
    </row>
    <row r="1605" spans="1:14" x14ac:dyDescent="0.25">
      <c r="A1605" s="58" t="s">
        <v>213</v>
      </c>
      <c r="B1605" s="58" t="s">
        <v>377</v>
      </c>
      <c r="C1605" s="58" t="s">
        <v>379</v>
      </c>
      <c r="D1605" s="58" t="s">
        <v>378</v>
      </c>
      <c r="E1605" s="58">
        <v>3</v>
      </c>
      <c r="F1605" s="58">
        <v>10</v>
      </c>
      <c r="G1605" s="58">
        <v>270</v>
      </c>
      <c r="H1605" s="58">
        <v>16</v>
      </c>
      <c r="I1605" s="59"/>
      <c r="J1605" s="59"/>
      <c r="K1605" s="59"/>
      <c r="L1605" s="59"/>
      <c r="M1605" s="58">
        <v>45</v>
      </c>
      <c r="N1605" s="59"/>
    </row>
    <row r="1606" spans="1:14" x14ac:dyDescent="0.25">
      <c r="A1606" s="58" t="s">
        <v>213</v>
      </c>
      <c r="B1606" s="58" t="s">
        <v>377</v>
      </c>
      <c r="C1606" s="58" t="s">
        <v>379</v>
      </c>
      <c r="D1606" s="58" t="s">
        <v>378</v>
      </c>
      <c r="E1606" s="58">
        <v>3</v>
      </c>
      <c r="F1606" s="58">
        <v>10</v>
      </c>
      <c r="G1606" s="58">
        <v>280</v>
      </c>
      <c r="H1606" s="58">
        <v>16</v>
      </c>
      <c r="I1606" s="59"/>
      <c r="J1606" s="59"/>
      <c r="K1606" s="59"/>
      <c r="L1606" s="59"/>
      <c r="M1606" s="58">
        <v>45</v>
      </c>
      <c r="N1606" s="59"/>
    </row>
    <row r="1607" spans="1:14" x14ac:dyDescent="0.25">
      <c r="A1607" s="58" t="s">
        <v>213</v>
      </c>
      <c r="B1607" s="58" t="s">
        <v>377</v>
      </c>
      <c r="C1607" s="58" t="s">
        <v>379</v>
      </c>
      <c r="D1607" s="58" t="s">
        <v>378</v>
      </c>
      <c r="E1607" s="58">
        <v>3</v>
      </c>
      <c r="F1607" s="58">
        <v>10</v>
      </c>
      <c r="G1607" s="58">
        <v>300</v>
      </c>
      <c r="H1607" s="58">
        <v>16</v>
      </c>
      <c r="I1607" s="59"/>
      <c r="J1607" s="59"/>
      <c r="K1607" s="59"/>
      <c r="L1607" s="59"/>
      <c r="M1607" s="58">
        <v>45</v>
      </c>
      <c r="N1607" s="59"/>
    </row>
    <row r="1608" spans="1:14" x14ac:dyDescent="0.25">
      <c r="A1608" s="58" t="s">
        <v>213</v>
      </c>
      <c r="B1608" s="58" t="s">
        <v>377</v>
      </c>
      <c r="C1608" s="58" t="s">
        <v>379</v>
      </c>
      <c r="D1608" s="58" t="s">
        <v>378</v>
      </c>
      <c r="E1608" s="58">
        <v>3</v>
      </c>
      <c r="F1608" s="58">
        <v>12</v>
      </c>
      <c r="G1608" s="58">
        <v>45</v>
      </c>
      <c r="H1608" s="58">
        <v>16</v>
      </c>
      <c r="I1608" s="59"/>
      <c r="J1608" s="59"/>
      <c r="K1608" s="59"/>
      <c r="L1608" s="59"/>
      <c r="M1608" s="58">
        <v>30</v>
      </c>
      <c r="N1608" s="59"/>
    </row>
    <row r="1609" spans="1:14" x14ac:dyDescent="0.25">
      <c r="A1609" s="58" t="s">
        <v>213</v>
      </c>
      <c r="B1609" s="58" t="s">
        <v>377</v>
      </c>
      <c r="C1609" s="58" t="s">
        <v>379</v>
      </c>
      <c r="D1609" s="58" t="s">
        <v>378</v>
      </c>
      <c r="E1609" s="58">
        <v>3</v>
      </c>
      <c r="F1609" s="58">
        <v>12</v>
      </c>
      <c r="G1609" s="58">
        <v>50</v>
      </c>
      <c r="H1609" s="58">
        <v>16</v>
      </c>
      <c r="I1609" s="59"/>
      <c r="J1609" s="59"/>
      <c r="K1609" s="59"/>
      <c r="L1609" s="59"/>
      <c r="M1609" s="58">
        <v>30</v>
      </c>
      <c r="N1609" s="59"/>
    </row>
    <row r="1610" spans="1:14" x14ac:dyDescent="0.25">
      <c r="A1610" s="58" t="s">
        <v>213</v>
      </c>
      <c r="B1610" s="58" t="s">
        <v>377</v>
      </c>
      <c r="C1610" s="58" t="s">
        <v>379</v>
      </c>
      <c r="D1610" s="58" t="s">
        <v>378</v>
      </c>
      <c r="E1610" s="58">
        <v>3</v>
      </c>
      <c r="F1610" s="58">
        <v>12</v>
      </c>
      <c r="G1610" s="58">
        <v>55</v>
      </c>
      <c r="H1610" s="58">
        <v>16</v>
      </c>
      <c r="I1610" s="59"/>
      <c r="J1610" s="59"/>
      <c r="K1610" s="59"/>
      <c r="L1610" s="59"/>
      <c r="M1610" s="58">
        <v>30</v>
      </c>
      <c r="N1610" s="59"/>
    </row>
    <row r="1611" spans="1:14" x14ac:dyDescent="0.25">
      <c r="A1611" s="58" t="s">
        <v>213</v>
      </c>
      <c r="B1611" s="58" t="s">
        <v>377</v>
      </c>
      <c r="C1611" s="58" t="s">
        <v>379</v>
      </c>
      <c r="D1611" s="58" t="s">
        <v>378</v>
      </c>
      <c r="E1611" s="58">
        <v>3</v>
      </c>
      <c r="F1611" s="58">
        <v>12</v>
      </c>
      <c r="G1611" s="58">
        <v>60</v>
      </c>
      <c r="H1611" s="58">
        <v>16</v>
      </c>
      <c r="I1611" s="59"/>
      <c r="J1611" s="59"/>
      <c r="K1611" s="59"/>
      <c r="L1611" s="59"/>
      <c r="M1611" s="58">
        <v>30</v>
      </c>
      <c r="N1611" s="59"/>
    </row>
    <row r="1612" spans="1:14" x14ac:dyDescent="0.25">
      <c r="A1612" s="58" t="s">
        <v>213</v>
      </c>
      <c r="B1612" s="58" t="s">
        <v>377</v>
      </c>
      <c r="C1612" s="58" t="s">
        <v>379</v>
      </c>
      <c r="D1612" s="58" t="s">
        <v>378</v>
      </c>
      <c r="E1612" s="58">
        <v>3</v>
      </c>
      <c r="F1612" s="58">
        <v>12</v>
      </c>
      <c r="G1612" s="58">
        <v>65</v>
      </c>
      <c r="H1612" s="58">
        <v>16</v>
      </c>
      <c r="I1612" s="59"/>
      <c r="J1612" s="59"/>
      <c r="K1612" s="59"/>
      <c r="L1612" s="59"/>
      <c r="M1612" s="58">
        <v>30</v>
      </c>
      <c r="N1612" s="59"/>
    </row>
    <row r="1613" spans="1:14" x14ac:dyDescent="0.25">
      <c r="A1613" s="58" t="s">
        <v>213</v>
      </c>
      <c r="B1613" s="58" t="s">
        <v>377</v>
      </c>
      <c r="C1613" s="58" t="s">
        <v>379</v>
      </c>
      <c r="D1613" s="58" t="s">
        <v>378</v>
      </c>
      <c r="E1613" s="58">
        <v>3</v>
      </c>
      <c r="F1613" s="58">
        <v>12</v>
      </c>
      <c r="G1613" s="58">
        <v>70</v>
      </c>
      <c r="H1613" s="58">
        <v>16</v>
      </c>
      <c r="I1613" s="59"/>
      <c r="J1613" s="59"/>
      <c r="K1613" s="59"/>
      <c r="L1613" s="59"/>
      <c r="M1613" s="58">
        <v>30</v>
      </c>
      <c r="N1613" s="59"/>
    </row>
    <row r="1614" spans="1:14" x14ac:dyDescent="0.25">
      <c r="A1614" s="58" t="s">
        <v>213</v>
      </c>
      <c r="B1614" s="58" t="s">
        <v>377</v>
      </c>
      <c r="C1614" s="58" t="s">
        <v>379</v>
      </c>
      <c r="D1614" s="58" t="s">
        <v>378</v>
      </c>
      <c r="E1614" s="58">
        <v>3</v>
      </c>
      <c r="F1614" s="58">
        <v>12</v>
      </c>
      <c r="G1614" s="58">
        <v>75</v>
      </c>
      <c r="H1614" s="58">
        <v>16</v>
      </c>
      <c r="I1614" s="59"/>
      <c r="J1614" s="59"/>
      <c r="K1614" s="59"/>
      <c r="L1614" s="59"/>
      <c r="M1614" s="58">
        <v>30</v>
      </c>
      <c r="N1614" s="59"/>
    </row>
    <row r="1615" spans="1:14" x14ac:dyDescent="0.25">
      <c r="A1615" s="58" t="s">
        <v>213</v>
      </c>
      <c r="B1615" s="58" t="s">
        <v>377</v>
      </c>
      <c r="C1615" s="58" t="s">
        <v>379</v>
      </c>
      <c r="D1615" s="58" t="s">
        <v>378</v>
      </c>
      <c r="E1615" s="58">
        <v>3</v>
      </c>
      <c r="F1615" s="58">
        <v>12</v>
      </c>
      <c r="G1615" s="58">
        <v>80</v>
      </c>
      <c r="H1615" s="58">
        <v>16</v>
      </c>
      <c r="I1615" s="59"/>
      <c r="J1615" s="59"/>
      <c r="K1615" s="59"/>
      <c r="L1615" s="59"/>
      <c r="M1615" s="58">
        <v>30</v>
      </c>
      <c r="N1615" s="59"/>
    </row>
    <row r="1616" spans="1:14" x14ac:dyDescent="0.25">
      <c r="A1616" s="58" t="s">
        <v>213</v>
      </c>
      <c r="B1616" s="58" t="s">
        <v>377</v>
      </c>
      <c r="C1616" s="58" t="s">
        <v>379</v>
      </c>
      <c r="D1616" s="58" t="s">
        <v>378</v>
      </c>
      <c r="E1616" s="58">
        <v>3</v>
      </c>
      <c r="F1616" s="58">
        <v>12</v>
      </c>
      <c r="G1616" s="58">
        <v>85</v>
      </c>
      <c r="H1616" s="58">
        <v>16</v>
      </c>
      <c r="I1616" s="59"/>
      <c r="J1616" s="59"/>
      <c r="K1616" s="59"/>
      <c r="L1616" s="59"/>
      <c r="M1616" s="58">
        <v>30</v>
      </c>
      <c r="N1616" s="59"/>
    </row>
    <row r="1617" spans="1:14" x14ac:dyDescent="0.25">
      <c r="A1617" s="58" t="s">
        <v>213</v>
      </c>
      <c r="B1617" s="58" t="s">
        <v>377</v>
      </c>
      <c r="C1617" s="58" t="s">
        <v>379</v>
      </c>
      <c r="D1617" s="58" t="s">
        <v>378</v>
      </c>
      <c r="E1617" s="58">
        <v>3</v>
      </c>
      <c r="F1617" s="58">
        <v>12</v>
      </c>
      <c r="G1617" s="58">
        <v>90</v>
      </c>
      <c r="H1617" s="58">
        <v>16</v>
      </c>
      <c r="I1617" s="59"/>
      <c r="J1617" s="59"/>
      <c r="K1617" s="59"/>
      <c r="L1617" s="59"/>
      <c r="M1617" s="58">
        <v>30</v>
      </c>
      <c r="N1617" s="59"/>
    </row>
    <row r="1618" spans="1:14" x14ac:dyDescent="0.25">
      <c r="A1618" s="58" t="s">
        <v>213</v>
      </c>
      <c r="B1618" s="58" t="s">
        <v>377</v>
      </c>
      <c r="C1618" s="58" t="s">
        <v>379</v>
      </c>
      <c r="D1618" s="58" t="s">
        <v>378</v>
      </c>
      <c r="E1618" s="58">
        <v>3</v>
      </c>
      <c r="F1618" s="58">
        <v>12</v>
      </c>
      <c r="G1618" s="58">
        <v>95</v>
      </c>
      <c r="H1618" s="58">
        <v>16</v>
      </c>
      <c r="I1618" s="59"/>
      <c r="J1618" s="59"/>
      <c r="K1618" s="59"/>
      <c r="L1618" s="59"/>
      <c r="M1618" s="58">
        <v>30</v>
      </c>
      <c r="N1618" s="59"/>
    </row>
    <row r="1619" spans="1:14" x14ac:dyDescent="0.25">
      <c r="A1619" s="58" t="s">
        <v>213</v>
      </c>
      <c r="B1619" s="58" t="s">
        <v>377</v>
      </c>
      <c r="C1619" s="58" t="s">
        <v>379</v>
      </c>
      <c r="D1619" s="58" t="s">
        <v>378</v>
      </c>
      <c r="E1619" s="58">
        <v>3</v>
      </c>
      <c r="F1619" s="58">
        <v>12</v>
      </c>
      <c r="G1619" s="58">
        <v>100</v>
      </c>
      <c r="H1619" s="58">
        <v>18</v>
      </c>
      <c r="I1619" s="58"/>
      <c r="J1619" s="58"/>
      <c r="K1619" s="58"/>
      <c r="L1619" s="58"/>
      <c r="M1619" s="58">
        <v>30</v>
      </c>
      <c r="N1619" s="58"/>
    </row>
    <row r="1620" spans="1:14" x14ac:dyDescent="0.25">
      <c r="A1620" s="58" t="s">
        <v>213</v>
      </c>
      <c r="B1620" s="58" t="s">
        <v>377</v>
      </c>
      <c r="C1620" s="58" t="s">
        <v>379</v>
      </c>
      <c r="D1620" s="58" t="s">
        <v>378</v>
      </c>
      <c r="E1620" s="58">
        <v>3</v>
      </c>
      <c r="F1620" s="58">
        <v>12</v>
      </c>
      <c r="G1620" s="58">
        <v>110</v>
      </c>
      <c r="H1620" s="58">
        <v>18</v>
      </c>
      <c r="I1620" s="58"/>
      <c r="J1620" s="58"/>
      <c r="K1620" s="58"/>
      <c r="L1620" s="58"/>
      <c r="M1620" s="58">
        <v>30</v>
      </c>
      <c r="N1620" s="58"/>
    </row>
    <row r="1621" spans="1:14" x14ac:dyDescent="0.25">
      <c r="A1621" s="58" t="s">
        <v>213</v>
      </c>
      <c r="B1621" s="58" t="s">
        <v>377</v>
      </c>
      <c r="C1621" s="58" t="s">
        <v>379</v>
      </c>
      <c r="D1621" s="58" t="s">
        <v>378</v>
      </c>
      <c r="E1621" s="58">
        <v>3</v>
      </c>
      <c r="F1621" s="58">
        <v>12</v>
      </c>
      <c r="G1621" s="58">
        <v>115</v>
      </c>
      <c r="H1621" s="58">
        <v>18</v>
      </c>
      <c r="I1621" s="58"/>
      <c r="J1621" s="58"/>
      <c r="K1621" s="58"/>
      <c r="L1621" s="58"/>
      <c r="M1621" s="58">
        <v>30</v>
      </c>
      <c r="N1621" s="58"/>
    </row>
    <row r="1622" spans="1:14" x14ac:dyDescent="0.25">
      <c r="A1622" s="58" t="s">
        <v>213</v>
      </c>
      <c r="B1622" s="58" t="s">
        <v>377</v>
      </c>
      <c r="C1622" s="58" t="s">
        <v>379</v>
      </c>
      <c r="D1622" s="58" t="s">
        <v>378</v>
      </c>
      <c r="E1622" s="58">
        <v>3</v>
      </c>
      <c r="F1622" s="58">
        <v>12</v>
      </c>
      <c r="G1622" s="58">
        <v>120</v>
      </c>
      <c r="H1622" s="58">
        <v>18</v>
      </c>
      <c r="I1622" s="58"/>
      <c r="J1622" s="58"/>
      <c r="K1622" s="58"/>
      <c r="L1622" s="58"/>
      <c r="M1622" s="58">
        <v>30</v>
      </c>
      <c r="N1622" s="58"/>
    </row>
    <row r="1623" spans="1:14" x14ac:dyDescent="0.25">
      <c r="A1623" s="58" t="s">
        <v>213</v>
      </c>
      <c r="B1623" s="58" t="s">
        <v>377</v>
      </c>
      <c r="C1623" s="58" t="s">
        <v>379</v>
      </c>
      <c r="D1623" s="58" t="s">
        <v>378</v>
      </c>
      <c r="E1623" s="58">
        <v>3</v>
      </c>
      <c r="F1623" s="58">
        <v>12</v>
      </c>
      <c r="G1623" s="58">
        <v>130</v>
      </c>
      <c r="H1623" s="58">
        <v>18</v>
      </c>
      <c r="I1623" s="58"/>
      <c r="J1623" s="58"/>
      <c r="K1623" s="58"/>
      <c r="L1623" s="58"/>
      <c r="M1623" s="58">
        <v>36</v>
      </c>
      <c r="N1623" s="58"/>
    </row>
    <row r="1624" spans="1:14" x14ac:dyDescent="0.25">
      <c r="A1624" s="58" t="s">
        <v>213</v>
      </c>
      <c r="B1624" s="58" t="s">
        <v>377</v>
      </c>
      <c r="C1624" s="58" t="s">
        <v>379</v>
      </c>
      <c r="D1624" s="58" t="s">
        <v>378</v>
      </c>
      <c r="E1624" s="58">
        <v>3</v>
      </c>
      <c r="F1624" s="58">
        <v>12</v>
      </c>
      <c r="G1624" s="58">
        <v>140</v>
      </c>
      <c r="H1624" s="58">
        <v>18</v>
      </c>
      <c r="I1624" s="58"/>
      <c r="J1624" s="58"/>
      <c r="K1624" s="58"/>
      <c r="L1624" s="58"/>
      <c r="M1624" s="58">
        <v>36</v>
      </c>
      <c r="N1624" s="58"/>
    </row>
    <row r="1625" spans="1:14" x14ac:dyDescent="0.25">
      <c r="A1625" s="58" t="s">
        <v>213</v>
      </c>
      <c r="B1625" s="58" t="s">
        <v>377</v>
      </c>
      <c r="C1625" s="58" t="s">
        <v>379</v>
      </c>
      <c r="D1625" s="58" t="s">
        <v>378</v>
      </c>
      <c r="E1625" s="58">
        <v>3</v>
      </c>
      <c r="F1625" s="58">
        <v>12</v>
      </c>
      <c r="G1625" s="58">
        <v>150</v>
      </c>
      <c r="H1625" s="58">
        <v>18</v>
      </c>
      <c r="I1625" s="58"/>
      <c r="J1625" s="58"/>
      <c r="K1625" s="58"/>
      <c r="L1625" s="58"/>
      <c r="M1625" s="58">
        <v>36</v>
      </c>
      <c r="N1625" s="58"/>
    </row>
    <row r="1626" spans="1:14" x14ac:dyDescent="0.25">
      <c r="A1626" s="58" t="s">
        <v>213</v>
      </c>
      <c r="B1626" s="58" t="s">
        <v>377</v>
      </c>
      <c r="C1626" s="58" t="s">
        <v>379</v>
      </c>
      <c r="D1626" s="58" t="s">
        <v>378</v>
      </c>
      <c r="E1626" s="58">
        <v>3</v>
      </c>
      <c r="F1626" s="58">
        <v>12</v>
      </c>
      <c r="G1626" s="58">
        <v>160</v>
      </c>
      <c r="H1626" s="58">
        <v>18</v>
      </c>
      <c r="I1626" s="58"/>
      <c r="J1626" s="58"/>
      <c r="K1626" s="58"/>
      <c r="L1626" s="58"/>
      <c r="M1626" s="58">
        <v>36</v>
      </c>
      <c r="N1626" s="58"/>
    </row>
    <row r="1627" spans="1:14" x14ac:dyDescent="0.25">
      <c r="A1627" s="58" t="s">
        <v>213</v>
      </c>
      <c r="B1627" s="58" t="s">
        <v>377</v>
      </c>
      <c r="C1627" s="58" t="s">
        <v>379</v>
      </c>
      <c r="D1627" s="58" t="s">
        <v>378</v>
      </c>
      <c r="E1627" s="58">
        <v>3</v>
      </c>
      <c r="F1627" s="58">
        <v>12</v>
      </c>
      <c r="G1627" s="58">
        <v>170</v>
      </c>
      <c r="H1627" s="58">
        <v>18</v>
      </c>
      <c r="I1627" s="58"/>
      <c r="J1627" s="58"/>
      <c r="K1627" s="58"/>
      <c r="L1627" s="58"/>
      <c r="M1627" s="58">
        <v>36</v>
      </c>
      <c r="N1627" s="58"/>
    </row>
    <row r="1628" spans="1:14" x14ac:dyDescent="0.25">
      <c r="A1628" s="58" t="s">
        <v>213</v>
      </c>
      <c r="B1628" s="58" t="s">
        <v>377</v>
      </c>
      <c r="C1628" s="58" t="s">
        <v>379</v>
      </c>
      <c r="D1628" s="58" t="s">
        <v>378</v>
      </c>
      <c r="E1628" s="58">
        <v>3</v>
      </c>
      <c r="F1628" s="58">
        <v>12</v>
      </c>
      <c r="G1628" s="58">
        <v>180</v>
      </c>
      <c r="H1628" s="58">
        <v>18</v>
      </c>
      <c r="I1628" s="58"/>
      <c r="J1628" s="58"/>
      <c r="K1628" s="58"/>
      <c r="L1628" s="58"/>
      <c r="M1628" s="58">
        <v>36</v>
      </c>
      <c r="N1628" s="58"/>
    </row>
    <row r="1629" spans="1:14" x14ac:dyDescent="0.25">
      <c r="A1629" s="58" t="s">
        <v>213</v>
      </c>
      <c r="B1629" s="58" t="s">
        <v>377</v>
      </c>
      <c r="C1629" s="58" t="s">
        <v>379</v>
      </c>
      <c r="D1629" s="58" t="s">
        <v>378</v>
      </c>
      <c r="E1629" s="58">
        <v>3</v>
      </c>
      <c r="F1629" s="58">
        <v>12</v>
      </c>
      <c r="G1629" s="58">
        <v>190</v>
      </c>
      <c r="H1629" s="58">
        <v>18</v>
      </c>
      <c r="I1629" s="58"/>
      <c r="J1629" s="58"/>
      <c r="K1629" s="58"/>
      <c r="L1629" s="58"/>
      <c r="M1629" s="58">
        <v>36</v>
      </c>
      <c r="N1629" s="58"/>
    </row>
    <row r="1630" spans="1:14" x14ac:dyDescent="0.25">
      <c r="A1630" s="58" t="s">
        <v>213</v>
      </c>
      <c r="B1630" s="58" t="s">
        <v>377</v>
      </c>
      <c r="C1630" s="58" t="s">
        <v>379</v>
      </c>
      <c r="D1630" s="58" t="s">
        <v>378</v>
      </c>
      <c r="E1630" s="58">
        <v>3</v>
      </c>
      <c r="F1630" s="58">
        <v>12</v>
      </c>
      <c r="G1630" s="58">
        <v>200</v>
      </c>
      <c r="H1630" s="58">
        <v>18</v>
      </c>
      <c r="I1630" s="58"/>
      <c r="J1630" s="58"/>
      <c r="K1630" s="58"/>
      <c r="L1630" s="58"/>
      <c r="M1630" s="58">
        <v>36</v>
      </c>
      <c r="N1630" s="58"/>
    </row>
    <row r="1631" spans="1:14" x14ac:dyDescent="0.25">
      <c r="A1631" s="58" t="s">
        <v>213</v>
      </c>
      <c r="B1631" s="58" t="s">
        <v>377</v>
      </c>
      <c r="C1631" s="58" t="s">
        <v>379</v>
      </c>
      <c r="D1631" s="58" t="s">
        <v>378</v>
      </c>
      <c r="E1631" s="58">
        <v>3</v>
      </c>
      <c r="F1631" s="58">
        <v>12</v>
      </c>
      <c r="G1631" s="58">
        <v>210</v>
      </c>
      <c r="H1631" s="58">
        <v>18</v>
      </c>
      <c r="I1631" s="58"/>
      <c r="J1631" s="58"/>
      <c r="K1631" s="58"/>
      <c r="L1631" s="58"/>
      <c r="M1631" s="58">
        <v>49</v>
      </c>
      <c r="N1631" s="58"/>
    </row>
    <row r="1632" spans="1:14" x14ac:dyDescent="0.25">
      <c r="A1632" s="58" t="s">
        <v>213</v>
      </c>
      <c r="B1632" s="58" t="s">
        <v>377</v>
      </c>
      <c r="C1632" s="58" t="s">
        <v>379</v>
      </c>
      <c r="D1632" s="58" t="s">
        <v>378</v>
      </c>
      <c r="E1632" s="58">
        <v>3</v>
      </c>
      <c r="F1632" s="58">
        <v>12</v>
      </c>
      <c r="G1632" s="58">
        <v>220</v>
      </c>
      <c r="H1632" s="58">
        <v>18</v>
      </c>
      <c r="I1632" s="58"/>
      <c r="J1632" s="58"/>
      <c r="K1632" s="58"/>
      <c r="L1632" s="58"/>
      <c r="M1632" s="58">
        <v>49</v>
      </c>
      <c r="N1632" s="58"/>
    </row>
    <row r="1633" spans="1:14" x14ac:dyDescent="0.25">
      <c r="A1633" s="58" t="s">
        <v>213</v>
      </c>
      <c r="B1633" s="58" t="s">
        <v>377</v>
      </c>
      <c r="C1633" s="58" t="s">
        <v>379</v>
      </c>
      <c r="D1633" s="58" t="s">
        <v>378</v>
      </c>
      <c r="E1633" s="58">
        <v>3</v>
      </c>
      <c r="F1633" s="58">
        <v>12</v>
      </c>
      <c r="G1633" s="58">
        <v>230</v>
      </c>
      <c r="H1633" s="58">
        <v>18</v>
      </c>
      <c r="I1633" s="58"/>
      <c r="J1633" s="58"/>
      <c r="K1633" s="58"/>
      <c r="L1633" s="58"/>
      <c r="M1633" s="58">
        <v>49</v>
      </c>
      <c r="N1633" s="58"/>
    </row>
    <row r="1634" spans="1:14" x14ac:dyDescent="0.25">
      <c r="A1634" s="58" t="s">
        <v>213</v>
      </c>
      <c r="B1634" s="58" t="s">
        <v>377</v>
      </c>
      <c r="C1634" s="58" t="s">
        <v>379</v>
      </c>
      <c r="D1634" s="58" t="s">
        <v>378</v>
      </c>
      <c r="E1634" s="58">
        <v>3</v>
      </c>
      <c r="F1634" s="58">
        <v>12</v>
      </c>
      <c r="G1634" s="58">
        <v>240</v>
      </c>
      <c r="H1634" s="58">
        <v>18</v>
      </c>
      <c r="I1634" s="58"/>
      <c r="J1634" s="58"/>
      <c r="K1634" s="58"/>
      <c r="L1634" s="58"/>
      <c r="M1634" s="58">
        <v>49</v>
      </c>
      <c r="N1634" s="58"/>
    </row>
    <row r="1635" spans="1:14" x14ac:dyDescent="0.25">
      <c r="A1635" s="58" t="s">
        <v>213</v>
      </c>
      <c r="B1635" s="58" t="s">
        <v>377</v>
      </c>
      <c r="C1635" s="58" t="s">
        <v>379</v>
      </c>
      <c r="D1635" s="58" t="s">
        <v>378</v>
      </c>
      <c r="E1635" s="58">
        <v>3</v>
      </c>
      <c r="F1635" s="58">
        <v>12</v>
      </c>
      <c r="G1635" s="58">
        <v>250</v>
      </c>
      <c r="H1635" s="58">
        <v>18</v>
      </c>
      <c r="I1635" s="58"/>
      <c r="J1635" s="58"/>
      <c r="K1635" s="58"/>
      <c r="L1635" s="58"/>
      <c r="M1635" s="58">
        <v>49</v>
      </c>
      <c r="N1635" s="58"/>
    </row>
    <row r="1636" spans="1:14" x14ac:dyDescent="0.25">
      <c r="A1636" s="58" t="s">
        <v>213</v>
      </c>
      <c r="B1636" s="58" t="s">
        <v>377</v>
      </c>
      <c r="C1636" s="58" t="s">
        <v>379</v>
      </c>
      <c r="D1636" s="58" t="s">
        <v>378</v>
      </c>
      <c r="E1636" s="58">
        <v>3</v>
      </c>
      <c r="F1636" s="58">
        <v>12</v>
      </c>
      <c r="G1636" s="58">
        <v>260</v>
      </c>
      <c r="H1636" s="58">
        <v>18</v>
      </c>
      <c r="I1636" s="58"/>
      <c r="J1636" s="58"/>
      <c r="K1636" s="58"/>
      <c r="L1636" s="58"/>
      <c r="M1636" s="58">
        <v>49</v>
      </c>
      <c r="N1636" s="58"/>
    </row>
    <row r="1637" spans="1:14" x14ac:dyDescent="0.25">
      <c r="A1637" s="58" t="s">
        <v>213</v>
      </c>
      <c r="B1637" s="58" t="s">
        <v>377</v>
      </c>
      <c r="C1637" s="58" t="s">
        <v>379</v>
      </c>
      <c r="D1637" s="58" t="s">
        <v>378</v>
      </c>
      <c r="E1637" s="58">
        <v>3</v>
      </c>
      <c r="F1637" s="58">
        <v>12</v>
      </c>
      <c r="G1637" s="58">
        <v>270</v>
      </c>
      <c r="H1637" s="58">
        <v>18</v>
      </c>
      <c r="I1637" s="58"/>
      <c r="J1637" s="58"/>
      <c r="K1637" s="58"/>
      <c r="L1637" s="58"/>
      <c r="M1637" s="58">
        <v>49</v>
      </c>
      <c r="N1637" s="58"/>
    </row>
    <row r="1638" spans="1:14" x14ac:dyDescent="0.25">
      <c r="A1638" s="58" t="s">
        <v>213</v>
      </c>
      <c r="B1638" s="58" t="s">
        <v>377</v>
      </c>
      <c r="C1638" s="58" t="s">
        <v>379</v>
      </c>
      <c r="D1638" s="58" t="s">
        <v>378</v>
      </c>
      <c r="E1638" s="58">
        <v>3</v>
      </c>
      <c r="F1638" s="58">
        <v>12</v>
      </c>
      <c r="G1638" s="58">
        <v>280</v>
      </c>
      <c r="H1638" s="58">
        <v>18</v>
      </c>
      <c r="I1638" s="58"/>
      <c r="J1638" s="58"/>
      <c r="K1638" s="58"/>
      <c r="L1638" s="58"/>
      <c r="M1638" s="58">
        <v>49</v>
      </c>
      <c r="N1638" s="58"/>
    </row>
    <row r="1639" spans="1:14" x14ac:dyDescent="0.25">
      <c r="A1639" s="58" t="s">
        <v>213</v>
      </c>
      <c r="B1639" s="58" t="s">
        <v>377</v>
      </c>
      <c r="C1639" s="58" t="s">
        <v>379</v>
      </c>
      <c r="D1639" s="58" t="s">
        <v>378</v>
      </c>
      <c r="E1639" s="58">
        <v>3</v>
      </c>
      <c r="F1639" s="58">
        <v>12</v>
      </c>
      <c r="G1639" s="58">
        <v>290</v>
      </c>
      <c r="H1639" s="58">
        <v>18</v>
      </c>
      <c r="I1639" s="58"/>
      <c r="J1639" s="58"/>
      <c r="K1639" s="58"/>
      <c r="L1639" s="58"/>
      <c r="M1639" s="58">
        <v>49</v>
      </c>
      <c r="N1639" s="58"/>
    </row>
    <row r="1640" spans="1:14" x14ac:dyDescent="0.25">
      <c r="A1640" s="58" t="s">
        <v>213</v>
      </c>
      <c r="B1640" s="58" t="s">
        <v>377</v>
      </c>
      <c r="C1640" s="58" t="s">
        <v>379</v>
      </c>
      <c r="D1640" s="58" t="s">
        <v>378</v>
      </c>
      <c r="E1640" s="58">
        <v>3</v>
      </c>
      <c r="F1640" s="58">
        <v>12</v>
      </c>
      <c r="G1640" s="58">
        <v>300</v>
      </c>
      <c r="H1640" s="58">
        <v>18</v>
      </c>
      <c r="I1640" s="58"/>
      <c r="J1640" s="58"/>
      <c r="K1640" s="58"/>
      <c r="L1640" s="58"/>
      <c r="M1640" s="58">
        <v>49</v>
      </c>
      <c r="N1640" s="58"/>
    </row>
    <row r="1641" spans="1:14" x14ac:dyDescent="0.25">
      <c r="A1641" s="58" t="s">
        <v>213</v>
      </c>
      <c r="B1641" s="58" t="s">
        <v>377</v>
      </c>
      <c r="C1641" s="58" t="s">
        <v>379</v>
      </c>
      <c r="D1641" s="58" t="s">
        <v>378</v>
      </c>
      <c r="E1641" s="58">
        <v>3</v>
      </c>
      <c r="F1641" s="58">
        <v>12</v>
      </c>
      <c r="G1641" s="58">
        <v>310</v>
      </c>
      <c r="H1641" s="58">
        <v>18</v>
      </c>
      <c r="I1641" s="58"/>
      <c r="J1641" s="58"/>
      <c r="K1641" s="58"/>
      <c r="L1641" s="58"/>
      <c r="M1641" s="58">
        <v>49</v>
      </c>
      <c r="N1641" s="58"/>
    </row>
    <row r="1642" spans="1:14" x14ac:dyDescent="0.25">
      <c r="A1642" s="58" t="s">
        <v>213</v>
      </c>
      <c r="B1642" s="58" t="s">
        <v>377</v>
      </c>
      <c r="C1642" s="58" t="s">
        <v>379</v>
      </c>
      <c r="D1642" s="58" t="s">
        <v>378</v>
      </c>
      <c r="E1642" s="58">
        <v>3</v>
      </c>
      <c r="F1642" s="58">
        <v>12</v>
      </c>
      <c r="G1642" s="58">
        <v>320</v>
      </c>
      <c r="H1642" s="58">
        <v>18</v>
      </c>
      <c r="I1642" s="58"/>
      <c r="J1642" s="58"/>
      <c r="K1642" s="58"/>
      <c r="L1642" s="58"/>
      <c r="M1642" s="58">
        <v>49</v>
      </c>
      <c r="N1642" s="58"/>
    </row>
    <row r="1643" spans="1:14" x14ac:dyDescent="0.25">
      <c r="A1643" s="58" t="s">
        <v>213</v>
      </c>
      <c r="B1643" s="58" t="s">
        <v>377</v>
      </c>
      <c r="C1643" s="58" t="s">
        <v>379</v>
      </c>
      <c r="D1643" s="58" t="s">
        <v>378</v>
      </c>
      <c r="E1643" s="58">
        <v>3</v>
      </c>
      <c r="F1643" s="58">
        <v>12</v>
      </c>
      <c r="G1643" s="58">
        <v>330</v>
      </c>
      <c r="H1643" s="58">
        <v>18</v>
      </c>
      <c r="I1643" s="58"/>
      <c r="J1643" s="58"/>
      <c r="K1643" s="58"/>
      <c r="L1643" s="58"/>
      <c r="M1643" s="58">
        <v>49</v>
      </c>
      <c r="N1643" s="58"/>
    </row>
    <row r="1644" spans="1:14" x14ac:dyDescent="0.25">
      <c r="A1644" s="58" t="s">
        <v>213</v>
      </c>
      <c r="B1644" s="58" t="s">
        <v>377</v>
      </c>
      <c r="C1644" s="58" t="s">
        <v>379</v>
      </c>
      <c r="D1644" s="58" t="s">
        <v>378</v>
      </c>
      <c r="E1644" s="58">
        <v>3</v>
      </c>
      <c r="F1644" s="58">
        <v>14</v>
      </c>
      <c r="G1644" s="58">
        <v>50</v>
      </c>
      <c r="H1644" s="58">
        <v>18</v>
      </c>
      <c r="I1644" s="58"/>
      <c r="J1644" s="58"/>
      <c r="K1644" s="58"/>
      <c r="L1644" s="58"/>
      <c r="M1644" s="58">
        <v>34</v>
      </c>
      <c r="N1644" s="58"/>
    </row>
    <row r="1645" spans="1:14" x14ac:dyDescent="0.25">
      <c r="A1645" s="58" t="s">
        <v>213</v>
      </c>
      <c r="B1645" s="58" t="s">
        <v>377</v>
      </c>
      <c r="C1645" s="58" t="s">
        <v>379</v>
      </c>
      <c r="D1645" s="58" t="s">
        <v>378</v>
      </c>
      <c r="E1645" s="58">
        <v>3</v>
      </c>
      <c r="F1645" s="58">
        <v>14</v>
      </c>
      <c r="G1645" s="58">
        <v>55</v>
      </c>
      <c r="H1645" s="58">
        <v>18</v>
      </c>
      <c r="I1645" s="58"/>
      <c r="J1645" s="58"/>
      <c r="K1645" s="58"/>
      <c r="L1645" s="58"/>
      <c r="M1645" s="58">
        <v>34</v>
      </c>
      <c r="N1645" s="58"/>
    </row>
    <row r="1646" spans="1:14" x14ac:dyDescent="0.25">
      <c r="A1646" s="58" t="s">
        <v>213</v>
      </c>
      <c r="B1646" s="58" t="s">
        <v>377</v>
      </c>
      <c r="C1646" s="58" t="s">
        <v>379</v>
      </c>
      <c r="D1646" s="58" t="s">
        <v>378</v>
      </c>
      <c r="E1646" s="58">
        <v>3</v>
      </c>
      <c r="F1646" s="58">
        <v>14</v>
      </c>
      <c r="G1646" s="58">
        <v>60</v>
      </c>
      <c r="H1646" s="58">
        <v>18</v>
      </c>
      <c r="I1646" s="58"/>
      <c r="J1646" s="58"/>
      <c r="K1646" s="58"/>
      <c r="L1646" s="58"/>
      <c r="M1646" s="58">
        <v>34</v>
      </c>
      <c r="N1646" s="58"/>
    </row>
    <row r="1647" spans="1:14" x14ac:dyDescent="0.25">
      <c r="A1647" s="58" t="s">
        <v>213</v>
      </c>
      <c r="B1647" s="58" t="s">
        <v>377</v>
      </c>
      <c r="C1647" s="58" t="s">
        <v>379</v>
      </c>
      <c r="D1647" s="58" t="s">
        <v>378</v>
      </c>
      <c r="E1647" s="58">
        <v>3</v>
      </c>
      <c r="F1647" s="58">
        <v>14</v>
      </c>
      <c r="G1647" s="58">
        <v>65</v>
      </c>
      <c r="H1647" s="58">
        <v>18</v>
      </c>
      <c r="I1647" s="58"/>
      <c r="J1647" s="58"/>
      <c r="K1647" s="58"/>
      <c r="L1647" s="58"/>
      <c r="M1647" s="58">
        <v>34</v>
      </c>
      <c r="N1647" s="58"/>
    </row>
    <row r="1648" spans="1:14" x14ac:dyDescent="0.25">
      <c r="A1648" s="58" t="s">
        <v>213</v>
      </c>
      <c r="B1648" s="58" t="s">
        <v>377</v>
      </c>
      <c r="C1648" s="58" t="s">
        <v>379</v>
      </c>
      <c r="D1648" s="58" t="s">
        <v>378</v>
      </c>
      <c r="E1648" s="58">
        <v>3</v>
      </c>
      <c r="F1648" s="58">
        <v>14</v>
      </c>
      <c r="G1648" s="58">
        <v>70</v>
      </c>
      <c r="H1648" s="58">
        <v>18</v>
      </c>
      <c r="I1648" s="58"/>
      <c r="J1648" s="58"/>
      <c r="K1648" s="58"/>
      <c r="L1648" s="58"/>
      <c r="M1648" s="58">
        <v>34</v>
      </c>
      <c r="N1648" s="58"/>
    </row>
    <row r="1649" spans="1:14" x14ac:dyDescent="0.25">
      <c r="A1649" s="58" t="s">
        <v>213</v>
      </c>
      <c r="B1649" s="58" t="s">
        <v>377</v>
      </c>
      <c r="C1649" s="58" t="s">
        <v>379</v>
      </c>
      <c r="D1649" s="58" t="s">
        <v>378</v>
      </c>
      <c r="E1649" s="58">
        <v>3</v>
      </c>
      <c r="F1649" s="58">
        <v>14</v>
      </c>
      <c r="G1649" s="58">
        <v>75</v>
      </c>
      <c r="H1649" s="58">
        <v>18</v>
      </c>
      <c r="I1649" s="58"/>
      <c r="J1649" s="58"/>
      <c r="K1649" s="58"/>
      <c r="L1649" s="58"/>
      <c r="M1649" s="58">
        <v>34</v>
      </c>
      <c r="N1649" s="58"/>
    </row>
    <row r="1650" spans="1:14" x14ac:dyDescent="0.25">
      <c r="A1650" s="58" t="s">
        <v>213</v>
      </c>
      <c r="B1650" s="58" t="s">
        <v>377</v>
      </c>
      <c r="C1650" s="58" t="s">
        <v>379</v>
      </c>
      <c r="D1650" s="58" t="s">
        <v>378</v>
      </c>
      <c r="E1650" s="58">
        <v>3</v>
      </c>
      <c r="F1650" s="58">
        <v>14</v>
      </c>
      <c r="G1650" s="58">
        <v>80</v>
      </c>
      <c r="H1650" s="58">
        <v>18</v>
      </c>
      <c r="I1650" s="58"/>
      <c r="J1650" s="58"/>
      <c r="K1650" s="58"/>
      <c r="L1650" s="58"/>
      <c r="M1650" s="58">
        <v>34</v>
      </c>
      <c r="N1650" s="58"/>
    </row>
    <row r="1651" spans="1:14" x14ac:dyDescent="0.25">
      <c r="A1651" s="58" t="s">
        <v>213</v>
      </c>
      <c r="B1651" s="58" t="s">
        <v>377</v>
      </c>
      <c r="C1651" s="58" t="s">
        <v>379</v>
      </c>
      <c r="D1651" s="58" t="s">
        <v>378</v>
      </c>
      <c r="E1651" s="58">
        <v>3</v>
      </c>
      <c r="F1651" s="58">
        <v>14</v>
      </c>
      <c r="G1651" s="58">
        <v>85</v>
      </c>
      <c r="H1651" s="58">
        <v>18</v>
      </c>
      <c r="I1651" s="58"/>
      <c r="J1651" s="58"/>
      <c r="K1651" s="58"/>
      <c r="L1651" s="58"/>
      <c r="M1651" s="58">
        <v>34</v>
      </c>
      <c r="N1651" s="58"/>
    </row>
    <row r="1652" spans="1:14" x14ac:dyDescent="0.25">
      <c r="A1652" s="58" t="s">
        <v>213</v>
      </c>
      <c r="B1652" s="58" t="s">
        <v>377</v>
      </c>
      <c r="C1652" s="58" t="s">
        <v>379</v>
      </c>
      <c r="D1652" s="58" t="s">
        <v>378</v>
      </c>
      <c r="E1652" s="58">
        <v>3</v>
      </c>
      <c r="F1652" s="58">
        <v>14</v>
      </c>
      <c r="G1652" s="58">
        <v>90</v>
      </c>
      <c r="H1652" s="58">
        <v>18</v>
      </c>
      <c r="I1652" s="58"/>
      <c r="J1652" s="58"/>
      <c r="K1652" s="58"/>
      <c r="L1652" s="58"/>
      <c r="M1652" s="58">
        <v>34</v>
      </c>
      <c r="N1652" s="58"/>
    </row>
    <row r="1653" spans="1:14" x14ac:dyDescent="0.25">
      <c r="A1653" s="58" t="s">
        <v>213</v>
      </c>
      <c r="B1653" s="58" t="s">
        <v>377</v>
      </c>
      <c r="C1653" s="58" t="s">
        <v>379</v>
      </c>
      <c r="D1653" s="58" t="s">
        <v>378</v>
      </c>
      <c r="E1653" s="58">
        <v>3</v>
      </c>
      <c r="F1653" s="58">
        <v>14</v>
      </c>
      <c r="G1653" s="58">
        <v>95</v>
      </c>
      <c r="H1653" s="58">
        <v>18</v>
      </c>
      <c r="I1653" s="58"/>
      <c r="J1653" s="58"/>
      <c r="K1653" s="58"/>
      <c r="L1653" s="58"/>
      <c r="M1653" s="58">
        <v>34</v>
      </c>
      <c r="N1653" s="58"/>
    </row>
    <row r="1654" spans="1:14" x14ac:dyDescent="0.25">
      <c r="A1654" s="58" t="s">
        <v>213</v>
      </c>
      <c r="B1654" s="58" t="s">
        <v>377</v>
      </c>
      <c r="C1654" s="58" t="s">
        <v>379</v>
      </c>
      <c r="D1654" s="58" t="s">
        <v>378</v>
      </c>
      <c r="E1654" s="58">
        <v>3</v>
      </c>
      <c r="F1654" s="58">
        <v>14</v>
      </c>
      <c r="G1654" s="58">
        <v>100</v>
      </c>
      <c r="H1654" s="58">
        <v>21</v>
      </c>
      <c r="I1654" s="58"/>
      <c r="J1654" s="58"/>
      <c r="K1654" s="58"/>
      <c r="L1654" s="58"/>
      <c r="M1654" s="58">
        <v>34</v>
      </c>
      <c r="N1654" s="58"/>
    </row>
    <row r="1655" spans="1:14" x14ac:dyDescent="0.25">
      <c r="A1655" s="58" t="s">
        <v>213</v>
      </c>
      <c r="B1655" s="58" t="s">
        <v>377</v>
      </c>
      <c r="C1655" s="58" t="s">
        <v>379</v>
      </c>
      <c r="D1655" s="58" t="s">
        <v>378</v>
      </c>
      <c r="E1655" s="58">
        <v>3</v>
      </c>
      <c r="F1655" s="58">
        <v>14</v>
      </c>
      <c r="G1655" s="58">
        <v>110</v>
      </c>
      <c r="H1655" s="58">
        <v>21</v>
      </c>
      <c r="I1655" s="58"/>
      <c r="J1655" s="58"/>
      <c r="K1655" s="58"/>
      <c r="L1655" s="58"/>
      <c r="M1655" s="58">
        <v>34</v>
      </c>
      <c r="N1655" s="58"/>
    </row>
    <row r="1656" spans="1:14" x14ac:dyDescent="0.25">
      <c r="A1656" s="58" t="s">
        <v>213</v>
      </c>
      <c r="B1656" s="58" t="s">
        <v>377</v>
      </c>
      <c r="C1656" s="58" t="s">
        <v>379</v>
      </c>
      <c r="D1656" s="58" t="s">
        <v>378</v>
      </c>
      <c r="E1656" s="58">
        <v>3</v>
      </c>
      <c r="F1656" s="58">
        <v>14</v>
      </c>
      <c r="G1656" s="58">
        <v>120</v>
      </c>
      <c r="H1656" s="58">
        <v>21</v>
      </c>
      <c r="I1656" s="58"/>
      <c r="J1656" s="58"/>
      <c r="K1656" s="58"/>
      <c r="L1656" s="58"/>
      <c r="M1656" s="58">
        <v>34</v>
      </c>
      <c r="N1656" s="58"/>
    </row>
    <row r="1657" spans="1:14" x14ac:dyDescent="0.25">
      <c r="A1657" s="58" t="s">
        <v>213</v>
      </c>
      <c r="B1657" s="58" t="s">
        <v>377</v>
      </c>
      <c r="C1657" s="58" t="s">
        <v>379</v>
      </c>
      <c r="D1657" s="58" t="s">
        <v>378</v>
      </c>
      <c r="E1657" s="58">
        <v>3</v>
      </c>
      <c r="F1657" s="58">
        <v>14</v>
      </c>
      <c r="G1657" s="58">
        <v>130</v>
      </c>
      <c r="H1657" s="58">
        <v>21</v>
      </c>
      <c r="I1657" s="58"/>
      <c r="J1657" s="58"/>
      <c r="K1657" s="58"/>
      <c r="L1657" s="58"/>
      <c r="M1657" s="58">
        <v>40</v>
      </c>
      <c r="N1657" s="58"/>
    </row>
    <row r="1658" spans="1:14" x14ac:dyDescent="0.25">
      <c r="A1658" s="58" t="s">
        <v>213</v>
      </c>
      <c r="B1658" s="58" t="s">
        <v>377</v>
      </c>
      <c r="C1658" s="58" t="s">
        <v>379</v>
      </c>
      <c r="D1658" s="58" t="s">
        <v>378</v>
      </c>
      <c r="E1658" s="58">
        <v>3</v>
      </c>
      <c r="F1658" s="58">
        <v>14</v>
      </c>
      <c r="G1658" s="58">
        <v>140</v>
      </c>
      <c r="H1658" s="58">
        <v>21</v>
      </c>
      <c r="I1658" s="58"/>
      <c r="J1658" s="58"/>
      <c r="K1658" s="58"/>
      <c r="L1658" s="58"/>
      <c r="M1658" s="58">
        <v>40</v>
      </c>
      <c r="N1658" s="58"/>
    </row>
    <row r="1659" spans="1:14" x14ac:dyDescent="0.25">
      <c r="A1659" s="58" t="s">
        <v>213</v>
      </c>
      <c r="B1659" s="58" t="s">
        <v>377</v>
      </c>
      <c r="C1659" s="58" t="s">
        <v>379</v>
      </c>
      <c r="D1659" s="58" t="s">
        <v>378</v>
      </c>
      <c r="E1659" s="58">
        <v>3</v>
      </c>
      <c r="F1659" s="58">
        <v>14</v>
      </c>
      <c r="G1659" s="58">
        <v>150</v>
      </c>
      <c r="H1659" s="58">
        <v>21</v>
      </c>
      <c r="I1659" s="58"/>
      <c r="J1659" s="58"/>
      <c r="K1659" s="58"/>
      <c r="L1659" s="58"/>
      <c r="M1659" s="58">
        <v>40</v>
      </c>
      <c r="N1659" s="58"/>
    </row>
    <row r="1660" spans="1:14" x14ac:dyDescent="0.25">
      <c r="A1660" s="58" t="s">
        <v>213</v>
      </c>
      <c r="B1660" s="58" t="s">
        <v>377</v>
      </c>
      <c r="C1660" s="58" t="s">
        <v>379</v>
      </c>
      <c r="D1660" s="58" t="s">
        <v>378</v>
      </c>
      <c r="E1660" s="58">
        <v>3</v>
      </c>
      <c r="F1660" s="58">
        <v>14</v>
      </c>
      <c r="G1660" s="58">
        <v>160</v>
      </c>
      <c r="H1660" s="58">
        <v>21</v>
      </c>
      <c r="I1660" s="58"/>
      <c r="J1660" s="58"/>
      <c r="K1660" s="58"/>
      <c r="L1660" s="58"/>
      <c r="M1660" s="58">
        <v>40</v>
      </c>
      <c r="N1660" s="58"/>
    </row>
    <row r="1661" spans="1:14" x14ac:dyDescent="0.25">
      <c r="A1661" s="58" t="s">
        <v>213</v>
      </c>
      <c r="B1661" s="58" t="s">
        <v>377</v>
      </c>
      <c r="C1661" s="58" t="s">
        <v>379</v>
      </c>
      <c r="D1661" s="58" t="s">
        <v>378</v>
      </c>
      <c r="E1661" s="58">
        <v>3</v>
      </c>
      <c r="F1661" s="58">
        <v>14</v>
      </c>
      <c r="G1661" s="58">
        <v>170</v>
      </c>
      <c r="H1661" s="58">
        <v>21</v>
      </c>
      <c r="I1661" s="58"/>
      <c r="J1661" s="58"/>
      <c r="K1661" s="58"/>
      <c r="L1661" s="58"/>
      <c r="M1661" s="58">
        <v>40</v>
      </c>
      <c r="N1661" s="58"/>
    </row>
    <row r="1662" spans="1:14" x14ac:dyDescent="0.25">
      <c r="A1662" s="58" t="s">
        <v>213</v>
      </c>
      <c r="B1662" s="58" t="s">
        <v>377</v>
      </c>
      <c r="C1662" s="58" t="s">
        <v>379</v>
      </c>
      <c r="D1662" s="58" t="s">
        <v>378</v>
      </c>
      <c r="E1662" s="58">
        <v>3</v>
      </c>
      <c r="F1662" s="58">
        <v>14</v>
      </c>
      <c r="G1662" s="58">
        <v>180</v>
      </c>
      <c r="H1662" s="58">
        <v>21</v>
      </c>
      <c r="I1662" s="58"/>
      <c r="J1662" s="58"/>
      <c r="K1662" s="58"/>
      <c r="L1662" s="58"/>
      <c r="M1662" s="58">
        <v>40</v>
      </c>
      <c r="N1662" s="58"/>
    </row>
    <row r="1663" spans="1:14" x14ac:dyDescent="0.25">
      <c r="A1663" s="58" t="s">
        <v>213</v>
      </c>
      <c r="B1663" s="58" t="s">
        <v>377</v>
      </c>
      <c r="C1663" s="58" t="s">
        <v>379</v>
      </c>
      <c r="D1663" s="58" t="s">
        <v>378</v>
      </c>
      <c r="E1663" s="58">
        <v>3</v>
      </c>
      <c r="F1663" s="58">
        <v>14</v>
      </c>
      <c r="G1663" s="58">
        <v>190</v>
      </c>
      <c r="H1663" s="58">
        <v>21</v>
      </c>
      <c r="I1663" s="58"/>
      <c r="J1663" s="58"/>
      <c r="K1663" s="58"/>
      <c r="L1663" s="58"/>
      <c r="M1663" s="58">
        <v>40</v>
      </c>
      <c r="N1663" s="58"/>
    </row>
    <row r="1664" spans="1:14" x14ac:dyDescent="0.25">
      <c r="A1664" s="58" t="s">
        <v>213</v>
      </c>
      <c r="B1664" s="58" t="s">
        <v>377</v>
      </c>
      <c r="C1664" s="58" t="s">
        <v>379</v>
      </c>
      <c r="D1664" s="58" t="s">
        <v>378</v>
      </c>
      <c r="E1664" s="58">
        <v>3</v>
      </c>
      <c r="F1664" s="58">
        <v>14</v>
      </c>
      <c r="G1664" s="58">
        <v>200</v>
      </c>
      <c r="H1664" s="58">
        <v>21</v>
      </c>
      <c r="I1664" s="58"/>
      <c r="J1664" s="58"/>
      <c r="K1664" s="58"/>
      <c r="L1664" s="58"/>
      <c r="M1664" s="58">
        <v>40</v>
      </c>
      <c r="N1664" s="58"/>
    </row>
    <row r="1665" spans="1:14" x14ac:dyDescent="0.25">
      <c r="A1665" s="58" t="s">
        <v>213</v>
      </c>
      <c r="B1665" s="58" t="s">
        <v>377</v>
      </c>
      <c r="C1665" s="58" t="s">
        <v>379</v>
      </c>
      <c r="D1665" s="58" t="s">
        <v>378</v>
      </c>
      <c r="E1665" s="58">
        <v>3</v>
      </c>
      <c r="F1665" s="58">
        <v>14</v>
      </c>
      <c r="G1665" s="58">
        <v>220</v>
      </c>
      <c r="H1665" s="58">
        <v>21</v>
      </c>
      <c r="I1665" s="58"/>
      <c r="J1665" s="58"/>
      <c r="K1665" s="58"/>
      <c r="L1665" s="58"/>
      <c r="M1665" s="58">
        <v>53</v>
      </c>
      <c r="N1665" s="58"/>
    </row>
    <row r="1666" spans="1:14" x14ac:dyDescent="0.25">
      <c r="A1666" s="58" t="s">
        <v>213</v>
      </c>
      <c r="B1666" s="58" t="s">
        <v>377</v>
      </c>
      <c r="C1666" s="58" t="s">
        <v>379</v>
      </c>
      <c r="D1666" s="58" t="s">
        <v>378</v>
      </c>
      <c r="E1666" s="58">
        <v>3</v>
      </c>
      <c r="F1666" s="58">
        <v>14</v>
      </c>
      <c r="G1666" s="58">
        <v>240</v>
      </c>
      <c r="H1666" s="58">
        <v>21</v>
      </c>
      <c r="I1666" s="58"/>
      <c r="J1666" s="58"/>
      <c r="K1666" s="58"/>
      <c r="L1666" s="58"/>
      <c r="M1666" s="58">
        <v>53</v>
      </c>
      <c r="N1666" s="58"/>
    </row>
    <row r="1667" spans="1:14" x14ac:dyDescent="0.25">
      <c r="A1667" s="58" t="s">
        <v>213</v>
      </c>
      <c r="B1667" s="58" t="s">
        <v>377</v>
      </c>
      <c r="C1667" s="58" t="s">
        <v>379</v>
      </c>
      <c r="D1667" s="58" t="s">
        <v>378</v>
      </c>
      <c r="E1667" s="58">
        <v>3</v>
      </c>
      <c r="F1667" s="58">
        <v>16</v>
      </c>
      <c r="G1667" s="58">
        <v>50</v>
      </c>
      <c r="H1667" s="58">
        <v>21</v>
      </c>
      <c r="I1667" s="58"/>
      <c r="J1667" s="58"/>
      <c r="K1667" s="58"/>
      <c r="L1667" s="58"/>
      <c r="M1667" s="58">
        <v>38</v>
      </c>
      <c r="N1667" s="58"/>
    </row>
    <row r="1668" spans="1:14" x14ac:dyDescent="0.25">
      <c r="A1668" s="58" t="s">
        <v>213</v>
      </c>
      <c r="B1668" s="58" t="s">
        <v>377</v>
      </c>
      <c r="C1668" s="58" t="s">
        <v>379</v>
      </c>
      <c r="D1668" s="58" t="s">
        <v>378</v>
      </c>
      <c r="E1668" s="58">
        <v>3</v>
      </c>
      <c r="F1668" s="58">
        <v>16</v>
      </c>
      <c r="G1668" s="58">
        <v>55</v>
      </c>
      <c r="H1668" s="58">
        <v>21</v>
      </c>
      <c r="I1668" s="58"/>
      <c r="J1668" s="58"/>
      <c r="K1668" s="58"/>
      <c r="L1668" s="58"/>
      <c r="M1668" s="58">
        <v>38</v>
      </c>
      <c r="N1668" s="58"/>
    </row>
    <row r="1669" spans="1:14" x14ac:dyDescent="0.25">
      <c r="A1669" s="58" t="s">
        <v>213</v>
      </c>
      <c r="B1669" s="58" t="s">
        <v>377</v>
      </c>
      <c r="C1669" s="58" t="s">
        <v>379</v>
      </c>
      <c r="D1669" s="58" t="s">
        <v>378</v>
      </c>
      <c r="E1669" s="58">
        <v>3</v>
      </c>
      <c r="F1669" s="58">
        <v>16</v>
      </c>
      <c r="G1669" s="58">
        <v>60</v>
      </c>
      <c r="H1669" s="58">
        <v>21</v>
      </c>
      <c r="I1669" s="58"/>
      <c r="J1669" s="58"/>
      <c r="K1669" s="58"/>
      <c r="L1669" s="58"/>
      <c r="M1669" s="58">
        <v>38</v>
      </c>
      <c r="N1669" s="58"/>
    </row>
    <row r="1670" spans="1:14" x14ac:dyDescent="0.25">
      <c r="A1670" s="58" t="s">
        <v>213</v>
      </c>
      <c r="B1670" s="58" t="s">
        <v>377</v>
      </c>
      <c r="C1670" s="58" t="s">
        <v>379</v>
      </c>
      <c r="D1670" s="58" t="s">
        <v>378</v>
      </c>
      <c r="E1670" s="58">
        <v>3</v>
      </c>
      <c r="F1670" s="58">
        <v>16</v>
      </c>
      <c r="G1670" s="58">
        <v>65</v>
      </c>
      <c r="H1670" s="58">
        <v>21</v>
      </c>
      <c r="I1670" s="58"/>
      <c r="J1670" s="58"/>
      <c r="K1670" s="58"/>
      <c r="L1670" s="58"/>
      <c r="M1670" s="58">
        <v>38</v>
      </c>
      <c r="N1670" s="58"/>
    </row>
    <row r="1671" spans="1:14" x14ac:dyDescent="0.25">
      <c r="A1671" s="58" t="s">
        <v>213</v>
      </c>
      <c r="B1671" s="58" t="s">
        <v>377</v>
      </c>
      <c r="C1671" s="58" t="s">
        <v>379</v>
      </c>
      <c r="D1671" s="58" t="s">
        <v>378</v>
      </c>
      <c r="E1671" s="58">
        <v>3</v>
      </c>
      <c r="F1671" s="58">
        <v>16</v>
      </c>
      <c r="G1671" s="58">
        <v>70</v>
      </c>
      <c r="H1671" s="58">
        <v>21</v>
      </c>
      <c r="I1671" s="58"/>
      <c r="J1671" s="58"/>
      <c r="K1671" s="58"/>
      <c r="L1671" s="58"/>
      <c r="M1671" s="58">
        <v>38</v>
      </c>
      <c r="N1671" s="58"/>
    </row>
    <row r="1672" spans="1:14" x14ac:dyDescent="0.25">
      <c r="A1672" s="58" t="s">
        <v>213</v>
      </c>
      <c r="B1672" s="58" t="s">
        <v>377</v>
      </c>
      <c r="C1672" s="58" t="s">
        <v>379</v>
      </c>
      <c r="D1672" s="58" t="s">
        <v>378</v>
      </c>
      <c r="E1672" s="58">
        <v>3</v>
      </c>
      <c r="F1672" s="58">
        <v>16</v>
      </c>
      <c r="G1672" s="58">
        <v>75</v>
      </c>
      <c r="H1672" s="58">
        <v>21</v>
      </c>
      <c r="I1672" s="58"/>
      <c r="J1672" s="58"/>
      <c r="K1672" s="58"/>
      <c r="L1672" s="58"/>
      <c r="M1672" s="58">
        <v>38</v>
      </c>
      <c r="N1672" s="58"/>
    </row>
    <row r="1673" spans="1:14" x14ac:dyDescent="0.25">
      <c r="A1673" s="58" t="s">
        <v>213</v>
      </c>
      <c r="B1673" s="58" t="s">
        <v>377</v>
      </c>
      <c r="C1673" s="58" t="s">
        <v>379</v>
      </c>
      <c r="D1673" s="58" t="s">
        <v>378</v>
      </c>
      <c r="E1673" s="58">
        <v>3</v>
      </c>
      <c r="F1673" s="58">
        <v>16</v>
      </c>
      <c r="G1673" s="58">
        <v>80</v>
      </c>
      <c r="H1673" s="58">
        <v>21</v>
      </c>
      <c r="I1673" s="58"/>
      <c r="J1673" s="58"/>
      <c r="K1673" s="58"/>
      <c r="L1673" s="58"/>
      <c r="M1673" s="58">
        <v>38</v>
      </c>
      <c r="N1673" s="58"/>
    </row>
    <row r="1674" spans="1:14" x14ac:dyDescent="0.25">
      <c r="A1674" s="58" t="s">
        <v>213</v>
      </c>
      <c r="B1674" s="58" t="s">
        <v>377</v>
      </c>
      <c r="C1674" s="58" t="s">
        <v>379</v>
      </c>
      <c r="D1674" s="58" t="s">
        <v>378</v>
      </c>
      <c r="E1674" s="58">
        <v>3</v>
      </c>
      <c r="F1674" s="58">
        <v>16</v>
      </c>
      <c r="G1674" s="58">
        <v>85</v>
      </c>
      <c r="H1674" s="58">
        <v>21</v>
      </c>
      <c r="I1674" s="58"/>
      <c r="J1674" s="58"/>
      <c r="K1674" s="58"/>
      <c r="L1674" s="58"/>
      <c r="M1674" s="58">
        <v>38</v>
      </c>
      <c r="N1674" s="58"/>
    </row>
    <row r="1675" spans="1:14" x14ac:dyDescent="0.25">
      <c r="A1675" s="58" t="s">
        <v>213</v>
      </c>
      <c r="B1675" s="58" t="s">
        <v>377</v>
      </c>
      <c r="C1675" s="58" t="s">
        <v>379</v>
      </c>
      <c r="D1675" s="58" t="s">
        <v>378</v>
      </c>
      <c r="E1675" s="58">
        <v>3</v>
      </c>
      <c r="F1675" s="58">
        <v>16</v>
      </c>
      <c r="G1675" s="58">
        <v>90</v>
      </c>
      <c r="H1675" s="58">
        <v>21</v>
      </c>
      <c r="I1675" s="58"/>
      <c r="J1675" s="58"/>
      <c r="K1675" s="58"/>
      <c r="L1675" s="58"/>
      <c r="M1675" s="58">
        <v>38</v>
      </c>
      <c r="N1675" s="58"/>
    </row>
    <row r="1676" spans="1:14" x14ac:dyDescent="0.25">
      <c r="A1676" s="58" t="s">
        <v>213</v>
      </c>
      <c r="B1676" s="58" t="s">
        <v>377</v>
      </c>
      <c r="C1676" s="58" t="s">
        <v>379</v>
      </c>
      <c r="D1676" s="58" t="s">
        <v>378</v>
      </c>
      <c r="E1676" s="58">
        <v>3</v>
      </c>
      <c r="F1676" s="58">
        <v>16</v>
      </c>
      <c r="G1676" s="58">
        <v>95</v>
      </c>
      <c r="H1676" s="58">
        <v>21</v>
      </c>
      <c r="I1676" s="58"/>
      <c r="J1676" s="58"/>
      <c r="K1676" s="58"/>
      <c r="L1676" s="58"/>
      <c r="M1676" s="58">
        <v>38</v>
      </c>
      <c r="N1676" s="58"/>
    </row>
    <row r="1677" spans="1:14" x14ac:dyDescent="0.25">
      <c r="A1677" s="58" t="s">
        <v>213</v>
      </c>
      <c r="B1677" s="58" t="s">
        <v>377</v>
      </c>
      <c r="C1677" s="58" t="s">
        <v>379</v>
      </c>
      <c r="D1677" s="58" t="s">
        <v>378</v>
      </c>
      <c r="E1677" s="58">
        <v>3</v>
      </c>
      <c r="F1677" s="58">
        <v>16</v>
      </c>
      <c r="G1677" s="58">
        <v>100</v>
      </c>
      <c r="H1677" s="58">
        <v>24</v>
      </c>
      <c r="I1677" s="58"/>
      <c r="J1677" s="58"/>
      <c r="K1677" s="58"/>
      <c r="L1677" s="58"/>
      <c r="M1677" s="58">
        <v>38</v>
      </c>
      <c r="N1677" s="58"/>
    </row>
    <row r="1678" spans="1:14" x14ac:dyDescent="0.25">
      <c r="A1678" s="58" t="s">
        <v>213</v>
      </c>
      <c r="B1678" s="58" t="s">
        <v>377</v>
      </c>
      <c r="C1678" s="58" t="s">
        <v>379</v>
      </c>
      <c r="D1678" s="58" t="s">
        <v>378</v>
      </c>
      <c r="E1678" s="58">
        <v>3</v>
      </c>
      <c r="F1678" s="58">
        <v>16</v>
      </c>
      <c r="G1678" s="58">
        <v>110</v>
      </c>
      <c r="H1678" s="58">
        <v>24</v>
      </c>
      <c r="I1678" s="58"/>
      <c r="J1678" s="58"/>
      <c r="K1678" s="58"/>
      <c r="L1678" s="58"/>
      <c r="M1678" s="58">
        <v>38</v>
      </c>
      <c r="N1678" s="58"/>
    </row>
    <row r="1679" spans="1:14" x14ac:dyDescent="0.25">
      <c r="A1679" s="58" t="s">
        <v>213</v>
      </c>
      <c r="B1679" s="58" t="s">
        <v>377</v>
      </c>
      <c r="C1679" s="58" t="s">
        <v>379</v>
      </c>
      <c r="D1679" s="58" t="s">
        <v>378</v>
      </c>
      <c r="E1679" s="58">
        <v>3</v>
      </c>
      <c r="F1679" s="58">
        <v>16</v>
      </c>
      <c r="G1679" s="58">
        <v>120</v>
      </c>
      <c r="H1679" s="58">
        <v>24</v>
      </c>
      <c r="I1679" s="58"/>
      <c r="J1679" s="58"/>
      <c r="K1679" s="58"/>
      <c r="L1679" s="58"/>
      <c r="M1679" s="58">
        <v>38</v>
      </c>
      <c r="N1679" s="58"/>
    </row>
    <row r="1680" spans="1:14" x14ac:dyDescent="0.25">
      <c r="A1680" s="58" t="s">
        <v>213</v>
      </c>
      <c r="B1680" s="58" t="s">
        <v>377</v>
      </c>
      <c r="C1680" s="58" t="s">
        <v>379</v>
      </c>
      <c r="D1680" s="58" t="s">
        <v>378</v>
      </c>
      <c r="E1680" s="58">
        <v>3</v>
      </c>
      <c r="F1680" s="58">
        <v>16</v>
      </c>
      <c r="G1680" s="58">
        <v>130</v>
      </c>
      <c r="H1680" s="58">
        <v>24</v>
      </c>
      <c r="I1680" s="58"/>
      <c r="J1680" s="58"/>
      <c r="K1680" s="58"/>
      <c r="L1680" s="58"/>
      <c r="M1680" s="58">
        <v>44</v>
      </c>
      <c r="N1680" s="58"/>
    </row>
    <row r="1681" spans="1:14" x14ac:dyDescent="0.25">
      <c r="A1681" s="58" t="s">
        <v>213</v>
      </c>
      <c r="B1681" s="58" t="s">
        <v>377</v>
      </c>
      <c r="C1681" s="58" t="s">
        <v>379</v>
      </c>
      <c r="D1681" s="58" t="s">
        <v>378</v>
      </c>
      <c r="E1681" s="58">
        <v>3</v>
      </c>
      <c r="F1681" s="58">
        <v>16</v>
      </c>
      <c r="G1681" s="58">
        <v>140</v>
      </c>
      <c r="H1681" s="58">
        <v>24</v>
      </c>
      <c r="I1681" s="58"/>
      <c r="J1681" s="58"/>
      <c r="K1681" s="58"/>
      <c r="L1681" s="58"/>
      <c r="M1681" s="58">
        <v>44</v>
      </c>
      <c r="N1681" s="58"/>
    </row>
    <row r="1682" spans="1:14" x14ac:dyDescent="0.25">
      <c r="A1682" s="58" t="s">
        <v>213</v>
      </c>
      <c r="B1682" s="58" t="s">
        <v>377</v>
      </c>
      <c r="C1682" s="58" t="s">
        <v>379</v>
      </c>
      <c r="D1682" s="58" t="s">
        <v>378</v>
      </c>
      <c r="E1682" s="58">
        <v>3</v>
      </c>
      <c r="F1682" s="58">
        <v>16</v>
      </c>
      <c r="G1682" s="58">
        <v>150</v>
      </c>
      <c r="H1682" s="58">
        <v>24</v>
      </c>
      <c r="I1682" s="58"/>
      <c r="J1682" s="58"/>
      <c r="K1682" s="58"/>
      <c r="L1682" s="58"/>
      <c r="M1682" s="58">
        <v>44</v>
      </c>
      <c r="N1682" s="58"/>
    </row>
    <row r="1683" spans="1:14" x14ac:dyDescent="0.25">
      <c r="A1683" s="58" t="s">
        <v>213</v>
      </c>
      <c r="B1683" s="58" t="s">
        <v>377</v>
      </c>
      <c r="C1683" s="58" t="s">
        <v>379</v>
      </c>
      <c r="D1683" s="58" t="s">
        <v>378</v>
      </c>
      <c r="E1683" s="58">
        <v>3</v>
      </c>
      <c r="F1683" s="58">
        <v>16</v>
      </c>
      <c r="G1683" s="58">
        <v>160</v>
      </c>
      <c r="H1683" s="58">
        <v>24</v>
      </c>
      <c r="I1683" s="58"/>
      <c r="J1683" s="58"/>
      <c r="K1683" s="58"/>
      <c r="L1683" s="58"/>
      <c r="M1683" s="58">
        <v>44</v>
      </c>
      <c r="N1683" s="58"/>
    </row>
    <row r="1684" spans="1:14" x14ac:dyDescent="0.25">
      <c r="A1684" s="58" t="s">
        <v>213</v>
      </c>
      <c r="B1684" s="58" t="s">
        <v>377</v>
      </c>
      <c r="C1684" s="58" t="s">
        <v>379</v>
      </c>
      <c r="D1684" s="58" t="s">
        <v>378</v>
      </c>
      <c r="E1684" s="58">
        <v>3</v>
      </c>
      <c r="F1684" s="58">
        <v>16</v>
      </c>
      <c r="G1684" s="58">
        <v>180</v>
      </c>
      <c r="H1684" s="58">
        <v>24</v>
      </c>
      <c r="I1684" s="58"/>
      <c r="J1684" s="58"/>
      <c r="K1684" s="58"/>
      <c r="L1684" s="58"/>
      <c r="M1684" s="58">
        <v>44</v>
      </c>
      <c r="N1684" s="58"/>
    </row>
    <row r="1685" spans="1:14" x14ac:dyDescent="0.25">
      <c r="A1685" s="58" t="s">
        <v>213</v>
      </c>
      <c r="B1685" s="58" t="s">
        <v>377</v>
      </c>
      <c r="C1685" s="58" t="s">
        <v>379</v>
      </c>
      <c r="D1685" s="58" t="s">
        <v>378</v>
      </c>
      <c r="E1685" s="58">
        <v>3</v>
      </c>
      <c r="F1685" s="58">
        <v>16</v>
      </c>
      <c r="G1685" s="58">
        <v>190</v>
      </c>
      <c r="H1685" s="58">
        <v>24</v>
      </c>
      <c r="I1685" s="58"/>
      <c r="J1685" s="58"/>
      <c r="K1685" s="58"/>
      <c r="L1685" s="58"/>
      <c r="M1685" s="58">
        <v>44</v>
      </c>
      <c r="N1685" s="58"/>
    </row>
    <row r="1686" spans="1:14" x14ac:dyDescent="0.25">
      <c r="A1686" s="58" t="s">
        <v>213</v>
      </c>
      <c r="B1686" s="58" t="s">
        <v>377</v>
      </c>
      <c r="C1686" s="58" t="s">
        <v>379</v>
      </c>
      <c r="D1686" s="58" t="s">
        <v>378</v>
      </c>
      <c r="E1686" s="58">
        <v>3</v>
      </c>
      <c r="F1686" s="58">
        <v>16</v>
      </c>
      <c r="G1686" s="58">
        <v>200</v>
      </c>
      <c r="H1686" s="58">
        <v>24</v>
      </c>
      <c r="I1686" s="58"/>
      <c r="J1686" s="58"/>
      <c r="K1686" s="58"/>
      <c r="L1686" s="58"/>
      <c r="M1686" s="58">
        <v>44</v>
      </c>
      <c r="N1686" s="58"/>
    </row>
    <row r="1687" spans="1:14" x14ac:dyDescent="0.25">
      <c r="A1687" s="58" t="s">
        <v>213</v>
      </c>
      <c r="B1687" s="58" t="s">
        <v>377</v>
      </c>
      <c r="C1687" s="58" t="s">
        <v>379</v>
      </c>
      <c r="D1687" s="58" t="s">
        <v>378</v>
      </c>
      <c r="E1687" s="58">
        <v>3</v>
      </c>
      <c r="F1687" s="58">
        <v>16</v>
      </c>
      <c r="G1687" s="58">
        <v>220</v>
      </c>
      <c r="H1687" s="58">
        <v>24</v>
      </c>
      <c r="I1687" s="58"/>
      <c r="J1687" s="58"/>
      <c r="K1687" s="58"/>
      <c r="L1687" s="58"/>
      <c r="M1687" s="58">
        <v>57</v>
      </c>
      <c r="N1687" s="58"/>
    </row>
    <row r="1688" spans="1:14" x14ac:dyDescent="0.25">
      <c r="A1688" s="58" t="s">
        <v>213</v>
      </c>
      <c r="B1688" s="58" t="s">
        <v>377</v>
      </c>
      <c r="C1688" s="58" t="s">
        <v>379</v>
      </c>
      <c r="D1688" s="58" t="s">
        <v>378</v>
      </c>
      <c r="E1688" s="58">
        <v>3</v>
      </c>
      <c r="F1688" s="58">
        <v>16</v>
      </c>
      <c r="G1688" s="58">
        <v>230</v>
      </c>
      <c r="H1688" s="58">
        <v>24</v>
      </c>
      <c r="I1688" s="58"/>
      <c r="J1688" s="58"/>
      <c r="K1688" s="58"/>
      <c r="L1688" s="58"/>
      <c r="M1688" s="58">
        <v>57</v>
      </c>
      <c r="N1688" s="58"/>
    </row>
    <row r="1689" spans="1:14" x14ac:dyDescent="0.25">
      <c r="A1689" s="58" t="s">
        <v>213</v>
      </c>
      <c r="B1689" s="58" t="s">
        <v>377</v>
      </c>
      <c r="C1689" s="58" t="s">
        <v>379</v>
      </c>
      <c r="D1689" s="58" t="s">
        <v>378</v>
      </c>
      <c r="E1689" s="58">
        <v>3</v>
      </c>
      <c r="F1689" s="58">
        <v>16</v>
      </c>
      <c r="G1689" s="58">
        <v>240</v>
      </c>
      <c r="H1689" s="58">
        <v>24</v>
      </c>
      <c r="I1689" s="58"/>
      <c r="J1689" s="58"/>
      <c r="K1689" s="58"/>
      <c r="L1689" s="58"/>
      <c r="M1689" s="58">
        <v>57</v>
      </c>
      <c r="N1689" s="58"/>
    </row>
    <row r="1690" spans="1:14" x14ac:dyDescent="0.25">
      <c r="A1690" s="58" t="s">
        <v>213</v>
      </c>
      <c r="B1690" s="58" t="s">
        <v>377</v>
      </c>
      <c r="C1690" s="58" t="s">
        <v>379</v>
      </c>
      <c r="D1690" s="58" t="s">
        <v>378</v>
      </c>
      <c r="E1690" s="58">
        <v>3</v>
      </c>
      <c r="F1690" s="58">
        <v>16</v>
      </c>
      <c r="G1690" s="58">
        <v>250</v>
      </c>
      <c r="H1690" s="58">
        <v>24</v>
      </c>
      <c r="I1690" s="58"/>
      <c r="J1690" s="58"/>
      <c r="K1690" s="58"/>
      <c r="L1690" s="58"/>
      <c r="M1690" s="58">
        <v>57</v>
      </c>
      <c r="N1690" s="58"/>
    </row>
    <row r="1691" spans="1:14" x14ac:dyDescent="0.25">
      <c r="A1691" s="58" t="s">
        <v>213</v>
      </c>
      <c r="B1691" s="58" t="s">
        <v>377</v>
      </c>
      <c r="C1691" s="58" t="s">
        <v>379</v>
      </c>
      <c r="D1691" s="58" t="s">
        <v>378</v>
      </c>
      <c r="E1691" s="58">
        <v>3</v>
      </c>
      <c r="F1691" s="58">
        <v>16</v>
      </c>
      <c r="G1691" s="58">
        <v>260</v>
      </c>
      <c r="H1691" s="58">
        <v>24</v>
      </c>
      <c r="I1691" s="58"/>
      <c r="J1691" s="58"/>
      <c r="K1691" s="58"/>
      <c r="L1691" s="58"/>
      <c r="M1691" s="58">
        <v>57</v>
      </c>
      <c r="N1691" s="58"/>
    </row>
    <row r="1692" spans="1:14" x14ac:dyDescent="0.25">
      <c r="A1692" s="58" t="s">
        <v>213</v>
      </c>
      <c r="B1692" s="58" t="s">
        <v>377</v>
      </c>
      <c r="C1692" s="58" t="s">
        <v>379</v>
      </c>
      <c r="D1692" s="58" t="s">
        <v>378</v>
      </c>
      <c r="E1692" s="58">
        <v>3</v>
      </c>
      <c r="F1692" s="58">
        <v>16</v>
      </c>
      <c r="G1692" s="58">
        <v>270</v>
      </c>
      <c r="H1692" s="58">
        <v>24</v>
      </c>
      <c r="I1692" s="58"/>
      <c r="J1692" s="58"/>
      <c r="K1692" s="58"/>
      <c r="L1692" s="58"/>
      <c r="M1692" s="58">
        <v>57</v>
      </c>
      <c r="N1692" s="58"/>
    </row>
    <row r="1693" spans="1:14" x14ac:dyDescent="0.25">
      <c r="A1693" s="58" t="s">
        <v>213</v>
      </c>
      <c r="B1693" s="58" t="s">
        <v>377</v>
      </c>
      <c r="C1693" s="58" t="s">
        <v>379</v>
      </c>
      <c r="D1693" s="58" t="s">
        <v>378</v>
      </c>
      <c r="E1693" s="58">
        <v>3</v>
      </c>
      <c r="F1693" s="58">
        <v>16</v>
      </c>
      <c r="G1693" s="58">
        <v>280</v>
      </c>
      <c r="H1693" s="58">
        <v>24</v>
      </c>
      <c r="I1693" s="58"/>
      <c r="J1693" s="58"/>
      <c r="K1693" s="58"/>
      <c r="L1693" s="58"/>
      <c r="M1693" s="58">
        <v>57</v>
      </c>
      <c r="N1693" s="58"/>
    </row>
    <row r="1694" spans="1:14" x14ac:dyDescent="0.25">
      <c r="A1694" s="58" t="s">
        <v>213</v>
      </c>
      <c r="B1694" s="58" t="s">
        <v>377</v>
      </c>
      <c r="C1694" s="58" t="s">
        <v>379</v>
      </c>
      <c r="D1694" s="58" t="s">
        <v>378</v>
      </c>
      <c r="E1694" s="58">
        <v>3</v>
      </c>
      <c r="F1694" s="58">
        <v>16</v>
      </c>
      <c r="G1694" s="58">
        <v>290</v>
      </c>
      <c r="H1694" s="58">
        <v>24</v>
      </c>
      <c r="I1694" s="58"/>
      <c r="J1694" s="58"/>
      <c r="K1694" s="58"/>
      <c r="L1694" s="58"/>
      <c r="M1694" s="58">
        <v>57</v>
      </c>
      <c r="N1694" s="58"/>
    </row>
    <row r="1695" spans="1:14" x14ac:dyDescent="0.25">
      <c r="A1695" s="58" t="s">
        <v>213</v>
      </c>
      <c r="B1695" s="58" t="s">
        <v>377</v>
      </c>
      <c r="C1695" s="58" t="s">
        <v>379</v>
      </c>
      <c r="D1695" s="58" t="s">
        <v>378</v>
      </c>
      <c r="E1695" s="58">
        <v>3</v>
      </c>
      <c r="F1695" s="58">
        <v>16</v>
      </c>
      <c r="G1695" s="58">
        <v>300</v>
      </c>
      <c r="H1695" s="58">
        <v>24</v>
      </c>
      <c r="I1695" s="58"/>
      <c r="J1695" s="58"/>
      <c r="K1695" s="58"/>
      <c r="L1695" s="58"/>
      <c r="M1695" s="58">
        <v>57</v>
      </c>
      <c r="N1695" s="58"/>
    </row>
    <row r="1696" spans="1:14" x14ac:dyDescent="0.25">
      <c r="A1696" s="58" t="s">
        <v>213</v>
      </c>
      <c r="B1696" s="58" t="s">
        <v>377</v>
      </c>
      <c r="C1696" s="58" t="s">
        <v>379</v>
      </c>
      <c r="D1696" s="58" t="s">
        <v>378</v>
      </c>
      <c r="E1696" s="58">
        <v>3</v>
      </c>
      <c r="F1696" s="58">
        <v>16</v>
      </c>
      <c r="G1696" s="58">
        <v>310</v>
      </c>
      <c r="H1696" s="58">
        <v>24</v>
      </c>
      <c r="I1696" s="58"/>
      <c r="J1696" s="58"/>
      <c r="K1696" s="58"/>
      <c r="L1696" s="58"/>
      <c r="M1696" s="58">
        <v>57</v>
      </c>
      <c r="N1696" s="58"/>
    </row>
    <row r="1697" spans="1:14" x14ac:dyDescent="0.25">
      <c r="A1697" s="58" t="s">
        <v>213</v>
      </c>
      <c r="B1697" s="58" t="s">
        <v>377</v>
      </c>
      <c r="C1697" s="58" t="s">
        <v>379</v>
      </c>
      <c r="D1697" s="58" t="s">
        <v>378</v>
      </c>
      <c r="E1697" s="58">
        <v>3</v>
      </c>
      <c r="F1697" s="58">
        <v>16</v>
      </c>
      <c r="G1697" s="58">
        <v>320</v>
      </c>
      <c r="H1697" s="58">
        <v>24</v>
      </c>
      <c r="I1697" s="58"/>
      <c r="J1697" s="58"/>
      <c r="K1697" s="58"/>
      <c r="L1697" s="58"/>
      <c r="M1697" s="58">
        <v>57</v>
      </c>
      <c r="N1697" s="58"/>
    </row>
    <row r="1698" spans="1:14" x14ac:dyDescent="0.25">
      <c r="A1698" s="58" t="s">
        <v>213</v>
      </c>
      <c r="B1698" s="58" t="s">
        <v>377</v>
      </c>
      <c r="C1698" s="58" t="s">
        <v>379</v>
      </c>
      <c r="D1698" s="58" t="s">
        <v>378</v>
      </c>
      <c r="E1698" s="58">
        <v>3</v>
      </c>
      <c r="F1698" s="58">
        <v>16</v>
      </c>
      <c r="G1698" s="58">
        <v>330</v>
      </c>
      <c r="H1698" s="58">
        <v>24</v>
      </c>
      <c r="I1698" s="58"/>
      <c r="J1698" s="58"/>
      <c r="K1698" s="58"/>
      <c r="L1698" s="58"/>
      <c r="M1698" s="58">
        <v>57</v>
      </c>
      <c r="N1698" s="58"/>
    </row>
    <row r="1699" spans="1:14" x14ac:dyDescent="0.25">
      <c r="A1699" s="58" t="s">
        <v>213</v>
      </c>
      <c r="B1699" s="58" t="s">
        <v>377</v>
      </c>
      <c r="C1699" s="58" t="s">
        <v>379</v>
      </c>
      <c r="D1699" s="58" t="s">
        <v>378</v>
      </c>
      <c r="E1699" s="58">
        <v>3</v>
      </c>
      <c r="F1699" s="58">
        <v>16</v>
      </c>
      <c r="G1699" s="58">
        <v>340</v>
      </c>
      <c r="H1699" s="58">
        <v>24</v>
      </c>
      <c r="I1699" s="58"/>
      <c r="J1699" s="58"/>
      <c r="K1699" s="58"/>
      <c r="L1699" s="58"/>
      <c r="M1699" s="58">
        <v>57</v>
      </c>
      <c r="N1699" s="58"/>
    </row>
    <row r="1700" spans="1:14" x14ac:dyDescent="0.25">
      <c r="A1700" s="58" t="s">
        <v>213</v>
      </c>
      <c r="B1700" s="58" t="s">
        <v>377</v>
      </c>
      <c r="C1700" s="58" t="s">
        <v>379</v>
      </c>
      <c r="D1700" s="58" t="s">
        <v>378</v>
      </c>
      <c r="E1700" s="58">
        <v>3</v>
      </c>
      <c r="F1700" s="58">
        <v>16</v>
      </c>
      <c r="G1700" s="58">
        <v>350</v>
      </c>
      <c r="H1700" s="58">
        <v>24</v>
      </c>
      <c r="I1700" s="58"/>
      <c r="J1700" s="58"/>
      <c r="K1700" s="58"/>
      <c r="L1700" s="58"/>
      <c r="M1700" s="58">
        <v>57</v>
      </c>
      <c r="N1700" s="58"/>
    </row>
    <row r="1701" spans="1:14" x14ac:dyDescent="0.25">
      <c r="A1701" s="58" t="s">
        <v>213</v>
      </c>
      <c r="B1701" s="58" t="s">
        <v>377</v>
      </c>
      <c r="C1701" s="58" t="s">
        <v>379</v>
      </c>
      <c r="D1701" s="58" t="s">
        <v>378</v>
      </c>
      <c r="E1701" s="58">
        <v>3</v>
      </c>
      <c r="F1701" s="58">
        <v>16</v>
      </c>
      <c r="G1701" s="58">
        <v>360</v>
      </c>
      <c r="H1701" s="58">
        <v>24</v>
      </c>
      <c r="I1701" s="58"/>
      <c r="J1701" s="58"/>
      <c r="K1701" s="58"/>
      <c r="L1701" s="58"/>
      <c r="M1701" s="58">
        <v>57</v>
      </c>
      <c r="N1701" s="58"/>
    </row>
    <row r="1702" spans="1:14" x14ac:dyDescent="0.25">
      <c r="A1702" s="58" t="s">
        <v>213</v>
      </c>
      <c r="B1702" s="58" t="s">
        <v>377</v>
      </c>
      <c r="C1702" s="58" t="s">
        <v>379</v>
      </c>
      <c r="D1702" s="58" t="s">
        <v>378</v>
      </c>
      <c r="E1702" s="58">
        <v>3</v>
      </c>
      <c r="F1702" s="58">
        <v>16</v>
      </c>
      <c r="G1702" s="58">
        <v>370</v>
      </c>
      <c r="H1702" s="58">
        <v>24</v>
      </c>
      <c r="I1702" s="58"/>
      <c r="J1702" s="58"/>
      <c r="K1702" s="58"/>
      <c r="L1702" s="58"/>
      <c r="M1702" s="58">
        <v>57</v>
      </c>
      <c r="N1702" s="58"/>
    </row>
    <row r="1703" spans="1:14" x14ac:dyDescent="0.25">
      <c r="A1703" s="58" t="s">
        <v>213</v>
      </c>
      <c r="B1703" s="58" t="s">
        <v>377</v>
      </c>
      <c r="C1703" s="58" t="s">
        <v>379</v>
      </c>
      <c r="D1703" s="58" t="s">
        <v>378</v>
      </c>
      <c r="E1703" s="58">
        <v>3</v>
      </c>
      <c r="F1703" s="58">
        <v>16</v>
      </c>
      <c r="G1703" s="58">
        <v>380</v>
      </c>
      <c r="H1703" s="58">
        <v>24</v>
      </c>
      <c r="I1703" s="58"/>
      <c r="J1703" s="58"/>
      <c r="K1703" s="58"/>
      <c r="L1703" s="58"/>
      <c r="M1703" s="58">
        <v>57</v>
      </c>
      <c r="N1703" s="58"/>
    </row>
    <row r="1704" spans="1:14" x14ac:dyDescent="0.25">
      <c r="A1704" s="58" t="s">
        <v>213</v>
      </c>
      <c r="B1704" s="58" t="s">
        <v>377</v>
      </c>
      <c r="C1704" s="58" t="s">
        <v>379</v>
      </c>
      <c r="D1704" s="58" t="s">
        <v>378</v>
      </c>
      <c r="E1704" s="58">
        <v>3</v>
      </c>
      <c r="F1704" s="58">
        <v>16</v>
      </c>
      <c r="G1704" s="58">
        <v>390</v>
      </c>
      <c r="H1704" s="58">
        <v>24</v>
      </c>
      <c r="I1704" s="58"/>
      <c r="J1704" s="58"/>
      <c r="K1704" s="58"/>
      <c r="L1704" s="58"/>
      <c r="M1704" s="58">
        <v>57</v>
      </c>
      <c r="N1704" s="58"/>
    </row>
    <row r="1705" spans="1:14" x14ac:dyDescent="0.25">
      <c r="A1705" s="58" t="s">
        <v>213</v>
      </c>
      <c r="B1705" s="58" t="s">
        <v>377</v>
      </c>
      <c r="C1705" s="58" t="s">
        <v>379</v>
      </c>
      <c r="D1705" s="58" t="s">
        <v>378</v>
      </c>
      <c r="E1705" s="58">
        <v>3</v>
      </c>
      <c r="F1705" s="58">
        <v>16</v>
      </c>
      <c r="G1705" s="58">
        <v>400</v>
      </c>
      <c r="H1705" s="58">
        <v>24</v>
      </c>
      <c r="I1705" s="58"/>
      <c r="J1705" s="58"/>
      <c r="K1705" s="58"/>
      <c r="L1705" s="58"/>
      <c r="M1705" s="58">
        <v>57</v>
      </c>
      <c r="N1705" s="58"/>
    </row>
    <row r="1706" spans="1:14" x14ac:dyDescent="0.25">
      <c r="A1706" s="58" t="s">
        <v>213</v>
      </c>
      <c r="B1706" s="58" t="s">
        <v>377</v>
      </c>
      <c r="C1706" s="58" t="s">
        <v>379</v>
      </c>
      <c r="D1706" s="58" t="s">
        <v>378</v>
      </c>
      <c r="E1706" s="58">
        <v>3</v>
      </c>
      <c r="F1706" s="58">
        <v>16</v>
      </c>
      <c r="G1706" s="58">
        <v>420</v>
      </c>
      <c r="H1706" s="58">
        <v>24</v>
      </c>
      <c r="I1706" s="58"/>
      <c r="J1706" s="58"/>
      <c r="K1706" s="58"/>
      <c r="L1706" s="58"/>
      <c r="M1706" s="58">
        <v>57</v>
      </c>
      <c r="N1706" s="58"/>
    </row>
    <row r="1707" spans="1:14" x14ac:dyDescent="0.25">
      <c r="A1707" s="58" t="s">
        <v>213</v>
      </c>
      <c r="B1707" s="58" t="s">
        <v>377</v>
      </c>
      <c r="C1707" s="58" t="s">
        <v>379</v>
      </c>
      <c r="D1707" s="58" t="s">
        <v>378</v>
      </c>
      <c r="E1707" s="58">
        <v>3</v>
      </c>
      <c r="F1707" s="58">
        <v>16</v>
      </c>
      <c r="G1707" s="58">
        <v>440</v>
      </c>
      <c r="H1707" s="58">
        <v>24</v>
      </c>
      <c r="I1707" s="58"/>
      <c r="J1707" s="58"/>
      <c r="K1707" s="58"/>
      <c r="L1707" s="58"/>
      <c r="M1707" s="58">
        <v>57</v>
      </c>
      <c r="N1707" s="58"/>
    </row>
    <row r="1708" spans="1:14" x14ac:dyDescent="0.25">
      <c r="A1708" s="58" t="s">
        <v>213</v>
      </c>
      <c r="B1708" s="58" t="s">
        <v>377</v>
      </c>
      <c r="C1708" s="58" t="s">
        <v>379</v>
      </c>
      <c r="D1708" s="58" t="s">
        <v>378</v>
      </c>
      <c r="E1708" s="58">
        <v>3</v>
      </c>
      <c r="F1708" s="58">
        <v>18</v>
      </c>
      <c r="G1708" s="58">
        <v>60</v>
      </c>
      <c r="H1708" s="58">
        <v>24</v>
      </c>
      <c r="I1708" s="58"/>
      <c r="J1708" s="58"/>
      <c r="K1708" s="58"/>
      <c r="L1708" s="58"/>
      <c r="M1708" s="58">
        <v>42</v>
      </c>
      <c r="N1708" s="58"/>
    </row>
    <row r="1709" spans="1:14" x14ac:dyDescent="0.25">
      <c r="A1709" s="58" t="s">
        <v>213</v>
      </c>
      <c r="B1709" s="58" t="s">
        <v>377</v>
      </c>
      <c r="C1709" s="58" t="s">
        <v>379</v>
      </c>
      <c r="D1709" s="58" t="s">
        <v>378</v>
      </c>
      <c r="E1709" s="58">
        <v>3</v>
      </c>
      <c r="F1709" s="58">
        <v>18</v>
      </c>
      <c r="G1709" s="58">
        <v>65</v>
      </c>
      <c r="H1709" s="58">
        <v>24</v>
      </c>
      <c r="I1709" s="58"/>
      <c r="J1709" s="58"/>
      <c r="K1709" s="58"/>
      <c r="L1709" s="58"/>
      <c r="M1709" s="58">
        <v>42</v>
      </c>
      <c r="N1709" s="58"/>
    </row>
    <row r="1710" spans="1:14" x14ac:dyDescent="0.25">
      <c r="A1710" s="58" t="s">
        <v>213</v>
      </c>
      <c r="B1710" s="58" t="s">
        <v>377</v>
      </c>
      <c r="C1710" s="58" t="s">
        <v>379</v>
      </c>
      <c r="D1710" s="58" t="s">
        <v>378</v>
      </c>
      <c r="E1710" s="58">
        <v>3</v>
      </c>
      <c r="F1710" s="58">
        <v>18</v>
      </c>
      <c r="G1710" s="58">
        <v>70</v>
      </c>
      <c r="H1710" s="58">
        <v>24</v>
      </c>
      <c r="I1710" s="58"/>
      <c r="J1710" s="58"/>
      <c r="K1710" s="58"/>
      <c r="L1710" s="58"/>
      <c r="M1710" s="58">
        <v>42</v>
      </c>
      <c r="N1710" s="58"/>
    </row>
    <row r="1711" spans="1:14" x14ac:dyDescent="0.25">
      <c r="A1711" s="58" t="s">
        <v>213</v>
      </c>
      <c r="B1711" s="58" t="s">
        <v>377</v>
      </c>
      <c r="C1711" s="58" t="s">
        <v>379</v>
      </c>
      <c r="D1711" s="58" t="s">
        <v>378</v>
      </c>
      <c r="E1711" s="58">
        <v>3</v>
      </c>
      <c r="F1711" s="58">
        <v>18</v>
      </c>
      <c r="G1711" s="58">
        <v>75</v>
      </c>
      <c r="H1711" s="58">
        <v>24</v>
      </c>
      <c r="I1711" s="58"/>
      <c r="J1711" s="58"/>
      <c r="K1711" s="58"/>
      <c r="L1711" s="58"/>
      <c r="M1711" s="58">
        <v>42</v>
      </c>
      <c r="N1711" s="58"/>
    </row>
    <row r="1712" spans="1:14" x14ac:dyDescent="0.25">
      <c r="A1712" s="58" t="s">
        <v>213</v>
      </c>
      <c r="B1712" s="58" t="s">
        <v>377</v>
      </c>
      <c r="C1712" s="58" t="s">
        <v>379</v>
      </c>
      <c r="D1712" s="58" t="s">
        <v>378</v>
      </c>
      <c r="E1712" s="58">
        <v>3</v>
      </c>
      <c r="F1712" s="58">
        <v>18</v>
      </c>
      <c r="G1712" s="58">
        <v>80</v>
      </c>
      <c r="H1712" s="58">
        <v>24</v>
      </c>
      <c r="I1712" s="58"/>
      <c r="J1712" s="58"/>
      <c r="K1712" s="58"/>
      <c r="L1712" s="58"/>
      <c r="M1712" s="58">
        <v>42</v>
      </c>
      <c r="N1712" s="58"/>
    </row>
    <row r="1713" spans="1:14" x14ac:dyDescent="0.25">
      <c r="A1713" s="58" t="s">
        <v>213</v>
      </c>
      <c r="B1713" s="58" t="s">
        <v>377</v>
      </c>
      <c r="C1713" s="58" t="s">
        <v>379</v>
      </c>
      <c r="D1713" s="58" t="s">
        <v>378</v>
      </c>
      <c r="E1713" s="58">
        <v>3</v>
      </c>
      <c r="F1713" s="58">
        <v>18</v>
      </c>
      <c r="G1713" s="58">
        <v>90</v>
      </c>
      <c r="H1713" s="58">
        <v>24</v>
      </c>
      <c r="I1713" s="58"/>
      <c r="J1713" s="58"/>
      <c r="K1713" s="58"/>
      <c r="L1713" s="58"/>
      <c r="M1713" s="58">
        <v>42</v>
      </c>
      <c r="N1713" s="58"/>
    </row>
    <row r="1714" spans="1:14" x14ac:dyDescent="0.25">
      <c r="A1714" s="58" t="s">
        <v>213</v>
      </c>
      <c r="B1714" s="58" t="s">
        <v>377</v>
      </c>
      <c r="C1714" s="58" t="s">
        <v>379</v>
      </c>
      <c r="D1714" s="58" t="s">
        <v>378</v>
      </c>
      <c r="E1714" s="58">
        <v>3</v>
      </c>
      <c r="F1714" s="58">
        <v>18</v>
      </c>
      <c r="G1714" s="58">
        <v>95</v>
      </c>
      <c r="H1714" s="58">
        <v>24</v>
      </c>
      <c r="I1714" s="58"/>
      <c r="J1714" s="58"/>
      <c r="K1714" s="58"/>
      <c r="L1714" s="58"/>
      <c r="M1714" s="58">
        <v>42</v>
      </c>
      <c r="N1714" s="58"/>
    </row>
    <row r="1715" spans="1:14" x14ac:dyDescent="0.25">
      <c r="A1715" s="58" t="s">
        <v>213</v>
      </c>
      <c r="B1715" s="58" t="s">
        <v>377</v>
      </c>
      <c r="C1715" s="58" t="s">
        <v>379</v>
      </c>
      <c r="D1715" s="58" t="s">
        <v>378</v>
      </c>
      <c r="E1715" s="58">
        <v>3</v>
      </c>
      <c r="F1715" s="58">
        <v>18</v>
      </c>
      <c r="G1715" s="58">
        <v>100</v>
      </c>
      <c r="H1715" s="58">
        <v>27</v>
      </c>
      <c r="I1715" s="58"/>
      <c r="J1715" s="58"/>
      <c r="K1715" s="58"/>
      <c r="L1715" s="58"/>
      <c r="M1715" s="58">
        <v>42</v>
      </c>
      <c r="N1715" s="58"/>
    </row>
    <row r="1716" spans="1:14" x14ac:dyDescent="0.25">
      <c r="A1716" s="58" t="s">
        <v>213</v>
      </c>
      <c r="B1716" s="58" t="s">
        <v>377</v>
      </c>
      <c r="C1716" s="58" t="s">
        <v>379</v>
      </c>
      <c r="D1716" s="58" t="s">
        <v>378</v>
      </c>
      <c r="E1716" s="58">
        <v>3</v>
      </c>
      <c r="F1716" s="58">
        <v>18</v>
      </c>
      <c r="G1716" s="58">
        <v>110</v>
      </c>
      <c r="H1716" s="58">
        <v>27</v>
      </c>
      <c r="I1716" s="58"/>
      <c r="J1716" s="58"/>
      <c r="K1716" s="58"/>
      <c r="L1716" s="58"/>
      <c r="M1716" s="58">
        <v>42</v>
      </c>
      <c r="N1716" s="58"/>
    </row>
    <row r="1717" spans="1:14" x14ac:dyDescent="0.25">
      <c r="A1717" s="58" t="s">
        <v>213</v>
      </c>
      <c r="B1717" s="58" t="s">
        <v>377</v>
      </c>
      <c r="C1717" s="58" t="s">
        <v>379</v>
      </c>
      <c r="D1717" s="58" t="s">
        <v>378</v>
      </c>
      <c r="E1717" s="58">
        <v>3</v>
      </c>
      <c r="F1717" s="58">
        <v>18</v>
      </c>
      <c r="G1717" s="58">
        <v>120</v>
      </c>
      <c r="H1717" s="58">
        <v>27</v>
      </c>
      <c r="I1717" s="58"/>
      <c r="J1717" s="58"/>
      <c r="K1717" s="58"/>
      <c r="L1717" s="58"/>
      <c r="M1717" s="58">
        <v>42</v>
      </c>
      <c r="N1717" s="58"/>
    </row>
    <row r="1718" spans="1:14" x14ac:dyDescent="0.25">
      <c r="A1718" s="58" t="s">
        <v>213</v>
      </c>
      <c r="B1718" s="58" t="s">
        <v>377</v>
      </c>
      <c r="C1718" s="58" t="s">
        <v>379</v>
      </c>
      <c r="D1718" s="58" t="s">
        <v>378</v>
      </c>
      <c r="E1718" s="58">
        <v>3</v>
      </c>
      <c r="F1718" s="58">
        <v>18</v>
      </c>
      <c r="G1718" s="58">
        <v>130</v>
      </c>
      <c r="H1718" s="58">
        <v>27</v>
      </c>
      <c r="I1718" s="58"/>
      <c r="J1718" s="58"/>
      <c r="K1718" s="58"/>
      <c r="L1718" s="58"/>
      <c r="M1718" s="58">
        <v>48</v>
      </c>
      <c r="N1718" s="58"/>
    </row>
    <row r="1719" spans="1:14" x14ac:dyDescent="0.25">
      <c r="A1719" s="58" t="s">
        <v>213</v>
      </c>
      <c r="B1719" s="58" t="s">
        <v>377</v>
      </c>
      <c r="C1719" s="58" t="s">
        <v>379</v>
      </c>
      <c r="D1719" s="58" t="s">
        <v>378</v>
      </c>
      <c r="E1719" s="58">
        <v>3</v>
      </c>
      <c r="F1719" s="58">
        <v>18</v>
      </c>
      <c r="G1719" s="58">
        <v>140</v>
      </c>
      <c r="H1719" s="58">
        <v>27</v>
      </c>
      <c r="I1719" s="58"/>
      <c r="J1719" s="58"/>
      <c r="K1719" s="58"/>
      <c r="L1719" s="58"/>
      <c r="M1719" s="58">
        <v>48</v>
      </c>
      <c r="N1719" s="58"/>
    </row>
    <row r="1720" spans="1:14" x14ac:dyDescent="0.25">
      <c r="A1720" s="58" t="s">
        <v>213</v>
      </c>
      <c r="B1720" s="58" t="s">
        <v>377</v>
      </c>
      <c r="C1720" s="58" t="s">
        <v>379</v>
      </c>
      <c r="D1720" s="58" t="s">
        <v>378</v>
      </c>
      <c r="E1720" s="58">
        <v>3</v>
      </c>
      <c r="F1720" s="58">
        <v>18</v>
      </c>
      <c r="G1720" s="58">
        <v>150</v>
      </c>
      <c r="H1720" s="58">
        <v>27</v>
      </c>
      <c r="I1720" s="58"/>
      <c r="J1720" s="58"/>
      <c r="K1720" s="58"/>
      <c r="L1720" s="58"/>
      <c r="M1720" s="58">
        <v>48</v>
      </c>
      <c r="N1720" s="58"/>
    </row>
    <row r="1721" spans="1:14" x14ac:dyDescent="0.25">
      <c r="A1721" s="58" t="s">
        <v>213</v>
      </c>
      <c r="B1721" s="58" t="s">
        <v>377</v>
      </c>
      <c r="C1721" s="58" t="s">
        <v>379</v>
      </c>
      <c r="D1721" s="58" t="s">
        <v>378</v>
      </c>
      <c r="E1721" s="58">
        <v>3</v>
      </c>
      <c r="F1721" s="58">
        <v>18</v>
      </c>
      <c r="G1721" s="58">
        <v>160</v>
      </c>
      <c r="H1721" s="58">
        <v>27</v>
      </c>
      <c r="I1721" s="58"/>
      <c r="J1721" s="58"/>
      <c r="K1721" s="58"/>
      <c r="L1721" s="58"/>
      <c r="M1721" s="58">
        <v>48</v>
      </c>
      <c r="N1721" s="58"/>
    </row>
    <row r="1722" spans="1:14" x14ac:dyDescent="0.25">
      <c r="A1722" s="58" t="s">
        <v>213</v>
      </c>
      <c r="B1722" s="58" t="s">
        <v>377</v>
      </c>
      <c r="C1722" s="58" t="s">
        <v>379</v>
      </c>
      <c r="D1722" s="58" t="s">
        <v>378</v>
      </c>
      <c r="E1722" s="58">
        <v>3</v>
      </c>
      <c r="F1722" s="58">
        <v>18</v>
      </c>
      <c r="G1722" s="58">
        <v>170</v>
      </c>
      <c r="H1722" s="58">
        <v>27</v>
      </c>
      <c r="I1722" s="58"/>
      <c r="J1722" s="58"/>
      <c r="K1722" s="58"/>
      <c r="L1722" s="58"/>
      <c r="M1722" s="58">
        <v>48</v>
      </c>
      <c r="N1722" s="58"/>
    </row>
    <row r="1723" spans="1:14" x14ac:dyDescent="0.25">
      <c r="A1723" s="58" t="s">
        <v>213</v>
      </c>
      <c r="B1723" s="58" t="s">
        <v>377</v>
      </c>
      <c r="C1723" s="58" t="s">
        <v>379</v>
      </c>
      <c r="D1723" s="58" t="s">
        <v>378</v>
      </c>
      <c r="E1723" s="58">
        <v>3</v>
      </c>
      <c r="F1723" s="58">
        <v>18</v>
      </c>
      <c r="G1723" s="58">
        <v>180</v>
      </c>
      <c r="H1723" s="58">
        <v>27</v>
      </c>
      <c r="I1723" s="58"/>
      <c r="J1723" s="58"/>
      <c r="K1723" s="58"/>
      <c r="L1723" s="58"/>
      <c r="M1723" s="58">
        <v>48</v>
      </c>
      <c r="N1723" s="58"/>
    </row>
    <row r="1724" spans="1:14" x14ac:dyDescent="0.25">
      <c r="A1724" s="58" t="s">
        <v>213</v>
      </c>
      <c r="B1724" s="58" t="s">
        <v>377</v>
      </c>
      <c r="C1724" s="58" t="s">
        <v>379</v>
      </c>
      <c r="D1724" s="58" t="s">
        <v>378</v>
      </c>
      <c r="E1724" s="58">
        <v>3</v>
      </c>
      <c r="F1724" s="58">
        <v>18</v>
      </c>
      <c r="G1724" s="58">
        <v>190</v>
      </c>
      <c r="H1724" s="58">
        <v>27</v>
      </c>
      <c r="I1724" s="58"/>
      <c r="J1724" s="58"/>
      <c r="K1724" s="58"/>
      <c r="L1724" s="58"/>
      <c r="M1724" s="58">
        <v>48</v>
      </c>
      <c r="N1724" s="58"/>
    </row>
    <row r="1725" spans="1:14" x14ac:dyDescent="0.25">
      <c r="A1725" s="58" t="s">
        <v>213</v>
      </c>
      <c r="B1725" s="58" t="s">
        <v>377</v>
      </c>
      <c r="C1725" s="58" t="s">
        <v>379</v>
      </c>
      <c r="D1725" s="58" t="s">
        <v>378</v>
      </c>
      <c r="E1725" s="58">
        <v>3</v>
      </c>
      <c r="F1725" s="58">
        <v>18</v>
      </c>
      <c r="G1725" s="58">
        <v>200</v>
      </c>
      <c r="H1725" s="58">
        <v>27</v>
      </c>
      <c r="I1725" s="58"/>
      <c r="J1725" s="58"/>
      <c r="K1725" s="58"/>
      <c r="L1725" s="58"/>
      <c r="M1725" s="58">
        <v>48</v>
      </c>
      <c r="N1725" s="58"/>
    </row>
    <row r="1726" spans="1:14" x14ac:dyDescent="0.25">
      <c r="A1726" s="58" t="s">
        <v>213</v>
      </c>
      <c r="B1726" s="58" t="s">
        <v>377</v>
      </c>
      <c r="C1726" s="58" t="s">
        <v>379</v>
      </c>
      <c r="D1726" s="58" t="s">
        <v>378</v>
      </c>
      <c r="E1726" s="58">
        <v>3</v>
      </c>
      <c r="F1726" s="58">
        <v>18</v>
      </c>
      <c r="G1726" s="58">
        <v>220</v>
      </c>
      <c r="H1726" s="58">
        <v>27</v>
      </c>
      <c r="I1726" s="58"/>
      <c r="J1726" s="58"/>
      <c r="K1726" s="58"/>
      <c r="L1726" s="58"/>
      <c r="M1726" s="58">
        <v>61</v>
      </c>
      <c r="N1726" s="58"/>
    </row>
    <row r="1727" spans="1:14" x14ac:dyDescent="0.25">
      <c r="A1727" s="58" t="s">
        <v>213</v>
      </c>
      <c r="B1727" s="58" t="s">
        <v>377</v>
      </c>
      <c r="C1727" s="58" t="s">
        <v>379</v>
      </c>
      <c r="D1727" s="58" t="s">
        <v>378</v>
      </c>
      <c r="E1727" s="58">
        <v>3</v>
      </c>
      <c r="F1727" s="58">
        <v>18</v>
      </c>
      <c r="G1727" s="58">
        <v>230</v>
      </c>
      <c r="H1727" s="58">
        <v>27</v>
      </c>
      <c r="I1727" s="58"/>
      <c r="J1727" s="58"/>
      <c r="K1727" s="58"/>
      <c r="L1727" s="58"/>
      <c r="M1727" s="58">
        <v>61</v>
      </c>
      <c r="N1727" s="58"/>
    </row>
    <row r="1728" spans="1:14" x14ac:dyDescent="0.25">
      <c r="A1728" s="58" t="s">
        <v>213</v>
      </c>
      <c r="B1728" s="58" t="s">
        <v>377</v>
      </c>
      <c r="C1728" s="58" t="s">
        <v>379</v>
      </c>
      <c r="D1728" s="58" t="s">
        <v>378</v>
      </c>
      <c r="E1728" s="58">
        <v>3</v>
      </c>
      <c r="F1728" s="58">
        <v>18</v>
      </c>
      <c r="G1728" s="58">
        <v>240</v>
      </c>
      <c r="H1728" s="58">
        <v>27</v>
      </c>
      <c r="I1728" s="58"/>
      <c r="J1728" s="58"/>
      <c r="K1728" s="58"/>
      <c r="L1728" s="58"/>
      <c r="M1728" s="58">
        <v>61</v>
      </c>
      <c r="N1728" s="58"/>
    </row>
    <row r="1729" spans="1:14" x14ac:dyDescent="0.25">
      <c r="A1729" s="58" t="s">
        <v>213</v>
      </c>
      <c r="B1729" s="58" t="s">
        <v>377</v>
      </c>
      <c r="C1729" s="58" t="s">
        <v>379</v>
      </c>
      <c r="D1729" s="58" t="s">
        <v>378</v>
      </c>
      <c r="E1729" s="58">
        <v>3</v>
      </c>
      <c r="F1729" s="58">
        <v>20</v>
      </c>
      <c r="G1729" s="58">
        <v>60</v>
      </c>
      <c r="H1729" s="58">
        <v>27</v>
      </c>
      <c r="I1729" s="58"/>
      <c r="J1729" s="58"/>
      <c r="K1729" s="58"/>
      <c r="L1729" s="58"/>
      <c r="M1729" s="58">
        <v>46</v>
      </c>
      <c r="N1729" s="58"/>
    </row>
    <row r="1730" spans="1:14" x14ac:dyDescent="0.25">
      <c r="A1730" s="58" t="s">
        <v>213</v>
      </c>
      <c r="B1730" s="58" t="s">
        <v>377</v>
      </c>
      <c r="C1730" s="58" t="s">
        <v>379</v>
      </c>
      <c r="D1730" s="58" t="s">
        <v>378</v>
      </c>
      <c r="E1730" s="58">
        <v>3</v>
      </c>
      <c r="F1730" s="58">
        <v>20</v>
      </c>
      <c r="G1730" s="58">
        <v>65</v>
      </c>
      <c r="H1730" s="58">
        <v>27</v>
      </c>
      <c r="I1730" s="58"/>
      <c r="J1730" s="58"/>
      <c r="K1730" s="58"/>
      <c r="L1730" s="58"/>
      <c r="M1730" s="58">
        <v>46</v>
      </c>
      <c r="N1730" s="58"/>
    </row>
    <row r="1731" spans="1:14" x14ac:dyDescent="0.25">
      <c r="A1731" s="58" t="s">
        <v>213</v>
      </c>
      <c r="B1731" s="58" t="s">
        <v>377</v>
      </c>
      <c r="C1731" s="58" t="s">
        <v>379</v>
      </c>
      <c r="D1731" s="58" t="s">
        <v>378</v>
      </c>
      <c r="E1731" s="58">
        <v>3</v>
      </c>
      <c r="F1731" s="58">
        <v>20</v>
      </c>
      <c r="G1731" s="58">
        <v>70</v>
      </c>
      <c r="H1731" s="58">
        <v>27</v>
      </c>
      <c r="I1731" s="58"/>
      <c r="J1731" s="58"/>
      <c r="K1731" s="58"/>
      <c r="L1731" s="58"/>
      <c r="M1731" s="58">
        <v>46</v>
      </c>
      <c r="N1731" s="58"/>
    </row>
    <row r="1732" spans="1:14" x14ac:dyDescent="0.25">
      <c r="A1732" s="58" t="s">
        <v>213</v>
      </c>
      <c r="B1732" s="58" t="s">
        <v>377</v>
      </c>
      <c r="C1732" s="58" t="s">
        <v>379</v>
      </c>
      <c r="D1732" s="58" t="s">
        <v>378</v>
      </c>
      <c r="E1732" s="58">
        <v>3</v>
      </c>
      <c r="F1732" s="58">
        <v>20</v>
      </c>
      <c r="G1732" s="58">
        <v>75</v>
      </c>
      <c r="H1732" s="58">
        <v>27</v>
      </c>
      <c r="I1732" s="58"/>
      <c r="J1732" s="58"/>
      <c r="K1732" s="58"/>
      <c r="L1732" s="58"/>
      <c r="M1732" s="58">
        <v>46</v>
      </c>
      <c r="N1732" s="58"/>
    </row>
    <row r="1733" spans="1:14" x14ac:dyDescent="0.25">
      <c r="A1733" s="58" t="s">
        <v>213</v>
      </c>
      <c r="B1733" s="58" t="s">
        <v>377</v>
      </c>
      <c r="C1733" s="58" t="s">
        <v>379</v>
      </c>
      <c r="D1733" s="58" t="s">
        <v>378</v>
      </c>
      <c r="E1733" s="58">
        <v>3</v>
      </c>
      <c r="F1733" s="58">
        <v>20</v>
      </c>
      <c r="G1733" s="58">
        <v>80</v>
      </c>
      <c r="H1733" s="58">
        <v>27</v>
      </c>
      <c r="I1733" s="58"/>
      <c r="J1733" s="58"/>
      <c r="K1733" s="58"/>
      <c r="L1733" s="58"/>
      <c r="M1733" s="58">
        <v>46</v>
      </c>
      <c r="N1733" s="58"/>
    </row>
    <row r="1734" spans="1:14" x14ac:dyDescent="0.25">
      <c r="A1734" s="58" t="s">
        <v>213</v>
      </c>
      <c r="B1734" s="58" t="s">
        <v>377</v>
      </c>
      <c r="C1734" s="58" t="s">
        <v>379</v>
      </c>
      <c r="D1734" s="58" t="s">
        <v>378</v>
      </c>
      <c r="E1734" s="58">
        <v>3</v>
      </c>
      <c r="F1734" s="58">
        <v>20</v>
      </c>
      <c r="G1734" s="58">
        <v>85</v>
      </c>
      <c r="H1734" s="58">
        <v>27</v>
      </c>
      <c r="I1734" s="58"/>
      <c r="J1734" s="58"/>
      <c r="K1734" s="58"/>
      <c r="L1734" s="58"/>
      <c r="M1734" s="58">
        <v>46</v>
      </c>
      <c r="N1734" s="58"/>
    </row>
    <row r="1735" spans="1:14" x14ac:dyDescent="0.25">
      <c r="A1735" s="58" t="s">
        <v>213</v>
      </c>
      <c r="B1735" s="58" t="s">
        <v>377</v>
      </c>
      <c r="C1735" s="58" t="s">
        <v>379</v>
      </c>
      <c r="D1735" s="58" t="s">
        <v>378</v>
      </c>
      <c r="E1735" s="58">
        <v>3</v>
      </c>
      <c r="F1735" s="58">
        <v>20</v>
      </c>
      <c r="G1735" s="58">
        <v>90</v>
      </c>
      <c r="H1735" s="58">
        <v>27</v>
      </c>
      <c r="I1735" s="58"/>
      <c r="J1735" s="58"/>
      <c r="K1735" s="58"/>
      <c r="L1735" s="58"/>
      <c r="M1735" s="58">
        <v>46</v>
      </c>
      <c r="N1735" s="58"/>
    </row>
    <row r="1736" spans="1:14" x14ac:dyDescent="0.25">
      <c r="A1736" s="58" t="s">
        <v>213</v>
      </c>
      <c r="B1736" s="58" t="s">
        <v>377</v>
      </c>
      <c r="C1736" s="58" t="s">
        <v>379</v>
      </c>
      <c r="D1736" s="58" t="s">
        <v>378</v>
      </c>
      <c r="E1736" s="58">
        <v>3</v>
      </c>
      <c r="F1736" s="58">
        <v>20</v>
      </c>
      <c r="G1736" s="58">
        <v>95</v>
      </c>
      <c r="H1736" s="58">
        <v>27</v>
      </c>
      <c r="I1736" s="58"/>
      <c r="J1736" s="58"/>
      <c r="K1736" s="58"/>
      <c r="L1736" s="58"/>
      <c r="M1736" s="58">
        <v>46</v>
      </c>
      <c r="N1736" s="58"/>
    </row>
    <row r="1737" spans="1:14" x14ac:dyDescent="0.25">
      <c r="A1737" s="58" t="s">
        <v>213</v>
      </c>
      <c r="B1737" s="58" t="s">
        <v>377</v>
      </c>
      <c r="C1737" s="58" t="s">
        <v>379</v>
      </c>
      <c r="D1737" s="58" t="s">
        <v>378</v>
      </c>
      <c r="E1737" s="58">
        <v>3</v>
      </c>
      <c r="F1737" s="58">
        <v>20</v>
      </c>
      <c r="G1737" s="58">
        <v>100</v>
      </c>
      <c r="H1737" s="58">
        <v>30</v>
      </c>
      <c r="I1737" s="58"/>
      <c r="J1737" s="58"/>
      <c r="K1737" s="58"/>
      <c r="L1737" s="58"/>
      <c r="M1737" s="58">
        <v>46</v>
      </c>
      <c r="N1737" s="58"/>
    </row>
    <row r="1738" spans="1:14" x14ac:dyDescent="0.25">
      <c r="A1738" s="58" t="s">
        <v>213</v>
      </c>
      <c r="B1738" s="58" t="s">
        <v>377</v>
      </c>
      <c r="C1738" s="58" t="s">
        <v>379</v>
      </c>
      <c r="D1738" s="58" t="s">
        <v>378</v>
      </c>
      <c r="E1738" s="58">
        <v>3</v>
      </c>
      <c r="F1738" s="58">
        <v>20</v>
      </c>
      <c r="G1738" s="58">
        <v>110</v>
      </c>
      <c r="H1738" s="58">
        <v>30</v>
      </c>
      <c r="I1738" s="58"/>
      <c r="J1738" s="58"/>
      <c r="K1738" s="58"/>
      <c r="L1738" s="58"/>
      <c r="M1738" s="58">
        <v>46</v>
      </c>
      <c r="N1738" s="58"/>
    </row>
    <row r="1739" spans="1:14" x14ac:dyDescent="0.25">
      <c r="A1739" s="58" t="s">
        <v>213</v>
      </c>
      <c r="B1739" s="58" t="s">
        <v>377</v>
      </c>
      <c r="C1739" s="58" t="s">
        <v>379</v>
      </c>
      <c r="D1739" s="58" t="s">
        <v>378</v>
      </c>
      <c r="E1739" s="58">
        <v>3</v>
      </c>
      <c r="F1739" s="58">
        <v>20</v>
      </c>
      <c r="G1739" s="58">
        <v>120</v>
      </c>
      <c r="H1739" s="58">
        <v>30</v>
      </c>
      <c r="I1739" s="58"/>
      <c r="J1739" s="58"/>
      <c r="K1739" s="58"/>
      <c r="L1739" s="58"/>
      <c r="M1739" s="58">
        <v>46</v>
      </c>
      <c r="N1739" s="58"/>
    </row>
    <row r="1740" spans="1:14" x14ac:dyDescent="0.25">
      <c r="A1740" s="58" t="s">
        <v>213</v>
      </c>
      <c r="B1740" s="58" t="s">
        <v>377</v>
      </c>
      <c r="C1740" s="58" t="s">
        <v>379</v>
      </c>
      <c r="D1740" s="58" t="s">
        <v>378</v>
      </c>
      <c r="E1740" s="58">
        <v>3</v>
      </c>
      <c r="F1740" s="58">
        <v>20</v>
      </c>
      <c r="G1740" s="58">
        <v>130</v>
      </c>
      <c r="H1740" s="58">
        <v>30</v>
      </c>
      <c r="I1740" s="58"/>
      <c r="J1740" s="58"/>
      <c r="K1740" s="58"/>
      <c r="L1740" s="58"/>
      <c r="M1740" s="58">
        <v>52</v>
      </c>
      <c r="N1740" s="58"/>
    </row>
    <row r="1741" spans="1:14" x14ac:dyDescent="0.25">
      <c r="A1741" s="58" t="s">
        <v>213</v>
      </c>
      <c r="B1741" s="58" t="s">
        <v>377</v>
      </c>
      <c r="C1741" s="58" t="s">
        <v>379</v>
      </c>
      <c r="D1741" s="58" t="s">
        <v>378</v>
      </c>
      <c r="E1741" s="58">
        <v>3</v>
      </c>
      <c r="F1741" s="58">
        <v>20</v>
      </c>
      <c r="G1741" s="58">
        <v>140</v>
      </c>
      <c r="H1741" s="58">
        <v>30</v>
      </c>
      <c r="I1741" s="58"/>
      <c r="J1741" s="58"/>
      <c r="K1741" s="58"/>
      <c r="L1741" s="58"/>
      <c r="M1741" s="58">
        <v>52</v>
      </c>
      <c r="N1741" s="58"/>
    </row>
    <row r="1742" spans="1:14" x14ac:dyDescent="0.25">
      <c r="A1742" s="58" t="s">
        <v>213</v>
      </c>
      <c r="B1742" s="58" t="s">
        <v>377</v>
      </c>
      <c r="C1742" s="58" t="s">
        <v>379</v>
      </c>
      <c r="D1742" s="58" t="s">
        <v>378</v>
      </c>
      <c r="E1742" s="58">
        <v>3</v>
      </c>
      <c r="F1742" s="58">
        <v>20</v>
      </c>
      <c r="G1742" s="58">
        <v>150</v>
      </c>
      <c r="H1742" s="58">
        <v>30</v>
      </c>
      <c r="I1742" s="58"/>
      <c r="J1742" s="58"/>
      <c r="K1742" s="58"/>
      <c r="L1742" s="58"/>
      <c r="M1742" s="58">
        <v>52</v>
      </c>
      <c r="N1742" s="58"/>
    </row>
    <row r="1743" spans="1:14" x14ac:dyDescent="0.25">
      <c r="A1743" s="58" t="s">
        <v>213</v>
      </c>
      <c r="B1743" s="58" t="s">
        <v>377</v>
      </c>
      <c r="C1743" s="58" t="s">
        <v>379</v>
      </c>
      <c r="D1743" s="58" t="s">
        <v>378</v>
      </c>
      <c r="E1743" s="58">
        <v>3</v>
      </c>
      <c r="F1743" s="58">
        <v>20</v>
      </c>
      <c r="G1743" s="58">
        <v>160</v>
      </c>
      <c r="H1743" s="58">
        <v>30</v>
      </c>
      <c r="I1743" s="58"/>
      <c r="J1743" s="58"/>
      <c r="K1743" s="58"/>
      <c r="L1743" s="58"/>
      <c r="M1743" s="58">
        <v>52</v>
      </c>
      <c r="N1743" s="58"/>
    </row>
    <row r="1744" spans="1:14" x14ac:dyDescent="0.25">
      <c r="A1744" s="58" t="s">
        <v>213</v>
      </c>
      <c r="B1744" s="58" t="s">
        <v>377</v>
      </c>
      <c r="C1744" s="58" t="s">
        <v>379</v>
      </c>
      <c r="D1744" s="58" t="s">
        <v>378</v>
      </c>
      <c r="E1744" s="58">
        <v>3</v>
      </c>
      <c r="F1744" s="58">
        <v>20</v>
      </c>
      <c r="G1744" s="58">
        <v>170</v>
      </c>
      <c r="H1744" s="58">
        <v>30</v>
      </c>
      <c r="I1744" s="58"/>
      <c r="J1744" s="58"/>
      <c r="K1744" s="58"/>
      <c r="L1744" s="58"/>
      <c r="M1744" s="58">
        <v>52</v>
      </c>
      <c r="N1744" s="58"/>
    </row>
    <row r="1745" spans="1:14" x14ac:dyDescent="0.25">
      <c r="A1745" s="58" t="s">
        <v>213</v>
      </c>
      <c r="B1745" s="58" t="s">
        <v>377</v>
      </c>
      <c r="C1745" s="58" t="s">
        <v>379</v>
      </c>
      <c r="D1745" s="58" t="s">
        <v>378</v>
      </c>
      <c r="E1745" s="58">
        <v>3</v>
      </c>
      <c r="F1745" s="58">
        <v>20</v>
      </c>
      <c r="G1745" s="58">
        <v>180</v>
      </c>
      <c r="H1745" s="58">
        <v>30</v>
      </c>
      <c r="I1745" s="58"/>
      <c r="J1745" s="58"/>
      <c r="K1745" s="58"/>
      <c r="L1745" s="58"/>
      <c r="M1745" s="58">
        <v>52</v>
      </c>
      <c r="N1745" s="58"/>
    </row>
    <row r="1746" spans="1:14" x14ac:dyDescent="0.25">
      <c r="A1746" s="58" t="s">
        <v>213</v>
      </c>
      <c r="B1746" s="58" t="s">
        <v>377</v>
      </c>
      <c r="C1746" s="58" t="s">
        <v>379</v>
      </c>
      <c r="D1746" s="58" t="s">
        <v>378</v>
      </c>
      <c r="E1746" s="58">
        <v>3</v>
      </c>
      <c r="F1746" s="58">
        <v>20</v>
      </c>
      <c r="G1746" s="58">
        <v>190</v>
      </c>
      <c r="H1746" s="58">
        <v>30</v>
      </c>
      <c r="I1746" s="58"/>
      <c r="J1746" s="58"/>
      <c r="K1746" s="58"/>
      <c r="L1746" s="58"/>
      <c r="M1746" s="58">
        <v>52</v>
      </c>
      <c r="N1746" s="58"/>
    </row>
    <row r="1747" spans="1:14" x14ac:dyDescent="0.25">
      <c r="A1747" s="58" t="s">
        <v>213</v>
      </c>
      <c r="B1747" s="58" t="s">
        <v>377</v>
      </c>
      <c r="C1747" s="58" t="s">
        <v>379</v>
      </c>
      <c r="D1747" s="58" t="s">
        <v>378</v>
      </c>
      <c r="E1747" s="58">
        <v>3</v>
      </c>
      <c r="F1747" s="58">
        <v>20</v>
      </c>
      <c r="G1747" s="58">
        <v>200</v>
      </c>
      <c r="H1747" s="58">
        <v>30</v>
      </c>
      <c r="I1747" s="58"/>
      <c r="J1747" s="58"/>
      <c r="K1747" s="58"/>
      <c r="L1747" s="58"/>
      <c r="M1747" s="58">
        <v>52</v>
      </c>
      <c r="N1747" s="58"/>
    </row>
    <row r="1748" spans="1:14" x14ac:dyDescent="0.25">
      <c r="A1748" s="58" t="s">
        <v>213</v>
      </c>
      <c r="B1748" s="58" t="s">
        <v>377</v>
      </c>
      <c r="C1748" s="58" t="s">
        <v>379</v>
      </c>
      <c r="D1748" s="58" t="s">
        <v>378</v>
      </c>
      <c r="E1748" s="58">
        <v>3</v>
      </c>
      <c r="F1748" s="58">
        <v>20</v>
      </c>
      <c r="G1748" s="58">
        <v>210</v>
      </c>
      <c r="H1748" s="58">
        <v>30</v>
      </c>
      <c r="I1748" s="58"/>
      <c r="J1748" s="58"/>
      <c r="K1748" s="58"/>
      <c r="L1748" s="58"/>
      <c r="M1748" s="58">
        <v>65</v>
      </c>
      <c r="N1748" s="58"/>
    </row>
    <row r="1749" spans="1:14" x14ac:dyDescent="0.25">
      <c r="A1749" s="58" t="s">
        <v>213</v>
      </c>
      <c r="B1749" s="58" t="s">
        <v>377</v>
      </c>
      <c r="C1749" s="58" t="s">
        <v>379</v>
      </c>
      <c r="D1749" s="58" t="s">
        <v>378</v>
      </c>
      <c r="E1749" s="58">
        <v>3</v>
      </c>
      <c r="F1749" s="58">
        <v>20</v>
      </c>
      <c r="G1749" s="58">
        <v>220</v>
      </c>
      <c r="H1749" s="58">
        <v>30</v>
      </c>
      <c r="I1749" s="58"/>
      <c r="J1749" s="58"/>
      <c r="K1749" s="58"/>
      <c r="L1749" s="58"/>
      <c r="M1749" s="58">
        <v>65</v>
      </c>
      <c r="N1749" s="58"/>
    </row>
    <row r="1750" spans="1:14" x14ac:dyDescent="0.25">
      <c r="A1750" s="58" t="s">
        <v>213</v>
      </c>
      <c r="B1750" s="58" t="s">
        <v>377</v>
      </c>
      <c r="C1750" s="58" t="s">
        <v>379</v>
      </c>
      <c r="D1750" s="58" t="s">
        <v>378</v>
      </c>
      <c r="E1750" s="58">
        <v>3</v>
      </c>
      <c r="F1750" s="58">
        <v>20</v>
      </c>
      <c r="G1750" s="58">
        <v>230</v>
      </c>
      <c r="H1750" s="58">
        <v>30</v>
      </c>
      <c r="I1750" s="58"/>
      <c r="J1750" s="58"/>
      <c r="K1750" s="58"/>
      <c r="L1750" s="58"/>
      <c r="M1750" s="58">
        <v>65</v>
      </c>
      <c r="N1750" s="58"/>
    </row>
    <row r="1751" spans="1:14" x14ac:dyDescent="0.25">
      <c r="A1751" s="58" t="s">
        <v>213</v>
      </c>
      <c r="B1751" s="58" t="s">
        <v>377</v>
      </c>
      <c r="C1751" s="58" t="s">
        <v>379</v>
      </c>
      <c r="D1751" s="58" t="s">
        <v>378</v>
      </c>
      <c r="E1751" s="58">
        <v>3</v>
      </c>
      <c r="F1751" s="58">
        <v>20</v>
      </c>
      <c r="G1751" s="58">
        <v>240</v>
      </c>
      <c r="H1751" s="58">
        <v>30</v>
      </c>
      <c r="I1751" s="58"/>
      <c r="J1751" s="58"/>
      <c r="K1751" s="58"/>
      <c r="L1751" s="58"/>
      <c r="M1751" s="58">
        <v>65</v>
      </c>
      <c r="N1751" s="58"/>
    </row>
    <row r="1752" spans="1:14" x14ac:dyDescent="0.25">
      <c r="A1752" s="58" t="s">
        <v>213</v>
      </c>
      <c r="B1752" s="58" t="s">
        <v>377</v>
      </c>
      <c r="C1752" s="58" t="s">
        <v>379</v>
      </c>
      <c r="D1752" s="58" t="s">
        <v>378</v>
      </c>
      <c r="E1752" s="58">
        <v>3</v>
      </c>
      <c r="F1752" s="58">
        <v>20</v>
      </c>
      <c r="G1752" s="58">
        <v>250</v>
      </c>
      <c r="H1752" s="58">
        <v>30</v>
      </c>
      <c r="I1752" s="58"/>
      <c r="J1752" s="58"/>
      <c r="K1752" s="58"/>
      <c r="L1752" s="58"/>
      <c r="M1752" s="58">
        <v>65</v>
      </c>
      <c r="N1752" s="58"/>
    </row>
    <row r="1753" spans="1:14" x14ac:dyDescent="0.25">
      <c r="A1753" s="58" t="s">
        <v>213</v>
      </c>
      <c r="B1753" s="58" t="s">
        <v>377</v>
      </c>
      <c r="C1753" s="58" t="s">
        <v>379</v>
      </c>
      <c r="D1753" s="58" t="s">
        <v>378</v>
      </c>
      <c r="E1753" s="58">
        <v>3</v>
      </c>
      <c r="F1753" s="58">
        <v>20</v>
      </c>
      <c r="G1753" s="58">
        <v>260</v>
      </c>
      <c r="H1753" s="58">
        <v>30</v>
      </c>
      <c r="I1753" s="58"/>
      <c r="J1753" s="58"/>
      <c r="K1753" s="58"/>
      <c r="L1753" s="58"/>
      <c r="M1753" s="58">
        <v>65</v>
      </c>
      <c r="N1753" s="58"/>
    </row>
    <row r="1754" spans="1:14" x14ac:dyDescent="0.25">
      <c r="A1754" s="58" t="s">
        <v>213</v>
      </c>
      <c r="B1754" s="58" t="s">
        <v>377</v>
      </c>
      <c r="C1754" s="58" t="s">
        <v>379</v>
      </c>
      <c r="D1754" s="58" t="s">
        <v>378</v>
      </c>
      <c r="E1754" s="58">
        <v>3</v>
      </c>
      <c r="F1754" s="58">
        <v>20</v>
      </c>
      <c r="G1754" s="58">
        <v>270</v>
      </c>
      <c r="H1754" s="58">
        <v>30</v>
      </c>
      <c r="I1754" s="58"/>
      <c r="J1754" s="58"/>
      <c r="K1754" s="58"/>
      <c r="L1754" s="58"/>
      <c r="M1754" s="58">
        <v>65</v>
      </c>
      <c r="N1754" s="58"/>
    </row>
    <row r="1755" spans="1:14" x14ac:dyDescent="0.25">
      <c r="A1755" s="58" t="s">
        <v>213</v>
      </c>
      <c r="B1755" s="58" t="s">
        <v>377</v>
      </c>
      <c r="C1755" s="58" t="s">
        <v>379</v>
      </c>
      <c r="D1755" s="58" t="s">
        <v>378</v>
      </c>
      <c r="E1755" s="58">
        <v>3</v>
      </c>
      <c r="F1755" s="58">
        <v>20</v>
      </c>
      <c r="G1755" s="58">
        <v>280</v>
      </c>
      <c r="H1755" s="58">
        <v>30</v>
      </c>
      <c r="I1755" s="58"/>
      <c r="J1755" s="58"/>
      <c r="K1755" s="58"/>
      <c r="L1755" s="58"/>
      <c r="M1755" s="58">
        <v>65</v>
      </c>
      <c r="N1755" s="58"/>
    </row>
    <row r="1756" spans="1:14" x14ac:dyDescent="0.25">
      <c r="A1756" s="58" t="s">
        <v>213</v>
      </c>
      <c r="B1756" s="58" t="s">
        <v>377</v>
      </c>
      <c r="C1756" s="58" t="s">
        <v>379</v>
      </c>
      <c r="D1756" s="58" t="s">
        <v>378</v>
      </c>
      <c r="E1756" s="58">
        <v>3</v>
      </c>
      <c r="F1756" s="58">
        <v>20</v>
      </c>
      <c r="G1756" s="58">
        <v>290</v>
      </c>
      <c r="H1756" s="58">
        <v>30</v>
      </c>
      <c r="I1756" s="58"/>
      <c r="J1756" s="58"/>
      <c r="K1756" s="58"/>
      <c r="L1756" s="58"/>
      <c r="M1756" s="58">
        <v>65</v>
      </c>
      <c r="N1756" s="58"/>
    </row>
    <row r="1757" spans="1:14" x14ac:dyDescent="0.25">
      <c r="A1757" s="58" t="s">
        <v>213</v>
      </c>
      <c r="B1757" s="58" t="s">
        <v>377</v>
      </c>
      <c r="C1757" s="58" t="s">
        <v>379</v>
      </c>
      <c r="D1757" s="58" t="s">
        <v>378</v>
      </c>
      <c r="E1757" s="58">
        <v>3</v>
      </c>
      <c r="F1757" s="58">
        <v>20</v>
      </c>
      <c r="G1757" s="58">
        <v>300</v>
      </c>
      <c r="H1757" s="58">
        <v>30</v>
      </c>
      <c r="I1757" s="58"/>
      <c r="J1757" s="58"/>
      <c r="K1757" s="58"/>
      <c r="L1757" s="58"/>
      <c r="M1757" s="58">
        <v>65</v>
      </c>
      <c r="N1757" s="58"/>
    </row>
    <row r="1758" spans="1:14" x14ac:dyDescent="0.25">
      <c r="A1758" s="58" t="s">
        <v>213</v>
      </c>
      <c r="B1758" s="58" t="s">
        <v>377</v>
      </c>
      <c r="C1758" s="58" t="s">
        <v>379</v>
      </c>
      <c r="D1758" s="58" t="s">
        <v>378</v>
      </c>
      <c r="E1758" s="58">
        <v>3</v>
      </c>
      <c r="F1758" s="58">
        <v>20</v>
      </c>
      <c r="G1758" s="58">
        <v>310</v>
      </c>
      <c r="H1758" s="58">
        <v>30</v>
      </c>
      <c r="I1758" s="58"/>
      <c r="J1758" s="58"/>
      <c r="K1758" s="58"/>
      <c r="L1758" s="58"/>
      <c r="M1758" s="58">
        <v>65</v>
      </c>
      <c r="N1758" s="58"/>
    </row>
    <row r="1759" spans="1:14" x14ac:dyDescent="0.25">
      <c r="A1759" s="58" t="s">
        <v>213</v>
      </c>
      <c r="B1759" s="58" t="s">
        <v>377</v>
      </c>
      <c r="C1759" s="58" t="s">
        <v>379</v>
      </c>
      <c r="D1759" s="58" t="s">
        <v>378</v>
      </c>
      <c r="E1759" s="58">
        <v>3</v>
      </c>
      <c r="F1759" s="58">
        <v>20</v>
      </c>
      <c r="G1759" s="58">
        <v>320</v>
      </c>
      <c r="H1759" s="58">
        <v>30</v>
      </c>
      <c r="I1759" s="58"/>
      <c r="J1759" s="58"/>
      <c r="K1759" s="58"/>
      <c r="L1759" s="58"/>
      <c r="M1759" s="58">
        <v>65</v>
      </c>
      <c r="N1759" s="58"/>
    </row>
    <row r="1760" spans="1:14" x14ac:dyDescent="0.25">
      <c r="A1760" s="58" t="s">
        <v>213</v>
      </c>
      <c r="B1760" s="58" t="s">
        <v>377</v>
      </c>
      <c r="C1760" s="58" t="s">
        <v>379</v>
      </c>
      <c r="D1760" s="58" t="s">
        <v>378</v>
      </c>
      <c r="E1760" s="58">
        <v>3</v>
      </c>
      <c r="F1760" s="58">
        <v>20</v>
      </c>
      <c r="G1760" s="58">
        <v>330</v>
      </c>
      <c r="H1760" s="58">
        <v>30</v>
      </c>
      <c r="I1760" s="58"/>
      <c r="J1760" s="58"/>
      <c r="K1760" s="58"/>
      <c r="L1760" s="58"/>
      <c r="M1760" s="58">
        <v>65</v>
      </c>
      <c r="N1760" s="58"/>
    </row>
    <row r="1761" spans="1:14" x14ac:dyDescent="0.25">
      <c r="A1761" s="58" t="s">
        <v>213</v>
      </c>
      <c r="B1761" s="58" t="s">
        <v>377</v>
      </c>
      <c r="C1761" s="58" t="s">
        <v>379</v>
      </c>
      <c r="D1761" s="58" t="s">
        <v>378</v>
      </c>
      <c r="E1761" s="58">
        <v>3</v>
      </c>
      <c r="F1761" s="58">
        <v>20</v>
      </c>
      <c r="G1761" s="58">
        <v>340</v>
      </c>
      <c r="H1761" s="58">
        <v>30</v>
      </c>
      <c r="I1761" s="58"/>
      <c r="J1761" s="58"/>
      <c r="K1761" s="58"/>
      <c r="L1761" s="58"/>
      <c r="M1761" s="58">
        <v>65</v>
      </c>
      <c r="N1761" s="58"/>
    </row>
    <row r="1762" spans="1:14" x14ac:dyDescent="0.25">
      <c r="A1762" s="58" t="s">
        <v>213</v>
      </c>
      <c r="B1762" s="58" t="s">
        <v>377</v>
      </c>
      <c r="C1762" s="58" t="s">
        <v>379</v>
      </c>
      <c r="D1762" s="58" t="s">
        <v>378</v>
      </c>
      <c r="E1762" s="58">
        <v>3</v>
      </c>
      <c r="F1762" s="58">
        <v>20</v>
      </c>
      <c r="G1762" s="58">
        <v>350</v>
      </c>
      <c r="H1762" s="58">
        <v>30</v>
      </c>
      <c r="I1762" s="58"/>
      <c r="J1762" s="58"/>
      <c r="K1762" s="58"/>
      <c r="L1762" s="58"/>
      <c r="M1762" s="58">
        <v>65</v>
      </c>
      <c r="N1762" s="58"/>
    </row>
    <row r="1763" spans="1:14" x14ac:dyDescent="0.25">
      <c r="A1763" s="58" t="s">
        <v>213</v>
      </c>
      <c r="B1763" s="58" t="s">
        <v>377</v>
      </c>
      <c r="C1763" s="58" t="s">
        <v>379</v>
      </c>
      <c r="D1763" s="58" t="s">
        <v>378</v>
      </c>
      <c r="E1763" s="58">
        <v>3</v>
      </c>
      <c r="F1763" s="58">
        <v>20</v>
      </c>
      <c r="G1763" s="58">
        <v>360</v>
      </c>
      <c r="H1763" s="58">
        <v>30</v>
      </c>
      <c r="I1763" s="58"/>
      <c r="J1763" s="58"/>
      <c r="K1763" s="58"/>
      <c r="L1763" s="58"/>
      <c r="M1763" s="58">
        <v>65</v>
      </c>
      <c r="N1763" s="58"/>
    </row>
    <row r="1764" spans="1:14" x14ac:dyDescent="0.25">
      <c r="A1764" s="58" t="s">
        <v>213</v>
      </c>
      <c r="B1764" s="58" t="s">
        <v>377</v>
      </c>
      <c r="C1764" s="58" t="s">
        <v>379</v>
      </c>
      <c r="D1764" s="58" t="s">
        <v>378</v>
      </c>
      <c r="E1764" s="58">
        <v>3</v>
      </c>
      <c r="F1764" s="58">
        <v>20</v>
      </c>
      <c r="G1764" s="58">
        <v>380</v>
      </c>
      <c r="H1764" s="58">
        <v>30</v>
      </c>
      <c r="I1764" s="58"/>
      <c r="J1764" s="58"/>
      <c r="K1764" s="58"/>
      <c r="L1764" s="58"/>
      <c r="M1764" s="58">
        <v>65</v>
      </c>
      <c r="N1764" s="58"/>
    </row>
    <row r="1765" spans="1:14" x14ac:dyDescent="0.25">
      <c r="A1765" s="58" t="s">
        <v>213</v>
      </c>
      <c r="B1765" s="58" t="s">
        <v>377</v>
      </c>
      <c r="C1765" s="58" t="s">
        <v>379</v>
      </c>
      <c r="D1765" s="58" t="s">
        <v>378</v>
      </c>
      <c r="E1765" s="58">
        <v>3</v>
      </c>
      <c r="F1765" s="58">
        <v>20</v>
      </c>
      <c r="G1765" s="58">
        <v>400</v>
      </c>
      <c r="H1765" s="58">
        <v>30</v>
      </c>
      <c r="I1765" s="58"/>
      <c r="J1765" s="58"/>
      <c r="K1765" s="58"/>
      <c r="L1765" s="58"/>
      <c r="M1765" s="58">
        <v>65</v>
      </c>
      <c r="N1765" s="58"/>
    </row>
    <row r="1766" spans="1:14" x14ac:dyDescent="0.25">
      <c r="A1766" s="58" t="s">
        <v>213</v>
      </c>
      <c r="B1766" s="58" t="s">
        <v>377</v>
      </c>
      <c r="C1766" s="58" t="s">
        <v>379</v>
      </c>
      <c r="D1766" s="58" t="s">
        <v>378</v>
      </c>
      <c r="E1766" s="58">
        <v>3</v>
      </c>
      <c r="F1766" s="58">
        <v>20</v>
      </c>
      <c r="G1766" s="58">
        <v>420</v>
      </c>
      <c r="H1766" s="58">
        <v>30</v>
      </c>
      <c r="I1766" s="58"/>
      <c r="J1766" s="58"/>
      <c r="K1766" s="58"/>
      <c r="L1766" s="58"/>
      <c r="M1766" s="58">
        <v>65</v>
      </c>
      <c r="N1766" s="58"/>
    </row>
    <row r="1767" spans="1:14" x14ac:dyDescent="0.25">
      <c r="A1767" s="58" t="s">
        <v>213</v>
      </c>
      <c r="B1767" s="58" t="s">
        <v>377</v>
      </c>
      <c r="C1767" s="58" t="s">
        <v>379</v>
      </c>
      <c r="D1767" s="58" t="s">
        <v>378</v>
      </c>
      <c r="E1767" s="58">
        <v>3</v>
      </c>
      <c r="F1767" s="58">
        <v>20</v>
      </c>
      <c r="G1767" s="58">
        <v>430</v>
      </c>
      <c r="H1767" s="58">
        <v>30</v>
      </c>
      <c r="I1767" s="58"/>
      <c r="J1767" s="58"/>
      <c r="K1767" s="58"/>
      <c r="L1767" s="58"/>
      <c r="M1767" s="58">
        <v>65</v>
      </c>
      <c r="N1767" s="58"/>
    </row>
    <row r="1768" spans="1:14" x14ac:dyDescent="0.25">
      <c r="A1768" s="58" t="s">
        <v>213</v>
      </c>
      <c r="B1768" s="58" t="s">
        <v>377</v>
      </c>
      <c r="C1768" s="58" t="s">
        <v>379</v>
      </c>
      <c r="D1768" s="58" t="s">
        <v>378</v>
      </c>
      <c r="E1768" s="58">
        <v>3</v>
      </c>
      <c r="F1768" s="58">
        <v>20</v>
      </c>
      <c r="G1768" s="58">
        <v>440</v>
      </c>
      <c r="H1768" s="58">
        <v>30</v>
      </c>
      <c r="I1768" s="58"/>
      <c r="J1768" s="58"/>
      <c r="K1768" s="58"/>
      <c r="L1768" s="58"/>
      <c r="M1768" s="58">
        <v>65</v>
      </c>
      <c r="N1768" s="58"/>
    </row>
    <row r="1769" spans="1:14" x14ac:dyDescent="0.25">
      <c r="A1769" s="58" t="s">
        <v>213</v>
      </c>
      <c r="B1769" s="58" t="s">
        <v>377</v>
      </c>
      <c r="C1769" s="58" t="s">
        <v>379</v>
      </c>
      <c r="D1769" s="58" t="s">
        <v>378</v>
      </c>
      <c r="E1769" s="58">
        <v>3</v>
      </c>
      <c r="F1769" s="58">
        <v>20</v>
      </c>
      <c r="G1769" s="58">
        <v>450</v>
      </c>
      <c r="H1769" s="58">
        <v>30</v>
      </c>
      <c r="I1769" s="58"/>
      <c r="J1769" s="58"/>
      <c r="K1769" s="58"/>
      <c r="L1769" s="58"/>
      <c r="M1769" s="58">
        <v>65</v>
      </c>
      <c r="N1769" s="58"/>
    </row>
    <row r="1770" spans="1:14" x14ac:dyDescent="0.25">
      <c r="A1770" s="58" t="s">
        <v>213</v>
      </c>
      <c r="B1770" s="58" t="s">
        <v>377</v>
      </c>
      <c r="C1770" s="58" t="s">
        <v>379</v>
      </c>
      <c r="D1770" s="58" t="s">
        <v>378</v>
      </c>
      <c r="E1770" s="58">
        <v>3</v>
      </c>
      <c r="F1770" s="58">
        <v>20</v>
      </c>
      <c r="G1770" s="58">
        <v>460</v>
      </c>
      <c r="H1770" s="58">
        <v>30</v>
      </c>
      <c r="I1770" s="58"/>
      <c r="J1770" s="58"/>
      <c r="K1770" s="58"/>
      <c r="L1770" s="58"/>
      <c r="M1770" s="58">
        <v>65</v>
      </c>
      <c r="N1770" s="58"/>
    </row>
    <row r="1771" spans="1:14" x14ac:dyDescent="0.25">
      <c r="A1771" s="58" t="s">
        <v>213</v>
      </c>
      <c r="B1771" s="58" t="s">
        <v>377</v>
      </c>
      <c r="C1771" s="58" t="s">
        <v>379</v>
      </c>
      <c r="D1771" s="58" t="s">
        <v>378</v>
      </c>
      <c r="E1771" s="58">
        <v>3</v>
      </c>
      <c r="F1771" s="58">
        <v>20</v>
      </c>
      <c r="G1771" s="58">
        <v>480</v>
      </c>
      <c r="H1771" s="58">
        <v>30</v>
      </c>
      <c r="I1771" s="58"/>
      <c r="J1771" s="58"/>
      <c r="K1771" s="58"/>
      <c r="L1771" s="58"/>
      <c r="M1771" s="58">
        <v>65</v>
      </c>
      <c r="N1771" s="58"/>
    </row>
    <row r="1772" spans="1:14" x14ac:dyDescent="0.25">
      <c r="A1772" s="58" t="s">
        <v>213</v>
      </c>
      <c r="B1772" s="58" t="s">
        <v>377</v>
      </c>
      <c r="C1772" s="58" t="s">
        <v>379</v>
      </c>
      <c r="D1772" s="58" t="s">
        <v>378</v>
      </c>
      <c r="E1772" s="58">
        <v>3</v>
      </c>
      <c r="F1772" s="58">
        <v>20</v>
      </c>
      <c r="G1772" s="58">
        <v>500</v>
      </c>
      <c r="H1772" s="58">
        <v>30</v>
      </c>
      <c r="I1772" s="58"/>
      <c r="J1772" s="58"/>
      <c r="K1772" s="58"/>
      <c r="L1772" s="58"/>
      <c r="M1772" s="58">
        <v>65</v>
      </c>
      <c r="N1772" s="58"/>
    </row>
    <row r="1773" spans="1:14" x14ac:dyDescent="0.25">
      <c r="A1773" s="58" t="s">
        <v>213</v>
      </c>
      <c r="B1773" s="58" t="s">
        <v>377</v>
      </c>
      <c r="C1773" s="58" t="s">
        <v>379</v>
      </c>
      <c r="D1773" s="58" t="s">
        <v>378</v>
      </c>
      <c r="E1773" s="58">
        <v>3</v>
      </c>
      <c r="F1773" s="58">
        <v>22</v>
      </c>
      <c r="G1773" s="58">
        <v>70</v>
      </c>
      <c r="H1773" s="58">
        <v>30</v>
      </c>
      <c r="I1773" s="58"/>
      <c r="J1773" s="58"/>
      <c r="K1773" s="58"/>
      <c r="L1773" s="58"/>
      <c r="M1773" s="58">
        <v>50</v>
      </c>
      <c r="N1773" s="58"/>
    </row>
    <row r="1774" spans="1:14" x14ac:dyDescent="0.25">
      <c r="A1774" s="58" t="s">
        <v>213</v>
      </c>
      <c r="B1774" s="58" t="s">
        <v>377</v>
      </c>
      <c r="C1774" s="58" t="s">
        <v>379</v>
      </c>
      <c r="D1774" s="58" t="s">
        <v>378</v>
      </c>
      <c r="E1774" s="58">
        <v>3</v>
      </c>
      <c r="F1774" s="58">
        <v>22</v>
      </c>
      <c r="G1774" s="58">
        <v>75</v>
      </c>
      <c r="H1774" s="58">
        <v>30</v>
      </c>
      <c r="I1774" s="58"/>
      <c r="J1774" s="58"/>
      <c r="K1774" s="58"/>
      <c r="L1774" s="58"/>
      <c r="M1774" s="58">
        <v>50</v>
      </c>
      <c r="N1774" s="58"/>
    </row>
    <row r="1775" spans="1:14" x14ac:dyDescent="0.25">
      <c r="A1775" s="58" t="s">
        <v>213</v>
      </c>
      <c r="B1775" s="58" t="s">
        <v>377</v>
      </c>
      <c r="C1775" s="58" t="s">
        <v>379</v>
      </c>
      <c r="D1775" s="58" t="s">
        <v>378</v>
      </c>
      <c r="E1775" s="58">
        <v>3</v>
      </c>
      <c r="F1775" s="58">
        <v>22</v>
      </c>
      <c r="G1775" s="58">
        <v>80</v>
      </c>
      <c r="H1775" s="58">
        <v>30</v>
      </c>
      <c r="I1775" s="58"/>
      <c r="J1775" s="58"/>
      <c r="K1775" s="58"/>
      <c r="L1775" s="58"/>
      <c r="M1775" s="58">
        <v>50</v>
      </c>
      <c r="N1775" s="58"/>
    </row>
    <row r="1776" spans="1:14" x14ac:dyDescent="0.25">
      <c r="A1776" s="58" t="s">
        <v>213</v>
      </c>
      <c r="B1776" s="58" t="s">
        <v>377</v>
      </c>
      <c r="C1776" s="58" t="s">
        <v>379</v>
      </c>
      <c r="D1776" s="58" t="s">
        <v>378</v>
      </c>
      <c r="E1776" s="58">
        <v>3</v>
      </c>
      <c r="F1776" s="58">
        <v>22</v>
      </c>
      <c r="G1776" s="58">
        <v>90</v>
      </c>
      <c r="H1776" s="58">
        <v>30</v>
      </c>
      <c r="I1776" s="58"/>
      <c r="J1776" s="58"/>
      <c r="K1776" s="58"/>
      <c r="L1776" s="58"/>
      <c r="M1776" s="58">
        <v>50</v>
      </c>
      <c r="N1776" s="58"/>
    </row>
    <row r="1777" spans="1:14" x14ac:dyDescent="0.25">
      <c r="A1777" s="58" t="s">
        <v>213</v>
      </c>
      <c r="B1777" s="58" t="s">
        <v>377</v>
      </c>
      <c r="C1777" s="58" t="s">
        <v>379</v>
      </c>
      <c r="D1777" s="58" t="s">
        <v>378</v>
      </c>
      <c r="E1777" s="58">
        <v>3</v>
      </c>
      <c r="F1777" s="58">
        <v>22</v>
      </c>
      <c r="G1777" s="58">
        <v>100</v>
      </c>
      <c r="H1777" s="58">
        <v>30</v>
      </c>
      <c r="I1777" s="58"/>
      <c r="J1777" s="58"/>
      <c r="K1777" s="58"/>
      <c r="L1777" s="58"/>
      <c r="M1777" s="58">
        <v>50</v>
      </c>
      <c r="N1777" s="58"/>
    </row>
    <row r="1778" spans="1:14" x14ac:dyDescent="0.25">
      <c r="A1778" s="58" t="s">
        <v>213</v>
      </c>
      <c r="B1778" s="58" t="s">
        <v>377</v>
      </c>
      <c r="C1778" s="58" t="s">
        <v>379</v>
      </c>
      <c r="D1778" s="58" t="s">
        <v>378</v>
      </c>
      <c r="E1778" s="58">
        <v>3</v>
      </c>
      <c r="F1778" s="58">
        <v>22</v>
      </c>
      <c r="G1778" s="58">
        <v>110</v>
      </c>
      <c r="H1778" s="58">
        <v>30</v>
      </c>
      <c r="I1778" s="58"/>
      <c r="J1778" s="58"/>
      <c r="K1778" s="58"/>
      <c r="L1778" s="58"/>
      <c r="M1778" s="58">
        <v>50</v>
      </c>
      <c r="N1778" s="58"/>
    </row>
    <row r="1779" spans="1:14" x14ac:dyDescent="0.25">
      <c r="A1779" s="58" t="s">
        <v>213</v>
      </c>
      <c r="B1779" s="58" t="s">
        <v>377</v>
      </c>
      <c r="C1779" s="58" t="s">
        <v>379</v>
      </c>
      <c r="D1779" s="58" t="s">
        <v>378</v>
      </c>
      <c r="E1779" s="58">
        <v>3</v>
      </c>
      <c r="F1779" s="58">
        <v>22</v>
      </c>
      <c r="G1779" s="58">
        <v>120</v>
      </c>
      <c r="H1779" s="58">
        <v>30</v>
      </c>
      <c r="I1779" s="58"/>
      <c r="J1779" s="58"/>
      <c r="K1779" s="58"/>
      <c r="L1779" s="58"/>
      <c r="M1779" s="58">
        <v>50</v>
      </c>
      <c r="N1779" s="58"/>
    </row>
    <row r="1780" spans="1:14" x14ac:dyDescent="0.25">
      <c r="A1780" s="58" t="s">
        <v>213</v>
      </c>
      <c r="B1780" s="58" t="s">
        <v>377</v>
      </c>
      <c r="C1780" s="58" t="s">
        <v>379</v>
      </c>
      <c r="D1780" s="58" t="s">
        <v>378</v>
      </c>
      <c r="E1780" s="58">
        <v>3</v>
      </c>
      <c r="F1780" s="58">
        <v>22</v>
      </c>
      <c r="G1780" s="58">
        <v>130</v>
      </c>
      <c r="H1780" s="58">
        <v>30</v>
      </c>
      <c r="I1780" s="58"/>
      <c r="J1780" s="58"/>
      <c r="K1780" s="58"/>
      <c r="L1780" s="58"/>
      <c r="M1780" s="58">
        <v>56</v>
      </c>
      <c r="N1780" s="58"/>
    </row>
    <row r="1781" spans="1:14" x14ac:dyDescent="0.25">
      <c r="A1781" s="58" t="s">
        <v>213</v>
      </c>
      <c r="B1781" s="58" t="s">
        <v>377</v>
      </c>
      <c r="C1781" s="58" t="s">
        <v>379</v>
      </c>
      <c r="D1781" s="58" t="s">
        <v>378</v>
      </c>
      <c r="E1781" s="58">
        <v>3</v>
      </c>
      <c r="F1781" s="58">
        <v>22</v>
      </c>
      <c r="G1781" s="58">
        <v>140</v>
      </c>
      <c r="H1781" s="58">
        <v>30</v>
      </c>
      <c r="I1781" s="58"/>
      <c r="J1781" s="58"/>
      <c r="K1781" s="58"/>
      <c r="L1781" s="58"/>
      <c r="M1781" s="58">
        <v>56</v>
      </c>
      <c r="N1781" s="58"/>
    </row>
    <row r="1782" spans="1:14" x14ac:dyDescent="0.25">
      <c r="A1782" s="58" t="s">
        <v>213</v>
      </c>
      <c r="B1782" s="58" t="s">
        <v>377</v>
      </c>
      <c r="C1782" s="58" t="s">
        <v>379</v>
      </c>
      <c r="D1782" s="58" t="s">
        <v>378</v>
      </c>
      <c r="E1782" s="58">
        <v>3</v>
      </c>
      <c r="F1782" s="58">
        <v>22</v>
      </c>
      <c r="G1782" s="58">
        <v>150</v>
      </c>
      <c r="H1782" s="58">
        <v>30</v>
      </c>
      <c r="I1782" s="58"/>
      <c r="J1782" s="58"/>
      <c r="K1782" s="58"/>
      <c r="L1782" s="58"/>
      <c r="M1782" s="58">
        <v>56</v>
      </c>
      <c r="N1782" s="58"/>
    </row>
    <row r="1783" spans="1:14" x14ac:dyDescent="0.25">
      <c r="A1783" s="58" t="s">
        <v>213</v>
      </c>
      <c r="B1783" s="58" t="s">
        <v>377</v>
      </c>
      <c r="C1783" s="58" t="s">
        <v>379</v>
      </c>
      <c r="D1783" s="58" t="s">
        <v>378</v>
      </c>
      <c r="E1783" s="58">
        <v>3</v>
      </c>
      <c r="F1783" s="58">
        <v>22</v>
      </c>
      <c r="G1783" s="58">
        <v>160</v>
      </c>
      <c r="H1783" s="58">
        <v>30</v>
      </c>
      <c r="I1783" s="58"/>
      <c r="J1783" s="58"/>
      <c r="K1783" s="58"/>
      <c r="L1783" s="58"/>
      <c r="M1783" s="58">
        <v>56</v>
      </c>
      <c r="N1783" s="58"/>
    </row>
    <row r="1784" spans="1:14" x14ac:dyDescent="0.25">
      <c r="A1784" s="58" t="s">
        <v>213</v>
      </c>
      <c r="B1784" s="58" t="s">
        <v>377</v>
      </c>
      <c r="C1784" s="58" t="s">
        <v>379</v>
      </c>
      <c r="D1784" s="58" t="s">
        <v>378</v>
      </c>
      <c r="E1784" s="58">
        <v>3</v>
      </c>
      <c r="F1784" s="58">
        <v>22</v>
      </c>
      <c r="G1784" s="58">
        <v>180</v>
      </c>
      <c r="H1784" s="58">
        <v>30</v>
      </c>
      <c r="I1784" s="58"/>
      <c r="J1784" s="58"/>
      <c r="K1784" s="58"/>
      <c r="L1784" s="58"/>
      <c r="M1784" s="58">
        <v>56</v>
      </c>
      <c r="N1784" s="58"/>
    </row>
    <row r="1785" spans="1:14" x14ac:dyDescent="0.25">
      <c r="A1785" s="58" t="s">
        <v>213</v>
      </c>
      <c r="B1785" s="58" t="s">
        <v>377</v>
      </c>
      <c r="C1785" s="58" t="s">
        <v>379</v>
      </c>
      <c r="D1785" s="58" t="s">
        <v>378</v>
      </c>
      <c r="E1785" s="58">
        <v>3</v>
      </c>
      <c r="F1785" s="58">
        <v>22</v>
      </c>
      <c r="G1785" s="58">
        <v>200</v>
      </c>
      <c r="H1785" s="58">
        <v>30</v>
      </c>
      <c r="I1785" s="58"/>
      <c r="J1785" s="58"/>
      <c r="K1785" s="58"/>
      <c r="L1785" s="58"/>
      <c r="M1785" s="58">
        <v>56</v>
      </c>
      <c r="N1785" s="58"/>
    </row>
    <row r="1786" spans="1:14" x14ac:dyDescent="0.25">
      <c r="A1786" s="58" t="s">
        <v>213</v>
      </c>
      <c r="B1786" s="58" t="s">
        <v>377</v>
      </c>
      <c r="C1786" s="58" t="s">
        <v>379</v>
      </c>
      <c r="D1786" s="58" t="s">
        <v>378</v>
      </c>
      <c r="E1786" s="58">
        <v>3</v>
      </c>
      <c r="F1786" s="58">
        <v>22</v>
      </c>
      <c r="G1786" s="58">
        <v>240</v>
      </c>
      <c r="H1786" s="58">
        <v>30</v>
      </c>
      <c r="I1786" s="58"/>
      <c r="J1786" s="58"/>
      <c r="K1786" s="58"/>
      <c r="L1786" s="58"/>
      <c r="M1786" s="58">
        <v>69</v>
      </c>
      <c r="N1786" s="58"/>
    </row>
    <row r="1787" spans="1:14" x14ac:dyDescent="0.25">
      <c r="A1787" s="58" t="s">
        <v>213</v>
      </c>
      <c r="B1787" s="58" t="s">
        <v>377</v>
      </c>
      <c r="C1787" s="58" t="s">
        <v>379</v>
      </c>
      <c r="D1787" s="58" t="s">
        <v>378</v>
      </c>
      <c r="E1787" s="58">
        <v>3</v>
      </c>
      <c r="F1787" s="58">
        <v>22</v>
      </c>
      <c r="G1787" s="58">
        <v>260</v>
      </c>
      <c r="H1787" s="58">
        <v>30</v>
      </c>
      <c r="I1787" s="58"/>
      <c r="J1787" s="58"/>
      <c r="K1787" s="58"/>
      <c r="L1787" s="58"/>
      <c r="M1787" s="58">
        <v>69</v>
      </c>
      <c r="N1787" s="58"/>
    </row>
    <row r="1788" spans="1:14" x14ac:dyDescent="0.25">
      <c r="A1788" s="58" t="s">
        <v>213</v>
      </c>
      <c r="B1788" s="58" t="s">
        <v>377</v>
      </c>
      <c r="C1788" s="58" t="s">
        <v>379</v>
      </c>
      <c r="D1788" s="58" t="s">
        <v>378</v>
      </c>
      <c r="E1788" s="58">
        <v>3</v>
      </c>
      <c r="F1788" s="58">
        <v>22</v>
      </c>
      <c r="G1788" s="58">
        <v>280</v>
      </c>
      <c r="H1788" s="58">
        <v>30</v>
      </c>
      <c r="I1788" s="58"/>
      <c r="J1788" s="58"/>
      <c r="K1788" s="58"/>
      <c r="L1788" s="58"/>
      <c r="M1788" s="58">
        <v>69</v>
      </c>
      <c r="N1788" s="58"/>
    </row>
    <row r="1789" spans="1:14" x14ac:dyDescent="0.25">
      <c r="A1789" s="58" t="s">
        <v>213</v>
      </c>
      <c r="B1789" s="58" t="s">
        <v>377</v>
      </c>
      <c r="C1789" s="58" t="s">
        <v>379</v>
      </c>
      <c r="D1789" s="58" t="s">
        <v>378</v>
      </c>
      <c r="E1789" s="58">
        <v>3</v>
      </c>
      <c r="F1789" s="58">
        <v>22</v>
      </c>
      <c r="G1789" s="58">
        <v>300</v>
      </c>
      <c r="H1789" s="58">
        <v>30</v>
      </c>
      <c r="I1789" s="58"/>
      <c r="J1789" s="58"/>
      <c r="K1789" s="58"/>
      <c r="L1789" s="58"/>
      <c r="M1789" s="58">
        <v>69</v>
      </c>
      <c r="N1789" s="58"/>
    </row>
    <row r="1790" spans="1:14" x14ac:dyDescent="0.25">
      <c r="A1790" s="58" t="s">
        <v>213</v>
      </c>
      <c r="B1790" s="58" t="s">
        <v>377</v>
      </c>
      <c r="C1790" s="58" t="s">
        <v>379</v>
      </c>
      <c r="D1790" s="58" t="s">
        <v>378</v>
      </c>
      <c r="E1790" s="58">
        <v>3</v>
      </c>
      <c r="F1790" s="58">
        <v>24</v>
      </c>
      <c r="G1790" s="58">
        <v>70</v>
      </c>
      <c r="H1790" s="58">
        <v>30</v>
      </c>
      <c r="I1790" s="58"/>
      <c r="J1790" s="58"/>
      <c r="K1790" s="58"/>
      <c r="L1790" s="58"/>
      <c r="M1790" s="58">
        <v>54</v>
      </c>
      <c r="N1790" s="58"/>
    </row>
    <row r="1791" spans="1:14" x14ac:dyDescent="0.25">
      <c r="A1791" s="58" t="s">
        <v>213</v>
      </c>
      <c r="B1791" s="58" t="s">
        <v>377</v>
      </c>
      <c r="C1791" s="58" t="s">
        <v>379</v>
      </c>
      <c r="D1791" s="58" t="s">
        <v>378</v>
      </c>
      <c r="E1791" s="58">
        <v>3</v>
      </c>
      <c r="F1791" s="58">
        <v>24</v>
      </c>
      <c r="G1791" s="58">
        <v>75</v>
      </c>
      <c r="H1791" s="58">
        <v>30</v>
      </c>
      <c r="I1791" s="58"/>
      <c r="J1791" s="58"/>
      <c r="K1791" s="58"/>
      <c r="L1791" s="58"/>
      <c r="M1791" s="58">
        <v>54</v>
      </c>
      <c r="N1791" s="58"/>
    </row>
    <row r="1792" spans="1:14" x14ac:dyDescent="0.25">
      <c r="A1792" s="58" t="s">
        <v>213</v>
      </c>
      <c r="B1792" s="58" t="s">
        <v>377</v>
      </c>
      <c r="C1792" s="58" t="s">
        <v>379</v>
      </c>
      <c r="D1792" s="58" t="s">
        <v>378</v>
      </c>
      <c r="E1792" s="58">
        <v>3</v>
      </c>
      <c r="F1792" s="58">
        <v>24</v>
      </c>
      <c r="G1792" s="58">
        <v>80</v>
      </c>
      <c r="H1792" s="58">
        <v>30</v>
      </c>
      <c r="I1792" s="58"/>
      <c r="J1792" s="58"/>
      <c r="K1792" s="58"/>
      <c r="L1792" s="58"/>
      <c r="M1792" s="58">
        <v>54</v>
      </c>
      <c r="N1792" s="58"/>
    </row>
    <row r="1793" spans="1:14" x14ac:dyDescent="0.25">
      <c r="A1793" s="58" t="s">
        <v>213</v>
      </c>
      <c r="B1793" s="58" t="s">
        <v>377</v>
      </c>
      <c r="C1793" s="58" t="s">
        <v>379</v>
      </c>
      <c r="D1793" s="58" t="s">
        <v>378</v>
      </c>
      <c r="E1793" s="58">
        <v>3</v>
      </c>
      <c r="F1793" s="58">
        <v>24</v>
      </c>
      <c r="G1793" s="58">
        <v>85</v>
      </c>
      <c r="H1793" s="58">
        <v>30</v>
      </c>
      <c r="I1793" s="58"/>
      <c r="J1793" s="58"/>
      <c r="K1793" s="58"/>
      <c r="L1793" s="58"/>
      <c r="M1793" s="58">
        <v>54</v>
      </c>
      <c r="N1793" s="58"/>
    </row>
    <row r="1794" spans="1:14" x14ac:dyDescent="0.25">
      <c r="A1794" s="58" t="s">
        <v>213</v>
      </c>
      <c r="B1794" s="58" t="s">
        <v>377</v>
      </c>
      <c r="C1794" s="58" t="s">
        <v>379</v>
      </c>
      <c r="D1794" s="58" t="s">
        <v>378</v>
      </c>
      <c r="E1794" s="58">
        <v>3</v>
      </c>
      <c r="F1794" s="58">
        <v>24</v>
      </c>
      <c r="G1794" s="58">
        <v>90</v>
      </c>
      <c r="H1794" s="58">
        <v>30</v>
      </c>
      <c r="I1794" s="58"/>
      <c r="J1794" s="58"/>
      <c r="K1794" s="58"/>
      <c r="L1794" s="58"/>
      <c r="M1794" s="58">
        <v>54</v>
      </c>
      <c r="N1794" s="58"/>
    </row>
    <row r="1795" spans="1:14" x14ac:dyDescent="0.25">
      <c r="A1795" s="58" t="s">
        <v>213</v>
      </c>
      <c r="B1795" s="58" t="s">
        <v>377</v>
      </c>
      <c r="C1795" s="58" t="s">
        <v>379</v>
      </c>
      <c r="D1795" s="58" t="s">
        <v>378</v>
      </c>
      <c r="E1795" s="58">
        <v>3</v>
      </c>
      <c r="F1795" s="58">
        <v>24</v>
      </c>
      <c r="G1795" s="58">
        <v>95</v>
      </c>
      <c r="H1795" s="58">
        <v>30</v>
      </c>
      <c r="I1795" s="58"/>
      <c r="J1795" s="58"/>
      <c r="K1795" s="58"/>
      <c r="L1795" s="58"/>
      <c r="M1795" s="58">
        <v>54</v>
      </c>
      <c r="N1795" s="58"/>
    </row>
    <row r="1796" spans="1:14" x14ac:dyDescent="0.25">
      <c r="A1796" s="58" t="s">
        <v>213</v>
      </c>
      <c r="B1796" s="58" t="s">
        <v>377</v>
      </c>
      <c r="C1796" s="58" t="s">
        <v>379</v>
      </c>
      <c r="D1796" s="58" t="s">
        <v>378</v>
      </c>
      <c r="E1796" s="58">
        <v>3</v>
      </c>
      <c r="F1796" s="58">
        <v>24</v>
      </c>
      <c r="G1796" s="58">
        <v>100</v>
      </c>
      <c r="H1796" s="58">
        <v>36</v>
      </c>
      <c r="I1796" s="58"/>
      <c r="J1796" s="58"/>
      <c r="K1796" s="58"/>
      <c r="L1796" s="58"/>
      <c r="M1796" s="58">
        <v>54</v>
      </c>
      <c r="N1796" s="58"/>
    </row>
    <row r="1797" spans="1:14" x14ac:dyDescent="0.25">
      <c r="A1797" s="58" t="s">
        <v>213</v>
      </c>
      <c r="B1797" s="58" t="s">
        <v>377</v>
      </c>
      <c r="C1797" s="58" t="s">
        <v>379</v>
      </c>
      <c r="D1797" s="58" t="s">
        <v>378</v>
      </c>
      <c r="E1797" s="58">
        <v>3</v>
      </c>
      <c r="F1797" s="58">
        <v>24</v>
      </c>
      <c r="G1797" s="58">
        <v>110</v>
      </c>
      <c r="H1797" s="58">
        <v>36</v>
      </c>
      <c r="I1797" s="58"/>
      <c r="J1797" s="58"/>
      <c r="K1797" s="58"/>
      <c r="L1797" s="58"/>
      <c r="M1797" s="58">
        <v>54</v>
      </c>
      <c r="N1797" s="58"/>
    </row>
    <row r="1798" spans="1:14" x14ac:dyDescent="0.25">
      <c r="A1798" s="58" t="s">
        <v>213</v>
      </c>
      <c r="B1798" s="58" t="s">
        <v>377</v>
      </c>
      <c r="C1798" s="58" t="s">
        <v>379</v>
      </c>
      <c r="D1798" s="58" t="s">
        <v>378</v>
      </c>
      <c r="E1798" s="58">
        <v>3</v>
      </c>
      <c r="F1798" s="58">
        <v>24</v>
      </c>
      <c r="G1798" s="58">
        <v>120</v>
      </c>
      <c r="H1798" s="58">
        <v>36</v>
      </c>
      <c r="I1798" s="58"/>
      <c r="J1798" s="58"/>
      <c r="K1798" s="58"/>
      <c r="L1798" s="58"/>
      <c r="M1798" s="58">
        <v>54</v>
      </c>
      <c r="N1798" s="58"/>
    </row>
    <row r="1799" spans="1:14" x14ac:dyDescent="0.25">
      <c r="A1799" s="58" t="s">
        <v>213</v>
      </c>
      <c r="B1799" s="58" t="s">
        <v>377</v>
      </c>
      <c r="C1799" s="58" t="s">
        <v>379</v>
      </c>
      <c r="D1799" s="58" t="s">
        <v>378</v>
      </c>
      <c r="E1799" s="58">
        <v>3</v>
      </c>
      <c r="F1799" s="58">
        <v>24</v>
      </c>
      <c r="G1799" s="58">
        <v>130</v>
      </c>
      <c r="H1799" s="58">
        <v>36</v>
      </c>
      <c r="I1799" s="58"/>
      <c r="J1799" s="58"/>
      <c r="K1799" s="58"/>
      <c r="L1799" s="58"/>
      <c r="M1799" s="58">
        <v>60</v>
      </c>
      <c r="N1799" s="58"/>
    </row>
    <row r="1800" spans="1:14" x14ac:dyDescent="0.25">
      <c r="A1800" s="58" t="s">
        <v>213</v>
      </c>
      <c r="B1800" s="58" t="s">
        <v>377</v>
      </c>
      <c r="C1800" s="58" t="s">
        <v>379</v>
      </c>
      <c r="D1800" s="58" t="s">
        <v>378</v>
      </c>
      <c r="E1800" s="58">
        <v>3</v>
      </c>
      <c r="F1800" s="58">
        <v>24</v>
      </c>
      <c r="G1800" s="58">
        <v>140</v>
      </c>
      <c r="H1800" s="58">
        <v>36</v>
      </c>
      <c r="I1800" s="58"/>
      <c r="J1800" s="58"/>
      <c r="K1800" s="58"/>
      <c r="L1800" s="58"/>
      <c r="M1800" s="58">
        <v>60</v>
      </c>
      <c r="N1800" s="58"/>
    </row>
    <row r="1801" spans="1:14" x14ac:dyDescent="0.25">
      <c r="A1801" s="58" t="s">
        <v>213</v>
      </c>
      <c r="B1801" s="58" t="s">
        <v>377</v>
      </c>
      <c r="C1801" s="58" t="s">
        <v>379</v>
      </c>
      <c r="D1801" s="58" t="s">
        <v>378</v>
      </c>
      <c r="E1801" s="58">
        <v>3</v>
      </c>
      <c r="F1801" s="58">
        <v>24</v>
      </c>
      <c r="G1801" s="58">
        <v>150</v>
      </c>
      <c r="H1801" s="58">
        <v>36</v>
      </c>
      <c r="I1801" s="58"/>
      <c r="J1801" s="58"/>
      <c r="K1801" s="58"/>
      <c r="L1801" s="58"/>
      <c r="M1801" s="58">
        <v>60</v>
      </c>
      <c r="N1801" s="58"/>
    </row>
    <row r="1802" spans="1:14" x14ac:dyDescent="0.25">
      <c r="A1802" s="58" t="s">
        <v>213</v>
      </c>
      <c r="B1802" s="58" t="s">
        <v>377</v>
      </c>
      <c r="C1802" s="58" t="s">
        <v>379</v>
      </c>
      <c r="D1802" s="58" t="s">
        <v>378</v>
      </c>
      <c r="E1802" s="58">
        <v>3</v>
      </c>
      <c r="F1802" s="58">
        <v>24</v>
      </c>
      <c r="G1802" s="58">
        <v>160</v>
      </c>
      <c r="H1802" s="58">
        <v>36</v>
      </c>
      <c r="I1802" s="58"/>
      <c r="J1802" s="58"/>
      <c r="K1802" s="58"/>
      <c r="L1802" s="58"/>
      <c r="M1802" s="58">
        <v>60</v>
      </c>
      <c r="N1802" s="58"/>
    </row>
    <row r="1803" spans="1:14" x14ac:dyDescent="0.25">
      <c r="A1803" s="58" t="s">
        <v>213</v>
      </c>
      <c r="B1803" s="58" t="s">
        <v>377</v>
      </c>
      <c r="C1803" s="58" t="s">
        <v>379</v>
      </c>
      <c r="D1803" s="58" t="s">
        <v>378</v>
      </c>
      <c r="E1803" s="58">
        <v>3</v>
      </c>
      <c r="F1803" s="58">
        <v>24</v>
      </c>
      <c r="G1803" s="58">
        <v>170</v>
      </c>
      <c r="H1803" s="58">
        <v>36</v>
      </c>
      <c r="I1803" s="58"/>
      <c r="J1803" s="58"/>
      <c r="K1803" s="58"/>
      <c r="L1803" s="58"/>
      <c r="M1803" s="58">
        <v>60</v>
      </c>
      <c r="N1803" s="58"/>
    </row>
    <row r="1804" spans="1:14" x14ac:dyDescent="0.25">
      <c r="A1804" s="58" t="s">
        <v>213</v>
      </c>
      <c r="B1804" s="58" t="s">
        <v>377</v>
      </c>
      <c r="C1804" s="58" t="s">
        <v>379</v>
      </c>
      <c r="D1804" s="58" t="s">
        <v>378</v>
      </c>
      <c r="E1804" s="58">
        <v>3</v>
      </c>
      <c r="F1804" s="58">
        <v>24</v>
      </c>
      <c r="G1804" s="58">
        <v>180</v>
      </c>
      <c r="H1804" s="58">
        <v>36</v>
      </c>
      <c r="I1804" s="58"/>
      <c r="J1804" s="58"/>
      <c r="K1804" s="58"/>
      <c r="L1804" s="58"/>
      <c r="M1804" s="58">
        <v>60</v>
      </c>
      <c r="N1804" s="58"/>
    </row>
    <row r="1805" spans="1:14" x14ac:dyDescent="0.25">
      <c r="A1805" s="58" t="s">
        <v>213</v>
      </c>
      <c r="B1805" s="58" t="s">
        <v>377</v>
      </c>
      <c r="C1805" s="58" t="s">
        <v>379</v>
      </c>
      <c r="D1805" s="58" t="s">
        <v>378</v>
      </c>
      <c r="E1805" s="58">
        <v>3</v>
      </c>
      <c r="F1805" s="58">
        <v>24</v>
      </c>
      <c r="G1805" s="58">
        <v>190</v>
      </c>
      <c r="H1805" s="58">
        <v>36</v>
      </c>
      <c r="I1805" s="58"/>
      <c r="J1805" s="58"/>
      <c r="K1805" s="58"/>
      <c r="L1805" s="58"/>
      <c r="M1805" s="58">
        <v>60</v>
      </c>
      <c r="N1805" s="58"/>
    </row>
    <row r="1806" spans="1:14" x14ac:dyDescent="0.25">
      <c r="A1806" s="58" t="s">
        <v>213</v>
      </c>
      <c r="B1806" s="58" t="s">
        <v>377</v>
      </c>
      <c r="C1806" s="58" t="s">
        <v>379</v>
      </c>
      <c r="D1806" s="58" t="s">
        <v>378</v>
      </c>
      <c r="E1806" s="58">
        <v>3</v>
      </c>
      <c r="F1806" s="58">
        <v>24</v>
      </c>
      <c r="G1806" s="58">
        <v>200</v>
      </c>
      <c r="H1806" s="58">
        <v>36</v>
      </c>
      <c r="I1806" s="58"/>
      <c r="J1806" s="58"/>
      <c r="K1806" s="58"/>
      <c r="L1806" s="58"/>
      <c r="M1806" s="58">
        <v>60</v>
      </c>
      <c r="N1806" s="58"/>
    </row>
    <row r="1807" spans="1:14" x14ac:dyDescent="0.25">
      <c r="A1807" s="58" t="s">
        <v>213</v>
      </c>
      <c r="B1807" s="58" t="s">
        <v>377</v>
      </c>
      <c r="C1807" s="58" t="s">
        <v>379</v>
      </c>
      <c r="D1807" s="58" t="s">
        <v>378</v>
      </c>
      <c r="E1807" s="58">
        <v>3</v>
      </c>
      <c r="F1807" s="58">
        <v>24</v>
      </c>
      <c r="G1807" s="58">
        <v>210</v>
      </c>
      <c r="H1807" s="58">
        <v>36</v>
      </c>
      <c r="I1807" s="58"/>
      <c r="J1807" s="58"/>
      <c r="K1807" s="58"/>
      <c r="L1807" s="58"/>
      <c r="M1807" s="58">
        <v>73</v>
      </c>
      <c r="N1807" s="58"/>
    </row>
    <row r="1808" spans="1:14" x14ac:dyDescent="0.25">
      <c r="A1808" s="58" t="s">
        <v>213</v>
      </c>
      <c r="B1808" s="58" t="s">
        <v>377</v>
      </c>
      <c r="C1808" s="58" t="s">
        <v>379</v>
      </c>
      <c r="D1808" s="58" t="s">
        <v>378</v>
      </c>
      <c r="E1808" s="58">
        <v>3</v>
      </c>
      <c r="F1808" s="58">
        <v>24</v>
      </c>
      <c r="G1808" s="58">
        <v>220</v>
      </c>
      <c r="H1808" s="58">
        <v>36</v>
      </c>
      <c r="I1808" s="58"/>
      <c r="J1808" s="58"/>
      <c r="K1808" s="58"/>
      <c r="L1808" s="58"/>
      <c r="M1808" s="58">
        <v>73</v>
      </c>
      <c r="N1808" s="58"/>
    </row>
    <row r="1809" spans="1:14" x14ac:dyDescent="0.25">
      <c r="A1809" s="58" t="s">
        <v>213</v>
      </c>
      <c r="B1809" s="58" t="s">
        <v>377</v>
      </c>
      <c r="C1809" s="58" t="s">
        <v>379</v>
      </c>
      <c r="D1809" s="58" t="s">
        <v>378</v>
      </c>
      <c r="E1809" s="58">
        <v>3</v>
      </c>
      <c r="F1809" s="58">
        <v>24</v>
      </c>
      <c r="G1809" s="58">
        <v>230</v>
      </c>
      <c r="H1809" s="58">
        <v>36</v>
      </c>
      <c r="I1809" s="58"/>
      <c r="J1809" s="58"/>
      <c r="K1809" s="58"/>
      <c r="L1809" s="58"/>
      <c r="M1809" s="58">
        <v>73</v>
      </c>
      <c r="N1809" s="58"/>
    </row>
    <row r="1810" spans="1:14" x14ac:dyDescent="0.25">
      <c r="A1810" s="58" t="s">
        <v>213</v>
      </c>
      <c r="B1810" s="58" t="s">
        <v>377</v>
      </c>
      <c r="C1810" s="58" t="s">
        <v>379</v>
      </c>
      <c r="D1810" s="58" t="s">
        <v>378</v>
      </c>
      <c r="E1810" s="58">
        <v>3</v>
      </c>
      <c r="F1810" s="58">
        <v>24</v>
      </c>
      <c r="G1810" s="58">
        <v>240</v>
      </c>
      <c r="H1810" s="58">
        <v>36</v>
      </c>
      <c r="I1810" s="58"/>
      <c r="J1810" s="58"/>
      <c r="K1810" s="58"/>
      <c r="L1810" s="58"/>
      <c r="M1810" s="58">
        <v>73</v>
      </c>
      <c r="N1810" s="58"/>
    </row>
    <row r="1811" spans="1:14" x14ac:dyDescent="0.25">
      <c r="A1811" s="58" t="s">
        <v>213</v>
      </c>
      <c r="B1811" s="58" t="s">
        <v>377</v>
      </c>
      <c r="C1811" s="58" t="s">
        <v>379</v>
      </c>
      <c r="D1811" s="58" t="s">
        <v>378</v>
      </c>
      <c r="E1811" s="58">
        <v>3</v>
      </c>
      <c r="F1811" s="58">
        <v>24</v>
      </c>
      <c r="G1811" s="58">
        <v>250</v>
      </c>
      <c r="H1811" s="58">
        <v>36</v>
      </c>
      <c r="I1811" s="58"/>
      <c r="J1811" s="58"/>
      <c r="K1811" s="58"/>
      <c r="L1811" s="58"/>
      <c r="M1811" s="58">
        <v>73</v>
      </c>
      <c r="N1811" s="58"/>
    </row>
    <row r="1812" spans="1:14" x14ac:dyDescent="0.25">
      <c r="A1812" s="58" t="s">
        <v>213</v>
      </c>
      <c r="B1812" s="58" t="s">
        <v>377</v>
      </c>
      <c r="C1812" s="58" t="s">
        <v>379</v>
      </c>
      <c r="D1812" s="58" t="s">
        <v>378</v>
      </c>
      <c r="E1812" s="58">
        <v>3</v>
      </c>
      <c r="F1812" s="58">
        <v>24</v>
      </c>
      <c r="G1812" s="58">
        <v>260</v>
      </c>
      <c r="H1812" s="58">
        <v>36</v>
      </c>
      <c r="I1812" s="58"/>
      <c r="J1812" s="58"/>
      <c r="K1812" s="58"/>
      <c r="L1812" s="58"/>
      <c r="M1812" s="58">
        <v>73</v>
      </c>
      <c r="N1812" s="58"/>
    </row>
    <row r="1813" spans="1:14" x14ac:dyDescent="0.25">
      <c r="A1813" s="58" t="s">
        <v>213</v>
      </c>
      <c r="B1813" s="58" t="s">
        <v>377</v>
      </c>
      <c r="C1813" s="58" t="s">
        <v>379</v>
      </c>
      <c r="D1813" s="58" t="s">
        <v>378</v>
      </c>
      <c r="E1813" s="58">
        <v>3</v>
      </c>
      <c r="F1813" s="58">
        <v>24</v>
      </c>
      <c r="G1813" s="58">
        <v>270</v>
      </c>
      <c r="H1813" s="58">
        <v>36</v>
      </c>
      <c r="I1813" s="58"/>
      <c r="J1813" s="58"/>
      <c r="K1813" s="58"/>
      <c r="L1813" s="58"/>
      <c r="M1813" s="58">
        <v>73</v>
      </c>
      <c r="N1813" s="58"/>
    </row>
    <row r="1814" spans="1:14" x14ac:dyDescent="0.25">
      <c r="A1814" s="58" t="s">
        <v>213</v>
      </c>
      <c r="B1814" s="58" t="s">
        <v>377</v>
      </c>
      <c r="C1814" s="58" t="s">
        <v>379</v>
      </c>
      <c r="D1814" s="58" t="s">
        <v>378</v>
      </c>
      <c r="E1814" s="58">
        <v>3</v>
      </c>
      <c r="F1814" s="58">
        <v>24</v>
      </c>
      <c r="G1814" s="58">
        <v>280</v>
      </c>
      <c r="H1814" s="58">
        <v>36</v>
      </c>
      <c r="I1814" s="58"/>
      <c r="J1814" s="58"/>
      <c r="K1814" s="58"/>
      <c r="L1814" s="58"/>
      <c r="M1814" s="58">
        <v>73</v>
      </c>
      <c r="N1814" s="58"/>
    </row>
    <row r="1815" spans="1:14" x14ac:dyDescent="0.25">
      <c r="A1815" s="58" t="s">
        <v>213</v>
      </c>
      <c r="B1815" s="58" t="s">
        <v>377</v>
      </c>
      <c r="C1815" s="58" t="s">
        <v>379</v>
      </c>
      <c r="D1815" s="58" t="s">
        <v>378</v>
      </c>
      <c r="E1815" s="58">
        <v>3</v>
      </c>
      <c r="F1815" s="58">
        <v>24</v>
      </c>
      <c r="G1815" s="58">
        <v>300</v>
      </c>
      <c r="H1815" s="58">
        <v>36</v>
      </c>
      <c r="I1815" s="58"/>
      <c r="J1815" s="58"/>
      <c r="K1815" s="58"/>
      <c r="L1815" s="58"/>
      <c r="M1815" s="58">
        <v>73</v>
      </c>
      <c r="N1815" s="58"/>
    </row>
    <row r="1816" spans="1:14" x14ac:dyDescent="0.25">
      <c r="A1816" s="58" t="s">
        <v>213</v>
      </c>
      <c r="B1816" s="58" t="s">
        <v>377</v>
      </c>
      <c r="C1816" s="58" t="s">
        <v>379</v>
      </c>
      <c r="D1816" s="58" t="s">
        <v>378</v>
      </c>
      <c r="E1816" s="58">
        <v>3</v>
      </c>
      <c r="F1816" s="58">
        <v>24</v>
      </c>
      <c r="G1816" s="58">
        <v>310</v>
      </c>
      <c r="H1816" s="58">
        <v>36</v>
      </c>
      <c r="I1816" s="58"/>
      <c r="J1816" s="58"/>
      <c r="K1816" s="58"/>
      <c r="L1816" s="58"/>
      <c r="M1816" s="58">
        <v>73</v>
      </c>
      <c r="N1816" s="58"/>
    </row>
    <row r="1817" spans="1:14" x14ac:dyDescent="0.25">
      <c r="A1817" s="58" t="s">
        <v>213</v>
      </c>
      <c r="B1817" s="58" t="s">
        <v>377</v>
      </c>
      <c r="C1817" s="58" t="s">
        <v>379</v>
      </c>
      <c r="D1817" s="58" t="s">
        <v>378</v>
      </c>
      <c r="E1817" s="58">
        <v>3</v>
      </c>
      <c r="F1817" s="58">
        <v>24</v>
      </c>
      <c r="G1817" s="58">
        <v>320</v>
      </c>
      <c r="H1817" s="58">
        <v>36</v>
      </c>
      <c r="I1817" s="58"/>
      <c r="J1817" s="58"/>
      <c r="K1817" s="58"/>
      <c r="L1817" s="58"/>
      <c r="M1817" s="58">
        <v>73</v>
      </c>
      <c r="N1817" s="58"/>
    </row>
    <row r="1818" spans="1:14" x14ac:dyDescent="0.25">
      <c r="A1818" s="58" t="s">
        <v>213</v>
      </c>
      <c r="B1818" s="58" t="s">
        <v>377</v>
      </c>
      <c r="C1818" s="58" t="s">
        <v>379</v>
      </c>
      <c r="D1818" s="58" t="s">
        <v>378</v>
      </c>
      <c r="E1818" s="58">
        <v>3</v>
      </c>
      <c r="F1818" s="58">
        <v>24</v>
      </c>
      <c r="G1818" s="58">
        <v>330</v>
      </c>
      <c r="H1818" s="58">
        <v>36</v>
      </c>
      <c r="I1818" s="58"/>
      <c r="J1818" s="58"/>
      <c r="K1818" s="58"/>
      <c r="L1818" s="58"/>
      <c r="M1818" s="58">
        <v>73</v>
      </c>
      <c r="N1818" s="58"/>
    </row>
    <row r="1819" spans="1:14" x14ac:dyDescent="0.25">
      <c r="A1819" s="58" t="s">
        <v>213</v>
      </c>
      <c r="B1819" s="58" t="s">
        <v>377</v>
      </c>
      <c r="C1819" s="58" t="s">
        <v>379</v>
      </c>
      <c r="D1819" s="58" t="s">
        <v>378</v>
      </c>
      <c r="E1819" s="58">
        <v>3</v>
      </c>
      <c r="F1819" s="58">
        <v>24</v>
      </c>
      <c r="G1819" s="58">
        <v>340</v>
      </c>
      <c r="H1819" s="58">
        <v>36</v>
      </c>
      <c r="I1819" s="58"/>
      <c r="J1819" s="58"/>
      <c r="K1819" s="58"/>
      <c r="L1819" s="58"/>
      <c r="M1819" s="58">
        <v>73</v>
      </c>
      <c r="N1819" s="58"/>
    </row>
    <row r="1820" spans="1:14" x14ac:dyDescent="0.25">
      <c r="A1820" s="58" t="s">
        <v>213</v>
      </c>
      <c r="B1820" s="58" t="s">
        <v>377</v>
      </c>
      <c r="C1820" s="58" t="s">
        <v>379</v>
      </c>
      <c r="D1820" s="58" t="s">
        <v>378</v>
      </c>
      <c r="E1820" s="58">
        <v>3</v>
      </c>
      <c r="F1820" s="58">
        <v>24</v>
      </c>
      <c r="G1820" s="58">
        <v>350</v>
      </c>
      <c r="H1820" s="58">
        <v>36</v>
      </c>
      <c r="I1820" s="58"/>
      <c r="J1820" s="58"/>
      <c r="K1820" s="58"/>
      <c r="L1820" s="58"/>
      <c r="M1820" s="58">
        <v>73</v>
      </c>
      <c r="N1820" s="58"/>
    </row>
    <row r="1821" spans="1:14" x14ac:dyDescent="0.25">
      <c r="A1821" s="58" t="s">
        <v>213</v>
      </c>
      <c r="B1821" s="58" t="s">
        <v>377</v>
      </c>
      <c r="C1821" s="58" t="s">
        <v>379</v>
      </c>
      <c r="D1821" s="58" t="s">
        <v>378</v>
      </c>
      <c r="E1821" s="58">
        <v>3</v>
      </c>
      <c r="F1821" s="58">
        <v>24</v>
      </c>
      <c r="G1821" s="58">
        <v>360</v>
      </c>
      <c r="H1821" s="58">
        <v>36</v>
      </c>
      <c r="I1821" s="58"/>
      <c r="J1821" s="58"/>
      <c r="K1821" s="58"/>
      <c r="L1821" s="58"/>
      <c r="M1821" s="58">
        <v>73</v>
      </c>
      <c r="N1821" s="58"/>
    </row>
    <row r="1822" spans="1:14" x14ac:dyDescent="0.25">
      <c r="A1822" s="58" t="s">
        <v>213</v>
      </c>
      <c r="B1822" s="58" t="s">
        <v>377</v>
      </c>
      <c r="C1822" s="58" t="s">
        <v>379</v>
      </c>
      <c r="D1822" s="58" t="s">
        <v>378</v>
      </c>
      <c r="E1822" s="58">
        <v>3</v>
      </c>
      <c r="F1822" s="58">
        <v>24</v>
      </c>
      <c r="G1822" s="58">
        <v>380</v>
      </c>
      <c r="H1822" s="58">
        <v>36</v>
      </c>
      <c r="I1822" s="58"/>
      <c r="J1822" s="58"/>
      <c r="K1822" s="58"/>
      <c r="L1822" s="58"/>
      <c r="M1822" s="58">
        <v>73</v>
      </c>
      <c r="N1822" s="58"/>
    </row>
    <row r="1823" spans="1:14" x14ac:dyDescent="0.25">
      <c r="A1823" s="58" t="s">
        <v>213</v>
      </c>
      <c r="B1823" s="58" t="s">
        <v>377</v>
      </c>
      <c r="C1823" s="58" t="s">
        <v>379</v>
      </c>
      <c r="D1823" s="58" t="s">
        <v>378</v>
      </c>
      <c r="E1823" s="58">
        <v>3</v>
      </c>
      <c r="F1823" s="58">
        <v>24</v>
      </c>
      <c r="G1823" s="58">
        <v>390</v>
      </c>
      <c r="H1823" s="58">
        <v>36</v>
      </c>
      <c r="I1823" s="58"/>
      <c r="J1823" s="58"/>
      <c r="K1823" s="58"/>
      <c r="L1823" s="58"/>
      <c r="M1823" s="58">
        <v>73</v>
      </c>
      <c r="N1823" s="58"/>
    </row>
    <row r="1824" spans="1:14" x14ac:dyDescent="0.25">
      <c r="A1824" s="58" t="s">
        <v>213</v>
      </c>
      <c r="B1824" s="58" t="s">
        <v>377</v>
      </c>
      <c r="C1824" s="58" t="s">
        <v>379</v>
      </c>
      <c r="D1824" s="58" t="s">
        <v>378</v>
      </c>
      <c r="E1824" s="58">
        <v>3</v>
      </c>
      <c r="F1824" s="58">
        <v>24</v>
      </c>
      <c r="G1824" s="58">
        <v>400</v>
      </c>
      <c r="H1824" s="58">
        <v>36</v>
      </c>
      <c r="I1824" s="58"/>
      <c r="J1824" s="58"/>
      <c r="K1824" s="58"/>
      <c r="L1824" s="58"/>
      <c r="M1824" s="58">
        <v>73</v>
      </c>
      <c r="N1824" s="58"/>
    </row>
    <row r="1825" spans="1:14" x14ac:dyDescent="0.25">
      <c r="A1825" s="58" t="s">
        <v>213</v>
      </c>
      <c r="B1825" s="58" t="s">
        <v>377</v>
      </c>
      <c r="C1825" s="58" t="s">
        <v>379</v>
      </c>
      <c r="D1825" s="58" t="s">
        <v>378</v>
      </c>
      <c r="E1825" s="58">
        <v>3</v>
      </c>
      <c r="F1825" s="58">
        <v>24</v>
      </c>
      <c r="G1825" s="58">
        <v>410</v>
      </c>
      <c r="H1825" s="58">
        <v>36</v>
      </c>
      <c r="I1825" s="58"/>
      <c r="J1825" s="58"/>
      <c r="K1825" s="58"/>
      <c r="L1825" s="58"/>
      <c r="M1825" s="58">
        <v>73</v>
      </c>
      <c r="N1825" s="58"/>
    </row>
    <row r="1826" spans="1:14" x14ac:dyDescent="0.25">
      <c r="A1826" s="58" t="s">
        <v>213</v>
      </c>
      <c r="B1826" s="58" t="s">
        <v>377</v>
      </c>
      <c r="C1826" s="58" t="s">
        <v>379</v>
      </c>
      <c r="D1826" s="58" t="s">
        <v>378</v>
      </c>
      <c r="E1826" s="58">
        <v>3</v>
      </c>
      <c r="F1826" s="58">
        <v>24</v>
      </c>
      <c r="G1826" s="58">
        <v>420</v>
      </c>
      <c r="H1826" s="58">
        <v>36</v>
      </c>
      <c r="I1826" s="58"/>
      <c r="J1826" s="58"/>
      <c r="K1826" s="58"/>
      <c r="L1826" s="58"/>
      <c r="M1826" s="58">
        <v>73</v>
      </c>
      <c r="N1826" s="58"/>
    </row>
    <row r="1827" spans="1:14" x14ac:dyDescent="0.25">
      <c r="A1827" s="58" t="s">
        <v>213</v>
      </c>
      <c r="B1827" s="58" t="s">
        <v>377</v>
      </c>
      <c r="C1827" s="58" t="s">
        <v>379</v>
      </c>
      <c r="D1827" s="58" t="s">
        <v>378</v>
      </c>
      <c r="E1827" s="58">
        <v>3</v>
      </c>
      <c r="F1827" s="58">
        <v>24</v>
      </c>
      <c r="G1827" s="58">
        <v>430</v>
      </c>
      <c r="H1827" s="58">
        <v>36</v>
      </c>
      <c r="I1827" s="58"/>
      <c r="J1827" s="58"/>
      <c r="K1827" s="58"/>
      <c r="L1827" s="58"/>
      <c r="M1827" s="58">
        <v>73</v>
      </c>
      <c r="N1827" s="58"/>
    </row>
    <row r="1828" spans="1:14" x14ac:dyDescent="0.25">
      <c r="A1828" s="58" t="s">
        <v>213</v>
      </c>
      <c r="B1828" s="58" t="s">
        <v>377</v>
      </c>
      <c r="C1828" s="58" t="s">
        <v>379</v>
      </c>
      <c r="D1828" s="58" t="s">
        <v>378</v>
      </c>
      <c r="E1828" s="58">
        <v>3</v>
      </c>
      <c r="F1828" s="58">
        <v>24</v>
      </c>
      <c r="G1828" s="58">
        <v>440</v>
      </c>
      <c r="H1828" s="58">
        <v>36</v>
      </c>
      <c r="I1828" s="58"/>
      <c r="J1828" s="58"/>
      <c r="K1828" s="58"/>
      <c r="L1828" s="58"/>
      <c r="M1828" s="58">
        <v>73</v>
      </c>
      <c r="N1828" s="58"/>
    </row>
    <row r="1829" spans="1:14" x14ac:dyDescent="0.25">
      <c r="A1829" s="58" t="s">
        <v>213</v>
      </c>
      <c r="B1829" s="58" t="s">
        <v>377</v>
      </c>
      <c r="C1829" s="58" t="s">
        <v>379</v>
      </c>
      <c r="D1829" s="58" t="s">
        <v>378</v>
      </c>
      <c r="E1829" s="58">
        <v>3</v>
      </c>
      <c r="F1829" s="58">
        <v>24</v>
      </c>
      <c r="G1829" s="58">
        <v>450</v>
      </c>
      <c r="H1829" s="58">
        <v>36</v>
      </c>
      <c r="I1829" s="58"/>
      <c r="J1829" s="58"/>
      <c r="K1829" s="58"/>
      <c r="L1829" s="58"/>
      <c r="M1829" s="58">
        <v>73</v>
      </c>
      <c r="N1829" s="58"/>
    </row>
    <row r="1830" spans="1:14" x14ac:dyDescent="0.25">
      <c r="A1830" s="58" t="s">
        <v>213</v>
      </c>
      <c r="B1830" s="58" t="s">
        <v>377</v>
      </c>
      <c r="C1830" s="58" t="s">
        <v>379</v>
      </c>
      <c r="D1830" s="58" t="s">
        <v>378</v>
      </c>
      <c r="E1830" s="58">
        <v>3</v>
      </c>
      <c r="F1830" s="58">
        <v>27</v>
      </c>
      <c r="G1830" s="58">
        <v>80</v>
      </c>
      <c r="H1830" s="58">
        <v>36</v>
      </c>
      <c r="I1830" s="58"/>
      <c r="J1830" s="58"/>
      <c r="K1830" s="58"/>
      <c r="L1830" s="58"/>
      <c r="M1830" s="58">
        <v>60</v>
      </c>
      <c r="N1830" s="58"/>
    </row>
    <row r="1831" spans="1:14" x14ac:dyDescent="0.25">
      <c r="A1831" s="58" t="s">
        <v>213</v>
      </c>
      <c r="B1831" s="58" t="s">
        <v>377</v>
      </c>
      <c r="C1831" s="58" t="s">
        <v>379</v>
      </c>
      <c r="D1831" s="58" t="s">
        <v>378</v>
      </c>
      <c r="E1831" s="58">
        <v>3</v>
      </c>
      <c r="F1831" s="58">
        <v>27</v>
      </c>
      <c r="G1831" s="58">
        <v>90</v>
      </c>
      <c r="H1831" s="58">
        <v>36</v>
      </c>
      <c r="I1831" s="58"/>
      <c r="J1831" s="58"/>
      <c r="K1831" s="58"/>
      <c r="L1831" s="58"/>
      <c r="M1831" s="58">
        <v>60</v>
      </c>
      <c r="N1831" s="58"/>
    </row>
    <row r="1832" spans="1:14" x14ac:dyDescent="0.25">
      <c r="A1832" s="58" t="s">
        <v>213</v>
      </c>
      <c r="B1832" s="58" t="s">
        <v>377</v>
      </c>
      <c r="C1832" s="58" t="s">
        <v>379</v>
      </c>
      <c r="D1832" s="58" t="s">
        <v>378</v>
      </c>
      <c r="E1832" s="58">
        <v>3</v>
      </c>
      <c r="F1832" s="58">
        <v>27</v>
      </c>
      <c r="G1832" s="58">
        <v>100</v>
      </c>
      <c r="H1832" s="58">
        <v>41</v>
      </c>
      <c r="I1832" s="58"/>
      <c r="J1832" s="58"/>
      <c r="K1832" s="58"/>
      <c r="L1832" s="58"/>
      <c r="M1832" s="58">
        <v>60</v>
      </c>
      <c r="N1832" s="58"/>
    </row>
    <row r="1833" spans="1:14" x14ac:dyDescent="0.25">
      <c r="A1833" s="58" t="s">
        <v>213</v>
      </c>
      <c r="B1833" s="58" t="s">
        <v>377</v>
      </c>
      <c r="C1833" s="58" t="s">
        <v>379</v>
      </c>
      <c r="D1833" s="58" t="s">
        <v>378</v>
      </c>
      <c r="E1833" s="58">
        <v>3</v>
      </c>
      <c r="F1833" s="58">
        <v>27</v>
      </c>
      <c r="G1833" s="58">
        <v>110</v>
      </c>
      <c r="H1833" s="58">
        <v>41</v>
      </c>
      <c r="I1833" s="58"/>
      <c r="J1833" s="58"/>
      <c r="K1833" s="58"/>
      <c r="L1833" s="58"/>
      <c r="M1833" s="58">
        <v>60</v>
      </c>
      <c r="N1833" s="58"/>
    </row>
    <row r="1834" spans="1:14" x14ac:dyDescent="0.25">
      <c r="A1834" s="58" t="s">
        <v>213</v>
      </c>
      <c r="B1834" s="58" t="s">
        <v>377</v>
      </c>
      <c r="C1834" s="58" t="s">
        <v>379</v>
      </c>
      <c r="D1834" s="58" t="s">
        <v>378</v>
      </c>
      <c r="E1834" s="58">
        <v>3</v>
      </c>
      <c r="F1834" s="58">
        <v>27</v>
      </c>
      <c r="G1834" s="58">
        <v>120</v>
      </c>
      <c r="H1834" s="58">
        <v>41</v>
      </c>
      <c r="I1834" s="58"/>
      <c r="J1834" s="58"/>
      <c r="K1834" s="58"/>
      <c r="L1834" s="58"/>
      <c r="M1834" s="58">
        <v>60</v>
      </c>
      <c r="N1834" s="58"/>
    </row>
    <row r="1835" spans="1:14" x14ac:dyDescent="0.25">
      <c r="A1835" s="58" t="s">
        <v>213</v>
      </c>
      <c r="B1835" s="58" t="s">
        <v>377</v>
      </c>
      <c r="C1835" s="58" t="s">
        <v>379</v>
      </c>
      <c r="D1835" s="58" t="s">
        <v>378</v>
      </c>
      <c r="E1835" s="58">
        <v>3</v>
      </c>
      <c r="F1835" s="58">
        <v>27</v>
      </c>
      <c r="G1835" s="58">
        <v>130</v>
      </c>
      <c r="H1835" s="58">
        <v>41</v>
      </c>
      <c r="I1835" s="58"/>
      <c r="J1835" s="58"/>
      <c r="K1835" s="58"/>
      <c r="L1835" s="58"/>
      <c r="M1835" s="58">
        <v>66</v>
      </c>
      <c r="N1835" s="58"/>
    </row>
    <row r="1836" spans="1:14" x14ac:dyDescent="0.25">
      <c r="A1836" s="58" t="s">
        <v>213</v>
      </c>
      <c r="B1836" s="58" t="s">
        <v>377</v>
      </c>
      <c r="C1836" s="58" t="s">
        <v>379</v>
      </c>
      <c r="D1836" s="58" t="s">
        <v>378</v>
      </c>
      <c r="E1836" s="58">
        <v>3</v>
      </c>
      <c r="F1836" s="58">
        <v>27</v>
      </c>
      <c r="G1836" s="58">
        <v>140</v>
      </c>
      <c r="H1836" s="58">
        <v>41</v>
      </c>
      <c r="I1836" s="58"/>
      <c r="J1836" s="58"/>
      <c r="K1836" s="58"/>
      <c r="L1836" s="58"/>
      <c r="M1836" s="58">
        <v>66</v>
      </c>
      <c r="N1836" s="58"/>
    </row>
    <row r="1837" spans="1:14" x14ac:dyDescent="0.25">
      <c r="A1837" s="58" t="s">
        <v>213</v>
      </c>
      <c r="B1837" s="58" t="s">
        <v>377</v>
      </c>
      <c r="C1837" s="58" t="s">
        <v>379</v>
      </c>
      <c r="D1837" s="58" t="s">
        <v>378</v>
      </c>
      <c r="E1837" s="58">
        <v>3</v>
      </c>
      <c r="F1837" s="58">
        <v>27</v>
      </c>
      <c r="G1837" s="58">
        <v>150</v>
      </c>
      <c r="H1837" s="58">
        <v>41</v>
      </c>
      <c r="I1837" s="58"/>
      <c r="J1837" s="58"/>
      <c r="K1837" s="58"/>
      <c r="L1837" s="58"/>
      <c r="M1837" s="58">
        <v>66</v>
      </c>
      <c r="N1837" s="58"/>
    </row>
    <row r="1838" spans="1:14" x14ac:dyDescent="0.25">
      <c r="A1838" s="58" t="s">
        <v>213</v>
      </c>
      <c r="B1838" s="58" t="s">
        <v>377</v>
      </c>
      <c r="C1838" s="58" t="s">
        <v>379</v>
      </c>
      <c r="D1838" s="58" t="s">
        <v>378</v>
      </c>
      <c r="E1838" s="58">
        <v>3</v>
      </c>
      <c r="F1838" s="58">
        <v>27</v>
      </c>
      <c r="G1838" s="58">
        <v>160</v>
      </c>
      <c r="H1838" s="58">
        <v>41</v>
      </c>
      <c r="I1838" s="58"/>
      <c r="J1838" s="58"/>
      <c r="K1838" s="58"/>
      <c r="L1838" s="58"/>
      <c r="M1838" s="58">
        <v>66</v>
      </c>
      <c r="N1838" s="58"/>
    </row>
    <row r="1839" spans="1:14" x14ac:dyDescent="0.25">
      <c r="A1839" s="58" t="s">
        <v>213</v>
      </c>
      <c r="B1839" s="58" t="s">
        <v>377</v>
      </c>
      <c r="C1839" s="58" t="s">
        <v>379</v>
      </c>
      <c r="D1839" s="58" t="s">
        <v>378</v>
      </c>
      <c r="E1839" s="58">
        <v>3</v>
      </c>
      <c r="F1839" s="58">
        <v>27</v>
      </c>
      <c r="G1839" s="58">
        <v>170</v>
      </c>
      <c r="H1839" s="58">
        <v>41</v>
      </c>
      <c r="I1839" s="58"/>
      <c r="J1839" s="58"/>
      <c r="K1839" s="58"/>
      <c r="L1839" s="58"/>
      <c r="M1839" s="58">
        <v>66</v>
      </c>
      <c r="N1839" s="58"/>
    </row>
    <row r="1840" spans="1:14" x14ac:dyDescent="0.25">
      <c r="A1840" s="58" t="s">
        <v>213</v>
      </c>
      <c r="B1840" s="58" t="s">
        <v>377</v>
      </c>
      <c r="C1840" s="58" t="s">
        <v>379</v>
      </c>
      <c r="D1840" s="58" t="s">
        <v>378</v>
      </c>
      <c r="E1840" s="58">
        <v>3</v>
      </c>
      <c r="F1840" s="58">
        <v>27</v>
      </c>
      <c r="G1840" s="58">
        <v>180</v>
      </c>
      <c r="H1840" s="58">
        <v>41</v>
      </c>
      <c r="I1840" s="58"/>
      <c r="J1840" s="58"/>
      <c r="K1840" s="58"/>
      <c r="L1840" s="58"/>
      <c r="M1840" s="58">
        <v>66</v>
      </c>
      <c r="N1840" s="58"/>
    </row>
    <row r="1841" spans="1:14" x14ac:dyDescent="0.25">
      <c r="A1841" s="58" t="s">
        <v>213</v>
      </c>
      <c r="B1841" s="58" t="s">
        <v>377</v>
      </c>
      <c r="C1841" s="58" t="s">
        <v>379</v>
      </c>
      <c r="D1841" s="58" t="s">
        <v>378</v>
      </c>
      <c r="E1841" s="58">
        <v>3</v>
      </c>
      <c r="F1841" s="58">
        <v>27</v>
      </c>
      <c r="G1841" s="58">
        <v>190</v>
      </c>
      <c r="H1841" s="58">
        <v>41</v>
      </c>
      <c r="I1841" s="58"/>
      <c r="J1841" s="58"/>
      <c r="K1841" s="58"/>
      <c r="L1841" s="58"/>
      <c r="M1841" s="58">
        <v>66</v>
      </c>
      <c r="N1841" s="58"/>
    </row>
    <row r="1842" spans="1:14" x14ac:dyDescent="0.25">
      <c r="A1842" s="58" t="s">
        <v>213</v>
      </c>
      <c r="B1842" s="58" t="s">
        <v>377</v>
      </c>
      <c r="C1842" s="58" t="s">
        <v>379</v>
      </c>
      <c r="D1842" s="58" t="s">
        <v>378</v>
      </c>
      <c r="E1842" s="58">
        <v>3</v>
      </c>
      <c r="F1842" s="58">
        <v>27</v>
      </c>
      <c r="G1842" s="58">
        <v>200</v>
      </c>
      <c r="H1842" s="58">
        <v>41</v>
      </c>
      <c r="I1842" s="58"/>
      <c r="J1842" s="58"/>
      <c r="K1842" s="58"/>
      <c r="L1842" s="58"/>
      <c r="M1842" s="58">
        <v>66</v>
      </c>
      <c r="N1842" s="58"/>
    </row>
    <row r="1843" spans="1:14" x14ac:dyDescent="0.25">
      <c r="A1843" s="58" t="s">
        <v>213</v>
      </c>
      <c r="B1843" s="58" t="s">
        <v>377</v>
      </c>
      <c r="C1843" s="58" t="s">
        <v>379</v>
      </c>
      <c r="D1843" s="58" t="s">
        <v>378</v>
      </c>
      <c r="E1843" s="58">
        <v>3</v>
      </c>
      <c r="F1843" s="58">
        <v>27</v>
      </c>
      <c r="G1843" s="58">
        <v>220</v>
      </c>
      <c r="H1843" s="58">
        <v>41</v>
      </c>
      <c r="I1843" s="58"/>
      <c r="J1843" s="58"/>
      <c r="K1843" s="58"/>
      <c r="L1843" s="58"/>
      <c r="M1843" s="58">
        <v>79</v>
      </c>
      <c r="N1843" s="58"/>
    </row>
    <row r="1844" spans="1:14" x14ac:dyDescent="0.25">
      <c r="A1844" s="58" t="s">
        <v>213</v>
      </c>
      <c r="B1844" s="58" t="s">
        <v>377</v>
      </c>
      <c r="C1844" s="58" t="s">
        <v>379</v>
      </c>
      <c r="D1844" s="58" t="s">
        <v>378</v>
      </c>
      <c r="E1844" s="58">
        <v>3</v>
      </c>
      <c r="F1844" s="58">
        <v>27</v>
      </c>
      <c r="G1844" s="58">
        <v>230</v>
      </c>
      <c r="H1844" s="58">
        <v>41</v>
      </c>
      <c r="I1844" s="58"/>
      <c r="J1844" s="58"/>
      <c r="K1844" s="58"/>
      <c r="L1844" s="58"/>
      <c r="M1844" s="58">
        <v>79</v>
      </c>
      <c r="N1844" s="58"/>
    </row>
    <row r="1845" spans="1:14" x14ac:dyDescent="0.25">
      <c r="A1845" s="58" t="s">
        <v>213</v>
      </c>
      <c r="B1845" s="58" t="s">
        <v>377</v>
      </c>
      <c r="C1845" s="58" t="s">
        <v>379</v>
      </c>
      <c r="D1845" s="58" t="s">
        <v>378</v>
      </c>
      <c r="E1845" s="58">
        <v>3</v>
      </c>
      <c r="F1845" s="58">
        <v>27</v>
      </c>
      <c r="G1845" s="58">
        <v>240</v>
      </c>
      <c r="H1845" s="58">
        <v>41</v>
      </c>
      <c r="I1845" s="58"/>
      <c r="J1845" s="58"/>
      <c r="K1845" s="58"/>
      <c r="L1845" s="58"/>
      <c r="M1845" s="58">
        <v>79</v>
      </c>
      <c r="N1845" s="58"/>
    </row>
    <row r="1846" spans="1:14" x14ac:dyDescent="0.25">
      <c r="A1846" s="58" t="s">
        <v>213</v>
      </c>
      <c r="B1846" s="58" t="s">
        <v>377</v>
      </c>
      <c r="C1846" s="58" t="s">
        <v>379</v>
      </c>
      <c r="D1846" s="58" t="s">
        <v>378</v>
      </c>
      <c r="E1846" s="58">
        <v>3</v>
      </c>
      <c r="F1846" s="58">
        <v>27</v>
      </c>
      <c r="G1846" s="58">
        <v>260</v>
      </c>
      <c r="H1846" s="58">
        <v>41</v>
      </c>
      <c r="I1846" s="58"/>
      <c r="J1846" s="58"/>
      <c r="K1846" s="58"/>
      <c r="L1846" s="58"/>
      <c r="M1846" s="58">
        <v>79</v>
      </c>
      <c r="N1846" s="58"/>
    </row>
    <row r="1847" spans="1:14" x14ac:dyDescent="0.25">
      <c r="A1847" s="58" t="s">
        <v>213</v>
      </c>
      <c r="B1847" s="58" t="s">
        <v>377</v>
      </c>
      <c r="C1847" s="58" t="s">
        <v>379</v>
      </c>
      <c r="D1847" s="58" t="s">
        <v>378</v>
      </c>
      <c r="E1847" s="58">
        <v>3</v>
      </c>
      <c r="F1847" s="58">
        <v>27</v>
      </c>
      <c r="G1847" s="58">
        <v>270</v>
      </c>
      <c r="H1847" s="58">
        <v>41</v>
      </c>
      <c r="I1847" s="58"/>
      <c r="J1847" s="58"/>
      <c r="K1847" s="58"/>
      <c r="L1847" s="58"/>
      <c r="M1847" s="58">
        <v>79</v>
      </c>
      <c r="N1847" s="58"/>
    </row>
    <row r="1848" spans="1:14" x14ac:dyDescent="0.25">
      <c r="A1848" s="58" t="s">
        <v>213</v>
      </c>
      <c r="B1848" s="58" t="s">
        <v>377</v>
      </c>
      <c r="C1848" s="58" t="s">
        <v>379</v>
      </c>
      <c r="D1848" s="58" t="s">
        <v>378</v>
      </c>
      <c r="E1848" s="58">
        <v>3</v>
      </c>
      <c r="F1848" s="58">
        <v>27</v>
      </c>
      <c r="G1848" s="58">
        <v>280</v>
      </c>
      <c r="H1848" s="58">
        <v>41</v>
      </c>
      <c r="I1848" s="58"/>
      <c r="J1848" s="58"/>
      <c r="K1848" s="58"/>
      <c r="L1848" s="58"/>
      <c r="M1848" s="58">
        <v>79</v>
      </c>
      <c r="N1848" s="58"/>
    </row>
    <row r="1849" spans="1:14" x14ac:dyDescent="0.25">
      <c r="A1849" s="58" t="s">
        <v>213</v>
      </c>
      <c r="B1849" s="58" t="s">
        <v>377</v>
      </c>
      <c r="C1849" s="58" t="s">
        <v>379</v>
      </c>
      <c r="D1849" s="58" t="s">
        <v>378</v>
      </c>
      <c r="E1849" s="58">
        <v>3</v>
      </c>
      <c r="F1849" s="58">
        <v>27</v>
      </c>
      <c r="G1849" s="58">
        <v>300</v>
      </c>
      <c r="H1849" s="58">
        <v>41</v>
      </c>
      <c r="I1849" s="58"/>
      <c r="J1849" s="58"/>
      <c r="K1849" s="58"/>
      <c r="L1849" s="58"/>
      <c r="M1849" s="58">
        <v>79</v>
      </c>
      <c r="N1849" s="58"/>
    </row>
    <row r="1850" spans="1:14" x14ac:dyDescent="0.25">
      <c r="A1850" s="58" t="s">
        <v>213</v>
      </c>
      <c r="B1850" s="58" t="s">
        <v>377</v>
      </c>
      <c r="C1850" s="58" t="s">
        <v>379</v>
      </c>
      <c r="D1850" s="58" t="s">
        <v>378</v>
      </c>
      <c r="E1850" s="58">
        <v>3</v>
      </c>
      <c r="F1850" s="58">
        <v>27</v>
      </c>
      <c r="G1850" s="58">
        <v>320</v>
      </c>
      <c r="H1850" s="58">
        <v>41</v>
      </c>
      <c r="I1850" s="58"/>
      <c r="J1850" s="58"/>
      <c r="K1850" s="58"/>
      <c r="L1850" s="58"/>
      <c r="M1850" s="58">
        <v>79</v>
      </c>
      <c r="N1850" s="58"/>
    </row>
    <row r="1851" spans="1:14" x14ac:dyDescent="0.25">
      <c r="A1851" s="58" t="s">
        <v>213</v>
      </c>
      <c r="B1851" s="58" t="s">
        <v>377</v>
      </c>
      <c r="C1851" s="58" t="s">
        <v>379</v>
      </c>
      <c r="D1851" s="58" t="s">
        <v>378</v>
      </c>
      <c r="E1851" s="58">
        <v>3</v>
      </c>
      <c r="F1851" s="58">
        <v>30</v>
      </c>
      <c r="G1851" s="58">
        <v>80</v>
      </c>
      <c r="H1851" s="58">
        <v>41</v>
      </c>
      <c r="I1851" s="58"/>
      <c r="J1851" s="58"/>
      <c r="K1851" s="58"/>
      <c r="L1851" s="58"/>
      <c r="M1851" s="58">
        <v>66</v>
      </c>
      <c r="N1851" s="58"/>
    </row>
    <row r="1852" spans="1:14" x14ac:dyDescent="0.25">
      <c r="A1852" s="58" t="s">
        <v>213</v>
      </c>
      <c r="B1852" s="58" t="s">
        <v>377</v>
      </c>
      <c r="C1852" s="58" t="s">
        <v>379</v>
      </c>
      <c r="D1852" s="58" t="s">
        <v>378</v>
      </c>
      <c r="E1852" s="58">
        <v>3</v>
      </c>
      <c r="F1852" s="58">
        <v>30</v>
      </c>
      <c r="G1852" s="58">
        <v>90</v>
      </c>
      <c r="H1852" s="58">
        <v>41</v>
      </c>
      <c r="I1852" s="58"/>
      <c r="J1852" s="58"/>
      <c r="K1852" s="58"/>
      <c r="L1852" s="58"/>
      <c r="M1852" s="58">
        <v>66</v>
      </c>
      <c r="N1852" s="58"/>
    </row>
    <row r="1853" spans="1:14" x14ac:dyDescent="0.25">
      <c r="A1853" s="58" t="s">
        <v>213</v>
      </c>
      <c r="B1853" s="58" t="s">
        <v>377</v>
      </c>
      <c r="C1853" s="58" t="s">
        <v>379</v>
      </c>
      <c r="D1853" s="58" t="s">
        <v>378</v>
      </c>
      <c r="E1853" s="58">
        <v>3</v>
      </c>
      <c r="F1853" s="58">
        <v>30</v>
      </c>
      <c r="G1853" s="58">
        <v>100</v>
      </c>
      <c r="H1853" s="58">
        <v>46</v>
      </c>
      <c r="I1853" s="58"/>
      <c r="J1853" s="58"/>
      <c r="K1853" s="58"/>
      <c r="L1853" s="58"/>
      <c r="M1853" s="58">
        <v>66</v>
      </c>
      <c r="N1853" s="58"/>
    </row>
    <row r="1854" spans="1:14" x14ac:dyDescent="0.25">
      <c r="A1854" s="58" t="s">
        <v>213</v>
      </c>
      <c r="B1854" s="58" t="s">
        <v>377</v>
      </c>
      <c r="C1854" s="58" t="s">
        <v>379</v>
      </c>
      <c r="D1854" s="58" t="s">
        <v>378</v>
      </c>
      <c r="E1854" s="58">
        <v>3</v>
      </c>
      <c r="F1854" s="58">
        <v>30</v>
      </c>
      <c r="G1854" s="58">
        <v>110</v>
      </c>
      <c r="H1854" s="58">
        <v>46</v>
      </c>
      <c r="I1854" s="58"/>
      <c r="J1854" s="58"/>
      <c r="K1854" s="58"/>
      <c r="L1854" s="58"/>
      <c r="M1854" s="58">
        <v>66</v>
      </c>
      <c r="N1854" s="58"/>
    </row>
    <row r="1855" spans="1:14" x14ac:dyDescent="0.25">
      <c r="A1855" s="58" t="s">
        <v>213</v>
      </c>
      <c r="B1855" s="58" t="s">
        <v>377</v>
      </c>
      <c r="C1855" s="58" t="s">
        <v>379</v>
      </c>
      <c r="D1855" s="58" t="s">
        <v>378</v>
      </c>
      <c r="E1855" s="58">
        <v>3</v>
      </c>
      <c r="F1855" s="58">
        <v>30</v>
      </c>
      <c r="G1855" s="58">
        <v>120</v>
      </c>
      <c r="H1855" s="58">
        <v>46</v>
      </c>
      <c r="I1855" s="58"/>
      <c r="J1855" s="58"/>
      <c r="K1855" s="58"/>
      <c r="L1855" s="58"/>
      <c r="M1855" s="58">
        <v>66</v>
      </c>
      <c r="N1855" s="58"/>
    </row>
    <row r="1856" spans="1:14" x14ac:dyDescent="0.25">
      <c r="A1856" s="58" t="s">
        <v>213</v>
      </c>
      <c r="B1856" s="58" t="s">
        <v>377</v>
      </c>
      <c r="C1856" s="58" t="s">
        <v>379</v>
      </c>
      <c r="D1856" s="58" t="s">
        <v>378</v>
      </c>
      <c r="E1856" s="58">
        <v>3</v>
      </c>
      <c r="F1856" s="58">
        <v>30</v>
      </c>
      <c r="G1856" s="58">
        <v>130</v>
      </c>
      <c r="H1856" s="58">
        <v>46</v>
      </c>
      <c r="I1856" s="58"/>
      <c r="J1856" s="58"/>
      <c r="K1856" s="58"/>
      <c r="L1856" s="58"/>
      <c r="M1856" s="58">
        <v>72</v>
      </c>
      <c r="N1856" s="58"/>
    </row>
    <row r="1857" spans="1:14" x14ac:dyDescent="0.25">
      <c r="A1857" s="58" t="s">
        <v>213</v>
      </c>
      <c r="B1857" s="58" t="s">
        <v>377</v>
      </c>
      <c r="C1857" s="58" t="s">
        <v>379</v>
      </c>
      <c r="D1857" s="58" t="s">
        <v>378</v>
      </c>
      <c r="E1857" s="58">
        <v>3</v>
      </c>
      <c r="F1857" s="58">
        <v>30</v>
      </c>
      <c r="G1857" s="58">
        <v>140</v>
      </c>
      <c r="H1857" s="58">
        <v>46</v>
      </c>
      <c r="I1857" s="58"/>
      <c r="J1857" s="58"/>
      <c r="K1857" s="58"/>
      <c r="L1857" s="58"/>
      <c r="M1857" s="58">
        <v>72</v>
      </c>
      <c r="N1857" s="58"/>
    </row>
    <row r="1858" spans="1:14" x14ac:dyDescent="0.25">
      <c r="A1858" s="58" t="s">
        <v>213</v>
      </c>
      <c r="B1858" s="58" t="s">
        <v>377</v>
      </c>
      <c r="C1858" s="58" t="s">
        <v>379</v>
      </c>
      <c r="D1858" s="58" t="s">
        <v>378</v>
      </c>
      <c r="E1858" s="58">
        <v>3</v>
      </c>
      <c r="F1858" s="58">
        <v>30</v>
      </c>
      <c r="G1858" s="58">
        <v>150</v>
      </c>
      <c r="H1858" s="58">
        <v>46</v>
      </c>
      <c r="I1858" s="58"/>
      <c r="J1858" s="58"/>
      <c r="K1858" s="58"/>
      <c r="L1858" s="58"/>
      <c r="M1858" s="58">
        <v>72</v>
      </c>
      <c r="N1858" s="58"/>
    </row>
    <row r="1859" spans="1:14" x14ac:dyDescent="0.25">
      <c r="A1859" s="58" t="s">
        <v>213</v>
      </c>
      <c r="B1859" s="58" t="s">
        <v>377</v>
      </c>
      <c r="C1859" s="58" t="s">
        <v>379</v>
      </c>
      <c r="D1859" s="58" t="s">
        <v>378</v>
      </c>
      <c r="E1859" s="58">
        <v>3</v>
      </c>
      <c r="F1859" s="58">
        <v>30</v>
      </c>
      <c r="G1859" s="58">
        <v>160</v>
      </c>
      <c r="H1859" s="58">
        <v>46</v>
      </c>
      <c r="I1859" s="58"/>
      <c r="J1859" s="58"/>
      <c r="K1859" s="58"/>
      <c r="L1859" s="58"/>
      <c r="M1859" s="58">
        <v>72</v>
      </c>
      <c r="N1859" s="58"/>
    </row>
    <row r="1860" spans="1:14" x14ac:dyDescent="0.25">
      <c r="A1860" s="58" t="s">
        <v>213</v>
      </c>
      <c r="B1860" s="58" t="s">
        <v>377</v>
      </c>
      <c r="C1860" s="58" t="s">
        <v>379</v>
      </c>
      <c r="D1860" s="58" t="s">
        <v>378</v>
      </c>
      <c r="E1860" s="58">
        <v>3</v>
      </c>
      <c r="F1860" s="58">
        <v>30</v>
      </c>
      <c r="G1860" s="58">
        <v>170</v>
      </c>
      <c r="H1860" s="58">
        <v>46</v>
      </c>
      <c r="I1860" s="58"/>
      <c r="J1860" s="58"/>
      <c r="K1860" s="58"/>
      <c r="L1860" s="58"/>
      <c r="M1860" s="58">
        <v>72</v>
      </c>
      <c r="N1860" s="58"/>
    </row>
    <row r="1861" spans="1:14" x14ac:dyDescent="0.25">
      <c r="A1861" s="58" t="s">
        <v>213</v>
      </c>
      <c r="B1861" s="58" t="s">
        <v>377</v>
      </c>
      <c r="C1861" s="58" t="s">
        <v>379</v>
      </c>
      <c r="D1861" s="58" t="s">
        <v>378</v>
      </c>
      <c r="E1861" s="58">
        <v>3</v>
      </c>
      <c r="F1861" s="58">
        <v>30</v>
      </c>
      <c r="G1861" s="58">
        <v>180</v>
      </c>
      <c r="H1861" s="58">
        <v>46</v>
      </c>
      <c r="I1861" s="58"/>
      <c r="J1861" s="58"/>
      <c r="K1861" s="58"/>
      <c r="L1861" s="58"/>
      <c r="M1861" s="58">
        <v>72</v>
      </c>
      <c r="N1861" s="58"/>
    </row>
    <row r="1862" spans="1:14" x14ac:dyDescent="0.25">
      <c r="A1862" s="58" t="s">
        <v>213</v>
      </c>
      <c r="B1862" s="58" t="s">
        <v>377</v>
      </c>
      <c r="C1862" s="58" t="s">
        <v>379</v>
      </c>
      <c r="D1862" s="58" t="s">
        <v>378</v>
      </c>
      <c r="E1862" s="58">
        <v>3</v>
      </c>
      <c r="F1862" s="58">
        <v>30</v>
      </c>
      <c r="G1862" s="58">
        <v>190</v>
      </c>
      <c r="H1862" s="58">
        <v>46</v>
      </c>
      <c r="I1862" s="58"/>
      <c r="J1862" s="58"/>
      <c r="K1862" s="58"/>
      <c r="L1862" s="58"/>
      <c r="M1862" s="58">
        <v>72</v>
      </c>
      <c r="N1862" s="58"/>
    </row>
    <row r="1863" spans="1:14" x14ac:dyDescent="0.25">
      <c r="A1863" s="58" t="s">
        <v>213</v>
      </c>
      <c r="B1863" s="58" t="s">
        <v>377</v>
      </c>
      <c r="C1863" s="58" t="s">
        <v>379</v>
      </c>
      <c r="D1863" s="58" t="s">
        <v>378</v>
      </c>
      <c r="E1863" s="58">
        <v>3</v>
      </c>
      <c r="F1863" s="58">
        <v>30</v>
      </c>
      <c r="G1863" s="58">
        <v>200</v>
      </c>
      <c r="H1863" s="58">
        <v>46</v>
      </c>
      <c r="I1863" s="58"/>
      <c r="J1863" s="58"/>
      <c r="K1863" s="58"/>
      <c r="L1863" s="58"/>
      <c r="M1863" s="58">
        <v>72</v>
      </c>
      <c r="N1863" s="58"/>
    </row>
    <row r="1864" spans="1:14" x14ac:dyDescent="0.25">
      <c r="A1864" s="58" t="s">
        <v>213</v>
      </c>
      <c r="B1864" s="58" t="s">
        <v>377</v>
      </c>
      <c r="C1864" s="58" t="s">
        <v>379</v>
      </c>
      <c r="D1864" s="58" t="s">
        <v>378</v>
      </c>
      <c r="E1864" s="58">
        <v>3</v>
      </c>
      <c r="F1864" s="58">
        <v>30</v>
      </c>
      <c r="G1864" s="58">
        <v>210</v>
      </c>
      <c r="H1864" s="58">
        <v>46</v>
      </c>
      <c r="I1864" s="58"/>
      <c r="J1864" s="58"/>
      <c r="K1864" s="58"/>
      <c r="L1864" s="58"/>
      <c r="M1864" s="58">
        <v>85</v>
      </c>
      <c r="N1864" s="58"/>
    </row>
    <row r="1865" spans="1:14" x14ac:dyDescent="0.25">
      <c r="A1865" s="58" t="s">
        <v>213</v>
      </c>
      <c r="B1865" s="58" t="s">
        <v>377</v>
      </c>
      <c r="C1865" s="58" t="s">
        <v>379</v>
      </c>
      <c r="D1865" s="58" t="s">
        <v>378</v>
      </c>
      <c r="E1865" s="58">
        <v>3</v>
      </c>
      <c r="F1865" s="58">
        <v>30</v>
      </c>
      <c r="G1865" s="58">
        <v>220</v>
      </c>
      <c r="H1865" s="58">
        <v>46</v>
      </c>
      <c r="I1865" s="58"/>
      <c r="J1865" s="58"/>
      <c r="K1865" s="58"/>
      <c r="L1865" s="58"/>
      <c r="M1865" s="58">
        <v>85</v>
      </c>
      <c r="N1865" s="58"/>
    </row>
    <row r="1866" spans="1:14" x14ac:dyDescent="0.25">
      <c r="A1866" s="58" t="s">
        <v>213</v>
      </c>
      <c r="B1866" s="58" t="s">
        <v>377</v>
      </c>
      <c r="C1866" s="58" t="s">
        <v>379</v>
      </c>
      <c r="D1866" s="58" t="s">
        <v>378</v>
      </c>
      <c r="E1866" s="58">
        <v>3</v>
      </c>
      <c r="F1866" s="58">
        <v>30</v>
      </c>
      <c r="G1866" s="58">
        <v>230</v>
      </c>
      <c r="H1866" s="58">
        <v>46</v>
      </c>
      <c r="I1866" s="58"/>
      <c r="J1866" s="58"/>
      <c r="K1866" s="58"/>
      <c r="L1866" s="58"/>
      <c r="M1866" s="58">
        <v>85</v>
      </c>
      <c r="N1866" s="58"/>
    </row>
    <row r="1867" spans="1:14" x14ac:dyDescent="0.25">
      <c r="A1867" s="58" t="s">
        <v>213</v>
      </c>
      <c r="B1867" s="58" t="s">
        <v>377</v>
      </c>
      <c r="C1867" s="58" t="s">
        <v>379</v>
      </c>
      <c r="D1867" s="58" t="s">
        <v>378</v>
      </c>
      <c r="E1867" s="58">
        <v>3</v>
      </c>
      <c r="F1867" s="58">
        <v>30</v>
      </c>
      <c r="G1867" s="58">
        <v>240</v>
      </c>
      <c r="H1867" s="58">
        <v>46</v>
      </c>
      <c r="I1867" s="58"/>
      <c r="J1867" s="58"/>
      <c r="K1867" s="58"/>
      <c r="L1867" s="58"/>
      <c r="M1867" s="58">
        <v>85</v>
      </c>
      <c r="N1867" s="58"/>
    </row>
    <row r="1868" spans="1:14" x14ac:dyDescent="0.25">
      <c r="A1868" s="58" t="s">
        <v>213</v>
      </c>
      <c r="B1868" s="58" t="s">
        <v>377</v>
      </c>
      <c r="C1868" s="58" t="s">
        <v>379</v>
      </c>
      <c r="D1868" s="58" t="s">
        <v>378</v>
      </c>
      <c r="E1868" s="58">
        <v>3</v>
      </c>
      <c r="F1868" s="58">
        <v>30</v>
      </c>
      <c r="G1868" s="58">
        <v>250</v>
      </c>
      <c r="H1868" s="58">
        <v>46</v>
      </c>
      <c r="I1868" s="58"/>
      <c r="J1868" s="58"/>
      <c r="K1868" s="58"/>
      <c r="L1868" s="58"/>
      <c r="M1868" s="58">
        <v>85</v>
      </c>
      <c r="N1868" s="58"/>
    </row>
    <row r="1869" spans="1:14" x14ac:dyDescent="0.25">
      <c r="A1869" s="58" t="s">
        <v>213</v>
      </c>
      <c r="B1869" s="58" t="s">
        <v>377</v>
      </c>
      <c r="C1869" s="58" t="s">
        <v>379</v>
      </c>
      <c r="D1869" s="58" t="s">
        <v>378</v>
      </c>
      <c r="E1869" s="58">
        <v>3</v>
      </c>
      <c r="F1869" s="58">
        <v>30</v>
      </c>
      <c r="G1869" s="58">
        <v>260</v>
      </c>
      <c r="H1869" s="58">
        <v>46</v>
      </c>
      <c r="I1869" s="58"/>
      <c r="J1869" s="58"/>
      <c r="K1869" s="58"/>
      <c r="L1869" s="58"/>
      <c r="M1869" s="58">
        <v>85</v>
      </c>
      <c r="N1869" s="58"/>
    </row>
    <row r="1870" spans="1:14" x14ac:dyDescent="0.25">
      <c r="A1870" s="58" t="s">
        <v>213</v>
      </c>
      <c r="B1870" s="58" t="s">
        <v>377</v>
      </c>
      <c r="C1870" s="58" t="s">
        <v>379</v>
      </c>
      <c r="D1870" s="58" t="s">
        <v>378</v>
      </c>
      <c r="E1870" s="58">
        <v>3</v>
      </c>
      <c r="F1870" s="58">
        <v>30</v>
      </c>
      <c r="G1870" s="58">
        <v>280</v>
      </c>
      <c r="H1870" s="58">
        <v>46</v>
      </c>
      <c r="I1870" s="58"/>
      <c r="J1870" s="58"/>
      <c r="K1870" s="58"/>
      <c r="L1870" s="58"/>
      <c r="M1870" s="58">
        <v>85</v>
      </c>
      <c r="N1870" s="58"/>
    </row>
    <row r="1871" spans="1:14" x14ac:dyDescent="0.25">
      <c r="A1871" s="58" t="s">
        <v>213</v>
      </c>
      <c r="B1871" s="58" t="s">
        <v>377</v>
      </c>
      <c r="C1871" s="58" t="s">
        <v>379</v>
      </c>
      <c r="D1871" s="58" t="s">
        <v>378</v>
      </c>
      <c r="E1871" s="58">
        <v>3</v>
      </c>
      <c r="F1871" s="58">
        <v>30</v>
      </c>
      <c r="G1871" s="58">
        <v>290</v>
      </c>
      <c r="H1871" s="58">
        <v>46</v>
      </c>
      <c r="I1871" s="58"/>
      <c r="J1871" s="58"/>
      <c r="K1871" s="58"/>
      <c r="L1871" s="58"/>
      <c r="M1871" s="58">
        <v>85</v>
      </c>
      <c r="N1871" s="58"/>
    </row>
    <row r="1872" spans="1:14" x14ac:dyDescent="0.25">
      <c r="A1872" s="58" t="s">
        <v>213</v>
      </c>
      <c r="B1872" s="58" t="s">
        <v>377</v>
      </c>
      <c r="C1872" s="58" t="s">
        <v>379</v>
      </c>
      <c r="D1872" s="58" t="s">
        <v>378</v>
      </c>
      <c r="E1872" s="58">
        <v>3</v>
      </c>
      <c r="F1872" s="58">
        <v>30</v>
      </c>
      <c r="G1872" s="58">
        <v>300</v>
      </c>
      <c r="H1872" s="58">
        <v>46</v>
      </c>
      <c r="I1872" s="58"/>
      <c r="J1872" s="58"/>
      <c r="K1872" s="58"/>
      <c r="L1872" s="58"/>
      <c r="M1872" s="58">
        <v>85</v>
      </c>
      <c r="N1872" s="58"/>
    </row>
    <row r="1873" spans="1:14" x14ac:dyDescent="0.25">
      <c r="A1873" s="58" t="s">
        <v>213</v>
      </c>
      <c r="B1873" s="58" t="s">
        <v>377</v>
      </c>
      <c r="C1873" s="58" t="s">
        <v>379</v>
      </c>
      <c r="D1873" s="58" t="s">
        <v>378</v>
      </c>
      <c r="E1873" s="58">
        <v>3</v>
      </c>
      <c r="F1873" s="58">
        <v>30</v>
      </c>
      <c r="G1873" s="58">
        <v>310</v>
      </c>
      <c r="H1873" s="58">
        <v>46</v>
      </c>
      <c r="I1873" s="58"/>
      <c r="J1873" s="58"/>
      <c r="K1873" s="58"/>
      <c r="L1873" s="58"/>
      <c r="M1873" s="58">
        <v>85</v>
      </c>
      <c r="N1873" s="58"/>
    </row>
    <row r="1874" spans="1:14" x14ac:dyDescent="0.25">
      <c r="A1874" s="58" t="s">
        <v>213</v>
      </c>
      <c r="B1874" s="58" t="s">
        <v>377</v>
      </c>
      <c r="C1874" s="58" t="s">
        <v>379</v>
      </c>
      <c r="D1874" s="58" t="s">
        <v>378</v>
      </c>
      <c r="E1874" s="58">
        <v>3</v>
      </c>
      <c r="F1874" s="58">
        <v>30</v>
      </c>
      <c r="G1874" s="58">
        <v>320</v>
      </c>
      <c r="H1874" s="58">
        <v>46</v>
      </c>
      <c r="I1874" s="58"/>
      <c r="J1874" s="58"/>
      <c r="K1874" s="58"/>
      <c r="L1874" s="58"/>
      <c r="M1874" s="58">
        <v>85</v>
      </c>
      <c r="N1874" s="58"/>
    </row>
    <row r="1875" spans="1:14" x14ac:dyDescent="0.25">
      <c r="A1875" s="58" t="s">
        <v>213</v>
      </c>
      <c r="B1875" s="58" t="s">
        <v>377</v>
      </c>
      <c r="C1875" s="58" t="s">
        <v>379</v>
      </c>
      <c r="D1875" s="58" t="s">
        <v>378</v>
      </c>
      <c r="E1875" s="58">
        <v>3</v>
      </c>
      <c r="F1875" s="58">
        <v>30</v>
      </c>
      <c r="G1875" s="58">
        <v>330</v>
      </c>
      <c r="H1875" s="58">
        <v>46</v>
      </c>
      <c r="I1875" s="58"/>
      <c r="J1875" s="58"/>
      <c r="K1875" s="58"/>
      <c r="L1875" s="58"/>
      <c r="M1875" s="58">
        <v>85</v>
      </c>
      <c r="N1875" s="58"/>
    </row>
    <row r="1876" spans="1:14" x14ac:dyDescent="0.25">
      <c r="A1876" s="58" t="s">
        <v>213</v>
      </c>
      <c r="B1876" s="58" t="s">
        <v>377</v>
      </c>
      <c r="C1876" s="58" t="s">
        <v>379</v>
      </c>
      <c r="D1876" s="58" t="s">
        <v>378</v>
      </c>
      <c r="E1876" s="58">
        <v>3</v>
      </c>
      <c r="F1876" s="58">
        <v>30</v>
      </c>
      <c r="G1876" s="58">
        <v>340</v>
      </c>
      <c r="H1876" s="58">
        <v>46</v>
      </c>
      <c r="I1876" s="58"/>
      <c r="J1876" s="58"/>
      <c r="K1876" s="58"/>
      <c r="L1876" s="58"/>
      <c r="M1876" s="58">
        <v>85</v>
      </c>
      <c r="N1876" s="58"/>
    </row>
    <row r="1877" spans="1:14" x14ac:dyDescent="0.25">
      <c r="A1877" s="58" t="s">
        <v>213</v>
      </c>
      <c r="B1877" s="58" t="s">
        <v>377</v>
      </c>
      <c r="C1877" s="58" t="s">
        <v>379</v>
      </c>
      <c r="D1877" s="58" t="s">
        <v>378</v>
      </c>
      <c r="E1877" s="58">
        <v>3</v>
      </c>
      <c r="F1877" s="58">
        <v>30</v>
      </c>
      <c r="G1877" s="58">
        <v>350</v>
      </c>
      <c r="H1877" s="58">
        <v>46</v>
      </c>
      <c r="I1877" s="58"/>
      <c r="J1877" s="58"/>
      <c r="K1877" s="58"/>
      <c r="L1877" s="58"/>
      <c r="M1877" s="58">
        <v>85</v>
      </c>
      <c r="N1877" s="58"/>
    </row>
    <row r="1878" spans="1:14" x14ac:dyDescent="0.25">
      <c r="A1878" s="58" t="s">
        <v>213</v>
      </c>
      <c r="B1878" s="58" t="s">
        <v>377</v>
      </c>
      <c r="C1878" s="58" t="s">
        <v>379</v>
      </c>
      <c r="D1878" s="58" t="s">
        <v>378</v>
      </c>
      <c r="E1878" s="58">
        <v>3</v>
      </c>
      <c r="F1878" s="58">
        <v>30</v>
      </c>
      <c r="G1878" s="58">
        <v>360</v>
      </c>
      <c r="H1878" s="58">
        <v>46</v>
      </c>
      <c r="I1878" s="58"/>
      <c r="J1878" s="58"/>
      <c r="K1878" s="58"/>
      <c r="L1878" s="58"/>
      <c r="M1878" s="58">
        <v>85</v>
      </c>
      <c r="N1878" s="58"/>
    </row>
    <row r="1879" spans="1:14" x14ac:dyDescent="0.25">
      <c r="A1879" s="58" t="s">
        <v>213</v>
      </c>
      <c r="B1879" s="58" t="s">
        <v>377</v>
      </c>
      <c r="C1879" s="58" t="s">
        <v>379</v>
      </c>
      <c r="D1879" s="58" t="s">
        <v>378</v>
      </c>
      <c r="E1879" s="58">
        <v>3</v>
      </c>
      <c r="F1879" s="58">
        <v>30</v>
      </c>
      <c r="G1879" s="58">
        <v>380</v>
      </c>
      <c r="H1879" s="58">
        <v>46</v>
      </c>
      <c r="I1879" s="58"/>
      <c r="J1879" s="58"/>
      <c r="K1879" s="58"/>
      <c r="L1879" s="58"/>
      <c r="M1879" s="58">
        <v>85</v>
      </c>
      <c r="N1879" s="58"/>
    </row>
    <row r="1880" spans="1:14" x14ac:dyDescent="0.25">
      <c r="A1880" s="58" t="s">
        <v>213</v>
      </c>
      <c r="B1880" s="58" t="s">
        <v>377</v>
      </c>
      <c r="C1880" s="58" t="s">
        <v>379</v>
      </c>
      <c r="D1880" s="58" t="s">
        <v>378</v>
      </c>
      <c r="E1880" s="58">
        <v>3</v>
      </c>
      <c r="F1880" s="58">
        <v>33</v>
      </c>
      <c r="G1880" s="58">
        <v>100</v>
      </c>
      <c r="H1880" s="58">
        <v>46</v>
      </c>
      <c r="I1880" s="58"/>
      <c r="J1880" s="58"/>
      <c r="K1880" s="58"/>
      <c r="L1880" s="58"/>
      <c r="M1880" s="58">
        <v>72</v>
      </c>
      <c r="N1880" s="58"/>
    </row>
    <row r="1881" spans="1:14" x14ac:dyDescent="0.25">
      <c r="A1881" s="58" t="s">
        <v>213</v>
      </c>
      <c r="B1881" s="58" t="s">
        <v>377</v>
      </c>
      <c r="C1881" s="58" t="s">
        <v>379</v>
      </c>
      <c r="D1881" s="58" t="s">
        <v>378</v>
      </c>
      <c r="E1881" s="58">
        <v>3</v>
      </c>
      <c r="F1881" s="58">
        <v>33</v>
      </c>
      <c r="G1881" s="58">
        <v>110</v>
      </c>
      <c r="H1881" s="58">
        <v>46</v>
      </c>
      <c r="I1881" s="58"/>
      <c r="J1881" s="58"/>
      <c r="K1881" s="58"/>
      <c r="L1881" s="58"/>
      <c r="M1881" s="58">
        <v>72</v>
      </c>
      <c r="N1881" s="58"/>
    </row>
    <row r="1882" spans="1:14" x14ac:dyDescent="0.25">
      <c r="A1882" s="58" t="s">
        <v>213</v>
      </c>
      <c r="B1882" s="58" t="s">
        <v>377</v>
      </c>
      <c r="C1882" s="58" t="s">
        <v>379</v>
      </c>
      <c r="D1882" s="58" t="s">
        <v>378</v>
      </c>
      <c r="E1882" s="58">
        <v>3</v>
      </c>
      <c r="F1882" s="58">
        <v>33</v>
      </c>
      <c r="G1882" s="58">
        <v>120</v>
      </c>
      <c r="H1882" s="58">
        <v>46</v>
      </c>
      <c r="I1882" s="58"/>
      <c r="J1882" s="58"/>
      <c r="K1882" s="58"/>
      <c r="L1882" s="58"/>
      <c r="M1882" s="58">
        <v>72</v>
      </c>
      <c r="N1882" s="58"/>
    </row>
    <row r="1883" spans="1:14" x14ac:dyDescent="0.25">
      <c r="A1883" s="58" t="s">
        <v>213</v>
      </c>
      <c r="B1883" s="58" t="s">
        <v>377</v>
      </c>
      <c r="C1883" s="58" t="s">
        <v>379</v>
      </c>
      <c r="D1883" s="58" t="s">
        <v>378</v>
      </c>
      <c r="E1883" s="58">
        <v>3</v>
      </c>
      <c r="F1883" s="58">
        <v>33</v>
      </c>
      <c r="G1883" s="58">
        <v>130</v>
      </c>
      <c r="H1883" s="58">
        <v>46</v>
      </c>
      <c r="I1883" s="58"/>
      <c r="J1883" s="58"/>
      <c r="K1883" s="58"/>
      <c r="L1883" s="58"/>
      <c r="M1883" s="58">
        <v>78</v>
      </c>
      <c r="N1883" s="58"/>
    </row>
    <row r="1884" spans="1:14" x14ac:dyDescent="0.25">
      <c r="A1884" s="58" t="s">
        <v>213</v>
      </c>
      <c r="B1884" s="58" t="s">
        <v>377</v>
      </c>
      <c r="C1884" s="58" t="s">
        <v>379</v>
      </c>
      <c r="D1884" s="58" t="s">
        <v>378</v>
      </c>
      <c r="E1884" s="58">
        <v>3</v>
      </c>
      <c r="F1884" s="58">
        <v>33</v>
      </c>
      <c r="G1884" s="58">
        <v>140</v>
      </c>
      <c r="H1884" s="58">
        <v>46</v>
      </c>
      <c r="I1884" s="58"/>
      <c r="J1884" s="58"/>
      <c r="K1884" s="58"/>
      <c r="L1884" s="58"/>
      <c r="M1884" s="58">
        <v>78</v>
      </c>
      <c r="N1884" s="58"/>
    </row>
    <row r="1885" spans="1:14" x14ac:dyDescent="0.25">
      <c r="A1885" s="58" t="s">
        <v>213</v>
      </c>
      <c r="B1885" s="58" t="s">
        <v>377</v>
      </c>
      <c r="C1885" s="58" t="s">
        <v>379</v>
      </c>
      <c r="D1885" s="58" t="s">
        <v>378</v>
      </c>
      <c r="E1885" s="58">
        <v>3</v>
      </c>
      <c r="F1885" s="58">
        <v>33</v>
      </c>
      <c r="G1885" s="58">
        <v>150</v>
      </c>
      <c r="H1885" s="58">
        <v>46</v>
      </c>
      <c r="I1885" s="58"/>
      <c r="J1885" s="58"/>
      <c r="K1885" s="58"/>
      <c r="L1885" s="58"/>
      <c r="M1885" s="58">
        <v>78</v>
      </c>
      <c r="N1885" s="58"/>
    </row>
    <row r="1886" spans="1:14" x14ac:dyDescent="0.25">
      <c r="A1886" s="58" t="s">
        <v>213</v>
      </c>
      <c r="B1886" s="58" t="s">
        <v>377</v>
      </c>
      <c r="C1886" s="58" t="s">
        <v>379</v>
      </c>
      <c r="D1886" s="58" t="s">
        <v>378</v>
      </c>
      <c r="E1886" s="58">
        <v>3</v>
      </c>
      <c r="F1886" s="58">
        <v>33</v>
      </c>
      <c r="G1886" s="58">
        <v>160</v>
      </c>
      <c r="H1886" s="58">
        <v>46</v>
      </c>
      <c r="I1886" s="58"/>
      <c r="J1886" s="58"/>
      <c r="K1886" s="58"/>
      <c r="L1886" s="58"/>
      <c r="M1886" s="58">
        <v>78</v>
      </c>
      <c r="N1886" s="58"/>
    </row>
    <row r="1887" spans="1:14" x14ac:dyDescent="0.25">
      <c r="A1887" s="58" t="s">
        <v>213</v>
      </c>
      <c r="B1887" s="58" t="s">
        <v>377</v>
      </c>
      <c r="C1887" s="58" t="s">
        <v>379</v>
      </c>
      <c r="D1887" s="58" t="s">
        <v>378</v>
      </c>
      <c r="E1887" s="58">
        <v>3</v>
      </c>
      <c r="F1887" s="58">
        <v>33</v>
      </c>
      <c r="G1887" s="58">
        <v>170</v>
      </c>
      <c r="H1887" s="58">
        <v>46</v>
      </c>
      <c r="I1887" s="58"/>
      <c r="J1887" s="58"/>
      <c r="K1887" s="58"/>
      <c r="L1887" s="58"/>
      <c r="M1887" s="58">
        <v>78</v>
      </c>
      <c r="N1887" s="58"/>
    </row>
    <row r="1888" spans="1:14" x14ac:dyDescent="0.25">
      <c r="A1888" s="58" t="s">
        <v>213</v>
      </c>
      <c r="B1888" s="58" t="s">
        <v>377</v>
      </c>
      <c r="C1888" s="58" t="s">
        <v>379</v>
      </c>
      <c r="D1888" s="58" t="s">
        <v>378</v>
      </c>
      <c r="E1888" s="58">
        <v>3</v>
      </c>
      <c r="F1888" s="58">
        <v>33</v>
      </c>
      <c r="G1888" s="58">
        <v>180</v>
      </c>
      <c r="H1888" s="58">
        <v>46</v>
      </c>
      <c r="I1888" s="58"/>
      <c r="J1888" s="58"/>
      <c r="K1888" s="58"/>
      <c r="L1888" s="58"/>
      <c r="M1888" s="58">
        <v>78</v>
      </c>
      <c r="N1888" s="58"/>
    </row>
    <row r="1889" spans="1:14" x14ac:dyDescent="0.25">
      <c r="A1889" s="58" t="s">
        <v>213</v>
      </c>
      <c r="B1889" s="58" t="s">
        <v>377</v>
      </c>
      <c r="C1889" s="58" t="s">
        <v>379</v>
      </c>
      <c r="D1889" s="58" t="s">
        <v>378</v>
      </c>
      <c r="E1889" s="58">
        <v>3</v>
      </c>
      <c r="F1889" s="58">
        <v>33</v>
      </c>
      <c r="G1889" s="58">
        <v>190</v>
      </c>
      <c r="H1889" s="58">
        <v>46</v>
      </c>
      <c r="I1889" s="58"/>
      <c r="J1889" s="58"/>
      <c r="K1889" s="58"/>
      <c r="L1889" s="58"/>
      <c r="M1889" s="58">
        <v>78</v>
      </c>
      <c r="N1889" s="58"/>
    </row>
    <row r="1890" spans="1:14" x14ac:dyDescent="0.25">
      <c r="A1890" s="58" t="s">
        <v>213</v>
      </c>
      <c r="B1890" s="58" t="s">
        <v>377</v>
      </c>
      <c r="C1890" s="58" t="s">
        <v>379</v>
      </c>
      <c r="D1890" s="58" t="s">
        <v>378</v>
      </c>
      <c r="E1890" s="58">
        <v>3</v>
      </c>
      <c r="F1890" s="58">
        <v>33</v>
      </c>
      <c r="G1890" s="58">
        <v>200</v>
      </c>
      <c r="H1890" s="58">
        <v>46</v>
      </c>
      <c r="I1890" s="58"/>
      <c r="J1890" s="58"/>
      <c r="K1890" s="58"/>
      <c r="L1890" s="58"/>
      <c r="M1890" s="58">
        <v>78</v>
      </c>
      <c r="N1890" s="58"/>
    </row>
    <row r="1891" spans="1:14" x14ac:dyDescent="0.25">
      <c r="A1891" s="58" t="s">
        <v>213</v>
      </c>
      <c r="B1891" s="58" t="s">
        <v>377</v>
      </c>
      <c r="C1891" s="58" t="s">
        <v>379</v>
      </c>
      <c r="D1891" s="58" t="s">
        <v>378</v>
      </c>
      <c r="E1891" s="58">
        <v>3</v>
      </c>
      <c r="F1891" s="58">
        <v>33</v>
      </c>
      <c r="G1891" s="58">
        <v>210</v>
      </c>
      <c r="H1891" s="58">
        <v>46</v>
      </c>
      <c r="I1891" s="58"/>
      <c r="J1891" s="58"/>
      <c r="K1891" s="58"/>
      <c r="L1891" s="58"/>
      <c r="M1891" s="58">
        <v>91</v>
      </c>
      <c r="N1891" s="58"/>
    </row>
    <row r="1892" spans="1:14" x14ac:dyDescent="0.25">
      <c r="A1892" s="58" t="s">
        <v>213</v>
      </c>
      <c r="B1892" s="58" t="s">
        <v>377</v>
      </c>
      <c r="C1892" s="58" t="s">
        <v>379</v>
      </c>
      <c r="D1892" s="58" t="s">
        <v>378</v>
      </c>
      <c r="E1892" s="58">
        <v>3</v>
      </c>
      <c r="F1892" s="58">
        <v>33</v>
      </c>
      <c r="G1892" s="58">
        <v>220</v>
      </c>
      <c r="H1892" s="58">
        <v>46</v>
      </c>
      <c r="I1892" s="58"/>
      <c r="J1892" s="58"/>
      <c r="K1892" s="58"/>
      <c r="L1892" s="58"/>
      <c r="M1892" s="58">
        <v>91</v>
      </c>
      <c r="N1892" s="58"/>
    </row>
    <row r="1893" spans="1:14" x14ac:dyDescent="0.25">
      <c r="A1893" s="58" t="s">
        <v>213</v>
      </c>
      <c r="B1893" s="58" t="s">
        <v>377</v>
      </c>
      <c r="C1893" s="58" t="s">
        <v>379</v>
      </c>
      <c r="D1893" s="58" t="s">
        <v>378</v>
      </c>
      <c r="E1893" s="58">
        <v>3</v>
      </c>
      <c r="F1893" s="58">
        <v>33</v>
      </c>
      <c r="G1893" s="58">
        <v>240</v>
      </c>
      <c r="H1893" s="58">
        <v>46</v>
      </c>
      <c r="I1893" s="58"/>
      <c r="J1893" s="58"/>
      <c r="K1893" s="58"/>
      <c r="L1893" s="58"/>
      <c r="M1893" s="58">
        <v>91</v>
      </c>
      <c r="N1893" s="58"/>
    </row>
    <row r="1894" spans="1:14" x14ac:dyDescent="0.25">
      <c r="A1894" s="58" t="s">
        <v>213</v>
      </c>
      <c r="B1894" s="58" t="s">
        <v>377</v>
      </c>
      <c r="C1894" s="58" t="s">
        <v>379</v>
      </c>
      <c r="D1894" s="58" t="s">
        <v>378</v>
      </c>
      <c r="E1894" s="58">
        <v>3</v>
      </c>
      <c r="F1894" s="58">
        <v>33</v>
      </c>
      <c r="G1894" s="58">
        <v>260</v>
      </c>
      <c r="H1894" s="58">
        <v>46</v>
      </c>
      <c r="I1894" s="58"/>
      <c r="J1894" s="58"/>
      <c r="K1894" s="58"/>
      <c r="L1894" s="58"/>
      <c r="M1894" s="58">
        <v>91</v>
      </c>
      <c r="N1894" s="58"/>
    </row>
    <row r="1895" spans="1:14" x14ac:dyDescent="0.25">
      <c r="A1895" s="58" t="s">
        <v>213</v>
      </c>
      <c r="B1895" s="58" t="s">
        <v>377</v>
      </c>
      <c r="C1895" s="58" t="s">
        <v>379</v>
      </c>
      <c r="D1895" s="58" t="s">
        <v>378</v>
      </c>
      <c r="E1895" s="58">
        <v>3</v>
      </c>
      <c r="F1895" s="58">
        <v>33</v>
      </c>
      <c r="G1895" s="58">
        <v>280</v>
      </c>
      <c r="H1895" s="58">
        <v>46</v>
      </c>
      <c r="I1895" s="58"/>
      <c r="J1895" s="58"/>
      <c r="K1895" s="58"/>
      <c r="L1895" s="58"/>
      <c r="M1895" s="58">
        <v>91</v>
      </c>
      <c r="N1895" s="58"/>
    </row>
    <row r="1896" spans="1:14" x14ac:dyDescent="0.25">
      <c r="A1896" s="58" t="s">
        <v>213</v>
      </c>
      <c r="B1896" s="58" t="s">
        <v>377</v>
      </c>
      <c r="C1896" s="58" t="s">
        <v>379</v>
      </c>
      <c r="D1896" s="58" t="s">
        <v>378</v>
      </c>
      <c r="E1896" s="58">
        <v>3</v>
      </c>
      <c r="F1896" s="58">
        <v>33</v>
      </c>
      <c r="G1896" s="58">
        <v>300</v>
      </c>
      <c r="H1896" s="58">
        <v>46</v>
      </c>
      <c r="I1896" s="58"/>
      <c r="J1896" s="58"/>
      <c r="K1896" s="58"/>
      <c r="L1896" s="58"/>
      <c r="M1896" s="58">
        <v>91</v>
      </c>
      <c r="N1896" s="58"/>
    </row>
    <row r="1897" spans="1:14" x14ac:dyDescent="0.25">
      <c r="A1897" s="58" t="s">
        <v>213</v>
      </c>
      <c r="B1897" s="58" t="s">
        <v>377</v>
      </c>
      <c r="C1897" s="58" t="s">
        <v>379</v>
      </c>
      <c r="D1897" s="58" t="s">
        <v>378</v>
      </c>
      <c r="E1897" s="58">
        <v>3</v>
      </c>
      <c r="F1897" s="58">
        <v>36</v>
      </c>
      <c r="G1897" s="58">
        <v>110</v>
      </c>
      <c r="H1897" s="58">
        <v>46</v>
      </c>
      <c r="I1897" s="58"/>
      <c r="J1897" s="58"/>
      <c r="K1897" s="58"/>
      <c r="L1897" s="58"/>
      <c r="M1897" s="58">
        <v>78</v>
      </c>
      <c r="N1897" s="58"/>
    </row>
    <row r="1898" spans="1:14" x14ac:dyDescent="0.25">
      <c r="A1898" s="58" t="s">
        <v>213</v>
      </c>
      <c r="B1898" s="58" t="s">
        <v>377</v>
      </c>
      <c r="C1898" s="58" t="s">
        <v>379</v>
      </c>
      <c r="D1898" s="58" t="s">
        <v>378</v>
      </c>
      <c r="E1898" s="58">
        <v>3</v>
      </c>
      <c r="F1898" s="58">
        <v>36</v>
      </c>
      <c r="G1898" s="58">
        <v>120</v>
      </c>
      <c r="H1898" s="58">
        <v>55</v>
      </c>
      <c r="I1898" s="58"/>
      <c r="J1898" s="58"/>
      <c r="K1898" s="58"/>
      <c r="L1898" s="58"/>
      <c r="M1898" s="58">
        <v>78</v>
      </c>
      <c r="N1898" s="58"/>
    </row>
    <row r="1899" spans="1:14" x14ac:dyDescent="0.25">
      <c r="A1899" s="58" t="s">
        <v>213</v>
      </c>
      <c r="B1899" s="58" t="s">
        <v>377</v>
      </c>
      <c r="C1899" s="58" t="s">
        <v>379</v>
      </c>
      <c r="D1899" s="58" t="s">
        <v>378</v>
      </c>
      <c r="E1899" s="58">
        <v>3</v>
      </c>
      <c r="F1899" s="58">
        <v>36</v>
      </c>
      <c r="G1899" s="58">
        <v>130</v>
      </c>
      <c r="H1899" s="58">
        <v>55</v>
      </c>
      <c r="I1899" s="58"/>
      <c r="J1899" s="58"/>
      <c r="K1899" s="58"/>
      <c r="L1899" s="58"/>
      <c r="M1899" s="58">
        <v>84</v>
      </c>
      <c r="N1899" s="58"/>
    </row>
    <row r="1900" spans="1:14" x14ac:dyDescent="0.25">
      <c r="A1900" s="58" t="s">
        <v>213</v>
      </c>
      <c r="B1900" s="58" t="s">
        <v>377</v>
      </c>
      <c r="C1900" s="58" t="s">
        <v>379</v>
      </c>
      <c r="D1900" s="58" t="s">
        <v>378</v>
      </c>
      <c r="E1900" s="58">
        <v>3</v>
      </c>
      <c r="F1900" s="58">
        <v>36</v>
      </c>
      <c r="G1900" s="58">
        <v>140</v>
      </c>
      <c r="H1900" s="58">
        <v>55</v>
      </c>
      <c r="I1900" s="58"/>
      <c r="J1900" s="58"/>
      <c r="K1900" s="58"/>
      <c r="L1900" s="58"/>
      <c r="M1900" s="58">
        <v>84</v>
      </c>
      <c r="N1900" s="58"/>
    </row>
    <row r="1901" spans="1:14" x14ac:dyDescent="0.25">
      <c r="A1901" s="58" t="s">
        <v>213</v>
      </c>
      <c r="B1901" s="58" t="s">
        <v>377</v>
      </c>
      <c r="C1901" s="58" t="s">
        <v>379</v>
      </c>
      <c r="D1901" s="58" t="s">
        <v>378</v>
      </c>
      <c r="E1901" s="58">
        <v>3</v>
      </c>
      <c r="F1901" s="58">
        <v>36</v>
      </c>
      <c r="G1901" s="58">
        <v>150</v>
      </c>
      <c r="H1901" s="58">
        <v>55</v>
      </c>
      <c r="I1901" s="58"/>
      <c r="J1901" s="58"/>
      <c r="K1901" s="58"/>
      <c r="L1901" s="58"/>
      <c r="M1901" s="58">
        <v>84</v>
      </c>
      <c r="N1901" s="58"/>
    </row>
    <row r="1902" spans="1:14" x14ac:dyDescent="0.25">
      <c r="A1902" s="58" t="s">
        <v>213</v>
      </c>
      <c r="B1902" s="58" t="s">
        <v>377</v>
      </c>
      <c r="C1902" s="58" t="s">
        <v>379</v>
      </c>
      <c r="D1902" s="58" t="s">
        <v>378</v>
      </c>
      <c r="E1902" s="58">
        <v>3</v>
      </c>
      <c r="F1902" s="58">
        <v>36</v>
      </c>
      <c r="G1902" s="58">
        <v>160</v>
      </c>
      <c r="H1902" s="58">
        <v>55</v>
      </c>
      <c r="I1902" s="58"/>
      <c r="J1902" s="58"/>
      <c r="K1902" s="58"/>
      <c r="L1902" s="58"/>
      <c r="M1902" s="58">
        <v>84</v>
      </c>
      <c r="N1902" s="58"/>
    </row>
    <row r="1903" spans="1:14" x14ac:dyDescent="0.25">
      <c r="A1903" s="58" t="s">
        <v>213</v>
      </c>
      <c r="B1903" s="58" t="s">
        <v>377</v>
      </c>
      <c r="C1903" s="58" t="s">
        <v>379</v>
      </c>
      <c r="D1903" s="58" t="s">
        <v>378</v>
      </c>
      <c r="E1903" s="58">
        <v>3</v>
      </c>
      <c r="F1903" s="58">
        <v>36</v>
      </c>
      <c r="G1903" s="58">
        <v>170</v>
      </c>
      <c r="H1903" s="58">
        <v>55</v>
      </c>
      <c r="I1903" s="58"/>
      <c r="J1903" s="58"/>
      <c r="K1903" s="58"/>
      <c r="L1903" s="58"/>
      <c r="M1903" s="58">
        <v>84</v>
      </c>
      <c r="N1903" s="58"/>
    </row>
    <row r="1904" spans="1:14" x14ac:dyDescent="0.25">
      <c r="A1904" s="58" t="s">
        <v>213</v>
      </c>
      <c r="B1904" s="58" t="s">
        <v>377</v>
      </c>
      <c r="C1904" s="58" t="s">
        <v>379</v>
      </c>
      <c r="D1904" s="58" t="s">
        <v>378</v>
      </c>
      <c r="E1904" s="58">
        <v>3</v>
      </c>
      <c r="F1904" s="58">
        <v>36</v>
      </c>
      <c r="G1904" s="58">
        <v>180</v>
      </c>
      <c r="H1904" s="58">
        <v>55</v>
      </c>
      <c r="I1904" s="58"/>
      <c r="J1904" s="58"/>
      <c r="K1904" s="58"/>
      <c r="L1904" s="58"/>
      <c r="M1904" s="58">
        <v>84</v>
      </c>
      <c r="N1904" s="58"/>
    </row>
    <row r="1905" spans="1:14" x14ac:dyDescent="0.25">
      <c r="A1905" s="58" t="s">
        <v>213</v>
      </c>
      <c r="B1905" s="58" t="s">
        <v>377</v>
      </c>
      <c r="C1905" s="58" t="s">
        <v>379</v>
      </c>
      <c r="D1905" s="58" t="s">
        <v>378</v>
      </c>
      <c r="E1905" s="58">
        <v>3</v>
      </c>
      <c r="F1905" s="58">
        <v>36</v>
      </c>
      <c r="G1905" s="58">
        <v>190</v>
      </c>
      <c r="H1905" s="58">
        <v>55</v>
      </c>
      <c r="I1905" s="58"/>
      <c r="J1905" s="58"/>
      <c r="K1905" s="58"/>
      <c r="L1905" s="58"/>
      <c r="M1905" s="58">
        <v>84</v>
      </c>
      <c r="N1905" s="58"/>
    </row>
    <row r="1906" spans="1:14" x14ac:dyDescent="0.25">
      <c r="A1906" s="58" t="s">
        <v>213</v>
      </c>
      <c r="B1906" s="58" t="s">
        <v>377</v>
      </c>
      <c r="C1906" s="58" t="s">
        <v>379</v>
      </c>
      <c r="D1906" s="58" t="s">
        <v>378</v>
      </c>
      <c r="E1906" s="58">
        <v>3</v>
      </c>
      <c r="F1906" s="58">
        <v>36</v>
      </c>
      <c r="G1906" s="58">
        <v>200</v>
      </c>
      <c r="H1906" s="58">
        <v>55</v>
      </c>
      <c r="I1906" s="58"/>
      <c r="J1906" s="58"/>
      <c r="K1906" s="58"/>
      <c r="L1906" s="58"/>
      <c r="M1906" s="58">
        <v>84</v>
      </c>
      <c r="N1906" s="58"/>
    </row>
    <row r="1907" spans="1:14" x14ac:dyDescent="0.25">
      <c r="A1907" s="58" t="s">
        <v>213</v>
      </c>
      <c r="B1907" s="58" t="s">
        <v>377</v>
      </c>
      <c r="C1907" s="58" t="s">
        <v>379</v>
      </c>
      <c r="D1907" s="58" t="s">
        <v>378</v>
      </c>
      <c r="E1907" s="58">
        <v>3</v>
      </c>
      <c r="F1907" s="58">
        <v>36</v>
      </c>
      <c r="G1907" s="58">
        <v>210</v>
      </c>
      <c r="H1907" s="58">
        <v>55</v>
      </c>
      <c r="I1907" s="58"/>
      <c r="J1907" s="58"/>
      <c r="K1907" s="58"/>
      <c r="L1907" s="58"/>
      <c r="M1907" s="58">
        <v>97</v>
      </c>
      <c r="N1907" s="58"/>
    </row>
    <row r="1908" spans="1:14" x14ac:dyDescent="0.25">
      <c r="A1908" s="58" t="s">
        <v>213</v>
      </c>
      <c r="B1908" s="58" t="s">
        <v>377</v>
      </c>
      <c r="C1908" s="58" t="s">
        <v>379</v>
      </c>
      <c r="D1908" s="58" t="s">
        <v>378</v>
      </c>
      <c r="E1908" s="58">
        <v>3</v>
      </c>
      <c r="F1908" s="58">
        <v>36</v>
      </c>
      <c r="G1908" s="58">
        <v>220</v>
      </c>
      <c r="H1908" s="58">
        <v>55</v>
      </c>
      <c r="I1908" s="58"/>
      <c r="J1908" s="58"/>
      <c r="K1908" s="58"/>
      <c r="L1908" s="58"/>
      <c r="M1908" s="58">
        <v>97</v>
      </c>
      <c r="N1908" s="58"/>
    </row>
    <row r="1909" spans="1:14" x14ac:dyDescent="0.25">
      <c r="A1909" s="58" t="s">
        <v>213</v>
      </c>
      <c r="B1909" s="58" t="s">
        <v>377</v>
      </c>
      <c r="C1909" s="58" t="s">
        <v>379</v>
      </c>
      <c r="D1909" s="58" t="s">
        <v>378</v>
      </c>
      <c r="E1909" s="58">
        <v>3</v>
      </c>
      <c r="F1909" s="58">
        <v>36</v>
      </c>
      <c r="G1909" s="58">
        <v>230</v>
      </c>
      <c r="H1909" s="58">
        <v>55</v>
      </c>
      <c r="I1909" s="58"/>
      <c r="J1909" s="58"/>
      <c r="K1909" s="58"/>
      <c r="L1909" s="58"/>
      <c r="M1909" s="58">
        <v>97</v>
      </c>
      <c r="N1909" s="58"/>
    </row>
    <row r="1910" spans="1:14" x14ac:dyDescent="0.25">
      <c r="A1910" s="58" t="s">
        <v>213</v>
      </c>
      <c r="B1910" s="58" t="s">
        <v>377</v>
      </c>
      <c r="C1910" s="58" t="s">
        <v>379</v>
      </c>
      <c r="D1910" s="58" t="s">
        <v>378</v>
      </c>
      <c r="E1910" s="58">
        <v>3</v>
      </c>
      <c r="F1910" s="58">
        <v>36</v>
      </c>
      <c r="G1910" s="58">
        <v>240</v>
      </c>
      <c r="H1910" s="58">
        <v>55</v>
      </c>
      <c r="I1910" s="58"/>
      <c r="J1910" s="58"/>
      <c r="K1910" s="58"/>
      <c r="L1910" s="58"/>
      <c r="M1910" s="58">
        <v>97</v>
      </c>
      <c r="N1910" s="58"/>
    </row>
    <row r="1911" spans="1:14" x14ac:dyDescent="0.25">
      <c r="A1911" s="58" t="s">
        <v>213</v>
      </c>
      <c r="B1911" s="58" t="s">
        <v>377</v>
      </c>
      <c r="C1911" s="58" t="s">
        <v>379</v>
      </c>
      <c r="D1911" s="58" t="s">
        <v>378</v>
      </c>
      <c r="E1911" s="58">
        <v>3</v>
      </c>
      <c r="F1911" s="58">
        <v>36</v>
      </c>
      <c r="G1911" s="58">
        <v>250</v>
      </c>
      <c r="H1911" s="58">
        <v>55</v>
      </c>
      <c r="I1911" s="58"/>
      <c r="J1911" s="58"/>
      <c r="K1911" s="58"/>
      <c r="L1911" s="58"/>
      <c r="M1911" s="58">
        <v>97</v>
      </c>
      <c r="N1911" s="58"/>
    </row>
    <row r="1912" spans="1:14" x14ac:dyDescent="0.25">
      <c r="A1912" s="58" t="s">
        <v>213</v>
      </c>
      <c r="B1912" s="58" t="s">
        <v>377</v>
      </c>
      <c r="C1912" s="58" t="s">
        <v>379</v>
      </c>
      <c r="D1912" s="58" t="s">
        <v>378</v>
      </c>
      <c r="E1912" s="58">
        <v>3</v>
      </c>
      <c r="F1912" s="58">
        <v>36</v>
      </c>
      <c r="G1912" s="58">
        <v>260</v>
      </c>
      <c r="H1912" s="58">
        <v>55</v>
      </c>
      <c r="I1912" s="58"/>
      <c r="J1912" s="58"/>
      <c r="K1912" s="58"/>
      <c r="L1912" s="58"/>
      <c r="M1912" s="58">
        <v>97</v>
      </c>
      <c r="N1912" s="58"/>
    </row>
    <row r="1913" spans="1:14" x14ac:dyDescent="0.25">
      <c r="A1913" s="58" t="s">
        <v>213</v>
      </c>
      <c r="B1913" s="58" t="s">
        <v>377</v>
      </c>
      <c r="C1913" s="58" t="s">
        <v>379</v>
      </c>
      <c r="D1913" s="58" t="s">
        <v>378</v>
      </c>
      <c r="E1913" s="58">
        <v>3</v>
      </c>
      <c r="F1913" s="58">
        <v>36</v>
      </c>
      <c r="G1913" s="58">
        <v>270</v>
      </c>
      <c r="H1913" s="58">
        <v>55</v>
      </c>
      <c r="I1913" s="58"/>
      <c r="J1913" s="58"/>
      <c r="K1913" s="58"/>
      <c r="L1913" s="58"/>
      <c r="M1913" s="58">
        <v>97</v>
      </c>
      <c r="N1913" s="58"/>
    </row>
    <row r="1914" spans="1:14" x14ac:dyDescent="0.25">
      <c r="A1914" s="58" t="s">
        <v>213</v>
      </c>
      <c r="B1914" s="58" t="s">
        <v>377</v>
      </c>
      <c r="C1914" s="58" t="s">
        <v>379</v>
      </c>
      <c r="D1914" s="58" t="s">
        <v>378</v>
      </c>
      <c r="E1914" s="58">
        <v>3</v>
      </c>
      <c r="F1914" s="58">
        <v>36</v>
      </c>
      <c r="G1914" s="58">
        <v>280</v>
      </c>
      <c r="H1914" s="58">
        <v>55</v>
      </c>
      <c r="I1914" s="58"/>
      <c r="J1914" s="58"/>
      <c r="K1914" s="58"/>
      <c r="L1914" s="58"/>
      <c r="M1914" s="58">
        <v>97</v>
      </c>
      <c r="N1914" s="58"/>
    </row>
    <row r="1915" spans="1:14" x14ac:dyDescent="0.25">
      <c r="A1915" s="58" t="s">
        <v>213</v>
      </c>
      <c r="B1915" s="58" t="s">
        <v>377</v>
      </c>
      <c r="C1915" s="58" t="s">
        <v>379</v>
      </c>
      <c r="D1915" s="58" t="s">
        <v>378</v>
      </c>
      <c r="E1915" s="58">
        <v>3</v>
      </c>
      <c r="F1915" s="58">
        <v>36</v>
      </c>
      <c r="G1915" s="58">
        <v>300</v>
      </c>
      <c r="H1915" s="58">
        <v>55</v>
      </c>
      <c r="I1915" s="58"/>
      <c r="J1915" s="58"/>
      <c r="K1915" s="58"/>
      <c r="L1915" s="58"/>
      <c r="M1915" s="58">
        <v>97</v>
      </c>
      <c r="N1915" s="58"/>
    </row>
    <row r="1916" spans="1:14" x14ac:dyDescent="0.25">
      <c r="A1916" s="58" t="s">
        <v>213</v>
      </c>
      <c r="B1916" s="58" t="s">
        <v>377</v>
      </c>
      <c r="C1916" s="58" t="s">
        <v>379</v>
      </c>
      <c r="D1916" s="58" t="s">
        <v>378</v>
      </c>
      <c r="E1916" s="58">
        <v>3</v>
      </c>
      <c r="F1916" s="58">
        <v>36</v>
      </c>
      <c r="G1916" s="58">
        <v>320</v>
      </c>
      <c r="H1916" s="58">
        <v>55</v>
      </c>
      <c r="I1916" s="58"/>
      <c r="J1916" s="58"/>
      <c r="K1916" s="58"/>
      <c r="L1916" s="58"/>
      <c r="M1916" s="58">
        <v>97</v>
      </c>
      <c r="N1916" s="58"/>
    </row>
    <row r="1917" spans="1:14" x14ac:dyDescent="0.25">
      <c r="A1917" s="58" t="s">
        <v>213</v>
      </c>
      <c r="B1917" s="58" t="s">
        <v>377</v>
      </c>
      <c r="C1917" s="58" t="s">
        <v>379</v>
      </c>
      <c r="D1917" s="58" t="s">
        <v>378</v>
      </c>
      <c r="E1917" s="58">
        <v>3</v>
      </c>
      <c r="F1917" s="58">
        <v>36</v>
      </c>
      <c r="G1917" s="58">
        <v>360</v>
      </c>
      <c r="H1917" s="58">
        <v>55</v>
      </c>
      <c r="I1917" s="58"/>
      <c r="J1917" s="58"/>
      <c r="K1917" s="58"/>
      <c r="L1917" s="58"/>
      <c r="M1917" s="58">
        <v>97</v>
      </c>
      <c r="N1917" s="58"/>
    </row>
    <row r="1918" spans="1:14" x14ac:dyDescent="0.25">
      <c r="A1918" s="58" t="s">
        <v>213</v>
      </c>
      <c r="B1918" s="58" t="s">
        <v>377</v>
      </c>
      <c r="C1918" s="58" t="s">
        <v>379</v>
      </c>
      <c r="D1918" s="58" t="s">
        <v>378</v>
      </c>
      <c r="E1918" s="58">
        <v>3</v>
      </c>
      <c r="F1918" s="58">
        <v>36</v>
      </c>
      <c r="G1918" s="58">
        <v>400</v>
      </c>
      <c r="H1918" s="58">
        <v>55</v>
      </c>
      <c r="I1918" s="58"/>
      <c r="J1918" s="58"/>
      <c r="K1918" s="58"/>
      <c r="L1918" s="58"/>
      <c r="M1918" s="58">
        <v>97</v>
      </c>
      <c r="N1918" s="58"/>
    </row>
    <row r="1919" spans="1:14" x14ac:dyDescent="0.25">
      <c r="A1919" s="58" t="s">
        <v>213</v>
      </c>
      <c r="B1919" s="58" t="s">
        <v>377</v>
      </c>
      <c r="C1919" s="58" t="s">
        <v>379</v>
      </c>
      <c r="D1919" s="58" t="s">
        <v>378</v>
      </c>
      <c r="E1919" s="58">
        <v>3</v>
      </c>
      <c r="F1919" s="58">
        <v>39</v>
      </c>
      <c r="G1919" s="58">
        <v>120</v>
      </c>
      <c r="H1919" s="58">
        <v>60</v>
      </c>
      <c r="I1919" s="58"/>
      <c r="J1919" s="58"/>
      <c r="K1919" s="58"/>
      <c r="L1919" s="58"/>
      <c r="M1919" s="58">
        <v>84</v>
      </c>
      <c r="N1919" s="58"/>
    </row>
    <row r="1920" spans="1:14" x14ac:dyDescent="0.25">
      <c r="A1920" s="58" t="s">
        <v>213</v>
      </c>
      <c r="B1920" s="58" t="s">
        <v>377</v>
      </c>
      <c r="C1920" s="58" t="s">
        <v>379</v>
      </c>
      <c r="D1920" s="58" t="s">
        <v>378</v>
      </c>
      <c r="E1920" s="58">
        <v>3</v>
      </c>
      <c r="F1920" s="58">
        <v>39</v>
      </c>
      <c r="G1920" s="58">
        <v>130</v>
      </c>
      <c r="H1920" s="58">
        <v>60</v>
      </c>
      <c r="I1920" s="58"/>
      <c r="J1920" s="58"/>
      <c r="K1920" s="58"/>
      <c r="L1920" s="58"/>
      <c r="M1920" s="58">
        <v>84</v>
      </c>
      <c r="N1920" s="58"/>
    </row>
    <row r="1921" spans="1:14" x14ac:dyDescent="0.25">
      <c r="A1921" s="58" t="s">
        <v>213</v>
      </c>
      <c r="B1921" s="58" t="s">
        <v>377</v>
      </c>
      <c r="C1921" s="58" t="s">
        <v>379</v>
      </c>
      <c r="D1921" s="58" t="s">
        <v>378</v>
      </c>
      <c r="E1921" s="58">
        <v>3</v>
      </c>
      <c r="F1921" s="58">
        <v>39</v>
      </c>
      <c r="G1921" s="58">
        <v>140</v>
      </c>
      <c r="H1921" s="58">
        <v>60</v>
      </c>
      <c r="I1921" s="58"/>
      <c r="J1921" s="58"/>
      <c r="K1921" s="58"/>
      <c r="L1921" s="58"/>
      <c r="M1921" s="58">
        <v>90</v>
      </c>
      <c r="N1921" s="58"/>
    </row>
    <row r="1922" spans="1:14" x14ac:dyDescent="0.25">
      <c r="A1922" s="58" t="s">
        <v>213</v>
      </c>
      <c r="B1922" s="58" t="s">
        <v>377</v>
      </c>
      <c r="C1922" s="58" t="s">
        <v>379</v>
      </c>
      <c r="D1922" s="58" t="s">
        <v>378</v>
      </c>
      <c r="E1922" s="58">
        <v>3</v>
      </c>
      <c r="F1922" s="58">
        <v>39</v>
      </c>
      <c r="G1922" s="58">
        <v>150</v>
      </c>
      <c r="H1922" s="58">
        <v>60</v>
      </c>
      <c r="I1922" s="58"/>
      <c r="J1922" s="58"/>
      <c r="K1922" s="58"/>
      <c r="L1922" s="58"/>
      <c r="M1922" s="58">
        <v>90</v>
      </c>
      <c r="N1922" s="58"/>
    </row>
    <row r="1923" spans="1:14" x14ac:dyDescent="0.25">
      <c r="A1923" s="58" t="s">
        <v>213</v>
      </c>
      <c r="B1923" s="58" t="s">
        <v>377</v>
      </c>
      <c r="C1923" s="58" t="s">
        <v>379</v>
      </c>
      <c r="D1923" s="58" t="s">
        <v>378</v>
      </c>
      <c r="E1923" s="58">
        <v>3</v>
      </c>
      <c r="F1923" s="58">
        <v>39</v>
      </c>
      <c r="G1923" s="58">
        <v>160</v>
      </c>
      <c r="H1923" s="58">
        <v>60</v>
      </c>
      <c r="I1923" s="58"/>
      <c r="J1923" s="58"/>
      <c r="K1923" s="58"/>
      <c r="L1923" s="58"/>
      <c r="M1923" s="58">
        <v>90</v>
      </c>
      <c r="N1923" s="58"/>
    </row>
    <row r="1924" spans="1:14" x14ac:dyDescent="0.25">
      <c r="A1924" s="58" t="s">
        <v>213</v>
      </c>
      <c r="B1924" s="58" t="s">
        <v>377</v>
      </c>
      <c r="C1924" s="58" t="s">
        <v>379</v>
      </c>
      <c r="D1924" s="58" t="s">
        <v>378</v>
      </c>
      <c r="E1924" s="58">
        <v>3</v>
      </c>
      <c r="F1924" s="58">
        <v>39</v>
      </c>
      <c r="G1924" s="58">
        <v>170</v>
      </c>
      <c r="H1924" s="58">
        <v>60</v>
      </c>
      <c r="I1924" s="58"/>
      <c r="J1924" s="58"/>
      <c r="K1924" s="58"/>
      <c r="L1924" s="58"/>
      <c r="M1924" s="58">
        <v>90</v>
      </c>
      <c r="N1924" s="58"/>
    </row>
    <row r="1925" spans="1:14" x14ac:dyDescent="0.25">
      <c r="A1925" s="58" t="s">
        <v>213</v>
      </c>
      <c r="B1925" s="58" t="s">
        <v>377</v>
      </c>
      <c r="C1925" s="58" t="s">
        <v>379</v>
      </c>
      <c r="D1925" s="58" t="s">
        <v>378</v>
      </c>
      <c r="E1925" s="58">
        <v>3</v>
      </c>
      <c r="F1925" s="58">
        <v>39</v>
      </c>
      <c r="G1925" s="58">
        <v>180</v>
      </c>
      <c r="H1925" s="58">
        <v>60</v>
      </c>
      <c r="I1925" s="58"/>
      <c r="J1925" s="58"/>
      <c r="K1925" s="58"/>
      <c r="L1925" s="58"/>
      <c r="M1925" s="58">
        <v>90</v>
      </c>
      <c r="N1925" s="58"/>
    </row>
    <row r="1926" spans="1:14" x14ac:dyDescent="0.25">
      <c r="A1926" s="58" t="s">
        <v>213</v>
      </c>
      <c r="B1926" s="58" t="s">
        <v>377</v>
      </c>
      <c r="C1926" s="58" t="s">
        <v>379</v>
      </c>
      <c r="D1926" s="58" t="s">
        <v>378</v>
      </c>
      <c r="E1926" s="58">
        <v>3</v>
      </c>
      <c r="F1926" s="58">
        <v>39</v>
      </c>
      <c r="G1926" s="58">
        <v>190</v>
      </c>
      <c r="H1926" s="58">
        <v>60</v>
      </c>
      <c r="I1926" s="58"/>
      <c r="J1926" s="58"/>
      <c r="K1926" s="58"/>
      <c r="L1926" s="58"/>
      <c r="M1926" s="58">
        <v>90</v>
      </c>
      <c r="N1926" s="58"/>
    </row>
    <row r="1927" spans="1:14" x14ac:dyDescent="0.25">
      <c r="A1927" s="58" t="s">
        <v>213</v>
      </c>
      <c r="B1927" s="58" t="s">
        <v>377</v>
      </c>
      <c r="C1927" s="58" t="s">
        <v>379</v>
      </c>
      <c r="D1927" s="58" t="s">
        <v>378</v>
      </c>
      <c r="E1927" s="58">
        <v>3</v>
      </c>
      <c r="F1927" s="58">
        <v>39</v>
      </c>
      <c r="G1927" s="58">
        <v>200</v>
      </c>
      <c r="H1927" s="58">
        <v>60</v>
      </c>
      <c r="I1927" s="58"/>
      <c r="J1927" s="58"/>
      <c r="K1927" s="58"/>
      <c r="L1927" s="58"/>
      <c r="M1927" s="58">
        <v>90</v>
      </c>
      <c r="N1927" s="58"/>
    </row>
    <row r="1928" spans="1:14" x14ac:dyDescent="0.25">
      <c r="A1928" s="58" t="s">
        <v>213</v>
      </c>
      <c r="B1928" s="58" t="s">
        <v>377</v>
      </c>
      <c r="C1928" s="58" t="s">
        <v>379</v>
      </c>
      <c r="D1928" s="58" t="s">
        <v>378</v>
      </c>
      <c r="E1928" s="58">
        <v>3</v>
      </c>
      <c r="F1928" s="58">
        <v>39</v>
      </c>
      <c r="G1928" s="58">
        <v>210</v>
      </c>
      <c r="H1928" s="58">
        <v>60</v>
      </c>
      <c r="I1928" s="58"/>
      <c r="J1928" s="58"/>
      <c r="K1928" s="58"/>
      <c r="L1928" s="58"/>
      <c r="M1928" s="58">
        <v>103</v>
      </c>
      <c r="N1928" s="58"/>
    </row>
    <row r="1929" spans="1:14" x14ac:dyDescent="0.25">
      <c r="A1929" s="58" t="s">
        <v>213</v>
      </c>
      <c r="B1929" s="58" t="s">
        <v>377</v>
      </c>
      <c r="C1929" s="58" t="s">
        <v>379</v>
      </c>
      <c r="D1929" s="58" t="s">
        <v>378</v>
      </c>
      <c r="E1929" s="58">
        <v>3</v>
      </c>
      <c r="F1929" s="58">
        <v>39</v>
      </c>
      <c r="G1929" s="58">
        <v>220</v>
      </c>
      <c r="H1929" s="58">
        <v>60</v>
      </c>
      <c r="I1929" s="58"/>
      <c r="J1929" s="58"/>
      <c r="K1929" s="58"/>
      <c r="L1929" s="58"/>
      <c r="M1929" s="58">
        <v>103</v>
      </c>
      <c r="N1929" s="58"/>
    </row>
    <row r="1930" spans="1:14" x14ac:dyDescent="0.25">
      <c r="A1930" s="58" t="s">
        <v>213</v>
      </c>
      <c r="B1930" s="58" t="s">
        <v>377</v>
      </c>
      <c r="C1930" s="58" t="s">
        <v>379</v>
      </c>
      <c r="D1930" s="58" t="s">
        <v>378</v>
      </c>
      <c r="E1930" s="58">
        <v>3</v>
      </c>
      <c r="F1930" s="58">
        <v>39</v>
      </c>
      <c r="G1930" s="58">
        <v>230</v>
      </c>
      <c r="H1930" s="58">
        <v>60</v>
      </c>
      <c r="I1930" s="58"/>
      <c r="J1930" s="58"/>
      <c r="K1930" s="58"/>
      <c r="L1930" s="58"/>
      <c r="M1930" s="58">
        <v>103</v>
      </c>
      <c r="N1930" s="58"/>
    </row>
    <row r="1931" spans="1:14" x14ac:dyDescent="0.25">
      <c r="A1931" s="58" t="s">
        <v>213</v>
      </c>
      <c r="B1931" s="58" t="s">
        <v>377</v>
      </c>
      <c r="C1931" s="58" t="s">
        <v>379</v>
      </c>
      <c r="D1931" s="58" t="s">
        <v>378</v>
      </c>
      <c r="E1931" s="58">
        <v>3</v>
      </c>
      <c r="F1931" s="58">
        <v>39</v>
      </c>
      <c r="G1931" s="58">
        <v>240</v>
      </c>
      <c r="H1931" s="58">
        <v>60</v>
      </c>
      <c r="I1931" s="58"/>
      <c r="J1931" s="58"/>
      <c r="K1931" s="58"/>
      <c r="L1931" s="58"/>
      <c r="M1931" s="58">
        <v>103</v>
      </c>
      <c r="N1931" s="58"/>
    </row>
    <row r="1932" spans="1:14" x14ac:dyDescent="0.25">
      <c r="A1932" s="58" t="s">
        <v>213</v>
      </c>
      <c r="B1932" s="58" t="s">
        <v>377</v>
      </c>
      <c r="C1932" s="58" t="s">
        <v>379</v>
      </c>
      <c r="D1932" s="58" t="s">
        <v>378</v>
      </c>
      <c r="E1932" s="58">
        <v>3</v>
      </c>
      <c r="F1932" s="58">
        <v>39</v>
      </c>
      <c r="G1932" s="58">
        <v>250</v>
      </c>
      <c r="H1932" s="58">
        <v>60</v>
      </c>
      <c r="I1932" s="58"/>
      <c r="J1932" s="58"/>
      <c r="K1932" s="58"/>
      <c r="L1932" s="58"/>
      <c r="M1932" s="58">
        <v>103</v>
      </c>
      <c r="N1932" s="58"/>
    </row>
    <row r="1933" spans="1:14" x14ac:dyDescent="0.25">
      <c r="A1933" s="58" t="s">
        <v>213</v>
      </c>
      <c r="B1933" s="58" t="s">
        <v>377</v>
      </c>
      <c r="C1933" s="58" t="s">
        <v>379</v>
      </c>
      <c r="D1933" s="58" t="s">
        <v>378</v>
      </c>
      <c r="E1933" s="58">
        <v>3</v>
      </c>
      <c r="F1933" s="58">
        <v>39</v>
      </c>
      <c r="G1933" s="58">
        <v>260</v>
      </c>
      <c r="H1933" s="58">
        <v>60</v>
      </c>
      <c r="I1933" s="58"/>
      <c r="J1933" s="58"/>
      <c r="K1933" s="58"/>
      <c r="L1933" s="58"/>
      <c r="M1933" s="58">
        <v>103</v>
      </c>
      <c r="N1933" s="58"/>
    </row>
    <row r="1934" spans="1:14" x14ac:dyDescent="0.25">
      <c r="A1934" s="58" t="s">
        <v>213</v>
      </c>
      <c r="B1934" s="58" t="s">
        <v>377</v>
      </c>
      <c r="C1934" s="58" t="s">
        <v>379</v>
      </c>
      <c r="D1934" s="58" t="s">
        <v>378</v>
      </c>
      <c r="E1934" s="58">
        <v>3</v>
      </c>
      <c r="F1934" s="58">
        <v>39</v>
      </c>
      <c r="G1934" s="58">
        <v>280</v>
      </c>
      <c r="H1934" s="58">
        <v>60</v>
      </c>
      <c r="I1934" s="58"/>
      <c r="J1934" s="58"/>
      <c r="K1934" s="58"/>
      <c r="L1934" s="58"/>
      <c r="M1934" s="58">
        <v>103</v>
      </c>
      <c r="N1934" s="58"/>
    </row>
    <row r="1935" spans="1:14" x14ac:dyDescent="0.25">
      <c r="A1935" s="68" t="s">
        <v>346</v>
      </c>
      <c r="B1935" s="68" t="s">
        <v>193</v>
      </c>
      <c r="C1935" s="68" t="s">
        <v>212</v>
      </c>
      <c r="D1935" s="68" t="s">
        <v>350</v>
      </c>
      <c r="E1935" s="68">
        <v>2</v>
      </c>
      <c r="F1935" s="68">
        <v>20</v>
      </c>
      <c r="G1935" s="68">
        <v>1000</v>
      </c>
      <c r="H1935" s="68">
        <v>20</v>
      </c>
      <c r="I1935" s="68">
        <v>340</v>
      </c>
      <c r="J1935" s="68"/>
      <c r="K1935" s="68"/>
      <c r="L1935" s="68"/>
      <c r="M1935" s="68"/>
      <c r="N1935" s="68"/>
    </row>
    <row r="1936" spans="1:14" x14ac:dyDescent="0.25">
      <c r="A1936" s="68" t="s">
        <v>346</v>
      </c>
      <c r="B1936" s="68" t="s">
        <v>193</v>
      </c>
      <c r="C1936" s="68" t="s">
        <v>212</v>
      </c>
      <c r="D1936" s="68" t="s">
        <v>350</v>
      </c>
      <c r="E1936" s="68">
        <v>2</v>
      </c>
      <c r="F1936" s="68">
        <v>20</v>
      </c>
      <c r="G1936" s="68">
        <v>400</v>
      </c>
      <c r="H1936" s="68">
        <v>20</v>
      </c>
      <c r="I1936" s="68">
        <v>340</v>
      </c>
      <c r="J1936" s="68"/>
      <c r="K1936" s="68"/>
      <c r="L1936" s="68"/>
      <c r="M1936" s="68"/>
      <c r="N1936" s="68"/>
    </row>
    <row r="1937" spans="1:14" x14ac:dyDescent="0.25">
      <c r="A1937" s="68" t="s">
        <v>346</v>
      </c>
      <c r="B1937" s="68" t="s">
        <v>193</v>
      </c>
      <c r="C1937" s="68" t="s">
        <v>212</v>
      </c>
      <c r="D1937" s="68" t="s">
        <v>350</v>
      </c>
      <c r="E1937" s="68">
        <v>2</v>
      </c>
      <c r="F1937" s="68">
        <v>20</v>
      </c>
      <c r="G1937" s="68">
        <v>360</v>
      </c>
      <c r="H1937" s="68">
        <v>20</v>
      </c>
      <c r="I1937" s="68">
        <v>340</v>
      </c>
      <c r="J1937" s="68"/>
      <c r="K1937" s="68"/>
      <c r="L1937" s="68"/>
      <c r="M1937" s="68"/>
      <c r="N1937" s="68"/>
    </row>
    <row r="1938" spans="1:14" x14ac:dyDescent="0.25">
      <c r="A1938" s="68" t="s">
        <v>346</v>
      </c>
      <c r="B1938" s="68" t="s">
        <v>193</v>
      </c>
      <c r="C1938" s="68" t="s">
        <v>212</v>
      </c>
      <c r="D1938" s="68" t="s">
        <v>350</v>
      </c>
      <c r="E1938" s="68">
        <v>2</v>
      </c>
      <c r="F1938" s="68">
        <v>20</v>
      </c>
      <c r="G1938" s="68">
        <v>320</v>
      </c>
      <c r="H1938" s="68">
        <v>20</v>
      </c>
      <c r="I1938" s="68">
        <v>340</v>
      </c>
      <c r="J1938" s="68"/>
      <c r="K1938" s="68"/>
      <c r="L1938" s="68"/>
      <c r="M1938" s="68"/>
      <c r="N1938" s="68"/>
    </row>
    <row r="1939" spans="1:14" x14ac:dyDescent="0.25">
      <c r="A1939" s="68" t="s">
        <v>346</v>
      </c>
      <c r="B1939" s="68" t="s">
        <v>193</v>
      </c>
      <c r="C1939" s="68" t="s">
        <v>212</v>
      </c>
      <c r="D1939" s="68" t="s">
        <v>350</v>
      </c>
      <c r="E1939" s="68">
        <v>2</v>
      </c>
      <c r="F1939" s="68">
        <v>20</v>
      </c>
      <c r="G1939" s="68">
        <v>300</v>
      </c>
      <c r="H1939" s="68">
        <v>20</v>
      </c>
      <c r="I1939" s="68">
        <v>340</v>
      </c>
      <c r="J1939" s="68"/>
      <c r="K1939" s="68"/>
      <c r="L1939" s="68"/>
      <c r="M1939" s="68"/>
      <c r="N1939" s="68"/>
    </row>
    <row r="1940" spans="1:14" x14ac:dyDescent="0.25">
      <c r="A1940" s="68" t="s">
        <v>346</v>
      </c>
      <c r="B1940" s="68" t="s">
        <v>193</v>
      </c>
      <c r="C1940" s="68" t="s">
        <v>212</v>
      </c>
      <c r="D1940" s="68" t="s">
        <v>350</v>
      </c>
      <c r="E1940" s="68">
        <v>2</v>
      </c>
      <c r="F1940" s="68">
        <v>20</v>
      </c>
      <c r="G1940" s="68">
        <v>280</v>
      </c>
      <c r="H1940" s="68">
        <v>20</v>
      </c>
      <c r="I1940" s="68">
        <v>340</v>
      </c>
      <c r="J1940" s="68"/>
      <c r="K1940" s="68"/>
      <c r="L1940" s="68"/>
      <c r="M1940" s="68"/>
      <c r="N1940" s="68"/>
    </row>
    <row r="1941" spans="1:14" x14ac:dyDescent="0.25">
      <c r="A1941" s="68" t="s">
        <v>346</v>
      </c>
      <c r="B1941" s="68" t="s">
        <v>193</v>
      </c>
      <c r="C1941" s="68" t="s">
        <v>212</v>
      </c>
      <c r="D1941" s="68" t="s">
        <v>350</v>
      </c>
      <c r="E1941" s="68">
        <v>2</v>
      </c>
      <c r="F1941" s="68">
        <v>20</v>
      </c>
      <c r="G1941" s="68">
        <v>260</v>
      </c>
      <c r="H1941" s="68">
        <v>20</v>
      </c>
      <c r="I1941" s="68">
        <v>340</v>
      </c>
      <c r="J1941" s="68"/>
      <c r="K1941" s="68"/>
      <c r="L1941" s="68"/>
      <c r="M1941" s="68"/>
      <c r="N1941" s="68"/>
    </row>
    <row r="1942" spans="1:14" x14ac:dyDescent="0.25">
      <c r="A1942" s="68" t="s">
        <v>346</v>
      </c>
      <c r="B1942" s="68" t="s">
        <v>193</v>
      </c>
      <c r="C1942" s="68" t="s">
        <v>212</v>
      </c>
      <c r="D1942" s="68" t="s">
        <v>350</v>
      </c>
      <c r="E1942" s="68">
        <v>2</v>
      </c>
      <c r="F1942" s="68">
        <v>20</v>
      </c>
      <c r="G1942" s="68">
        <v>240</v>
      </c>
      <c r="H1942" s="68">
        <v>20</v>
      </c>
      <c r="I1942" s="68">
        <v>340</v>
      </c>
      <c r="J1942" s="68"/>
      <c r="K1942" s="68"/>
      <c r="L1942" s="68"/>
      <c r="M1942" s="68"/>
      <c r="N1942" s="68"/>
    </row>
    <row r="1943" spans="1:14" x14ac:dyDescent="0.25">
      <c r="A1943" s="68" t="s">
        <v>346</v>
      </c>
      <c r="B1943" s="68" t="s">
        <v>193</v>
      </c>
      <c r="C1943" s="68" t="s">
        <v>212</v>
      </c>
      <c r="D1943" s="68" t="s">
        <v>350</v>
      </c>
      <c r="E1943" s="68">
        <v>2</v>
      </c>
      <c r="F1943" s="68">
        <v>20</v>
      </c>
      <c r="G1943" s="68">
        <v>220</v>
      </c>
      <c r="H1943" s="68">
        <v>20</v>
      </c>
      <c r="I1943" s="68">
        <v>340</v>
      </c>
      <c r="J1943" s="68"/>
      <c r="K1943" s="68"/>
      <c r="L1943" s="68"/>
      <c r="M1943" s="68"/>
      <c r="N1943" s="68"/>
    </row>
    <row r="1944" spans="1:14" x14ac:dyDescent="0.25">
      <c r="A1944" s="68" t="s">
        <v>346</v>
      </c>
      <c r="B1944" s="68" t="s">
        <v>193</v>
      </c>
      <c r="C1944" s="68" t="s">
        <v>212</v>
      </c>
      <c r="D1944" s="68" t="s">
        <v>350</v>
      </c>
      <c r="E1944" s="68">
        <v>2</v>
      </c>
      <c r="F1944" s="68">
        <v>20</v>
      </c>
      <c r="G1944" s="68">
        <v>200</v>
      </c>
      <c r="H1944" s="68">
        <v>20</v>
      </c>
      <c r="I1944" s="68">
        <v>340</v>
      </c>
      <c r="J1944" s="68"/>
      <c r="K1944" s="68"/>
      <c r="L1944" s="68"/>
      <c r="M1944" s="68"/>
      <c r="N1944" s="68"/>
    </row>
    <row r="1945" spans="1:14" x14ac:dyDescent="0.25">
      <c r="A1945" s="68" t="s">
        <v>346</v>
      </c>
      <c r="B1945" s="68" t="s">
        <v>193</v>
      </c>
      <c r="C1945" s="68" t="s">
        <v>212</v>
      </c>
      <c r="D1945" s="68" t="s">
        <v>350</v>
      </c>
      <c r="E1945" s="68">
        <v>2</v>
      </c>
      <c r="F1945" s="68">
        <v>20</v>
      </c>
      <c r="G1945" s="68">
        <v>190</v>
      </c>
      <c r="H1945" s="68">
        <v>20</v>
      </c>
      <c r="I1945" s="68">
        <v>340</v>
      </c>
      <c r="J1945" s="68"/>
      <c r="K1945" s="68"/>
      <c r="L1945" s="68"/>
      <c r="M1945" s="68"/>
      <c r="N1945" s="68"/>
    </row>
    <row r="1946" spans="1:14" x14ac:dyDescent="0.25">
      <c r="A1946" s="68" t="s">
        <v>346</v>
      </c>
      <c r="B1946" s="68" t="s">
        <v>193</v>
      </c>
      <c r="C1946" s="68" t="s">
        <v>212</v>
      </c>
      <c r="D1946" s="68" t="s">
        <v>350</v>
      </c>
      <c r="E1946" s="68">
        <v>2</v>
      </c>
      <c r="F1946" s="68">
        <v>20</v>
      </c>
      <c r="G1946" s="68">
        <v>180</v>
      </c>
      <c r="H1946" s="68">
        <v>20</v>
      </c>
      <c r="I1946" s="68">
        <v>340</v>
      </c>
      <c r="J1946" s="68"/>
      <c r="K1946" s="68"/>
      <c r="L1946" s="68"/>
      <c r="M1946" s="68"/>
      <c r="N1946" s="68"/>
    </row>
    <row r="1947" spans="1:14" x14ac:dyDescent="0.25">
      <c r="A1947" s="68" t="s">
        <v>346</v>
      </c>
      <c r="B1947" s="68" t="s">
        <v>193</v>
      </c>
      <c r="C1947" s="68" t="s">
        <v>212</v>
      </c>
      <c r="D1947" s="68" t="s">
        <v>350</v>
      </c>
      <c r="E1947" s="68">
        <v>2</v>
      </c>
      <c r="F1947" s="68">
        <v>20</v>
      </c>
      <c r="G1947" s="68">
        <v>160</v>
      </c>
      <c r="H1947" s="68">
        <v>20</v>
      </c>
      <c r="I1947" s="68">
        <v>340</v>
      </c>
      <c r="J1947" s="68"/>
      <c r="K1947" s="68"/>
      <c r="L1947" s="68"/>
      <c r="M1947" s="68"/>
      <c r="N1947" s="68"/>
    </row>
    <row r="1948" spans="1:14" x14ac:dyDescent="0.25">
      <c r="A1948" s="68" t="s">
        <v>346</v>
      </c>
      <c r="B1948" s="68" t="s">
        <v>193</v>
      </c>
      <c r="C1948" s="68" t="s">
        <v>212</v>
      </c>
      <c r="D1948" s="68" t="s">
        <v>350</v>
      </c>
      <c r="E1948" s="68">
        <v>2</v>
      </c>
      <c r="F1948" s="68">
        <v>20</v>
      </c>
      <c r="G1948" s="68">
        <v>140</v>
      </c>
      <c r="H1948" s="68">
        <v>20</v>
      </c>
      <c r="I1948" s="68">
        <v>340</v>
      </c>
      <c r="J1948" s="68"/>
      <c r="K1948" s="68"/>
      <c r="L1948" s="68"/>
      <c r="M1948" s="68"/>
      <c r="N1948" s="68"/>
    </row>
    <row r="1949" spans="1:14" x14ac:dyDescent="0.25">
      <c r="A1949" s="68" t="s">
        <v>346</v>
      </c>
      <c r="B1949" s="68" t="s">
        <v>193</v>
      </c>
      <c r="C1949" s="68" t="s">
        <v>212</v>
      </c>
      <c r="D1949" s="68" t="s">
        <v>350</v>
      </c>
      <c r="E1949" s="68">
        <v>2</v>
      </c>
      <c r="F1949" s="68">
        <v>20</v>
      </c>
      <c r="G1949" s="68">
        <v>120</v>
      </c>
      <c r="H1949" s="68">
        <v>20</v>
      </c>
      <c r="I1949" s="68">
        <v>340</v>
      </c>
      <c r="J1949" s="68"/>
      <c r="K1949" s="68"/>
      <c r="L1949" s="68"/>
      <c r="M1949" s="68"/>
      <c r="N1949" s="68"/>
    </row>
    <row r="1950" spans="1:14" x14ac:dyDescent="0.25">
      <c r="A1950" s="68" t="s">
        <v>346</v>
      </c>
      <c r="B1950" s="68" t="s">
        <v>193</v>
      </c>
      <c r="C1950" s="68" t="s">
        <v>212</v>
      </c>
      <c r="D1950" s="68" t="s">
        <v>350</v>
      </c>
      <c r="E1950" s="68">
        <v>2</v>
      </c>
      <c r="F1950" s="68">
        <v>16</v>
      </c>
      <c r="G1950" s="68">
        <v>1000</v>
      </c>
      <c r="H1950" s="68">
        <v>16</v>
      </c>
      <c r="I1950" s="68">
        <v>191</v>
      </c>
      <c r="J1950" s="68"/>
      <c r="K1950" s="68"/>
      <c r="L1950" s="68"/>
      <c r="M1950" s="68"/>
      <c r="N1950" s="68"/>
    </row>
    <row r="1951" spans="1:14" x14ac:dyDescent="0.25">
      <c r="A1951" s="68" t="s">
        <v>346</v>
      </c>
      <c r="B1951" s="68" t="s">
        <v>193</v>
      </c>
      <c r="C1951" s="68" t="s">
        <v>212</v>
      </c>
      <c r="D1951" s="68" t="s">
        <v>350</v>
      </c>
      <c r="E1951" s="68">
        <v>2</v>
      </c>
      <c r="F1951" s="68">
        <v>16</v>
      </c>
      <c r="G1951" s="68">
        <v>500</v>
      </c>
      <c r="H1951" s="68">
        <v>16</v>
      </c>
      <c r="I1951" s="68">
        <v>191</v>
      </c>
      <c r="J1951" s="68"/>
      <c r="K1951" s="68"/>
      <c r="L1951" s="68"/>
      <c r="M1951" s="68"/>
      <c r="N1951" s="68"/>
    </row>
    <row r="1952" spans="1:14" x14ac:dyDescent="0.25">
      <c r="A1952" s="68" t="s">
        <v>346</v>
      </c>
      <c r="B1952" s="68" t="s">
        <v>193</v>
      </c>
      <c r="C1952" s="68" t="s">
        <v>212</v>
      </c>
      <c r="D1952" s="68" t="s">
        <v>350</v>
      </c>
      <c r="E1952" s="68">
        <v>2</v>
      </c>
      <c r="F1952" s="68">
        <v>16</v>
      </c>
      <c r="G1952" s="68">
        <v>400</v>
      </c>
      <c r="H1952" s="68">
        <v>16</v>
      </c>
      <c r="I1952" s="68">
        <v>191</v>
      </c>
      <c r="J1952" s="68"/>
      <c r="K1952" s="68"/>
      <c r="L1952" s="68"/>
      <c r="M1952" s="68"/>
      <c r="N1952" s="68"/>
    </row>
    <row r="1953" spans="1:14" x14ac:dyDescent="0.25">
      <c r="A1953" s="68" t="s">
        <v>346</v>
      </c>
      <c r="B1953" s="68" t="s">
        <v>193</v>
      </c>
      <c r="C1953" s="68" t="s">
        <v>212</v>
      </c>
      <c r="D1953" s="68" t="s">
        <v>350</v>
      </c>
      <c r="E1953" s="68">
        <v>2</v>
      </c>
      <c r="F1953" s="68">
        <v>16</v>
      </c>
      <c r="G1953" s="68">
        <v>380</v>
      </c>
      <c r="H1953" s="68">
        <v>16</v>
      </c>
      <c r="I1953" s="68">
        <v>191</v>
      </c>
      <c r="J1953" s="68"/>
      <c r="K1953" s="68"/>
      <c r="L1953" s="68"/>
      <c r="M1953" s="68"/>
      <c r="N1953" s="68"/>
    </row>
    <row r="1954" spans="1:14" x14ac:dyDescent="0.25">
      <c r="A1954" s="68" t="s">
        <v>346</v>
      </c>
      <c r="B1954" s="68" t="s">
        <v>193</v>
      </c>
      <c r="C1954" s="68" t="s">
        <v>212</v>
      </c>
      <c r="D1954" s="68" t="s">
        <v>350</v>
      </c>
      <c r="E1954" s="68">
        <v>2</v>
      </c>
      <c r="F1954" s="68">
        <v>16</v>
      </c>
      <c r="G1954" s="68">
        <v>360</v>
      </c>
      <c r="H1954" s="68">
        <v>16</v>
      </c>
      <c r="I1954" s="68">
        <v>191</v>
      </c>
      <c r="J1954" s="68"/>
      <c r="K1954" s="68"/>
      <c r="L1954" s="68"/>
      <c r="M1954" s="68"/>
      <c r="N1954" s="68"/>
    </row>
    <row r="1955" spans="1:14" x14ac:dyDescent="0.25">
      <c r="A1955" s="68" t="s">
        <v>346</v>
      </c>
      <c r="B1955" s="68" t="s">
        <v>193</v>
      </c>
      <c r="C1955" s="68" t="s">
        <v>212</v>
      </c>
      <c r="D1955" s="68" t="s">
        <v>350</v>
      </c>
      <c r="E1955" s="68">
        <v>2</v>
      </c>
      <c r="F1955" s="68">
        <v>16</v>
      </c>
      <c r="G1955" s="68">
        <v>340</v>
      </c>
      <c r="H1955" s="68">
        <v>16</v>
      </c>
      <c r="I1955" s="68">
        <v>191</v>
      </c>
      <c r="J1955" s="68"/>
      <c r="K1955" s="68"/>
      <c r="L1955" s="68"/>
      <c r="M1955" s="68"/>
      <c r="N1955" s="68"/>
    </row>
    <row r="1956" spans="1:14" x14ac:dyDescent="0.25">
      <c r="A1956" s="68" t="s">
        <v>346</v>
      </c>
      <c r="B1956" s="68" t="s">
        <v>193</v>
      </c>
      <c r="C1956" s="68" t="s">
        <v>212</v>
      </c>
      <c r="D1956" s="68" t="s">
        <v>350</v>
      </c>
      <c r="E1956" s="68">
        <v>2</v>
      </c>
      <c r="F1956" s="68">
        <v>16</v>
      </c>
      <c r="G1956" s="68">
        <v>320</v>
      </c>
      <c r="H1956" s="68">
        <v>16</v>
      </c>
      <c r="I1956" s="68">
        <v>191</v>
      </c>
      <c r="J1956" s="68"/>
      <c r="K1956" s="68"/>
      <c r="L1956" s="68"/>
      <c r="M1956" s="68"/>
      <c r="N1956" s="68"/>
    </row>
    <row r="1957" spans="1:14" x14ac:dyDescent="0.25">
      <c r="A1957" s="68" t="s">
        <v>346</v>
      </c>
      <c r="B1957" s="68" t="s">
        <v>193</v>
      </c>
      <c r="C1957" s="68" t="s">
        <v>212</v>
      </c>
      <c r="D1957" s="68" t="s">
        <v>350</v>
      </c>
      <c r="E1957" s="68">
        <v>2</v>
      </c>
      <c r="F1957" s="68">
        <v>16</v>
      </c>
      <c r="G1957" s="68">
        <v>300</v>
      </c>
      <c r="H1957" s="68">
        <v>16</v>
      </c>
      <c r="I1957" s="68">
        <v>191</v>
      </c>
      <c r="J1957" s="68"/>
      <c r="K1957" s="68"/>
      <c r="L1957" s="68"/>
      <c r="M1957" s="68"/>
      <c r="N1957" s="68"/>
    </row>
    <row r="1958" spans="1:14" x14ac:dyDescent="0.25">
      <c r="A1958" s="68" t="s">
        <v>346</v>
      </c>
      <c r="B1958" s="68" t="s">
        <v>193</v>
      </c>
      <c r="C1958" s="68" t="s">
        <v>212</v>
      </c>
      <c r="D1958" s="68" t="s">
        <v>350</v>
      </c>
      <c r="E1958" s="68">
        <v>2</v>
      </c>
      <c r="F1958" s="68">
        <v>16</v>
      </c>
      <c r="G1958" s="68">
        <v>280</v>
      </c>
      <c r="H1958" s="68">
        <v>16</v>
      </c>
      <c r="I1958" s="68">
        <v>191</v>
      </c>
      <c r="J1958" s="68"/>
      <c r="K1958" s="68"/>
      <c r="L1958" s="68"/>
      <c r="M1958" s="68"/>
      <c r="N1958" s="68"/>
    </row>
    <row r="1959" spans="1:14" x14ac:dyDescent="0.25">
      <c r="A1959" s="68" t="s">
        <v>346</v>
      </c>
      <c r="B1959" s="68" t="s">
        <v>193</v>
      </c>
      <c r="C1959" s="68" t="s">
        <v>212</v>
      </c>
      <c r="D1959" s="68" t="s">
        <v>350</v>
      </c>
      <c r="E1959" s="68">
        <v>2</v>
      </c>
      <c r="F1959" s="68">
        <v>16</v>
      </c>
      <c r="G1959" s="68">
        <v>260</v>
      </c>
      <c r="H1959" s="68">
        <v>16</v>
      </c>
      <c r="I1959" s="68">
        <v>191</v>
      </c>
      <c r="J1959" s="68"/>
      <c r="K1959" s="68"/>
      <c r="L1959" s="68"/>
      <c r="M1959" s="68"/>
      <c r="N1959" s="68"/>
    </row>
    <row r="1960" spans="1:14" x14ac:dyDescent="0.25">
      <c r="A1960" s="68" t="s">
        <v>346</v>
      </c>
      <c r="B1960" s="68" t="s">
        <v>193</v>
      </c>
      <c r="C1960" s="68" t="s">
        <v>212</v>
      </c>
      <c r="D1960" s="68" t="s">
        <v>350</v>
      </c>
      <c r="E1960" s="68">
        <v>2</v>
      </c>
      <c r="F1960" s="68">
        <v>16</v>
      </c>
      <c r="G1960" s="68">
        <v>240</v>
      </c>
      <c r="H1960" s="68">
        <v>16</v>
      </c>
      <c r="I1960" s="68">
        <v>191</v>
      </c>
      <c r="J1960" s="68"/>
      <c r="K1960" s="68"/>
      <c r="L1960" s="68"/>
      <c r="M1960" s="68"/>
      <c r="N1960" s="68"/>
    </row>
    <row r="1961" spans="1:14" x14ac:dyDescent="0.25">
      <c r="A1961" s="68" t="s">
        <v>346</v>
      </c>
      <c r="B1961" s="68" t="s">
        <v>193</v>
      </c>
      <c r="C1961" s="68" t="s">
        <v>212</v>
      </c>
      <c r="D1961" s="68" t="s">
        <v>350</v>
      </c>
      <c r="E1961" s="68">
        <v>2</v>
      </c>
      <c r="F1961" s="68">
        <v>16</v>
      </c>
      <c r="G1961" s="68">
        <v>220</v>
      </c>
      <c r="H1961" s="68">
        <v>16</v>
      </c>
      <c r="I1961" s="68">
        <v>191</v>
      </c>
      <c r="J1961" s="68"/>
      <c r="K1961" s="68"/>
      <c r="L1961" s="68"/>
      <c r="M1961" s="68"/>
      <c r="N1961" s="68"/>
    </row>
    <row r="1962" spans="1:14" x14ac:dyDescent="0.25">
      <c r="A1962" s="68" t="s">
        <v>346</v>
      </c>
      <c r="B1962" s="68" t="s">
        <v>193</v>
      </c>
      <c r="C1962" s="68" t="s">
        <v>212</v>
      </c>
      <c r="D1962" s="68" t="s">
        <v>350</v>
      </c>
      <c r="E1962" s="68">
        <v>2</v>
      </c>
      <c r="F1962" s="68">
        <v>16</v>
      </c>
      <c r="G1962" s="68">
        <v>200</v>
      </c>
      <c r="H1962" s="68">
        <v>16</v>
      </c>
      <c r="I1962" s="68">
        <v>191</v>
      </c>
      <c r="J1962" s="68"/>
      <c r="K1962" s="68"/>
      <c r="L1962" s="68"/>
      <c r="M1962" s="68"/>
      <c r="N1962" s="68"/>
    </row>
    <row r="1963" spans="1:14" x14ac:dyDescent="0.25">
      <c r="A1963" s="68" t="s">
        <v>346</v>
      </c>
      <c r="B1963" s="68" t="s">
        <v>193</v>
      </c>
      <c r="C1963" s="68" t="s">
        <v>212</v>
      </c>
      <c r="D1963" s="68" t="s">
        <v>350</v>
      </c>
      <c r="E1963" s="68">
        <v>2</v>
      </c>
      <c r="F1963" s="68">
        <v>16</v>
      </c>
      <c r="G1963" s="68">
        <v>190</v>
      </c>
      <c r="H1963" s="68">
        <v>16</v>
      </c>
      <c r="I1963" s="68">
        <v>191</v>
      </c>
      <c r="J1963" s="68"/>
      <c r="K1963" s="68"/>
      <c r="L1963" s="68"/>
      <c r="M1963" s="68"/>
      <c r="N1963" s="68"/>
    </row>
    <row r="1964" spans="1:14" x14ac:dyDescent="0.25">
      <c r="A1964" s="68" t="s">
        <v>346</v>
      </c>
      <c r="B1964" s="68" t="s">
        <v>193</v>
      </c>
      <c r="C1964" s="68" t="s">
        <v>212</v>
      </c>
      <c r="D1964" s="68" t="s">
        <v>350</v>
      </c>
      <c r="E1964" s="68">
        <v>2</v>
      </c>
      <c r="F1964" s="68">
        <v>16</v>
      </c>
      <c r="G1964" s="68">
        <v>180</v>
      </c>
      <c r="H1964" s="68">
        <v>16</v>
      </c>
      <c r="I1964" s="68">
        <v>191</v>
      </c>
      <c r="J1964" s="68"/>
      <c r="K1964" s="68"/>
      <c r="L1964" s="68"/>
      <c r="M1964" s="68"/>
      <c r="N1964" s="68"/>
    </row>
    <row r="1965" spans="1:14" x14ac:dyDescent="0.25">
      <c r="A1965" s="68" t="s">
        <v>346</v>
      </c>
      <c r="B1965" s="68" t="s">
        <v>193</v>
      </c>
      <c r="C1965" s="68" t="s">
        <v>212</v>
      </c>
      <c r="D1965" s="68" t="s">
        <v>350</v>
      </c>
      <c r="E1965" s="68">
        <v>2</v>
      </c>
      <c r="F1965" s="68">
        <v>16</v>
      </c>
      <c r="G1965" s="68">
        <v>170</v>
      </c>
      <c r="H1965" s="68">
        <v>16</v>
      </c>
      <c r="I1965" s="68">
        <v>191</v>
      </c>
      <c r="J1965" s="68"/>
      <c r="K1965" s="68"/>
      <c r="L1965" s="68"/>
      <c r="M1965" s="68"/>
      <c r="N1965" s="68"/>
    </row>
    <row r="1966" spans="1:14" x14ac:dyDescent="0.25">
      <c r="A1966" s="68" t="s">
        <v>346</v>
      </c>
      <c r="B1966" s="68" t="s">
        <v>193</v>
      </c>
      <c r="C1966" s="68" t="s">
        <v>212</v>
      </c>
      <c r="D1966" s="68" t="s">
        <v>350</v>
      </c>
      <c r="E1966" s="68">
        <v>2</v>
      </c>
      <c r="F1966" s="68">
        <v>16</v>
      </c>
      <c r="G1966" s="68">
        <v>160</v>
      </c>
      <c r="H1966" s="68">
        <v>16</v>
      </c>
      <c r="I1966" s="68">
        <v>191</v>
      </c>
      <c r="J1966" s="68"/>
      <c r="K1966" s="68"/>
      <c r="L1966" s="68"/>
      <c r="M1966" s="68"/>
      <c r="N1966" s="68"/>
    </row>
    <row r="1967" spans="1:14" x14ac:dyDescent="0.25">
      <c r="A1967" s="68" t="s">
        <v>346</v>
      </c>
      <c r="B1967" s="68" t="s">
        <v>193</v>
      </c>
      <c r="C1967" s="68" t="s">
        <v>212</v>
      </c>
      <c r="D1967" s="68" t="s">
        <v>350</v>
      </c>
      <c r="E1967" s="68">
        <v>2</v>
      </c>
      <c r="F1967" s="68">
        <v>16</v>
      </c>
      <c r="G1967" s="68">
        <v>150</v>
      </c>
      <c r="H1967" s="68">
        <v>16</v>
      </c>
      <c r="I1967" s="68">
        <v>191</v>
      </c>
      <c r="J1967" s="68"/>
      <c r="K1967" s="68"/>
      <c r="L1967" s="68"/>
      <c r="M1967" s="68"/>
      <c r="N1967" s="68"/>
    </row>
    <row r="1968" spans="1:14" x14ac:dyDescent="0.25">
      <c r="A1968" s="68" t="s">
        <v>346</v>
      </c>
      <c r="B1968" s="68" t="s">
        <v>193</v>
      </c>
      <c r="C1968" s="68" t="s">
        <v>212</v>
      </c>
      <c r="D1968" s="68" t="s">
        <v>350</v>
      </c>
      <c r="E1968" s="68">
        <v>2</v>
      </c>
      <c r="F1968" s="68">
        <v>16</v>
      </c>
      <c r="G1968" s="68">
        <v>140</v>
      </c>
      <c r="H1968" s="68">
        <v>16</v>
      </c>
      <c r="I1968" s="68">
        <v>191</v>
      </c>
      <c r="J1968" s="68"/>
      <c r="K1968" s="68"/>
      <c r="L1968" s="68"/>
      <c r="M1968" s="68"/>
      <c r="N1968" s="68"/>
    </row>
    <row r="1969" spans="1:14" x14ac:dyDescent="0.25">
      <c r="A1969" s="68" t="s">
        <v>346</v>
      </c>
      <c r="B1969" s="68" t="s">
        <v>193</v>
      </c>
      <c r="C1969" s="68" t="s">
        <v>212</v>
      </c>
      <c r="D1969" s="68" t="s">
        <v>350</v>
      </c>
      <c r="E1969" s="68">
        <v>2</v>
      </c>
      <c r="F1969" s="68">
        <v>16</v>
      </c>
      <c r="G1969" s="68">
        <v>130</v>
      </c>
      <c r="H1969" s="68">
        <v>16</v>
      </c>
      <c r="I1969" s="68">
        <v>191</v>
      </c>
      <c r="J1969" s="68"/>
      <c r="K1969" s="68"/>
      <c r="L1969" s="68"/>
      <c r="M1969" s="68"/>
      <c r="N1969" s="68"/>
    </row>
    <row r="1970" spans="1:14" x14ac:dyDescent="0.25">
      <c r="A1970" s="68" t="s">
        <v>346</v>
      </c>
      <c r="B1970" s="68" t="s">
        <v>193</v>
      </c>
      <c r="C1970" s="68" t="s">
        <v>212</v>
      </c>
      <c r="D1970" s="68" t="s">
        <v>350</v>
      </c>
      <c r="E1970" s="68">
        <v>2</v>
      </c>
      <c r="F1970" s="68">
        <v>16</v>
      </c>
      <c r="G1970" s="68">
        <v>120</v>
      </c>
      <c r="H1970" s="68">
        <v>16</v>
      </c>
      <c r="I1970" s="68">
        <v>191</v>
      </c>
      <c r="J1970" s="68"/>
      <c r="K1970" s="68"/>
      <c r="L1970" s="68"/>
      <c r="M1970" s="68"/>
      <c r="N1970" s="68"/>
    </row>
    <row r="1971" spans="1:14" x14ac:dyDescent="0.25">
      <c r="A1971" s="68" t="s">
        <v>346</v>
      </c>
      <c r="B1971" s="68" t="s">
        <v>193</v>
      </c>
      <c r="C1971" s="68" t="s">
        <v>212</v>
      </c>
      <c r="D1971" s="68" t="s">
        <v>350</v>
      </c>
      <c r="E1971" s="68">
        <v>2</v>
      </c>
      <c r="F1971" s="68">
        <v>16</v>
      </c>
      <c r="G1971" s="68">
        <v>110</v>
      </c>
      <c r="H1971" s="68">
        <v>16</v>
      </c>
      <c r="I1971" s="68">
        <v>191</v>
      </c>
      <c r="J1971" s="68"/>
      <c r="K1971" s="68"/>
      <c r="L1971" s="68"/>
      <c r="M1971" s="68"/>
      <c r="N1971" s="68"/>
    </row>
    <row r="1972" spans="1:14" x14ac:dyDescent="0.25">
      <c r="A1972" s="68" t="s">
        <v>346</v>
      </c>
      <c r="B1972" s="68" t="s">
        <v>193</v>
      </c>
      <c r="C1972" s="68" t="s">
        <v>212</v>
      </c>
      <c r="D1972" s="68" t="s">
        <v>350</v>
      </c>
      <c r="E1972" s="68">
        <v>2</v>
      </c>
      <c r="F1972" s="68">
        <v>16</v>
      </c>
      <c r="G1972" s="68">
        <v>100</v>
      </c>
      <c r="H1972" s="68">
        <v>16</v>
      </c>
      <c r="I1972" s="68">
        <v>191</v>
      </c>
      <c r="J1972" s="68"/>
      <c r="K1972" s="68"/>
      <c r="L1972" s="68"/>
      <c r="M1972" s="68"/>
      <c r="N1972" s="68"/>
    </row>
    <row r="1973" spans="1:14" x14ac:dyDescent="0.25">
      <c r="A1973" s="68" t="s">
        <v>346</v>
      </c>
      <c r="B1973" s="68" t="s">
        <v>193</v>
      </c>
      <c r="C1973" s="68" t="s">
        <v>212</v>
      </c>
      <c r="D1973" s="68" t="s">
        <v>350</v>
      </c>
      <c r="E1973" s="68">
        <v>2</v>
      </c>
      <c r="F1973" s="68">
        <v>16</v>
      </c>
      <c r="G1973" s="68">
        <v>80</v>
      </c>
      <c r="H1973" s="68">
        <v>16</v>
      </c>
      <c r="I1973" s="68">
        <v>191</v>
      </c>
      <c r="J1973" s="68"/>
      <c r="K1973" s="68"/>
      <c r="L1973" s="68"/>
      <c r="M1973" s="68"/>
      <c r="N1973" s="68"/>
    </row>
    <row r="1974" spans="1:14" x14ac:dyDescent="0.25">
      <c r="A1974" s="68" t="s">
        <v>346</v>
      </c>
      <c r="B1974" s="68" t="s">
        <v>193</v>
      </c>
      <c r="C1974" s="68" t="s">
        <v>212</v>
      </c>
      <c r="D1974" s="68" t="s">
        <v>351</v>
      </c>
      <c r="E1974" s="68">
        <v>2</v>
      </c>
      <c r="F1974" s="68">
        <v>12</v>
      </c>
      <c r="G1974" s="68">
        <v>1000</v>
      </c>
      <c r="H1974" s="68">
        <v>12</v>
      </c>
      <c r="I1974" s="68">
        <v>69.099999999999994</v>
      </c>
      <c r="J1974" s="68"/>
      <c r="K1974" s="68"/>
      <c r="L1974" s="68"/>
      <c r="M1974" s="68"/>
      <c r="N1974" s="68"/>
    </row>
    <row r="1975" spans="1:14" x14ac:dyDescent="0.25">
      <c r="A1975" s="68" t="s">
        <v>346</v>
      </c>
      <c r="B1975" s="68" t="s">
        <v>193</v>
      </c>
      <c r="C1975" s="68" t="s">
        <v>212</v>
      </c>
      <c r="D1975" s="68" t="s">
        <v>351</v>
      </c>
      <c r="E1975" s="68">
        <v>2</v>
      </c>
      <c r="F1975" s="68">
        <v>12</v>
      </c>
      <c r="G1975" s="68">
        <v>340</v>
      </c>
      <c r="H1975" s="68">
        <v>12</v>
      </c>
      <c r="I1975" s="68">
        <v>69.099999999999994</v>
      </c>
      <c r="J1975" s="68"/>
      <c r="K1975" s="68"/>
      <c r="L1975" s="68"/>
      <c r="M1975" s="68"/>
      <c r="N1975" s="68"/>
    </row>
    <row r="1976" spans="1:14" x14ac:dyDescent="0.25">
      <c r="A1976" s="68" t="s">
        <v>346</v>
      </c>
      <c r="B1976" s="68" t="s">
        <v>193</v>
      </c>
      <c r="C1976" s="68" t="s">
        <v>212</v>
      </c>
      <c r="D1976" s="68" t="s">
        <v>351</v>
      </c>
      <c r="E1976" s="68">
        <v>2</v>
      </c>
      <c r="F1976" s="68">
        <v>12</v>
      </c>
      <c r="G1976" s="68">
        <v>320</v>
      </c>
      <c r="H1976" s="68">
        <v>12</v>
      </c>
      <c r="I1976" s="68">
        <v>69.099999999999994</v>
      </c>
      <c r="J1976" s="68"/>
      <c r="K1976" s="68"/>
      <c r="L1976" s="68"/>
      <c r="M1976" s="68"/>
      <c r="N1976" s="68"/>
    </row>
    <row r="1977" spans="1:14" x14ac:dyDescent="0.25">
      <c r="A1977" s="68" t="s">
        <v>346</v>
      </c>
      <c r="B1977" s="68" t="s">
        <v>193</v>
      </c>
      <c r="C1977" s="68" t="s">
        <v>212</v>
      </c>
      <c r="D1977" s="68" t="s">
        <v>351</v>
      </c>
      <c r="E1977" s="68">
        <v>2</v>
      </c>
      <c r="F1977" s="68">
        <v>12</v>
      </c>
      <c r="G1977" s="68">
        <v>280</v>
      </c>
      <c r="H1977" s="68">
        <v>12</v>
      </c>
      <c r="I1977" s="68">
        <v>69.099999999999994</v>
      </c>
      <c r="J1977" s="68"/>
      <c r="K1977" s="68"/>
      <c r="L1977" s="68"/>
      <c r="M1977" s="68"/>
      <c r="N1977" s="68"/>
    </row>
    <row r="1978" spans="1:14" x14ac:dyDescent="0.25">
      <c r="A1978" s="68" t="s">
        <v>346</v>
      </c>
      <c r="B1978" s="68" t="s">
        <v>193</v>
      </c>
      <c r="C1978" s="68" t="s">
        <v>212</v>
      </c>
      <c r="D1978" s="68" t="s">
        <v>351</v>
      </c>
      <c r="E1978" s="68">
        <v>2</v>
      </c>
      <c r="F1978" s="68">
        <v>12</v>
      </c>
      <c r="G1978" s="68">
        <v>260</v>
      </c>
      <c r="H1978" s="68">
        <v>12</v>
      </c>
      <c r="I1978" s="68">
        <v>69.099999999999994</v>
      </c>
      <c r="J1978" s="68"/>
      <c r="K1978" s="68"/>
      <c r="L1978" s="68"/>
      <c r="M1978" s="68"/>
      <c r="N1978" s="68"/>
    </row>
    <row r="1979" spans="1:14" x14ac:dyDescent="0.25">
      <c r="A1979" s="68" t="s">
        <v>346</v>
      </c>
      <c r="B1979" s="68" t="s">
        <v>193</v>
      </c>
      <c r="C1979" s="68" t="s">
        <v>212</v>
      </c>
      <c r="D1979" s="68" t="s">
        <v>351</v>
      </c>
      <c r="E1979" s="68">
        <v>2</v>
      </c>
      <c r="F1979" s="68">
        <v>12</v>
      </c>
      <c r="G1979" s="68">
        <v>240</v>
      </c>
      <c r="H1979" s="68">
        <v>12</v>
      </c>
      <c r="I1979" s="68">
        <v>69.099999999999994</v>
      </c>
      <c r="J1979" s="68"/>
      <c r="K1979" s="68"/>
      <c r="L1979" s="68"/>
      <c r="M1979" s="68"/>
      <c r="N1979" s="68"/>
    </row>
    <row r="1980" spans="1:14" x14ac:dyDescent="0.25">
      <c r="A1980" s="68" t="s">
        <v>346</v>
      </c>
      <c r="B1980" s="68" t="s">
        <v>193</v>
      </c>
      <c r="C1980" s="68" t="s">
        <v>212</v>
      </c>
      <c r="D1980" s="68" t="s">
        <v>351</v>
      </c>
      <c r="E1980" s="68">
        <v>2</v>
      </c>
      <c r="F1980" s="68">
        <v>12</v>
      </c>
      <c r="G1980" s="68">
        <v>220</v>
      </c>
      <c r="H1980" s="68">
        <v>12</v>
      </c>
      <c r="I1980" s="68">
        <v>69.099999999999994</v>
      </c>
      <c r="J1980" s="68"/>
      <c r="K1980" s="68"/>
      <c r="L1980" s="68"/>
      <c r="M1980" s="68"/>
      <c r="N1980" s="68"/>
    </row>
    <row r="1981" spans="1:14" x14ac:dyDescent="0.25">
      <c r="A1981" s="68" t="s">
        <v>346</v>
      </c>
      <c r="B1981" s="68" t="s">
        <v>193</v>
      </c>
      <c r="C1981" s="68" t="s">
        <v>212</v>
      </c>
      <c r="D1981" s="68" t="s">
        <v>351</v>
      </c>
      <c r="E1981" s="68">
        <v>2</v>
      </c>
      <c r="F1981" s="68">
        <v>12</v>
      </c>
      <c r="G1981" s="68">
        <v>200</v>
      </c>
      <c r="H1981" s="68">
        <v>12</v>
      </c>
      <c r="I1981" s="68">
        <v>69.099999999999994</v>
      </c>
      <c r="J1981" s="68"/>
      <c r="K1981" s="68"/>
      <c r="L1981" s="68"/>
      <c r="M1981" s="68"/>
      <c r="N1981" s="68"/>
    </row>
    <row r="1982" spans="1:14" x14ac:dyDescent="0.25">
      <c r="A1982" s="68" t="s">
        <v>346</v>
      </c>
      <c r="B1982" s="68" t="s">
        <v>193</v>
      </c>
      <c r="C1982" s="68" t="s">
        <v>212</v>
      </c>
      <c r="D1982" s="68" t="s">
        <v>351</v>
      </c>
      <c r="E1982" s="68">
        <v>2</v>
      </c>
      <c r="F1982" s="68">
        <v>12</v>
      </c>
      <c r="G1982" s="68">
        <v>180</v>
      </c>
      <c r="H1982" s="68">
        <v>12</v>
      </c>
      <c r="I1982" s="68">
        <v>69.099999999999994</v>
      </c>
      <c r="J1982" s="68"/>
      <c r="K1982" s="68"/>
      <c r="L1982" s="68"/>
      <c r="M1982" s="68"/>
      <c r="N1982" s="68"/>
    </row>
    <row r="1983" spans="1:14" x14ac:dyDescent="0.25">
      <c r="A1983" s="68" t="s">
        <v>346</v>
      </c>
      <c r="B1983" s="68" t="s">
        <v>193</v>
      </c>
      <c r="C1983" s="68" t="s">
        <v>212</v>
      </c>
      <c r="D1983" s="68" t="s">
        <v>351</v>
      </c>
      <c r="E1983" s="68">
        <v>2</v>
      </c>
      <c r="F1983" s="68">
        <v>12</v>
      </c>
      <c r="G1983" s="68">
        <v>170</v>
      </c>
      <c r="H1983" s="68">
        <v>12</v>
      </c>
      <c r="I1983" s="68">
        <v>69.099999999999994</v>
      </c>
      <c r="J1983" s="68"/>
      <c r="K1983" s="68"/>
      <c r="L1983" s="68"/>
      <c r="M1983" s="68"/>
      <c r="N1983" s="68"/>
    </row>
    <row r="1984" spans="1:14" x14ac:dyDescent="0.25">
      <c r="A1984" s="68" t="s">
        <v>346</v>
      </c>
      <c r="B1984" s="68" t="s">
        <v>193</v>
      </c>
      <c r="C1984" s="68" t="s">
        <v>212</v>
      </c>
      <c r="D1984" s="68" t="s">
        <v>351</v>
      </c>
      <c r="E1984" s="68">
        <v>2</v>
      </c>
      <c r="F1984" s="68">
        <v>12</v>
      </c>
      <c r="G1984" s="68">
        <v>160</v>
      </c>
      <c r="H1984" s="68">
        <v>12</v>
      </c>
      <c r="I1984" s="68">
        <v>69.099999999999994</v>
      </c>
      <c r="J1984" s="68"/>
      <c r="K1984" s="68"/>
      <c r="L1984" s="68"/>
      <c r="M1984" s="68"/>
      <c r="N1984" s="68"/>
    </row>
    <row r="1985" spans="1:16" x14ac:dyDescent="0.25">
      <c r="A1985" s="68" t="s">
        <v>346</v>
      </c>
      <c r="B1985" s="68" t="s">
        <v>193</v>
      </c>
      <c r="C1985" s="68" t="s">
        <v>212</v>
      </c>
      <c r="D1985" s="68" t="s">
        <v>351</v>
      </c>
      <c r="E1985" s="68">
        <v>2</v>
      </c>
      <c r="F1985" s="68">
        <v>12</v>
      </c>
      <c r="G1985" s="68">
        <v>150</v>
      </c>
      <c r="H1985" s="68">
        <v>12</v>
      </c>
      <c r="I1985" s="68">
        <v>69.099999999999994</v>
      </c>
      <c r="J1985" s="68"/>
      <c r="K1985" s="68"/>
      <c r="L1985" s="68"/>
      <c r="M1985" s="68"/>
      <c r="N1985" s="68"/>
    </row>
    <row r="1986" spans="1:16" x14ac:dyDescent="0.25">
      <c r="A1986" s="68" t="s">
        <v>346</v>
      </c>
      <c r="B1986" s="68" t="s">
        <v>193</v>
      </c>
      <c r="C1986" s="68" t="s">
        <v>212</v>
      </c>
      <c r="D1986" s="68" t="s">
        <v>351</v>
      </c>
      <c r="E1986" s="68">
        <v>2</v>
      </c>
      <c r="F1986" s="68">
        <v>12</v>
      </c>
      <c r="G1986" s="68">
        <v>140</v>
      </c>
      <c r="H1986" s="68">
        <v>12</v>
      </c>
      <c r="I1986" s="68">
        <v>69.099999999999994</v>
      </c>
      <c r="J1986" s="68"/>
      <c r="K1986" s="68"/>
      <c r="L1986" s="68"/>
      <c r="M1986" s="68"/>
      <c r="N1986" s="68"/>
    </row>
    <row r="1987" spans="1:16" x14ac:dyDescent="0.25">
      <c r="A1987" s="68" t="s">
        <v>346</v>
      </c>
      <c r="B1987" s="68" t="s">
        <v>193</v>
      </c>
      <c r="C1987" s="68" t="s">
        <v>212</v>
      </c>
      <c r="D1987" s="68" t="s">
        <v>351</v>
      </c>
      <c r="E1987" s="68">
        <v>2</v>
      </c>
      <c r="F1987" s="68">
        <v>12</v>
      </c>
      <c r="G1987" s="68">
        <v>130</v>
      </c>
      <c r="H1987" s="68">
        <v>12</v>
      </c>
      <c r="I1987" s="68">
        <v>69.099999999999994</v>
      </c>
      <c r="J1987" s="68"/>
      <c r="K1987" s="68"/>
      <c r="L1987" s="68"/>
      <c r="M1987" s="68"/>
      <c r="N1987" s="68"/>
    </row>
    <row r="1988" spans="1:16" x14ac:dyDescent="0.25">
      <c r="A1988" s="68" t="s">
        <v>346</v>
      </c>
      <c r="B1988" s="68" t="s">
        <v>193</v>
      </c>
      <c r="C1988" s="68" t="s">
        <v>212</v>
      </c>
      <c r="D1988" s="68" t="s">
        <v>351</v>
      </c>
      <c r="E1988" s="68">
        <v>2</v>
      </c>
      <c r="F1988" s="68">
        <v>12</v>
      </c>
      <c r="G1988" s="68">
        <v>120</v>
      </c>
      <c r="H1988" s="68">
        <v>12</v>
      </c>
      <c r="I1988" s="68">
        <v>69.099999999999994</v>
      </c>
      <c r="J1988" s="68"/>
      <c r="K1988" s="68"/>
      <c r="L1988" s="68"/>
      <c r="M1988" s="68"/>
      <c r="N1988" s="68"/>
    </row>
    <row r="1989" spans="1:16" x14ac:dyDescent="0.25">
      <c r="A1989" s="68" t="s">
        <v>346</v>
      </c>
      <c r="B1989" s="68" t="s">
        <v>193</v>
      </c>
      <c r="C1989" s="68" t="s">
        <v>212</v>
      </c>
      <c r="D1989" s="68" t="s">
        <v>351</v>
      </c>
      <c r="E1989" s="68">
        <v>2</v>
      </c>
      <c r="F1989" s="68">
        <v>12</v>
      </c>
      <c r="G1989" s="68">
        <v>110</v>
      </c>
      <c r="H1989" s="68">
        <v>12</v>
      </c>
      <c r="I1989" s="68">
        <v>69.099999999999994</v>
      </c>
      <c r="J1989" s="68"/>
      <c r="K1989" s="68"/>
      <c r="L1989" s="68"/>
      <c r="M1989" s="68"/>
      <c r="N1989" s="68"/>
    </row>
    <row r="1990" spans="1:16" x14ac:dyDescent="0.25">
      <c r="A1990" s="68" t="s">
        <v>346</v>
      </c>
      <c r="B1990" s="68" t="s">
        <v>193</v>
      </c>
      <c r="C1990" s="68" t="s">
        <v>212</v>
      </c>
      <c r="D1990" s="68" t="s">
        <v>351</v>
      </c>
      <c r="E1990" s="68">
        <v>2</v>
      </c>
      <c r="F1990" s="68">
        <v>12</v>
      </c>
      <c r="G1990" s="68">
        <v>100</v>
      </c>
      <c r="H1990" s="68">
        <v>12</v>
      </c>
      <c r="I1990" s="68">
        <v>69.099999999999994</v>
      </c>
      <c r="J1990" s="68"/>
      <c r="K1990" s="68"/>
      <c r="L1990" s="68"/>
      <c r="M1990" s="68"/>
      <c r="N1990" s="68"/>
    </row>
    <row r="1991" spans="1:16" x14ac:dyDescent="0.25">
      <c r="A1991" s="68" t="s">
        <v>346</v>
      </c>
      <c r="B1991" s="68" t="s">
        <v>193</v>
      </c>
      <c r="C1991" s="68" t="s">
        <v>212</v>
      </c>
      <c r="D1991" s="68" t="s">
        <v>351</v>
      </c>
      <c r="E1991" s="68">
        <v>2</v>
      </c>
      <c r="F1991" s="68">
        <v>12</v>
      </c>
      <c r="G1991" s="68">
        <v>90</v>
      </c>
      <c r="H1991" s="68">
        <v>12</v>
      </c>
      <c r="I1991" s="68">
        <v>69.099999999999994</v>
      </c>
      <c r="J1991" s="68"/>
      <c r="K1991" s="68"/>
      <c r="L1991" s="68"/>
      <c r="M1991" s="68"/>
      <c r="N1991" s="68"/>
    </row>
    <row r="1992" spans="1:16" x14ac:dyDescent="0.25">
      <c r="A1992" s="68" t="s">
        <v>346</v>
      </c>
      <c r="B1992" s="68" t="s">
        <v>193</v>
      </c>
      <c r="C1992" s="68" t="s">
        <v>212</v>
      </c>
      <c r="D1992" s="68" t="s">
        <v>351</v>
      </c>
      <c r="E1992" s="68">
        <v>2</v>
      </c>
      <c r="F1992" s="68">
        <v>12</v>
      </c>
      <c r="G1992" s="68">
        <v>80</v>
      </c>
      <c r="H1992" s="68">
        <v>12</v>
      </c>
      <c r="I1992" s="68">
        <v>69.099999999999994</v>
      </c>
      <c r="J1992" s="68"/>
      <c r="K1992" s="68"/>
      <c r="L1992" s="68"/>
      <c r="M1992" s="68"/>
      <c r="N1992" s="68"/>
    </row>
    <row r="1993" spans="1:16" x14ac:dyDescent="0.25">
      <c r="A1993" s="68" t="s">
        <v>346</v>
      </c>
      <c r="B1993" s="68" t="s">
        <v>193</v>
      </c>
      <c r="C1993" s="68" t="s">
        <v>212</v>
      </c>
      <c r="D1993" s="68" t="s">
        <v>351</v>
      </c>
      <c r="E1993" s="68">
        <v>2</v>
      </c>
      <c r="F1993" s="68">
        <v>12</v>
      </c>
      <c r="G1993" s="68">
        <v>70</v>
      </c>
      <c r="H1993" s="68">
        <v>12</v>
      </c>
      <c r="I1993" s="68">
        <v>69.099999999999994</v>
      </c>
      <c r="J1993" s="68"/>
      <c r="K1993" s="68"/>
      <c r="L1993" s="68"/>
      <c r="M1993" s="68"/>
      <c r="N1993" s="68"/>
    </row>
    <row r="1994" spans="1:16" x14ac:dyDescent="0.25">
      <c r="A1994" s="68" t="s">
        <v>346</v>
      </c>
      <c r="B1994" s="68" t="s">
        <v>193</v>
      </c>
      <c r="C1994" s="68" t="s">
        <v>212</v>
      </c>
      <c r="D1994" s="68" t="s">
        <v>351</v>
      </c>
      <c r="E1994" s="68">
        <v>2</v>
      </c>
      <c r="F1994" s="68">
        <v>12</v>
      </c>
      <c r="G1994" s="68">
        <v>60</v>
      </c>
      <c r="H1994" s="68">
        <v>12</v>
      </c>
      <c r="I1994" s="68">
        <v>69.099999999999994</v>
      </c>
      <c r="J1994" s="68"/>
      <c r="K1994" s="68"/>
      <c r="L1994" s="68"/>
      <c r="M1994" s="68"/>
      <c r="N1994" s="68"/>
    </row>
    <row r="1995" spans="1:16" x14ac:dyDescent="0.25">
      <c r="A1995" s="68" t="s">
        <v>346</v>
      </c>
      <c r="B1995" s="68" t="s">
        <v>193</v>
      </c>
      <c r="C1995" s="68" t="s">
        <v>212</v>
      </c>
      <c r="D1995" s="68" t="s">
        <v>351</v>
      </c>
      <c r="E1995" s="68">
        <v>2</v>
      </c>
      <c r="F1995" s="68">
        <v>8</v>
      </c>
      <c r="G1995" s="68">
        <v>140</v>
      </c>
      <c r="H1995" s="68">
        <v>8</v>
      </c>
      <c r="I1995" s="68">
        <v>24.1</v>
      </c>
      <c r="J1995" s="68"/>
      <c r="K1995" s="68"/>
      <c r="L1995" s="68"/>
      <c r="M1995" s="68"/>
      <c r="N1995" s="68"/>
    </row>
    <row r="1996" spans="1:16" x14ac:dyDescent="0.25">
      <c r="A1996" s="68" t="s">
        <v>346</v>
      </c>
      <c r="B1996" s="68" t="s">
        <v>193</v>
      </c>
      <c r="C1996" s="68" t="s">
        <v>212</v>
      </c>
      <c r="D1996" s="68" t="s">
        <v>351</v>
      </c>
      <c r="E1996" s="68">
        <v>2</v>
      </c>
      <c r="F1996" s="68">
        <v>8</v>
      </c>
      <c r="G1996" s="68">
        <v>120</v>
      </c>
      <c r="H1996" s="68">
        <v>8</v>
      </c>
      <c r="I1996" s="68">
        <v>24.1</v>
      </c>
      <c r="J1996" s="68"/>
      <c r="K1996" s="68"/>
      <c r="L1996" s="68"/>
      <c r="M1996" s="68"/>
      <c r="N1996" s="68"/>
    </row>
    <row r="1997" spans="1:16" x14ac:dyDescent="0.25">
      <c r="A1997" s="68" t="s">
        <v>346</v>
      </c>
      <c r="B1997" s="68" t="s">
        <v>193</v>
      </c>
      <c r="C1997" s="68" t="s">
        <v>212</v>
      </c>
      <c r="D1997" s="68" t="s">
        <v>351</v>
      </c>
      <c r="E1997" s="68">
        <v>2</v>
      </c>
      <c r="F1997" s="68">
        <v>8</v>
      </c>
      <c r="G1997" s="68">
        <v>100</v>
      </c>
      <c r="H1997" s="68">
        <v>8</v>
      </c>
      <c r="I1997" s="68">
        <v>24.1</v>
      </c>
      <c r="J1997" s="68"/>
      <c r="K1997" s="68"/>
      <c r="L1997" s="68"/>
      <c r="M1997" s="68"/>
      <c r="N1997" s="68"/>
    </row>
    <row r="1998" spans="1:16" x14ac:dyDescent="0.25">
      <c r="A1998" s="68" t="s">
        <v>346</v>
      </c>
      <c r="B1998" s="68" t="s">
        <v>193</v>
      </c>
      <c r="C1998" s="68" t="s">
        <v>212</v>
      </c>
      <c r="D1998" s="68" t="s">
        <v>351</v>
      </c>
      <c r="E1998" s="68">
        <v>2</v>
      </c>
      <c r="F1998" s="68">
        <v>8</v>
      </c>
      <c r="G1998" s="68">
        <v>80</v>
      </c>
      <c r="H1998" s="68">
        <v>8</v>
      </c>
      <c r="I1998" s="68">
        <v>24.1</v>
      </c>
      <c r="J1998" s="68"/>
      <c r="K1998" s="68"/>
      <c r="L1998" s="68"/>
      <c r="M1998" s="68"/>
      <c r="N1998" s="68"/>
    </row>
    <row r="1999" spans="1:16" x14ac:dyDescent="0.25">
      <c r="A1999" s="68" t="s">
        <v>346</v>
      </c>
      <c r="B1999" s="68" t="s">
        <v>193</v>
      </c>
      <c r="C1999" s="68" t="s">
        <v>212</v>
      </c>
      <c r="D1999" s="68" t="s">
        <v>351</v>
      </c>
      <c r="E1999" s="68">
        <v>2</v>
      </c>
      <c r="F1999" s="68">
        <v>8</v>
      </c>
      <c r="G1999" s="68">
        <v>60</v>
      </c>
      <c r="H1999" s="68">
        <v>8</v>
      </c>
      <c r="I1999" s="68">
        <v>24.1</v>
      </c>
      <c r="J1999" s="68"/>
      <c r="K1999" s="68"/>
      <c r="L1999" s="68"/>
      <c r="M1999" s="68"/>
      <c r="N1999" s="68"/>
    </row>
    <row r="2000" spans="1:16" x14ac:dyDescent="0.25">
      <c r="A2000" s="68" t="s">
        <v>346</v>
      </c>
      <c r="B2000" s="68" t="s">
        <v>193</v>
      </c>
      <c r="C2000" s="68" t="s">
        <v>199</v>
      </c>
      <c r="D2000" s="77" t="s">
        <v>234</v>
      </c>
      <c r="E2000" s="68">
        <v>2</v>
      </c>
      <c r="F2000" s="68">
        <v>7.5</v>
      </c>
      <c r="G2000" s="68">
        <v>235</v>
      </c>
      <c r="H2000" s="68">
        <v>11</v>
      </c>
      <c r="I2000" s="68">
        <v>75</v>
      </c>
      <c r="J2000" s="68"/>
      <c r="K2000" s="68"/>
      <c r="L2000" s="68"/>
      <c r="M2000" s="68">
        <v>220</v>
      </c>
      <c r="N2000" s="68"/>
      <c r="P2000">
        <v>240</v>
      </c>
    </row>
    <row r="2001" spans="1:16" x14ac:dyDescent="0.25">
      <c r="A2001" s="68" t="s">
        <v>346</v>
      </c>
      <c r="B2001" s="68" t="s">
        <v>193</v>
      </c>
      <c r="C2001" s="68" t="s">
        <v>199</v>
      </c>
      <c r="D2001" s="77" t="s">
        <v>234</v>
      </c>
      <c r="E2001" s="68">
        <v>2</v>
      </c>
      <c r="F2001" s="68">
        <v>7.5</v>
      </c>
      <c r="G2001" s="68">
        <v>215</v>
      </c>
      <c r="H2001" s="68">
        <v>11</v>
      </c>
      <c r="I2001" s="68">
        <v>75</v>
      </c>
      <c r="J2001" s="68"/>
      <c r="K2001" s="68"/>
      <c r="L2001" s="68"/>
      <c r="M2001" s="68">
        <v>200</v>
      </c>
      <c r="N2001" s="68"/>
      <c r="P2001">
        <v>240</v>
      </c>
    </row>
    <row r="2002" spans="1:16" x14ac:dyDescent="0.25">
      <c r="A2002" s="68" t="s">
        <v>346</v>
      </c>
      <c r="B2002" s="68" t="s">
        <v>193</v>
      </c>
      <c r="C2002" s="68" t="s">
        <v>199</v>
      </c>
      <c r="D2002" s="77" t="s">
        <v>234</v>
      </c>
      <c r="E2002" s="68">
        <v>2</v>
      </c>
      <c r="F2002" s="68">
        <v>7.5</v>
      </c>
      <c r="G2002" s="68">
        <v>195</v>
      </c>
      <c r="H2002" s="68">
        <v>11</v>
      </c>
      <c r="I2002" s="68">
        <v>75</v>
      </c>
      <c r="J2002" s="68"/>
      <c r="K2002" s="68"/>
      <c r="L2002" s="68"/>
      <c r="M2002" s="68">
        <v>180</v>
      </c>
      <c r="N2002" s="68"/>
      <c r="P2002">
        <v>220</v>
      </c>
    </row>
    <row r="2003" spans="1:16" x14ac:dyDescent="0.25">
      <c r="A2003" s="68" t="s">
        <v>346</v>
      </c>
      <c r="B2003" s="68" t="s">
        <v>193</v>
      </c>
      <c r="C2003" s="68" t="s">
        <v>199</v>
      </c>
      <c r="D2003" s="77" t="s">
        <v>234</v>
      </c>
      <c r="E2003" s="68">
        <v>2</v>
      </c>
      <c r="F2003" s="68">
        <v>7.5</v>
      </c>
      <c r="G2003" s="68">
        <v>175</v>
      </c>
      <c r="H2003" s="68">
        <v>11</v>
      </c>
      <c r="I2003" s="68">
        <v>75</v>
      </c>
      <c r="J2003" s="68"/>
      <c r="K2003" s="68"/>
      <c r="L2003" s="68"/>
      <c r="M2003" s="68">
        <v>160</v>
      </c>
      <c r="N2003" s="68"/>
      <c r="P2003">
        <v>200</v>
      </c>
    </row>
    <row r="2004" spans="1:16" x14ac:dyDescent="0.25">
      <c r="A2004" s="68" t="s">
        <v>346</v>
      </c>
      <c r="B2004" s="68" t="s">
        <v>193</v>
      </c>
      <c r="C2004" s="68" t="s">
        <v>199</v>
      </c>
      <c r="D2004" s="77" t="s">
        <v>234</v>
      </c>
      <c r="E2004" s="68">
        <v>2</v>
      </c>
      <c r="F2004" s="68">
        <v>7.5</v>
      </c>
      <c r="G2004" s="68">
        <v>155</v>
      </c>
      <c r="H2004" s="68">
        <v>11</v>
      </c>
      <c r="I2004" s="68">
        <v>75</v>
      </c>
      <c r="J2004" s="68"/>
      <c r="K2004" s="68"/>
      <c r="L2004" s="68"/>
      <c r="M2004" s="68">
        <v>140</v>
      </c>
      <c r="N2004" s="68"/>
      <c r="P2004">
        <v>180</v>
      </c>
    </row>
    <row r="2005" spans="1:16" x14ac:dyDescent="0.25">
      <c r="A2005" s="68" t="s">
        <v>346</v>
      </c>
      <c r="B2005" s="68" t="s">
        <v>193</v>
      </c>
      <c r="C2005" s="68" t="s">
        <v>199</v>
      </c>
      <c r="D2005" s="77" t="s">
        <v>234</v>
      </c>
      <c r="E2005" s="68">
        <v>2</v>
      </c>
      <c r="F2005" s="68">
        <v>7.5</v>
      </c>
      <c r="G2005" s="68">
        <v>135</v>
      </c>
      <c r="H2005" s="68">
        <v>11</v>
      </c>
      <c r="I2005" s="68">
        <v>75</v>
      </c>
      <c r="J2005" s="68"/>
      <c r="K2005" s="68"/>
      <c r="L2005" s="68"/>
      <c r="M2005" s="68">
        <v>120</v>
      </c>
      <c r="N2005" s="68"/>
      <c r="P2005">
        <v>160</v>
      </c>
    </row>
    <row r="2006" spans="1:16" x14ac:dyDescent="0.25">
      <c r="A2006" s="68" t="s">
        <v>346</v>
      </c>
      <c r="B2006" s="68" t="s">
        <v>193</v>
      </c>
      <c r="C2006" s="68" t="s">
        <v>199</v>
      </c>
      <c r="D2006" s="77" t="s">
        <v>234</v>
      </c>
      <c r="E2006" s="68">
        <v>2</v>
      </c>
      <c r="F2006" s="68">
        <v>7.5</v>
      </c>
      <c r="G2006" s="68">
        <v>115</v>
      </c>
      <c r="H2006" s="68">
        <v>11</v>
      </c>
      <c r="I2006" s="68">
        <v>75</v>
      </c>
      <c r="J2006" s="68"/>
      <c r="K2006" s="68"/>
      <c r="L2006" s="68"/>
      <c r="M2006" s="68">
        <v>100</v>
      </c>
      <c r="N2006" s="68"/>
      <c r="P2006">
        <v>140</v>
      </c>
    </row>
    <row r="2007" spans="1:16" x14ac:dyDescent="0.25">
      <c r="A2007" s="68" t="s">
        <v>346</v>
      </c>
      <c r="B2007" s="68" t="s">
        <v>193</v>
      </c>
      <c r="C2007" s="68" t="s">
        <v>199</v>
      </c>
      <c r="D2007" s="77" t="s">
        <v>234</v>
      </c>
      <c r="E2007" s="68">
        <v>2</v>
      </c>
      <c r="F2007" s="68">
        <v>7.5</v>
      </c>
      <c r="G2007" s="68">
        <v>95</v>
      </c>
      <c r="H2007" s="68">
        <v>11</v>
      </c>
      <c r="I2007" s="68">
        <v>75</v>
      </c>
      <c r="J2007" s="68"/>
      <c r="K2007" s="68"/>
      <c r="L2007" s="68"/>
      <c r="M2007" s="68">
        <v>80</v>
      </c>
      <c r="N2007" s="68"/>
      <c r="P2007">
        <v>120</v>
      </c>
    </row>
    <row r="2008" spans="1:16" x14ac:dyDescent="0.25">
      <c r="A2008" s="68" t="s">
        <v>346</v>
      </c>
      <c r="B2008" s="68" t="s">
        <v>193</v>
      </c>
      <c r="C2008" s="68" t="s">
        <v>349</v>
      </c>
      <c r="D2008" s="77" t="s">
        <v>234</v>
      </c>
      <c r="E2008" s="68">
        <v>2</v>
      </c>
      <c r="F2008" s="68">
        <v>7.5</v>
      </c>
      <c r="G2008" s="68">
        <v>75</v>
      </c>
      <c r="H2008" s="68">
        <v>11</v>
      </c>
      <c r="I2008" s="68">
        <v>42</v>
      </c>
      <c r="J2008" s="68"/>
      <c r="K2008" s="68"/>
      <c r="L2008" s="68"/>
      <c r="M2008" s="68">
        <v>67</v>
      </c>
      <c r="N2008" s="68"/>
      <c r="P2008">
        <v>100</v>
      </c>
    </row>
    <row r="2009" spans="1:16" x14ac:dyDescent="0.25">
      <c r="A2009" s="68" t="s">
        <v>346</v>
      </c>
      <c r="B2009" s="68" t="s">
        <v>193</v>
      </c>
      <c r="C2009" s="68" t="s">
        <v>349</v>
      </c>
      <c r="D2009" s="77" t="s">
        <v>234</v>
      </c>
      <c r="E2009" s="68">
        <v>2</v>
      </c>
      <c r="F2009" s="68">
        <v>7.5</v>
      </c>
      <c r="G2009" s="68">
        <v>55</v>
      </c>
      <c r="H2009" s="68">
        <v>11</v>
      </c>
      <c r="I2009" s="68">
        <v>42</v>
      </c>
      <c r="J2009" s="68"/>
      <c r="K2009" s="68"/>
      <c r="L2009" s="68"/>
      <c r="M2009" s="68">
        <v>47</v>
      </c>
      <c r="N2009" s="68"/>
      <c r="P2009">
        <v>80</v>
      </c>
    </row>
    <row r="2010" spans="1:16" x14ac:dyDescent="0.25">
      <c r="A2010" s="68" t="s">
        <v>346</v>
      </c>
      <c r="B2010" s="68" t="s">
        <v>352</v>
      </c>
      <c r="C2010" s="68" t="s">
        <v>353</v>
      </c>
      <c r="D2010" s="68" t="s">
        <v>411</v>
      </c>
      <c r="E2010" s="68">
        <v>3</v>
      </c>
      <c r="F2010" s="68">
        <v>8</v>
      </c>
      <c r="G2010" s="68">
        <v>1000</v>
      </c>
      <c r="H2010" s="68">
        <v>8</v>
      </c>
      <c r="I2010" s="69">
        <f>0.3*520*F2010^2.6/1000</f>
        <v>34.766307295794007</v>
      </c>
      <c r="J2010" s="68"/>
      <c r="K2010" s="68"/>
      <c r="L2010" s="68"/>
      <c r="M2010" s="68"/>
      <c r="N2010" s="68"/>
    </row>
    <row r="2011" spans="1:16" x14ac:dyDescent="0.25">
      <c r="A2011" s="68" t="s">
        <v>346</v>
      </c>
      <c r="B2011" s="68" t="s">
        <v>352</v>
      </c>
      <c r="C2011" s="68" t="s">
        <v>353</v>
      </c>
      <c r="D2011" s="68" t="s">
        <v>411</v>
      </c>
      <c r="E2011" s="68">
        <v>3</v>
      </c>
      <c r="F2011" s="68">
        <v>10</v>
      </c>
      <c r="G2011" s="68">
        <v>1000</v>
      </c>
      <c r="H2011" s="68">
        <v>10</v>
      </c>
      <c r="I2011" s="69">
        <f t="shared" ref="I2011:I2022" si="0">0.3*520*F2011^2.6/1000</f>
        <v>62.104718606345628</v>
      </c>
      <c r="J2011" s="68"/>
      <c r="K2011" s="68"/>
      <c r="L2011" s="68"/>
      <c r="M2011" s="68"/>
      <c r="N2011" s="68"/>
    </row>
    <row r="2012" spans="1:16" x14ac:dyDescent="0.25">
      <c r="A2012" s="68" t="s">
        <v>346</v>
      </c>
      <c r="B2012" s="68" t="s">
        <v>352</v>
      </c>
      <c r="C2012" s="68" t="s">
        <v>353</v>
      </c>
      <c r="D2012" s="68" t="s">
        <v>411</v>
      </c>
      <c r="E2012" s="68">
        <v>3</v>
      </c>
      <c r="F2012" s="68">
        <v>12</v>
      </c>
      <c r="G2012" s="68">
        <v>1000</v>
      </c>
      <c r="H2012" s="68">
        <v>12</v>
      </c>
      <c r="I2012" s="69">
        <f t="shared" si="0"/>
        <v>99.769050273016987</v>
      </c>
      <c r="J2012" s="68"/>
      <c r="K2012" s="68"/>
      <c r="L2012" s="68"/>
      <c r="M2012" s="68"/>
      <c r="N2012" s="68"/>
    </row>
    <row r="2013" spans="1:16" x14ac:dyDescent="0.25">
      <c r="A2013" s="68" t="s">
        <v>346</v>
      </c>
      <c r="B2013" s="68" t="s">
        <v>352</v>
      </c>
      <c r="C2013" s="68" t="s">
        <v>353</v>
      </c>
      <c r="D2013" s="68" t="s">
        <v>411</v>
      </c>
      <c r="E2013" s="68">
        <v>3</v>
      </c>
      <c r="F2013" s="68">
        <v>16</v>
      </c>
      <c r="G2013" s="68">
        <v>1000</v>
      </c>
      <c r="H2013" s="68">
        <v>16</v>
      </c>
      <c r="I2013" s="69">
        <f t="shared" si="0"/>
        <v>210.78347169850522</v>
      </c>
      <c r="J2013" s="68"/>
      <c r="K2013" s="68"/>
      <c r="L2013" s="68"/>
      <c r="M2013" s="68"/>
      <c r="N2013" s="68"/>
    </row>
    <row r="2014" spans="1:16" x14ac:dyDescent="0.25">
      <c r="A2014" s="68" t="s">
        <v>346</v>
      </c>
      <c r="B2014" s="68" t="s">
        <v>352</v>
      </c>
      <c r="C2014" s="68" t="s">
        <v>353</v>
      </c>
      <c r="D2014" s="68" t="s">
        <v>411</v>
      </c>
      <c r="E2014" s="68">
        <v>3</v>
      </c>
      <c r="F2014" s="68">
        <v>20</v>
      </c>
      <c r="G2014" s="68">
        <v>1000</v>
      </c>
      <c r="H2014" s="68">
        <v>20</v>
      </c>
      <c r="I2014" s="69">
        <f t="shared" si="0"/>
        <v>376.53260340041828</v>
      </c>
      <c r="J2014" s="68"/>
      <c r="K2014" s="68"/>
      <c r="L2014" s="68"/>
      <c r="M2014" s="68"/>
      <c r="N2014" s="68"/>
    </row>
    <row r="2015" spans="1:16" x14ac:dyDescent="0.25">
      <c r="A2015" s="68" t="s">
        <v>346</v>
      </c>
      <c r="B2015" s="68" t="s">
        <v>352</v>
      </c>
      <c r="C2015" s="68" t="s">
        <v>353</v>
      </c>
      <c r="D2015" s="68" t="s">
        <v>411</v>
      </c>
      <c r="E2015" s="68">
        <v>3</v>
      </c>
      <c r="F2015" s="68">
        <v>22</v>
      </c>
      <c r="G2015" s="68">
        <v>1000</v>
      </c>
      <c r="H2015" s="68">
        <v>22</v>
      </c>
      <c r="I2015" s="69">
        <f t="shared" si="0"/>
        <v>482.41807180760566</v>
      </c>
      <c r="J2015" s="68"/>
      <c r="K2015" s="68"/>
      <c r="L2015" s="68"/>
      <c r="M2015" s="68"/>
      <c r="N2015" s="68"/>
    </row>
    <row r="2016" spans="1:16" x14ac:dyDescent="0.25">
      <c r="A2016" s="68" t="s">
        <v>346</v>
      </c>
      <c r="B2016" s="68" t="s">
        <v>352</v>
      </c>
      <c r="C2016" s="68" t="s">
        <v>353</v>
      </c>
      <c r="D2016" s="68" t="s">
        <v>411</v>
      </c>
      <c r="E2016" s="68">
        <v>3</v>
      </c>
      <c r="F2016" s="68">
        <v>25</v>
      </c>
      <c r="G2016" s="68">
        <v>1000</v>
      </c>
      <c r="H2016" s="68">
        <v>25</v>
      </c>
      <c r="I2016" s="69">
        <f t="shared" si="0"/>
        <v>672.61820996234201</v>
      </c>
      <c r="J2016" s="68"/>
      <c r="K2016" s="68"/>
      <c r="L2016" s="68"/>
      <c r="M2016" s="68"/>
      <c r="N2016" s="68"/>
    </row>
    <row r="2017" spans="1:15" x14ac:dyDescent="0.25">
      <c r="A2017" s="68" t="s">
        <v>346</v>
      </c>
      <c r="B2017" s="68" t="s">
        <v>409</v>
      </c>
      <c r="C2017" s="68" t="s">
        <v>410</v>
      </c>
      <c r="D2017" s="68" t="s">
        <v>411</v>
      </c>
      <c r="E2017" s="68">
        <v>3</v>
      </c>
      <c r="F2017" s="68">
        <v>10</v>
      </c>
      <c r="G2017" s="68">
        <v>1000</v>
      </c>
      <c r="H2017" s="68">
        <v>10</v>
      </c>
      <c r="I2017" s="69">
        <f t="shared" si="0"/>
        <v>62.104718606345628</v>
      </c>
      <c r="J2017" s="68"/>
      <c r="K2017" s="68"/>
      <c r="L2017" s="68"/>
      <c r="M2017" s="68"/>
      <c r="N2017" s="68"/>
    </row>
    <row r="2018" spans="1:15" x14ac:dyDescent="0.25">
      <c r="A2018" s="68" t="s">
        <v>346</v>
      </c>
      <c r="B2018" s="68" t="s">
        <v>409</v>
      </c>
      <c r="C2018" s="68" t="s">
        <v>410</v>
      </c>
      <c r="D2018" s="68" t="s">
        <v>411</v>
      </c>
      <c r="E2018" s="68">
        <v>3</v>
      </c>
      <c r="F2018" s="68">
        <v>12</v>
      </c>
      <c r="G2018" s="68">
        <v>1000</v>
      </c>
      <c r="H2018" s="68">
        <v>12</v>
      </c>
      <c r="I2018" s="69">
        <f t="shared" si="0"/>
        <v>99.769050273016987</v>
      </c>
      <c r="J2018" s="68"/>
      <c r="K2018" s="68"/>
      <c r="L2018" s="68"/>
      <c r="M2018" s="68"/>
      <c r="N2018" s="68"/>
    </row>
    <row r="2019" spans="1:15" x14ac:dyDescent="0.25">
      <c r="A2019" s="68" t="s">
        <v>346</v>
      </c>
      <c r="B2019" s="68" t="s">
        <v>409</v>
      </c>
      <c r="C2019" s="68" t="s">
        <v>410</v>
      </c>
      <c r="D2019" s="68" t="s">
        <v>411</v>
      </c>
      <c r="E2019" s="68">
        <v>3</v>
      </c>
      <c r="F2019" s="68">
        <v>13</v>
      </c>
      <c r="G2019" s="68">
        <v>1000</v>
      </c>
      <c r="H2019" s="68">
        <v>13</v>
      </c>
      <c r="I2019" s="69">
        <f t="shared" si="0"/>
        <v>122.85060917783089</v>
      </c>
      <c r="J2019" s="68"/>
      <c r="K2019" s="68"/>
      <c r="L2019" s="68"/>
      <c r="M2019" s="68"/>
      <c r="N2019" s="68"/>
    </row>
    <row r="2020" spans="1:15" x14ac:dyDescent="0.25">
      <c r="A2020" s="68" t="s">
        <v>346</v>
      </c>
      <c r="B2020" s="68" t="s">
        <v>409</v>
      </c>
      <c r="C2020" s="68" t="s">
        <v>410</v>
      </c>
      <c r="D2020" s="68" t="s">
        <v>411</v>
      </c>
      <c r="E2020" s="68">
        <v>3</v>
      </c>
      <c r="F2020" s="68">
        <v>16</v>
      </c>
      <c r="G2020" s="68">
        <v>1000</v>
      </c>
      <c r="H2020" s="68">
        <v>16</v>
      </c>
      <c r="I2020" s="69">
        <f t="shared" si="0"/>
        <v>210.78347169850522</v>
      </c>
      <c r="J2020" s="68"/>
      <c r="K2020" s="68"/>
      <c r="L2020" s="68"/>
      <c r="M2020" s="68"/>
      <c r="N2020" s="68"/>
    </row>
    <row r="2021" spans="1:15" x14ac:dyDescent="0.25">
      <c r="A2021" s="68" t="s">
        <v>346</v>
      </c>
      <c r="B2021" s="68" t="s">
        <v>409</v>
      </c>
      <c r="C2021" s="68" t="s">
        <v>410</v>
      </c>
      <c r="D2021" s="68" t="s">
        <v>411</v>
      </c>
      <c r="E2021" s="68">
        <v>3</v>
      </c>
      <c r="F2021" s="68">
        <v>20</v>
      </c>
      <c r="G2021" s="68">
        <v>1000</v>
      </c>
      <c r="H2021" s="68">
        <v>20</v>
      </c>
      <c r="I2021" s="69">
        <f t="shared" si="0"/>
        <v>376.53260340041828</v>
      </c>
      <c r="J2021" s="68"/>
      <c r="K2021" s="68"/>
      <c r="L2021" s="68"/>
      <c r="M2021" s="68"/>
      <c r="N2021" s="68"/>
    </row>
    <row r="2022" spans="1:15" x14ac:dyDescent="0.25">
      <c r="A2022" s="68" t="s">
        <v>346</v>
      </c>
      <c r="B2022" s="68" t="s">
        <v>409</v>
      </c>
      <c r="C2022" s="68" t="s">
        <v>410</v>
      </c>
      <c r="D2022" s="68" t="s">
        <v>411</v>
      </c>
      <c r="E2022" s="68">
        <v>3</v>
      </c>
      <c r="F2022" s="68">
        <v>25</v>
      </c>
      <c r="G2022" s="68">
        <v>1000</v>
      </c>
      <c r="H2022" s="68">
        <v>25</v>
      </c>
      <c r="I2022" s="69">
        <f t="shared" si="0"/>
        <v>672.61820996234201</v>
      </c>
      <c r="J2022" s="68"/>
      <c r="K2022" s="68"/>
      <c r="L2022" s="68"/>
      <c r="M2022" s="68"/>
      <c r="N2022" s="68"/>
    </row>
    <row r="2023" spans="1:15" x14ac:dyDescent="0.25">
      <c r="A2023" s="68" t="s">
        <v>346</v>
      </c>
      <c r="B2023" s="68" t="s">
        <v>408</v>
      </c>
      <c r="C2023" s="68" t="s">
        <v>406</v>
      </c>
      <c r="D2023" s="68" t="s">
        <v>412</v>
      </c>
      <c r="E2023" s="68">
        <v>2</v>
      </c>
      <c r="F2023" s="68">
        <v>7</v>
      </c>
      <c r="G2023" s="68">
        <v>1000</v>
      </c>
      <c r="H2023" s="68">
        <v>7</v>
      </c>
      <c r="I2023" s="69">
        <f>0.3*360*F2023^2.6/1000</f>
        <v>17.008995236697277</v>
      </c>
      <c r="J2023" s="68"/>
      <c r="K2023" s="68"/>
      <c r="L2023" s="68"/>
      <c r="M2023" s="68"/>
      <c r="N2023" s="68"/>
      <c r="O2023">
        <v>360</v>
      </c>
    </row>
    <row r="2024" spans="1:15" x14ac:dyDescent="0.25">
      <c r="A2024" s="68" t="s">
        <v>346</v>
      </c>
      <c r="B2024" s="68" t="s">
        <v>408</v>
      </c>
      <c r="C2024" s="68" t="s">
        <v>406</v>
      </c>
      <c r="D2024" s="68" t="s">
        <v>412</v>
      </c>
      <c r="E2024" s="68">
        <v>2</v>
      </c>
      <c r="F2024" s="68">
        <v>8</v>
      </c>
      <c r="G2024" s="68">
        <v>1000</v>
      </c>
      <c r="H2024" s="68">
        <v>8</v>
      </c>
      <c r="I2024" s="69">
        <f t="shared" ref="I2024:I2032" si="1">0.3*360*F2024^2.6/1000</f>
        <v>24.068981974011237</v>
      </c>
      <c r="J2024" s="68"/>
      <c r="K2024" s="68"/>
      <c r="L2024" s="68"/>
      <c r="M2024" s="68"/>
      <c r="N2024" s="68"/>
      <c r="O2024">
        <v>360</v>
      </c>
    </row>
    <row r="2025" spans="1:15" x14ac:dyDescent="0.25">
      <c r="A2025" s="68" t="s">
        <v>346</v>
      </c>
      <c r="B2025" s="68" t="s">
        <v>408</v>
      </c>
      <c r="C2025" s="68" t="s">
        <v>406</v>
      </c>
      <c r="D2025" s="68" t="s">
        <v>412</v>
      </c>
      <c r="E2025" s="68">
        <v>2</v>
      </c>
      <c r="F2025" s="68">
        <v>10</v>
      </c>
      <c r="G2025" s="68">
        <v>1000</v>
      </c>
      <c r="H2025" s="68">
        <v>10</v>
      </c>
      <c r="I2025" s="69">
        <f t="shared" si="1"/>
        <v>42.995574419777739</v>
      </c>
      <c r="J2025" s="68"/>
      <c r="K2025" s="68"/>
      <c r="L2025" s="68"/>
      <c r="M2025" s="68"/>
      <c r="N2025" s="68"/>
      <c r="O2025">
        <v>360</v>
      </c>
    </row>
    <row r="2026" spans="1:15" x14ac:dyDescent="0.25">
      <c r="A2026" s="68" t="s">
        <v>346</v>
      </c>
      <c r="B2026" s="68" t="s">
        <v>408</v>
      </c>
      <c r="C2026" s="68" t="s">
        <v>406</v>
      </c>
      <c r="D2026" s="68" t="s">
        <v>412</v>
      </c>
      <c r="E2026" s="68">
        <v>2</v>
      </c>
      <c r="F2026" s="68">
        <v>12</v>
      </c>
      <c r="G2026" s="68">
        <v>1000</v>
      </c>
      <c r="H2026" s="68">
        <v>12</v>
      </c>
      <c r="I2026" s="69">
        <f t="shared" si="1"/>
        <v>69.070880958242526</v>
      </c>
      <c r="J2026" s="68"/>
      <c r="K2026" s="68"/>
      <c r="L2026" s="68"/>
      <c r="M2026" s="68"/>
      <c r="N2026" s="68"/>
      <c r="O2026">
        <v>360</v>
      </c>
    </row>
    <row r="2027" spans="1:15" x14ac:dyDescent="0.25">
      <c r="A2027" s="68" t="s">
        <v>346</v>
      </c>
      <c r="B2027" s="68" t="s">
        <v>408</v>
      </c>
      <c r="C2027" s="68" t="s">
        <v>406</v>
      </c>
      <c r="D2027" s="68" t="s">
        <v>412</v>
      </c>
      <c r="E2027" s="68">
        <v>2</v>
      </c>
      <c r="F2027" s="68">
        <v>16</v>
      </c>
      <c r="G2027" s="68">
        <v>1000</v>
      </c>
      <c r="H2027" s="68">
        <v>16</v>
      </c>
      <c r="I2027" s="69">
        <f t="shared" si="1"/>
        <v>145.92701886819592</v>
      </c>
      <c r="J2027" s="68"/>
      <c r="K2027" s="68"/>
      <c r="L2027" s="68"/>
      <c r="M2027" s="68"/>
      <c r="N2027" s="68"/>
      <c r="O2027">
        <v>360</v>
      </c>
    </row>
    <row r="2028" spans="1:15" x14ac:dyDescent="0.25">
      <c r="A2028" s="68" t="s">
        <v>346</v>
      </c>
      <c r="B2028" s="68" t="s">
        <v>408</v>
      </c>
      <c r="C2028" s="68" t="s">
        <v>406</v>
      </c>
      <c r="D2028" s="68" t="s">
        <v>412</v>
      </c>
      <c r="E2028" s="68">
        <v>2</v>
      </c>
      <c r="F2028" s="68">
        <v>20</v>
      </c>
      <c r="G2028" s="68">
        <v>1000</v>
      </c>
      <c r="H2028" s="68">
        <v>20</v>
      </c>
      <c r="I2028" s="69">
        <f t="shared" si="1"/>
        <v>260.67641773875113</v>
      </c>
      <c r="J2028" s="68"/>
      <c r="K2028" s="68"/>
      <c r="L2028" s="68"/>
      <c r="M2028" s="68"/>
      <c r="N2028" s="68"/>
      <c r="O2028">
        <v>360</v>
      </c>
    </row>
    <row r="2029" spans="1:15" x14ac:dyDescent="0.25">
      <c r="A2029" s="68" t="s">
        <v>346</v>
      </c>
      <c r="B2029" s="68" t="s">
        <v>408</v>
      </c>
      <c r="C2029" s="68" t="s">
        <v>406</v>
      </c>
      <c r="D2029" s="68" t="s">
        <v>412</v>
      </c>
      <c r="E2029" s="68">
        <v>2</v>
      </c>
      <c r="F2029" s="68">
        <v>22</v>
      </c>
      <c r="G2029" s="68">
        <v>1000</v>
      </c>
      <c r="H2029" s="68">
        <v>22</v>
      </c>
      <c r="I2029" s="69">
        <f t="shared" si="1"/>
        <v>333.98174202065007</v>
      </c>
      <c r="J2029" s="68"/>
      <c r="K2029" s="68"/>
      <c r="L2029" s="68"/>
      <c r="M2029" s="68"/>
      <c r="N2029" s="68"/>
      <c r="O2029">
        <v>360</v>
      </c>
    </row>
    <row r="2030" spans="1:15" x14ac:dyDescent="0.25">
      <c r="A2030" s="68" t="s">
        <v>346</v>
      </c>
      <c r="B2030" s="68" t="s">
        <v>408</v>
      </c>
      <c r="C2030" s="68" t="s">
        <v>406</v>
      </c>
      <c r="D2030" s="68" t="s">
        <v>412</v>
      </c>
      <c r="E2030" s="68">
        <v>2</v>
      </c>
      <c r="F2030" s="68">
        <v>24</v>
      </c>
      <c r="G2030" s="68">
        <v>1000</v>
      </c>
      <c r="H2030" s="68">
        <v>24</v>
      </c>
      <c r="I2030" s="69">
        <f t="shared" si="1"/>
        <v>418.7675141275036</v>
      </c>
      <c r="J2030" s="68"/>
      <c r="K2030" s="68"/>
      <c r="L2030" s="68"/>
      <c r="M2030" s="68"/>
      <c r="N2030" s="68"/>
      <c r="O2030">
        <v>360</v>
      </c>
    </row>
    <row r="2031" spans="1:15" x14ac:dyDescent="0.25">
      <c r="A2031" s="68" t="s">
        <v>346</v>
      </c>
      <c r="B2031" s="68" t="s">
        <v>408</v>
      </c>
      <c r="C2031" s="68" t="s">
        <v>406</v>
      </c>
      <c r="D2031" s="68" t="s">
        <v>412</v>
      </c>
      <c r="E2031" s="68">
        <v>2</v>
      </c>
      <c r="F2031" s="68">
        <v>25</v>
      </c>
      <c r="G2031" s="68">
        <v>1000</v>
      </c>
      <c r="H2031" s="68">
        <v>25</v>
      </c>
      <c r="I2031" s="69">
        <f t="shared" si="1"/>
        <v>465.65876074315986</v>
      </c>
      <c r="J2031" s="68"/>
      <c r="K2031" s="68"/>
      <c r="L2031" s="68"/>
      <c r="M2031" s="68"/>
      <c r="N2031" s="68"/>
      <c r="O2031">
        <v>360</v>
      </c>
    </row>
    <row r="2032" spans="1:15" x14ac:dyDescent="0.25">
      <c r="A2032" s="68" t="s">
        <v>346</v>
      </c>
      <c r="B2032" s="68" t="s">
        <v>408</v>
      </c>
      <c r="C2032" s="68" t="s">
        <v>406</v>
      </c>
      <c r="D2032" s="68" t="s">
        <v>412</v>
      </c>
      <c r="E2032" s="68">
        <v>2</v>
      </c>
      <c r="F2032" s="68">
        <v>28</v>
      </c>
      <c r="G2032" s="68">
        <v>1000</v>
      </c>
      <c r="H2032" s="68">
        <v>28</v>
      </c>
      <c r="I2032" s="69">
        <f t="shared" si="1"/>
        <v>625.22255515349036</v>
      </c>
      <c r="J2032" s="68"/>
      <c r="K2032" s="68"/>
      <c r="L2032" s="68"/>
      <c r="M2032" s="68"/>
      <c r="N2032" s="68"/>
      <c r="O2032">
        <v>360</v>
      </c>
    </row>
    <row r="2033" spans="1:15" x14ac:dyDescent="0.25">
      <c r="A2033" s="68" t="s">
        <v>346</v>
      </c>
      <c r="B2033" s="68" t="s">
        <v>408</v>
      </c>
      <c r="C2033" s="68" t="s">
        <v>407</v>
      </c>
      <c r="D2033" s="68" t="s">
        <v>413</v>
      </c>
      <c r="E2033" s="68">
        <v>2</v>
      </c>
      <c r="F2033" s="68">
        <v>10</v>
      </c>
      <c r="G2033" s="68">
        <v>1000</v>
      </c>
      <c r="H2033" s="68">
        <v>10</v>
      </c>
      <c r="I2033" s="69">
        <f>0.3*490*F2033^2.6/1000</f>
        <v>58.52175407136415</v>
      </c>
      <c r="J2033" s="68"/>
      <c r="K2033" s="68"/>
      <c r="L2033" s="68"/>
      <c r="M2033" s="68"/>
      <c r="N2033" s="68"/>
      <c r="O2033">
        <v>490</v>
      </c>
    </row>
    <row r="2034" spans="1:15" x14ac:dyDescent="0.25">
      <c r="A2034" s="68" t="s">
        <v>346</v>
      </c>
      <c r="B2034" s="68" t="s">
        <v>408</v>
      </c>
      <c r="C2034" s="68" t="s">
        <v>407</v>
      </c>
      <c r="D2034" s="68" t="s">
        <v>413</v>
      </c>
      <c r="E2034" s="68">
        <v>2</v>
      </c>
      <c r="F2034" s="68">
        <v>12</v>
      </c>
      <c r="G2034" s="68">
        <v>1000</v>
      </c>
      <c r="H2034" s="68">
        <v>12</v>
      </c>
      <c r="I2034" s="69">
        <f t="shared" ref="I2034:I2040" si="2">0.3*490*F2034^2.6/1000</f>
        <v>94.013143526496776</v>
      </c>
      <c r="J2034" s="68"/>
      <c r="K2034" s="68"/>
      <c r="L2034" s="68"/>
      <c r="M2034" s="68"/>
      <c r="N2034" s="68"/>
      <c r="O2034">
        <v>490</v>
      </c>
    </row>
    <row r="2035" spans="1:15" x14ac:dyDescent="0.25">
      <c r="A2035" s="68" t="s">
        <v>346</v>
      </c>
      <c r="B2035" s="68" t="s">
        <v>408</v>
      </c>
      <c r="C2035" s="68" t="s">
        <v>407</v>
      </c>
      <c r="D2035" s="68" t="s">
        <v>413</v>
      </c>
      <c r="E2035" s="68">
        <v>2</v>
      </c>
      <c r="F2035" s="68">
        <v>16</v>
      </c>
      <c r="G2035" s="68">
        <v>1000</v>
      </c>
      <c r="H2035" s="68">
        <v>16</v>
      </c>
      <c r="I2035" s="69">
        <f t="shared" si="2"/>
        <v>198.62288679282221</v>
      </c>
      <c r="J2035" s="68"/>
      <c r="K2035" s="68"/>
      <c r="L2035" s="68"/>
      <c r="M2035" s="68"/>
      <c r="N2035" s="68"/>
      <c r="O2035">
        <v>490</v>
      </c>
    </row>
    <row r="2036" spans="1:15" x14ac:dyDescent="0.25">
      <c r="A2036" s="68" t="s">
        <v>346</v>
      </c>
      <c r="B2036" s="68" t="s">
        <v>408</v>
      </c>
      <c r="C2036" s="68" t="s">
        <v>407</v>
      </c>
      <c r="D2036" s="68" t="s">
        <v>413</v>
      </c>
      <c r="E2036" s="68">
        <v>2</v>
      </c>
      <c r="F2036" s="68">
        <v>20</v>
      </c>
      <c r="G2036" s="68">
        <v>1000</v>
      </c>
      <c r="H2036" s="68">
        <v>20</v>
      </c>
      <c r="I2036" s="69">
        <f t="shared" si="2"/>
        <v>354.80956858885571</v>
      </c>
      <c r="J2036" s="68"/>
      <c r="K2036" s="68"/>
      <c r="L2036" s="68"/>
      <c r="M2036" s="68"/>
      <c r="N2036" s="68"/>
      <c r="O2036">
        <v>490</v>
      </c>
    </row>
    <row r="2037" spans="1:15" x14ac:dyDescent="0.25">
      <c r="A2037" s="68" t="s">
        <v>346</v>
      </c>
      <c r="B2037" s="68" t="s">
        <v>408</v>
      </c>
      <c r="C2037" s="68" t="s">
        <v>407</v>
      </c>
      <c r="D2037" s="68" t="s">
        <v>413</v>
      </c>
      <c r="E2037" s="68">
        <v>2</v>
      </c>
      <c r="F2037" s="68">
        <v>22</v>
      </c>
      <c r="G2037" s="68">
        <v>1000</v>
      </c>
      <c r="H2037" s="68">
        <v>22</v>
      </c>
      <c r="I2037" s="69">
        <f t="shared" si="2"/>
        <v>454.58625997255149</v>
      </c>
      <c r="J2037" s="68"/>
      <c r="K2037" s="68"/>
      <c r="L2037" s="68"/>
      <c r="M2037" s="68"/>
      <c r="N2037" s="68"/>
      <c r="O2037">
        <v>490</v>
      </c>
    </row>
    <row r="2038" spans="1:15" x14ac:dyDescent="0.25">
      <c r="A2038" s="68" t="s">
        <v>346</v>
      </c>
      <c r="B2038" s="68" t="s">
        <v>408</v>
      </c>
      <c r="C2038" s="68" t="s">
        <v>407</v>
      </c>
      <c r="D2038" s="68" t="s">
        <v>413</v>
      </c>
      <c r="E2038" s="68">
        <v>2</v>
      </c>
      <c r="F2038" s="68">
        <v>24</v>
      </c>
      <c r="G2038" s="68">
        <v>1000</v>
      </c>
      <c r="H2038" s="68">
        <v>24</v>
      </c>
      <c r="I2038" s="69">
        <f t="shared" si="2"/>
        <v>569.98911645132432</v>
      </c>
      <c r="J2038" s="68"/>
      <c r="K2038" s="68"/>
      <c r="L2038" s="68"/>
      <c r="M2038" s="68"/>
      <c r="N2038" s="68"/>
      <c r="O2038">
        <v>490</v>
      </c>
    </row>
    <row r="2039" spans="1:15" x14ac:dyDescent="0.25">
      <c r="A2039" s="68" t="s">
        <v>346</v>
      </c>
      <c r="B2039" s="68" t="s">
        <v>408</v>
      </c>
      <c r="C2039" s="68" t="s">
        <v>407</v>
      </c>
      <c r="D2039" s="68" t="s">
        <v>413</v>
      </c>
      <c r="E2039" s="68">
        <v>2</v>
      </c>
      <c r="F2039" s="68">
        <v>25</v>
      </c>
      <c r="G2039" s="68">
        <v>1000</v>
      </c>
      <c r="H2039" s="68">
        <v>25</v>
      </c>
      <c r="I2039" s="69">
        <f t="shared" si="2"/>
        <v>633.81331323374536</v>
      </c>
      <c r="J2039" s="68"/>
      <c r="K2039" s="68"/>
      <c r="L2039" s="68"/>
      <c r="M2039" s="68"/>
      <c r="N2039" s="68"/>
      <c r="O2039">
        <v>490</v>
      </c>
    </row>
    <row r="2040" spans="1:15" x14ac:dyDescent="0.25">
      <c r="A2040" s="68" t="s">
        <v>346</v>
      </c>
      <c r="B2040" s="68" t="s">
        <v>408</v>
      </c>
      <c r="C2040" s="68" t="s">
        <v>407</v>
      </c>
      <c r="D2040" s="68" t="s">
        <v>413</v>
      </c>
      <c r="E2040" s="68">
        <v>2</v>
      </c>
      <c r="F2040" s="68">
        <v>28</v>
      </c>
      <c r="G2040" s="68">
        <v>1000</v>
      </c>
      <c r="H2040" s="68">
        <v>28</v>
      </c>
      <c r="I2040" s="69">
        <f t="shared" si="2"/>
        <v>850.99736673669531</v>
      </c>
      <c r="J2040" s="68"/>
      <c r="K2040" s="68"/>
      <c r="L2040" s="68"/>
      <c r="M2040" s="68"/>
      <c r="N2040" s="68"/>
      <c r="O2040">
        <v>490</v>
      </c>
    </row>
    <row r="2041" spans="1:15" x14ac:dyDescent="0.25">
      <c r="A2041" s="68" t="s">
        <v>346</v>
      </c>
      <c r="B2041" s="68" t="s">
        <v>420</v>
      </c>
      <c r="C2041" s="68" t="s">
        <v>421</v>
      </c>
      <c r="D2041" s="68" t="s">
        <v>422</v>
      </c>
      <c r="E2041" s="68">
        <v>2</v>
      </c>
      <c r="F2041" s="68">
        <v>8</v>
      </c>
      <c r="G2041" s="68">
        <v>60</v>
      </c>
      <c r="H2041" s="68">
        <v>8</v>
      </c>
      <c r="I2041" s="69">
        <v>22.7</v>
      </c>
      <c r="J2041" s="68"/>
      <c r="K2041" s="68"/>
      <c r="L2041" s="68"/>
      <c r="M2041" s="68"/>
      <c r="N2041" s="68"/>
    </row>
    <row r="2042" spans="1:15" x14ac:dyDescent="0.25">
      <c r="A2042" s="68" t="s">
        <v>346</v>
      </c>
      <c r="B2042" s="68" t="s">
        <v>420</v>
      </c>
      <c r="C2042" s="68" t="s">
        <v>421</v>
      </c>
      <c r="D2042" s="68" t="s">
        <v>422</v>
      </c>
      <c r="E2042" s="68">
        <v>2</v>
      </c>
      <c r="F2042" s="68">
        <v>8</v>
      </c>
      <c r="G2042" s="68">
        <v>80</v>
      </c>
      <c r="H2042" s="68">
        <v>8</v>
      </c>
      <c r="I2042" s="69">
        <v>22.7</v>
      </c>
      <c r="J2042" s="68"/>
      <c r="K2042" s="68"/>
      <c r="L2042" s="68"/>
      <c r="M2042" s="68"/>
      <c r="N2042" s="68"/>
    </row>
    <row r="2043" spans="1:15" x14ac:dyDescent="0.25">
      <c r="A2043" s="68" t="s">
        <v>346</v>
      </c>
      <c r="B2043" s="68" t="s">
        <v>420</v>
      </c>
      <c r="C2043" s="68" t="s">
        <v>421</v>
      </c>
      <c r="D2043" s="68" t="s">
        <v>422</v>
      </c>
      <c r="E2043" s="68">
        <v>2</v>
      </c>
      <c r="F2043" s="68">
        <v>8</v>
      </c>
      <c r="G2043" s="68">
        <v>100</v>
      </c>
      <c r="H2043" s="68">
        <v>8</v>
      </c>
      <c r="I2043" s="69">
        <v>22.7</v>
      </c>
      <c r="J2043" s="68"/>
      <c r="K2043" s="68"/>
      <c r="L2043" s="68"/>
      <c r="M2043" s="68"/>
      <c r="N2043" s="68"/>
    </row>
    <row r="2044" spans="1:15" x14ac:dyDescent="0.25">
      <c r="A2044" s="68" t="s">
        <v>346</v>
      </c>
      <c r="B2044" s="68" t="s">
        <v>420</v>
      </c>
      <c r="C2044" s="68" t="s">
        <v>421</v>
      </c>
      <c r="D2044" s="68" t="s">
        <v>422</v>
      </c>
      <c r="E2044" s="68">
        <v>2</v>
      </c>
      <c r="F2044" s="68">
        <v>8</v>
      </c>
      <c r="G2044" s="68">
        <v>115</v>
      </c>
      <c r="H2044" s="68">
        <v>8</v>
      </c>
      <c r="I2044" s="69">
        <v>22.7</v>
      </c>
      <c r="J2044" s="68"/>
      <c r="K2044" s="68"/>
      <c r="L2044" s="68"/>
      <c r="M2044" s="68"/>
      <c r="N2044" s="68"/>
    </row>
    <row r="2045" spans="1:15" x14ac:dyDescent="0.25">
      <c r="A2045" s="68" t="s">
        <v>346</v>
      </c>
      <c r="B2045" s="68" t="s">
        <v>420</v>
      </c>
      <c r="C2045" s="68" t="s">
        <v>421</v>
      </c>
      <c r="D2045" s="68" t="s">
        <v>422</v>
      </c>
      <c r="E2045" s="68">
        <v>2</v>
      </c>
      <c r="F2045" s="68">
        <v>8</v>
      </c>
      <c r="G2045" s="68">
        <v>120</v>
      </c>
      <c r="H2045" s="68">
        <v>8</v>
      </c>
      <c r="I2045" s="69">
        <v>22.7</v>
      </c>
      <c r="J2045" s="68"/>
      <c r="K2045" s="68"/>
      <c r="L2045" s="68"/>
      <c r="M2045" s="68"/>
      <c r="N2045" s="68"/>
    </row>
    <row r="2046" spans="1:15" x14ac:dyDescent="0.25">
      <c r="A2046" s="68" t="s">
        <v>346</v>
      </c>
      <c r="B2046" s="68" t="s">
        <v>420</v>
      </c>
      <c r="C2046" s="68" t="s">
        <v>421</v>
      </c>
      <c r="D2046" s="68" t="s">
        <v>422</v>
      </c>
      <c r="E2046" s="68">
        <v>2</v>
      </c>
      <c r="F2046" s="68">
        <v>8</v>
      </c>
      <c r="G2046" s="68">
        <v>140</v>
      </c>
      <c r="H2046" s="68">
        <v>8</v>
      </c>
      <c r="I2046" s="69">
        <v>22.7</v>
      </c>
      <c r="J2046" s="68"/>
      <c r="K2046" s="68"/>
      <c r="L2046" s="68"/>
      <c r="M2046" s="68"/>
      <c r="N2046" s="68"/>
    </row>
    <row r="2047" spans="1:15" x14ac:dyDescent="0.25">
      <c r="A2047" s="68" t="s">
        <v>346</v>
      </c>
      <c r="B2047" s="68" t="s">
        <v>420</v>
      </c>
      <c r="C2047" s="68" t="s">
        <v>421</v>
      </c>
      <c r="D2047" s="68" t="s">
        <v>422</v>
      </c>
      <c r="E2047" s="68">
        <v>2</v>
      </c>
      <c r="F2047" s="68">
        <v>8</v>
      </c>
      <c r="G2047" s="68">
        <v>160</v>
      </c>
      <c r="H2047" s="68">
        <v>8</v>
      </c>
      <c r="I2047" s="69">
        <v>22.7</v>
      </c>
      <c r="J2047" s="68"/>
      <c r="K2047" s="68"/>
      <c r="L2047" s="68"/>
      <c r="M2047" s="68"/>
      <c r="N2047" s="68"/>
    </row>
    <row r="2048" spans="1:15" x14ac:dyDescent="0.25">
      <c r="A2048" s="68" t="s">
        <v>346</v>
      </c>
      <c r="B2048" s="68" t="s">
        <v>420</v>
      </c>
      <c r="C2048" s="68" t="s">
        <v>421</v>
      </c>
      <c r="D2048" s="68" t="s">
        <v>422</v>
      </c>
      <c r="E2048" s="68">
        <v>2</v>
      </c>
      <c r="F2048" s="68">
        <v>8</v>
      </c>
      <c r="G2048" s="68">
        <v>180</v>
      </c>
      <c r="H2048" s="68">
        <v>8</v>
      </c>
      <c r="I2048" s="69">
        <v>22.7</v>
      </c>
      <c r="J2048" s="68"/>
      <c r="K2048" s="68"/>
      <c r="L2048" s="68"/>
      <c r="M2048" s="68"/>
      <c r="N2048" s="68"/>
    </row>
    <row r="2049" spans="1:14" x14ac:dyDescent="0.25">
      <c r="A2049" s="68" t="s">
        <v>346</v>
      </c>
      <c r="B2049" s="68" t="s">
        <v>420</v>
      </c>
      <c r="C2049" s="68" t="s">
        <v>421</v>
      </c>
      <c r="D2049" s="68" t="s">
        <v>422</v>
      </c>
      <c r="E2049" s="68">
        <v>2</v>
      </c>
      <c r="F2049" s="68">
        <v>8</v>
      </c>
      <c r="G2049" s="68">
        <v>200</v>
      </c>
      <c r="H2049" s="68">
        <v>8</v>
      </c>
      <c r="I2049" s="69">
        <v>22.7</v>
      </c>
      <c r="J2049" s="68"/>
      <c r="K2049" s="68"/>
      <c r="L2049" s="68"/>
      <c r="M2049" s="68"/>
      <c r="N2049" s="68"/>
    </row>
    <row r="2050" spans="1:14" x14ac:dyDescent="0.25">
      <c r="A2050" s="68" t="s">
        <v>346</v>
      </c>
      <c r="B2050" s="68" t="s">
        <v>420</v>
      </c>
      <c r="C2050" s="68" t="s">
        <v>421</v>
      </c>
      <c r="D2050" s="68" t="s">
        <v>422</v>
      </c>
      <c r="E2050" s="68">
        <v>2</v>
      </c>
      <c r="F2050" s="68">
        <v>10</v>
      </c>
      <c r="G2050" s="68">
        <v>60</v>
      </c>
      <c r="H2050" s="68">
        <v>10</v>
      </c>
      <c r="I2050" s="69">
        <v>40.6</v>
      </c>
      <c r="J2050" s="68"/>
      <c r="K2050" s="68"/>
      <c r="L2050" s="68"/>
      <c r="M2050" s="68"/>
      <c r="N2050" s="68"/>
    </row>
    <row r="2051" spans="1:14" x14ac:dyDescent="0.25">
      <c r="A2051" s="68" t="s">
        <v>346</v>
      </c>
      <c r="B2051" s="68" t="s">
        <v>420</v>
      </c>
      <c r="C2051" s="68" t="s">
        <v>421</v>
      </c>
      <c r="D2051" s="68" t="s">
        <v>422</v>
      </c>
      <c r="E2051" s="68">
        <v>2</v>
      </c>
      <c r="F2051" s="68">
        <v>10</v>
      </c>
      <c r="G2051" s="68">
        <v>80</v>
      </c>
      <c r="H2051" s="68">
        <v>10</v>
      </c>
      <c r="I2051" s="69">
        <v>40.6</v>
      </c>
      <c r="J2051" s="68"/>
      <c r="K2051" s="68"/>
      <c r="L2051" s="68"/>
      <c r="M2051" s="68"/>
      <c r="N2051" s="68"/>
    </row>
    <row r="2052" spans="1:14" x14ac:dyDescent="0.25">
      <c r="A2052" s="68" t="s">
        <v>346</v>
      </c>
      <c r="B2052" s="68" t="s">
        <v>420</v>
      </c>
      <c r="C2052" s="68" t="s">
        <v>421</v>
      </c>
      <c r="D2052" s="68" t="s">
        <v>422</v>
      </c>
      <c r="E2052" s="68">
        <v>2</v>
      </c>
      <c r="F2052" s="68">
        <v>10</v>
      </c>
      <c r="G2052" s="68">
        <v>100</v>
      </c>
      <c r="H2052" s="68">
        <v>10</v>
      </c>
      <c r="I2052" s="69">
        <v>40.6</v>
      </c>
      <c r="J2052" s="68"/>
      <c r="K2052" s="68"/>
      <c r="L2052" s="68"/>
      <c r="M2052" s="68"/>
      <c r="N2052" s="68"/>
    </row>
    <row r="2053" spans="1:14" x14ac:dyDescent="0.25">
      <c r="A2053" s="68" t="s">
        <v>346</v>
      </c>
      <c r="B2053" s="68" t="s">
        <v>420</v>
      </c>
      <c r="C2053" s="68" t="s">
        <v>421</v>
      </c>
      <c r="D2053" s="68" t="s">
        <v>422</v>
      </c>
      <c r="E2053" s="68">
        <v>2</v>
      </c>
      <c r="F2053" s="68">
        <v>10</v>
      </c>
      <c r="G2053" s="68">
        <v>120</v>
      </c>
      <c r="H2053" s="68">
        <v>10</v>
      </c>
      <c r="I2053" s="69">
        <v>40.6</v>
      </c>
      <c r="J2053" s="68"/>
      <c r="K2053" s="68"/>
      <c r="L2053" s="68"/>
      <c r="M2053" s="68"/>
      <c r="N2053" s="68"/>
    </row>
    <row r="2054" spans="1:14" x14ac:dyDescent="0.25">
      <c r="A2054" s="68" t="s">
        <v>346</v>
      </c>
      <c r="B2054" s="68" t="s">
        <v>420</v>
      </c>
      <c r="C2054" s="68" t="s">
        <v>421</v>
      </c>
      <c r="D2054" s="68" t="s">
        <v>422</v>
      </c>
      <c r="E2054" s="68">
        <v>2</v>
      </c>
      <c r="F2054" s="68">
        <v>10</v>
      </c>
      <c r="G2054" s="68">
        <v>140</v>
      </c>
      <c r="H2054" s="68">
        <v>10</v>
      </c>
      <c r="I2054" s="69">
        <v>40.6</v>
      </c>
      <c r="J2054" s="68"/>
      <c r="K2054" s="68"/>
      <c r="L2054" s="68"/>
      <c r="M2054" s="68"/>
      <c r="N2054" s="68"/>
    </row>
    <row r="2055" spans="1:14" x14ac:dyDescent="0.25">
      <c r="A2055" s="68" t="s">
        <v>346</v>
      </c>
      <c r="B2055" s="68" t="s">
        <v>420</v>
      </c>
      <c r="C2055" s="68" t="s">
        <v>421</v>
      </c>
      <c r="D2055" s="68" t="s">
        <v>422</v>
      </c>
      <c r="E2055" s="68">
        <v>2</v>
      </c>
      <c r="F2055" s="68">
        <v>12</v>
      </c>
      <c r="G2055" s="68">
        <v>60</v>
      </c>
      <c r="H2055" s="68">
        <v>12</v>
      </c>
      <c r="I2055" s="69">
        <v>65.2</v>
      </c>
      <c r="J2055" s="68"/>
      <c r="K2055" s="68"/>
      <c r="L2055" s="68"/>
      <c r="M2055" s="68"/>
      <c r="N2055" s="68"/>
    </row>
    <row r="2056" spans="1:14" x14ac:dyDescent="0.25">
      <c r="A2056" s="68" t="s">
        <v>346</v>
      </c>
      <c r="B2056" s="68" t="s">
        <v>420</v>
      </c>
      <c r="C2056" s="68" t="s">
        <v>421</v>
      </c>
      <c r="D2056" s="68" t="s">
        <v>422</v>
      </c>
      <c r="E2056" s="68">
        <v>2</v>
      </c>
      <c r="F2056" s="68">
        <v>12</v>
      </c>
      <c r="G2056" s="68">
        <v>80</v>
      </c>
      <c r="H2056" s="68">
        <v>12</v>
      </c>
      <c r="I2056" s="69">
        <v>65.2</v>
      </c>
      <c r="J2056" s="68"/>
      <c r="K2056" s="68"/>
      <c r="L2056" s="68"/>
      <c r="M2056" s="68"/>
      <c r="N2056" s="68"/>
    </row>
    <row r="2057" spans="1:14" x14ac:dyDescent="0.25">
      <c r="A2057" s="68" t="s">
        <v>346</v>
      </c>
      <c r="B2057" s="68" t="s">
        <v>420</v>
      </c>
      <c r="C2057" s="68" t="s">
        <v>421</v>
      </c>
      <c r="D2057" s="68" t="s">
        <v>422</v>
      </c>
      <c r="E2057" s="68">
        <v>2</v>
      </c>
      <c r="F2057" s="68">
        <v>12</v>
      </c>
      <c r="G2057" s="68">
        <v>100</v>
      </c>
      <c r="H2057" s="68">
        <v>12</v>
      </c>
      <c r="I2057" s="69">
        <v>65.2</v>
      </c>
      <c r="J2057" s="68"/>
      <c r="K2057" s="68"/>
      <c r="L2057" s="68"/>
      <c r="M2057" s="68"/>
      <c r="N2057" s="68"/>
    </row>
    <row r="2058" spans="1:14" x14ac:dyDescent="0.25">
      <c r="A2058" s="68" t="s">
        <v>346</v>
      </c>
      <c r="B2058" s="68" t="s">
        <v>420</v>
      </c>
      <c r="C2058" s="68" t="s">
        <v>421</v>
      </c>
      <c r="D2058" s="68" t="s">
        <v>422</v>
      </c>
      <c r="E2058" s="68">
        <v>2</v>
      </c>
      <c r="F2058" s="68">
        <v>12</v>
      </c>
      <c r="G2058" s="68">
        <v>110</v>
      </c>
      <c r="H2058" s="68">
        <v>12</v>
      </c>
      <c r="I2058" s="69">
        <v>65.2</v>
      </c>
      <c r="J2058" s="68"/>
      <c r="K2058" s="68"/>
      <c r="L2058" s="68"/>
      <c r="M2058" s="68"/>
      <c r="N2058" s="68"/>
    </row>
    <row r="2059" spans="1:14" x14ac:dyDescent="0.25">
      <c r="A2059" s="68" t="s">
        <v>346</v>
      </c>
      <c r="B2059" s="68" t="s">
        <v>420</v>
      </c>
      <c r="C2059" s="68" t="s">
        <v>421</v>
      </c>
      <c r="D2059" s="68" t="s">
        <v>422</v>
      </c>
      <c r="E2059" s="68">
        <v>2</v>
      </c>
      <c r="F2059" s="68">
        <v>12</v>
      </c>
      <c r="G2059" s="68">
        <v>115</v>
      </c>
      <c r="H2059" s="68">
        <v>12</v>
      </c>
      <c r="I2059" s="69">
        <v>65.2</v>
      </c>
      <c r="J2059" s="68"/>
      <c r="K2059" s="68"/>
      <c r="L2059" s="68"/>
      <c r="M2059" s="68"/>
      <c r="N2059" s="68"/>
    </row>
    <row r="2060" spans="1:14" x14ac:dyDescent="0.25">
      <c r="A2060" s="68" t="s">
        <v>346</v>
      </c>
      <c r="B2060" s="68" t="s">
        <v>420</v>
      </c>
      <c r="C2060" s="68" t="s">
        <v>421</v>
      </c>
      <c r="D2060" s="68" t="s">
        <v>422</v>
      </c>
      <c r="E2060" s="68">
        <v>2</v>
      </c>
      <c r="F2060" s="68">
        <v>12</v>
      </c>
      <c r="G2060" s="68">
        <v>120</v>
      </c>
      <c r="H2060" s="68">
        <v>12</v>
      </c>
      <c r="I2060" s="69">
        <v>65.2</v>
      </c>
      <c r="J2060" s="68"/>
      <c r="K2060" s="68"/>
      <c r="L2060" s="68"/>
      <c r="M2060" s="68"/>
      <c r="N2060" s="68"/>
    </row>
    <row r="2061" spans="1:14" x14ac:dyDescent="0.25">
      <c r="A2061" s="68" t="s">
        <v>346</v>
      </c>
      <c r="B2061" s="68" t="s">
        <v>420</v>
      </c>
      <c r="C2061" s="68" t="s">
        <v>421</v>
      </c>
      <c r="D2061" s="68" t="s">
        <v>422</v>
      </c>
      <c r="E2061" s="68">
        <v>2</v>
      </c>
      <c r="F2061" s="68">
        <v>12</v>
      </c>
      <c r="G2061" s="68">
        <v>130</v>
      </c>
      <c r="H2061" s="68">
        <v>12</v>
      </c>
      <c r="I2061" s="69">
        <v>65.2</v>
      </c>
      <c r="J2061" s="68"/>
      <c r="K2061" s="68"/>
      <c r="L2061" s="68"/>
      <c r="M2061" s="68"/>
      <c r="N2061" s="68"/>
    </row>
    <row r="2062" spans="1:14" x14ac:dyDescent="0.25">
      <c r="A2062" s="68" t="s">
        <v>346</v>
      </c>
      <c r="B2062" s="68" t="s">
        <v>420</v>
      </c>
      <c r="C2062" s="68" t="s">
        <v>421</v>
      </c>
      <c r="D2062" s="68" t="s">
        <v>422</v>
      </c>
      <c r="E2062" s="68">
        <v>2</v>
      </c>
      <c r="F2062" s="68">
        <v>12</v>
      </c>
      <c r="G2062" s="68">
        <v>140</v>
      </c>
      <c r="H2062" s="68">
        <v>12</v>
      </c>
      <c r="I2062" s="69">
        <v>65.2</v>
      </c>
      <c r="J2062" s="68"/>
      <c r="K2062" s="68"/>
      <c r="L2062" s="68"/>
      <c r="M2062" s="68"/>
      <c r="N2062" s="68"/>
    </row>
    <row r="2063" spans="1:14" x14ac:dyDescent="0.25">
      <c r="A2063" s="68" t="s">
        <v>346</v>
      </c>
      <c r="B2063" s="68" t="s">
        <v>420</v>
      </c>
      <c r="C2063" s="68" t="s">
        <v>421</v>
      </c>
      <c r="D2063" s="68" t="s">
        <v>422</v>
      </c>
      <c r="E2063" s="68">
        <v>2</v>
      </c>
      <c r="F2063" s="68">
        <v>12</v>
      </c>
      <c r="G2063" s="68">
        <v>160</v>
      </c>
      <c r="H2063" s="68">
        <v>12</v>
      </c>
      <c r="I2063" s="69">
        <v>65.2</v>
      </c>
      <c r="J2063" s="68"/>
      <c r="K2063" s="68"/>
      <c r="L2063" s="68"/>
      <c r="M2063" s="68"/>
      <c r="N2063" s="68"/>
    </row>
    <row r="2064" spans="1:14" x14ac:dyDescent="0.25">
      <c r="A2064" s="68" t="s">
        <v>346</v>
      </c>
      <c r="B2064" s="68" t="s">
        <v>420</v>
      </c>
      <c r="C2064" s="68" t="s">
        <v>421</v>
      </c>
      <c r="D2064" s="68" t="s">
        <v>422</v>
      </c>
      <c r="E2064" s="68">
        <v>2</v>
      </c>
      <c r="F2064" s="68">
        <v>12</v>
      </c>
      <c r="G2064" s="68">
        <v>180</v>
      </c>
      <c r="H2064" s="68">
        <v>12</v>
      </c>
      <c r="I2064" s="69">
        <v>65.2</v>
      </c>
      <c r="J2064" s="68"/>
      <c r="K2064" s="68"/>
      <c r="L2064" s="68"/>
      <c r="M2064" s="68"/>
      <c r="N2064" s="68"/>
    </row>
    <row r="2065" spans="1:14" x14ac:dyDescent="0.25">
      <c r="A2065" s="68" t="s">
        <v>346</v>
      </c>
      <c r="B2065" s="68" t="s">
        <v>420</v>
      </c>
      <c r="C2065" s="68" t="s">
        <v>421</v>
      </c>
      <c r="D2065" s="68" t="s">
        <v>422</v>
      </c>
      <c r="E2065" s="68">
        <v>2</v>
      </c>
      <c r="F2065" s="68">
        <v>12</v>
      </c>
      <c r="G2065" s="68">
        <v>200</v>
      </c>
      <c r="H2065" s="68">
        <v>12</v>
      </c>
      <c r="I2065" s="69">
        <v>65.2</v>
      </c>
      <c r="J2065" s="68"/>
      <c r="K2065" s="68"/>
      <c r="L2065" s="68"/>
      <c r="M2065" s="68"/>
      <c r="N2065" s="68"/>
    </row>
    <row r="2066" spans="1:14" x14ac:dyDescent="0.25">
      <c r="A2066" s="68" t="s">
        <v>346</v>
      </c>
      <c r="B2066" s="68" t="s">
        <v>420</v>
      </c>
      <c r="C2066" s="68" t="s">
        <v>421</v>
      </c>
      <c r="D2066" s="68" t="s">
        <v>422</v>
      </c>
      <c r="E2066" s="68">
        <v>2</v>
      </c>
      <c r="F2066" s="68">
        <v>16</v>
      </c>
      <c r="G2066" s="68">
        <v>120</v>
      </c>
      <c r="H2066" s="68">
        <v>16</v>
      </c>
      <c r="I2066" s="69">
        <v>137.80000000000001</v>
      </c>
      <c r="J2066" s="68"/>
      <c r="K2066" s="68"/>
      <c r="L2066" s="68"/>
      <c r="M2066" s="68"/>
      <c r="N2066" s="68"/>
    </row>
    <row r="2067" spans="1:14" x14ac:dyDescent="0.25">
      <c r="A2067" s="68" t="s">
        <v>346</v>
      </c>
      <c r="B2067" s="68" t="s">
        <v>420</v>
      </c>
      <c r="C2067" s="68" t="s">
        <v>421</v>
      </c>
      <c r="D2067" s="68" t="s">
        <v>422</v>
      </c>
      <c r="E2067" s="68">
        <v>2</v>
      </c>
      <c r="F2067" s="68">
        <v>16</v>
      </c>
      <c r="G2067" s="68">
        <v>140</v>
      </c>
      <c r="H2067" s="68">
        <v>16</v>
      </c>
      <c r="I2067" s="69">
        <v>137.80000000000001</v>
      </c>
      <c r="J2067" s="68"/>
      <c r="K2067" s="68"/>
      <c r="L2067" s="68"/>
      <c r="M2067" s="68"/>
      <c r="N2067" s="68"/>
    </row>
    <row r="2068" spans="1:14" x14ac:dyDescent="0.25">
      <c r="A2068" s="68" t="s">
        <v>346</v>
      </c>
      <c r="B2068" s="68" t="s">
        <v>420</v>
      </c>
      <c r="C2068" s="68" t="s">
        <v>421</v>
      </c>
      <c r="D2068" s="68" t="s">
        <v>422</v>
      </c>
      <c r="E2068" s="68">
        <v>2</v>
      </c>
      <c r="F2068" s="68">
        <v>16</v>
      </c>
      <c r="G2068" s="68">
        <v>150</v>
      </c>
      <c r="H2068" s="68">
        <v>16</v>
      </c>
      <c r="I2068" s="69">
        <v>137.80000000000001</v>
      </c>
      <c r="J2068" s="68"/>
      <c r="K2068" s="68"/>
      <c r="L2068" s="68"/>
      <c r="M2068" s="68"/>
      <c r="N2068" s="68"/>
    </row>
    <row r="2069" spans="1:14" x14ac:dyDescent="0.25">
      <c r="A2069" s="68" t="s">
        <v>346</v>
      </c>
      <c r="B2069" s="68" t="s">
        <v>420</v>
      </c>
      <c r="C2069" s="68" t="s">
        <v>421</v>
      </c>
      <c r="D2069" s="68" t="s">
        <v>422</v>
      </c>
      <c r="E2069" s="68">
        <v>2</v>
      </c>
      <c r="F2069" s="68">
        <v>16</v>
      </c>
      <c r="G2069" s="68">
        <v>160</v>
      </c>
      <c r="H2069" s="68">
        <v>16</v>
      </c>
      <c r="I2069" s="69">
        <v>137.80000000000001</v>
      </c>
      <c r="J2069" s="68"/>
      <c r="K2069" s="68"/>
      <c r="L2069" s="68"/>
      <c r="M2069" s="68"/>
      <c r="N2069" s="68"/>
    </row>
    <row r="2070" spans="1:14" x14ac:dyDescent="0.25">
      <c r="A2070" s="68" t="s">
        <v>346</v>
      </c>
      <c r="B2070" s="68" t="s">
        <v>420</v>
      </c>
      <c r="C2070" s="68" t="s">
        <v>421</v>
      </c>
      <c r="D2070" s="68" t="s">
        <v>422</v>
      </c>
      <c r="E2070" s="68">
        <v>2</v>
      </c>
      <c r="F2070" s="68">
        <v>16</v>
      </c>
      <c r="G2070" s="68">
        <v>180</v>
      </c>
      <c r="H2070" s="68">
        <v>16</v>
      </c>
      <c r="I2070" s="69">
        <v>137.80000000000001</v>
      </c>
      <c r="J2070" s="68"/>
      <c r="K2070" s="68"/>
      <c r="L2070" s="68"/>
      <c r="M2070" s="68"/>
      <c r="N2070" s="68"/>
    </row>
    <row r="2071" spans="1:14" x14ac:dyDescent="0.25">
      <c r="A2071" s="68" t="s">
        <v>346</v>
      </c>
      <c r="B2071" s="68" t="s">
        <v>420</v>
      </c>
      <c r="C2071" s="68" t="s">
        <v>421</v>
      </c>
      <c r="D2071" s="68" t="s">
        <v>422</v>
      </c>
      <c r="E2071" s="68">
        <v>2</v>
      </c>
      <c r="F2071" s="68">
        <v>16</v>
      </c>
      <c r="G2071" s="68">
        <v>200</v>
      </c>
      <c r="H2071" s="68">
        <v>16</v>
      </c>
      <c r="I2071" s="69">
        <v>137.80000000000001</v>
      </c>
      <c r="J2071" s="68"/>
      <c r="K2071" s="68"/>
      <c r="L2071" s="68"/>
      <c r="M2071" s="68"/>
      <c r="N2071" s="68"/>
    </row>
    <row r="2072" spans="1:14" x14ac:dyDescent="0.25">
      <c r="A2072" s="68" t="s">
        <v>346</v>
      </c>
      <c r="B2072" s="68" t="s">
        <v>420</v>
      </c>
      <c r="C2072" s="68" t="s">
        <v>421</v>
      </c>
      <c r="D2072" s="68" t="s">
        <v>422</v>
      </c>
      <c r="E2072" s="68">
        <v>2</v>
      </c>
      <c r="F2072" s="68">
        <v>16</v>
      </c>
      <c r="G2072" s="68">
        <v>250</v>
      </c>
      <c r="H2072" s="68">
        <v>16</v>
      </c>
      <c r="I2072" s="69">
        <v>137.80000000000001</v>
      </c>
      <c r="J2072" s="68"/>
      <c r="K2072" s="68"/>
      <c r="L2072" s="68"/>
      <c r="M2072" s="68"/>
      <c r="N2072" s="68"/>
    </row>
    <row r="2073" spans="1:14" x14ac:dyDescent="0.25">
      <c r="A2073" s="68" t="s">
        <v>346</v>
      </c>
      <c r="B2073" s="68" t="s">
        <v>420</v>
      </c>
      <c r="C2073" s="68" t="s">
        <v>423</v>
      </c>
      <c r="D2073" s="68" t="s">
        <v>422</v>
      </c>
      <c r="E2073" s="68">
        <v>3</v>
      </c>
      <c r="F2073" s="68">
        <v>8</v>
      </c>
      <c r="G2073" s="68">
        <v>80</v>
      </c>
      <c r="H2073" s="68">
        <v>8</v>
      </c>
      <c r="I2073" s="69">
        <v>22.7</v>
      </c>
      <c r="J2073" s="68"/>
      <c r="K2073" s="68"/>
      <c r="L2073" s="68"/>
      <c r="M2073" s="68"/>
      <c r="N2073" s="68"/>
    </row>
    <row r="2074" spans="1:14" x14ac:dyDescent="0.25">
      <c r="A2074" s="68" t="s">
        <v>346</v>
      </c>
      <c r="B2074" s="68" t="s">
        <v>420</v>
      </c>
      <c r="C2074" s="68" t="s">
        <v>423</v>
      </c>
      <c r="D2074" s="68" t="s">
        <v>422</v>
      </c>
      <c r="E2074" s="68">
        <v>3</v>
      </c>
      <c r="F2074" s="68">
        <v>8</v>
      </c>
      <c r="G2074" s="68">
        <v>90</v>
      </c>
      <c r="H2074" s="68">
        <v>8</v>
      </c>
      <c r="I2074" s="69">
        <v>22.7</v>
      </c>
      <c r="J2074" s="68"/>
      <c r="K2074" s="68"/>
      <c r="L2074" s="68"/>
      <c r="M2074" s="68"/>
      <c r="N2074" s="68"/>
    </row>
    <row r="2075" spans="1:14" x14ac:dyDescent="0.25">
      <c r="A2075" s="68" t="s">
        <v>346</v>
      </c>
      <c r="B2075" s="68" t="s">
        <v>420</v>
      </c>
      <c r="C2075" s="68" t="s">
        <v>423</v>
      </c>
      <c r="D2075" s="68" t="s">
        <v>422</v>
      </c>
      <c r="E2075" s="68">
        <v>3</v>
      </c>
      <c r="F2075" s="68">
        <v>8</v>
      </c>
      <c r="G2075" s="68">
        <v>100</v>
      </c>
      <c r="H2075" s="68">
        <v>8</v>
      </c>
      <c r="I2075" s="69">
        <v>22.7</v>
      </c>
      <c r="J2075" s="68"/>
      <c r="K2075" s="68"/>
      <c r="L2075" s="68"/>
      <c r="M2075" s="68"/>
      <c r="N2075" s="68"/>
    </row>
    <row r="2076" spans="1:14" x14ac:dyDescent="0.25">
      <c r="A2076" s="68" t="s">
        <v>346</v>
      </c>
      <c r="B2076" s="68" t="s">
        <v>420</v>
      </c>
      <c r="C2076" s="68" t="s">
        <v>423</v>
      </c>
      <c r="D2076" s="68" t="s">
        <v>422</v>
      </c>
      <c r="E2076" s="68">
        <v>3</v>
      </c>
      <c r="F2076" s="68">
        <v>8</v>
      </c>
      <c r="G2076" s="68">
        <v>115</v>
      </c>
      <c r="H2076" s="68">
        <v>8</v>
      </c>
      <c r="I2076" s="69">
        <v>22.7</v>
      </c>
      <c r="J2076" s="68"/>
      <c r="K2076" s="68"/>
      <c r="L2076" s="68"/>
      <c r="M2076" s="68"/>
      <c r="N2076" s="68"/>
    </row>
    <row r="2077" spans="1:14" x14ac:dyDescent="0.25">
      <c r="A2077" s="68" t="s">
        <v>346</v>
      </c>
      <c r="B2077" s="68" t="s">
        <v>420</v>
      </c>
      <c r="C2077" s="68" t="s">
        <v>423</v>
      </c>
      <c r="D2077" s="68" t="s">
        <v>422</v>
      </c>
      <c r="E2077" s="68">
        <v>3</v>
      </c>
      <c r="F2077" s="68">
        <v>8</v>
      </c>
      <c r="G2077" s="68">
        <v>120</v>
      </c>
      <c r="H2077" s="68">
        <v>8</v>
      </c>
      <c r="I2077" s="69">
        <v>22.7</v>
      </c>
      <c r="J2077" s="68"/>
      <c r="K2077" s="68"/>
      <c r="L2077" s="68"/>
      <c r="M2077" s="68"/>
      <c r="N2077" s="68"/>
    </row>
    <row r="2078" spans="1:14" x14ac:dyDescent="0.25">
      <c r="A2078" s="68" t="s">
        <v>346</v>
      </c>
      <c r="B2078" s="68" t="s">
        <v>420</v>
      </c>
      <c r="C2078" s="68" t="s">
        <v>423</v>
      </c>
      <c r="D2078" s="68" t="s">
        <v>422</v>
      </c>
      <c r="E2078" s="68">
        <v>3</v>
      </c>
      <c r="F2078" s="68">
        <v>8</v>
      </c>
      <c r="G2078" s="68">
        <v>140</v>
      </c>
      <c r="H2078" s="68">
        <v>8</v>
      </c>
      <c r="I2078" s="69">
        <v>22.7</v>
      </c>
      <c r="J2078" s="68"/>
      <c r="K2078" s="68"/>
      <c r="L2078" s="68"/>
      <c r="M2078" s="68"/>
      <c r="N2078" s="68"/>
    </row>
    <row r="2079" spans="1:14" x14ac:dyDescent="0.25">
      <c r="A2079" s="68" t="s">
        <v>346</v>
      </c>
      <c r="B2079" s="68" t="s">
        <v>420</v>
      </c>
      <c r="C2079" s="68" t="s">
        <v>423</v>
      </c>
      <c r="D2079" s="68" t="s">
        <v>422</v>
      </c>
      <c r="E2079" s="68">
        <v>3</v>
      </c>
      <c r="F2079" s="68">
        <v>12</v>
      </c>
      <c r="G2079" s="68">
        <v>120</v>
      </c>
      <c r="H2079" s="68">
        <v>12</v>
      </c>
      <c r="I2079" s="69">
        <v>65.2</v>
      </c>
      <c r="J2079" s="68"/>
      <c r="K2079" s="68"/>
      <c r="L2079" s="68"/>
      <c r="M2079" s="68"/>
      <c r="N2079" s="68"/>
    </row>
    <row r="2080" spans="1:14" x14ac:dyDescent="0.25">
      <c r="A2080" s="68" t="s">
        <v>346</v>
      </c>
      <c r="B2080" s="68" t="s">
        <v>420</v>
      </c>
      <c r="C2080" s="68" t="s">
        <v>423</v>
      </c>
      <c r="D2080" s="68" t="s">
        <v>422</v>
      </c>
      <c r="E2080" s="68">
        <v>3</v>
      </c>
      <c r="F2080" s="68">
        <v>12</v>
      </c>
      <c r="G2080" s="68">
        <v>140</v>
      </c>
      <c r="H2080" s="68">
        <v>12</v>
      </c>
      <c r="I2080" s="69">
        <v>65.2</v>
      </c>
      <c r="J2080" s="68"/>
      <c r="K2080" s="68"/>
      <c r="L2080" s="68"/>
      <c r="M2080" s="68"/>
      <c r="N2080" s="68"/>
    </row>
    <row r="2081" spans="1:14" x14ac:dyDescent="0.25">
      <c r="A2081" s="68" t="s">
        <v>346</v>
      </c>
      <c r="B2081" s="68" t="s">
        <v>420</v>
      </c>
      <c r="C2081" s="68" t="s">
        <v>423</v>
      </c>
      <c r="D2081" s="68" t="s">
        <v>422</v>
      </c>
      <c r="E2081" s="68">
        <v>3</v>
      </c>
      <c r="F2081" s="68">
        <v>16</v>
      </c>
      <c r="G2081" s="68">
        <v>100</v>
      </c>
      <c r="H2081" s="68">
        <v>16</v>
      </c>
      <c r="I2081" s="69">
        <v>137.80000000000001</v>
      </c>
      <c r="J2081" s="68"/>
      <c r="K2081" s="68"/>
      <c r="L2081" s="68"/>
      <c r="M2081" s="68"/>
      <c r="N2081" s="68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0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8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1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5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78" t="s">
        <v>485</v>
      </c>
      <c r="D2155" s="78" t="s">
        <v>479</v>
      </c>
      <c r="E2155" s="78">
        <v>2</v>
      </c>
      <c r="F2155" s="78">
        <v>10</v>
      </c>
      <c r="G2155" s="78">
        <v>600</v>
      </c>
      <c r="H2155" s="78">
        <v>17.8</v>
      </c>
      <c r="I2155" s="78">
        <v>40</v>
      </c>
      <c r="J2155" s="78">
        <v>10.8</v>
      </c>
      <c r="K2155" s="78">
        <v>12</v>
      </c>
      <c r="L2155" s="78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78" t="s">
        <v>486</v>
      </c>
      <c r="D2170" s="78" t="s">
        <v>479</v>
      </c>
      <c r="E2170" s="78">
        <v>2</v>
      </c>
      <c r="F2170" s="78">
        <v>11.3</v>
      </c>
      <c r="G2170" s="78">
        <v>1000</v>
      </c>
      <c r="H2170" s="78">
        <v>13</v>
      </c>
      <c r="I2170" s="78">
        <v>70</v>
      </c>
      <c r="J2170" s="78">
        <v>10.8</v>
      </c>
      <c r="K2170" s="78">
        <v>12</v>
      </c>
      <c r="L2170" s="78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5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78" t="s">
        <v>472</v>
      </c>
      <c r="E2185" s="78">
        <v>3</v>
      </c>
      <c r="F2185" s="78">
        <v>10</v>
      </c>
      <c r="G2185" s="78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8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7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  <row r="2229" spans="1:14" x14ac:dyDescent="0.25">
      <c r="A2229" s="34" t="s">
        <v>344</v>
      </c>
      <c r="B2229" t="s">
        <v>482</v>
      </c>
      <c r="C2229" t="s">
        <v>488</v>
      </c>
      <c r="D2229" t="s">
        <v>487</v>
      </c>
      <c r="E2229">
        <v>2</v>
      </c>
      <c r="F2229">
        <v>3.5</v>
      </c>
      <c r="G2229">
        <v>30</v>
      </c>
      <c r="H2229">
        <v>7</v>
      </c>
      <c r="I2229">
        <v>2.2999999999999998</v>
      </c>
      <c r="J2229">
        <v>13.3</v>
      </c>
      <c r="K2229">
        <v>12</v>
      </c>
      <c r="L2229">
        <v>3.8</v>
      </c>
      <c r="M2229">
        <v>18</v>
      </c>
    </row>
    <row r="2230" spans="1:14" x14ac:dyDescent="0.25">
      <c r="A2230" s="34" t="s">
        <v>344</v>
      </c>
      <c r="B2230" t="s">
        <v>482</v>
      </c>
      <c r="C2230" t="s">
        <v>488</v>
      </c>
      <c r="D2230" t="s">
        <v>487</v>
      </c>
      <c r="E2230">
        <v>2</v>
      </c>
      <c r="F2230">
        <v>3.5</v>
      </c>
      <c r="G2230">
        <v>35</v>
      </c>
      <c r="H2230">
        <v>7</v>
      </c>
      <c r="I2230">
        <v>2.2999999999999998</v>
      </c>
      <c r="J2230">
        <v>13.3</v>
      </c>
      <c r="K2230">
        <v>12</v>
      </c>
      <c r="L2230">
        <v>3.8</v>
      </c>
      <c r="M2230">
        <v>21</v>
      </c>
    </row>
    <row r="2231" spans="1:14" x14ac:dyDescent="0.25">
      <c r="A2231" s="34" t="s">
        <v>344</v>
      </c>
      <c r="B2231" t="s">
        <v>482</v>
      </c>
      <c r="C2231" t="s">
        <v>488</v>
      </c>
      <c r="D2231" t="s">
        <v>487</v>
      </c>
      <c r="E2231">
        <v>2</v>
      </c>
      <c r="F2231">
        <v>3.5</v>
      </c>
      <c r="G2231">
        <v>40</v>
      </c>
      <c r="H2231">
        <v>7</v>
      </c>
      <c r="I2231">
        <v>2.2999999999999998</v>
      </c>
      <c r="J2231">
        <v>13.3</v>
      </c>
      <c r="K2231">
        <v>12</v>
      </c>
      <c r="L2231">
        <v>3.8</v>
      </c>
      <c r="M2231">
        <v>24</v>
      </c>
    </row>
    <row r="2232" spans="1:14" x14ac:dyDescent="0.25">
      <c r="A2232" s="34" t="s">
        <v>344</v>
      </c>
      <c r="B2232" t="s">
        <v>482</v>
      </c>
      <c r="C2232" t="s">
        <v>488</v>
      </c>
      <c r="D2232" t="s">
        <v>487</v>
      </c>
      <c r="E2232">
        <v>2</v>
      </c>
      <c r="F2232">
        <v>3.5</v>
      </c>
      <c r="G2232">
        <v>45</v>
      </c>
      <c r="H2232">
        <v>7</v>
      </c>
      <c r="I2232">
        <v>2.2999999999999998</v>
      </c>
      <c r="J2232">
        <v>13.3</v>
      </c>
      <c r="K2232">
        <v>12</v>
      </c>
      <c r="L2232">
        <v>3.8</v>
      </c>
      <c r="M2232">
        <v>27</v>
      </c>
    </row>
    <row r="2233" spans="1:14" x14ac:dyDescent="0.25">
      <c r="A2233" s="34" t="s">
        <v>344</v>
      </c>
      <c r="B2233" t="s">
        <v>482</v>
      </c>
      <c r="C2233" t="s">
        <v>488</v>
      </c>
      <c r="D2233" t="s">
        <v>487</v>
      </c>
      <c r="E2233">
        <v>2</v>
      </c>
      <c r="F2233">
        <v>3.5</v>
      </c>
      <c r="G2233">
        <v>50</v>
      </c>
      <c r="H2233">
        <v>7</v>
      </c>
      <c r="I2233">
        <v>2.2999999999999998</v>
      </c>
      <c r="J2233">
        <v>13.3</v>
      </c>
      <c r="K2233">
        <v>12</v>
      </c>
      <c r="L2233">
        <v>3.8</v>
      </c>
      <c r="M2233">
        <v>30</v>
      </c>
    </row>
    <row r="2234" spans="1:14" x14ac:dyDescent="0.25">
      <c r="A2234" s="34" t="s">
        <v>344</v>
      </c>
      <c r="B2234" t="s">
        <v>482</v>
      </c>
      <c r="C2234" t="s">
        <v>488</v>
      </c>
      <c r="D2234" t="s">
        <v>487</v>
      </c>
      <c r="E2234">
        <v>2</v>
      </c>
      <c r="F2234">
        <v>4</v>
      </c>
      <c r="G2234">
        <v>30</v>
      </c>
      <c r="H2234">
        <v>8</v>
      </c>
      <c r="I2234">
        <v>3.3</v>
      </c>
      <c r="J2234">
        <v>12.9</v>
      </c>
      <c r="K2234">
        <v>12</v>
      </c>
      <c r="L2234">
        <v>5</v>
      </c>
      <c r="M2234">
        <v>18</v>
      </c>
    </row>
    <row r="2235" spans="1:14" x14ac:dyDescent="0.25">
      <c r="A2235" s="34" t="s">
        <v>344</v>
      </c>
      <c r="B2235" t="s">
        <v>482</v>
      </c>
      <c r="C2235" t="s">
        <v>488</v>
      </c>
      <c r="D2235" t="s">
        <v>487</v>
      </c>
      <c r="E2235">
        <v>2</v>
      </c>
      <c r="F2235">
        <v>4</v>
      </c>
      <c r="G2235">
        <v>35</v>
      </c>
      <c r="H2235">
        <v>8</v>
      </c>
      <c r="I2235">
        <v>3.3</v>
      </c>
      <c r="J2235">
        <v>12.9</v>
      </c>
      <c r="K2235">
        <v>12</v>
      </c>
      <c r="L2235">
        <v>5</v>
      </c>
      <c r="M2235">
        <v>21</v>
      </c>
    </row>
    <row r="2236" spans="1:14" x14ac:dyDescent="0.25">
      <c r="A2236" s="34" t="s">
        <v>344</v>
      </c>
      <c r="B2236" t="s">
        <v>482</v>
      </c>
      <c r="C2236" t="s">
        <v>488</v>
      </c>
      <c r="D2236" t="s">
        <v>487</v>
      </c>
      <c r="E2236">
        <v>2</v>
      </c>
      <c r="F2236">
        <v>4</v>
      </c>
      <c r="G2236">
        <v>40</v>
      </c>
      <c r="H2236">
        <v>8</v>
      </c>
      <c r="I2236">
        <v>3.3</v>
      </c>
      <c r="J2236">
        <v>12.9</v>
      </c>
      <c r="K2236">
        <v>12</v>
      </c>
      <c r="L2236">
        <v>5</v>
      </c>
      <c r="M2236">
        <v>24</v>
      </c>
    </row>
    <row r="2237" spans="1:14" x14ac:dyDescent="0.25">
      <c r="A2237" s="34" t="s">
        <v>344</v>
      </c>
      <c r="B2237" t="s">
        <v>482</v>
      </c>
      <c r="C2237" t="s">
        <v>488</v>
      </c>
      <c r="D2237" t="s">
        <v>487</v>
      </c>
      <c r="E2237">
        <v>2</v>
      </c>
      <c r="F2237">
        <v>4</v>
      </c>
      <c r="G2237">
        <v>45</v>
      </c>
      <c r="H2237">
        <v>8</v>
      </c>
      <c r="I2237">
        <v>3.3</v>
      </c>
      <c r="J2237">
        <v>12.9</v>
      </c>
      <c r="K2237">
        <v>12</v>
      </c>
      <c r="L2237">
        <v>5</v>
      </c>
      <c r="M2237">
        <v>27</v>
      </c>
    </row>
    <row r="2238" spans="1:14" x14ac:dyDescent="0.25">
      <c r="A2238" s="34" t="s">
        <v>344</v>
      </c>
      <c r="B2238" t="s">
        <v>482</v>
      </c>
      <c r="C2238" t="s">
        <v>488</v>
      </c>
      <c r="D2238" t="s">
        <v>487</v>
      </c>
      <c r="E2238">
        <v>2</v>
      </c>
      <c r="F2238">
        <v>4</v>
      </c>
      <c r="G2238">
        <v>50</v>
      </c>
      <c r="H2238">
        <v>8</v>
      </c>
      <c r="I2238">
        <v>3.3</v>
      </c>
      <c r="J2238">
        <v>12.9</v>
      </c>
      <c r="K2238">
        <v>12</v>
      </c>
      <c r="L2238">
        <v>5</v>
      </c>
      <c r="M2238">
        <v>30</v>
      </c>
    </row>
    <row r="2239" spans="1:14" x14ac:dyDescent="0.25">
      <c r="A2239" s="34" t="s">
        <v>344</v>
      </c>
      <c r="B2239" t="s">
        <v>482</v>
      </c>
      <c r="C2239" t="s">
        <v>488</v>
      </c>
      <c r="D2239" t="s">
        <v>487</v>
      </c>
      <c r="E2239">
        <v>2</v>
      </c>
      <c r="F2239">
        <v>4</v>
      </c>
      <c r="G2239">
        <v>60</v>
      </c>
      <c r="H2239">
        <v>8</v>
      </c>
      <c r="I2239">
        <v>3.3</v>
      </c>
      <c r="J2239">
        <v>12.9</v>
      </c>
      <c r="K2239">
        <v>12</v>
      </c>
      <c r="L2239">
        <v>5</v>
      </c>
      <c r="M2239">
        <v>36</v>
      </c>
    </row>
    <row r="2240" spans="1:14" x14ac:dyDescent="0.25">
      <c r="A2240" s="34" t="s">
        <v>344</v>
      </c>
      <c r="B2240" t="s">
        <v>482</v>
      </c>
      <c r="C2240" t="s">
        <v>488</v>
      </c>
      <c r="D2240" t="s">
        <v>487</v>
      </c>
      <c r="E2240">
        <v>2</v>
      </c>
      <c r="F2240">
        <v>4</v>
      </c>
      <c r="G2240">
        <v>70</v>
      </c>
      <c r="H2240">
        <v>8</v>
      </c>
      <c r="I2240">
        <v>3.3</v>
      </c>
      <c r="J2240">
        <v>12.9</v>
      </c>
      <c r="K2240">
        <v>12</v>
      </c>
      <c r="L2240">
        <v>5</v>
      </c>
      <c r="M2240">
        <v>42</v>
      </c>
    </row>
    <row r="2241" spans="1:13" x14ac:dyDescent="0.25">
      <c r="A2241" s="34" t="s">
        <v>344</v>
      </c>
      <c r="B2241" t="s">
        <v>482</v>
      </c>
      <c r="C2241" t="s">
        <v>488</v>
      </c>
      <c r="D2241" t="s">
        <v>487</v>
      </c>
      <c r="E2241">
        <v>2</v>
      </c>
      <c r="F2241">
        <v>4</v>
      </c>
      <c r="G2241">
        <v>80</v>
      </c>
      <c r="H2241">
        <v>8</v>
      </c>
      <c r="I2241">
        <v>3.3</v>
      </c>
      <c r="J2241">
        <v>12.9</v>
      </c>
      <c r="K2241">
        <v>12</v>
      </c>
      <c r="L2241">
        <v>5</v>
      </c>
      <c r="M2241">
        <v>48</v>
      </c>
    </row>
    <row r="2242" spans="1:13" x14ac:dyDescent="0.25">
      <c r="A2242" s="34" t="s">
        <v>344</v>
      </c>
      <c r="B2242" t="s">
        <v>482</v>
      </c>
      <c r="C2242" t="s">
        <v>488</v>
      </c>
      <c r="D2242" t="s">
        <v>487</v>
      </c>
      <c r="E2242">
        <v>2</v>
      </c>
      <c r="F2242">
        <v>4.5</v>
      </c>
      <c r="G2242">
        <v>40</v>
      </c>
      <c r="H2242">
        <v>9</v>
      </c>
      <c r="I2242">
        <v>4.5</v>
      </c>
      <c r="J2242">
        <v>12.5</v>
      </c>
      <c r="K2242">
        <v>12</v>
      </c>
      <c r="L2242">
        <v>6.4</v>
      </c>
      <c r="M2242">
        <v>24</v>
      </c>
    </row>
    <row r="2243" spans="1:13" x14ac:dyDescent="0.25">
      <c r="A2243" s="34" t="s">
        <v>344</v>
      </c>
      <c r="B2243" t="s">
        <v>482</v>
      </c>
      <c r="C2243" t="s">
        <v>488</v>
      </c>
      <c r="D2243" t="s">
        <v>487</v>
      </c>
      <c r="E2243">
        <v>2</v>
      </c>
      <c r="F2243">
        <v>4.5</v>
      </c>
      <c r="G2243">
        <v>45</v>
      </c>
      <c r="H2243">
        <v>9</v>
      </c>
      <c r="I2243">
        <v>4.5</v>
      </c>
      <c r="J2243">
        <v>12.5</v>
      </c>
      <c r="K2243">
        <v>12</v>
      </c>
      <c r="L2243">
        <v>6.4</v>
      </c>
      <c r="M2243">
        <v>27</v>
      </c>
    </row>
    <row r="2244" spans="1:13" x14ac:dyDescent="0.25">
      <c r="A2244" s="34" t="s">
        <v>344</v>
      </c>
      <c r="B2244" t="s">
        <v>482</v>
      </c>
      <c r="C2244" t="s">
        <v>488</v>
      </c>
      <c r="D2244" t="s">
        <v>487</v>
      </c>
      <c r="E2244">
        <v>2</v>
      </c>
      <c r="F2244">
        <v>4.5</v>
      </c>
      <c r="G2244">
        <v>50</v>
      </c>
      <c r="H2244">
        <v>9</v>
      </c>
      <c r="I2244">
        <v>4.5</v>
      </c>
      <c r="J2244">
        <v>12.5</v>
      </c>
      <c r="K2244">
        <v>12</v>
      </c>
      <c r="L2244">
        <v>6.4</v>
      </c>
      <c r="M2244">
        <v>30</v>
      </c>
    </row>
    <row r="2245" spans="1:13" x14ac:dyDescent="0.25">
      <c r="A2245" s="34" t="s">
        <v>344</v>
      </c>
      <c r="B2245" t="s">
        <v>482</v>
      </c>
      <c r="C2245" t="s">
        <v>488</v>
      </c>
      <c r="D2245" t="s">
        <v>487</v>
      </c>
      <c r="E2245">
        <v>2</v>
      </c>
      <c r="F2245">
        <v>4.5</v>
      </c>
      <c r="G2245">
        <v>60</v>
      </c>
      <c r="H2245">
        <v>9</v>
      </c>
      <c r="I2245">
        <v>4.5</v>
      </c>
      <c r="J2245">
        <v>12.5</v>
      </c>
      <c r="K2245">
        <v>12</v>
      </c>
      <c r="L2245">
        <v>6.4</v>
      </c>
      <c r="M2245">
        <v>36</v>
      </c>
    </row>
    <row r="2246" spans="1:13" x14ac:dyDescent="0.25">
      <c r="A2246" s="34" t="s">
        <v>344</v>
      </c>
      <c r="B2246" t="s">
        <v>482</v>
      </c>
      <c r="C2246" t="s">
        <v>488</v>
      </c>
      <c r="D2246" t="s">
        <v>487</v>
      </c>
      <c r="E2246">
        <v>2</v>
      </c>
      <c r="F2246">
        <v>4.5</v>
      </c>
      <c r="G2246">
        <v>70</v>
      </c>
      <c r="H2246">
        <v>9</v>
      </c>
      <c r="I2246">
        <v>4.5</v>
      </c>
      <c r="J2246">
        <v>12.5</v>
      </c>
      <c r="K2246">
        <v>12</v>
      </c>
      <c r="L2246">
        <v>6.4</v>
      </c>
      <c r="M2246">
        <v>42</v>
      </c>
    </row>
    <row r="2247" spans="1:13" x14ac:dyDescent="0.25">
      <c r="A2247" s="34" t="s">
        <v>344</v>
      </c>
      <c r="B2247" t="s">
        <v>482</v>
      </c>
      <c r="C2247" t="s">
        <v>488</v>
      </c>
      <c r="D2247" t="s">
        <v>487</v>
      </c>
      <c r="E2247">
        <v>2</v>
      </c>
      <c r="F2247">
        <v>4.5</v>
      </c>
      <c r="G2247">
        <v>80</v>
      </c>
      <c r="H2247">
        <v>9</v>
      </c>
      <c r="I2247">
        <v>4.5</v>
      </c>
      <c r="J2247">
        <v>12.5</v>
      </c>
      <c r="K2247">
        <v>12</v>
      </c>
      <c r="L2247">
        <v>6.4</v>
      </c>
      <c r="M2247">
        <v>48</v>
      </c>
    </row>
    <row r="2248" spans="1:13" x14ac:dyDescent="0.25">
      <c r="A2248" s="34" t="s">
        <v>344</v>
      </c>
      <c r="B2248" t="s">
        <v>482</v>
      </c>
      <c r="C2248" t="s">
        <v>488</v>
      </c>
      <c r="D2248" t="s">
        <v>487</v>
      </c>
      <c r="E2248">
        <v>2</v>
      </c>
      <c r="F2248">
        <v>5</v>
      </c>
      <c r="G2248">
        <v>40</v>
      </c>
      <c r="H2248">
        <v>10</v>
      </c>
      <c r="I2248">
        <v>5.9</v>
      </c>
      <c r="J2248">
        <v>12.1</v>
      </c>
      <c r="K2248">
        <v>12</v>
      </c>
      <c r="L2248">
        <v>7.9</v>
      </c>
      <c r="M2248">
        <v>24</v>
      </c>
    </row>
    <row r="2249" spans="1:13" x14ac:dyDescent="0.25">
      <c r="A2249" s="34" t="s">
        <v>344</v>
      </c>
      <c r="B2249" t="s">
        <v>482</v>
      </c>
      <c r="C2249" t="s">
        <v>488</v>
      </c>
      <c r="D2249" t="s">
        <v>487</v>
      </c>
      <c r="E2249">
        <v>2</v>
      </c>
      <c r="F2249">
        <v>5</v>
      </c>
      <c r="G2249">
        <v>45</v>
      </c>
      <c r="H2249">
        <v>10</v>
      </c>
      <c r="I2249">
        <v>5.9</v>
      </c>
      <c r="J2249">
        <v>12.1</v>
      </c>
      <c r="K2249">
        <v>12</v>
      </c>
      <c r="L2249">
        <v>7.9</v>
      </c>
      <c r="M2249">
        <v>27</v>
      </c>
    </row>
    <row r="2250" spans="1:13" x14ac:dyDescent="0.25">
      <c r="A2250" s="34" t="s">
        <v>344</v>
      </c>
      <c r="B2250" t="s">
        <v>482</v>
      </c>
      <c r="C2250" t="s">
        <v>488</v>
      </c>
      <c r="D2250" t="s">
        <v>487</v>
      </c>
      <c r="E2250">
        <v>2</v>
      </c>
      <c r="F2250">
        <v>5</v>
      </c>
      <c r="G2250">
        <v>50</v>
      </c>
      <c r="H2250">
        <v>10</v>
      </c>
      <c r="I2250">
        <v>5.9</v>
      </c>
      <c r="J2250">
        <v>12.1</v>
      </c>
      <c r="K2250">
        <v>12</v>
      </c>
      <c r="L2250">
        <v>7.9</v>
      </c>
      <c r="M2250">
        <v>30</v>
      </c>
    </row>
    <row r="2251" spans="1:13" x14ac:dyDescent="0.25">
      <c r="A2251" s="34" t="s">
        <v>344</v>
      </c>
      <c r="B2251" t="s">
        <v>482</v>
      </c>
      <c r="C2251" t="s">
        <v>488</v>
      </c>
      <c r="D2251" t="s">
        <v>487</v>
      </c>
      <c r="E2251">
        <v>2</v>
      </c>
      <c r="F2251">
        <v>5</v>
      </c>
      <c r="G2251">
        <v>60</v>
      </c>
      <c r="H2251">
        <v>10</v>
      </c>
      <c r="I2251">
        <v>5.9</v>
      </c>
      <c r="J2251">
        <v>12.1</v>
      </c>
      <c r="K2251">
        <v>12</v>
      </c>
      <c r="L2251">
        <v>7.9</v>
      </c>
      <c r="M2251">
        <v>36</v>
      </c>
    </row>
    <row r="2252" spans="1:13" x14ac:dyDescent="0.25">
      <c r="A2252" s="34" t="s">
        <v>344</v>
      </c>
      <c r="B2252" t="s">
        <v>482</v>
      </c>
      <c r="C2252" t="s">
        <v>488</v>
      </c>
      <c r="D2252" t="s">
        <v>487</v>
      </c>
      <c r="E2252">
        <v>2</v>
      </c>
      <c r="F2252">
        <v>5</v>
      </c>
      <c r="G2252">
        <v>70</v>
      </c>
      <c r="H2252">
        <v>10</v>
      </c>
      <c r="I2252">
        <v>5.9</v>
      </c>
      <c r="J2252">
        <v>12.1</v>
      </c>
      <c r="K2252">
        <v>12</v>
      </c>
      <c r="L2252">
        <v>7.9</v>
      </c>
      <c r="M2252">
        <v>42</v>
      </c>
    </row>
    <row r="2253" spans="1:13" x14ac:dyDescent="0.25">
      <c r="A2253" s="34" t="s">
        <v>344</v>
      </c>
      <c r="B2253" t="s">
        <v>482</v>
      </c>
      <c r="C2253" t="s">
        <v>488</v>
      </c>
      <c r="D2253" t="s">
        <v>487</v>
      </c>
      <c r="E2253">
        <v>2</v>
      </c>
      <c r="F2253">
        <v>5</v>
      </c>
      <c r="G2253">
        <v>80</v>
      </c>
      <c r="H2253">
        <v>10</v>
      </c>
      <c r="I2253">
        <v>5.9</v>
      </c>
      <c r="J2253">
        <v>12.1</v>
      </c>
      <c r="K2253">
        <v>12</v>
      </c>
      <c r="L2253">
        <v>7.9</v>
      </c>
      <c r="M2253">
        <v>48</v>
      </c>
    </row>
    <row r="2254" spans="1:13" x14ac:dyDescent="0.25">
      <c r="A2254" s="34" t="s">
        <v>344</v>
      </c>
      <c r="B2254" t="s">
        <v>482</v>
      </c>
      <c r="C2254" t="s">
        <v>488</v>
      </c>
      <c r="D2254" t="s">
        <v>487</v>
      </c>
      <c r="E2254">
        <v>2</v>
      </c>
      <c r="F2254">
        <v>5</v>
      </c>
      <c r="G2254">
        <v>90</v>
      </c>
      <c r="H2254">
        <v>10</v>
      </c>
      <c r="I2254">
        <v>5.9</v>
      </c>
      <c r="J2254">
        <v>12.1</v>
      </c>
      <c r="K2254">
        <v>12</v>
      </c>
      <c r="L2254">
        <v>7.9</v>
      </c>
      <c r="M2254">
        <v>54</v>
      </c>
    </row>
    <row r="2255" spans="1:13" x14ac:dyDescent="0.25">
      <c r="A2255" s="34" t="s">
        <v>344</v>
      </c>
      <c r="B2255" t="s">
        <v>482</v>
      </c>
      <c r="C2255" t="s">
        <v>488</v>
      </c>
      <c r="D2255" t="s">
        <v>487</v>
      </c>
      <c r="E2255">
        <v>2</v>
      </c>
      <c r="F2255">
        <v>5</v>
      </c>
      <c r="G2255">
        <v>100</v>
      </c>
      <c r="H2255">
        <v>10</v>
      </c>
      <c r="I2255">
        <v>5.9</v>
      </c>
      <c r="J2255">
        <v>12.1</v>
      </c>
      <c r="K2255">
        <v>12</v>
      </c>
      <c r="L2255">
        <v>7.9</v>
      </c>
      <c r="M2255">
        <v>60</v>
      </c>
    </row>
    <row r="2256" spans="1:13" x14ac:dyDescent="0.25">
      <c r="A2256" s="34" t="s">
        <v>344</v>
      </c>
      <c r="B2256" t="s">
        <v>482</v>
      </c>
      <c r="C2256" t="s">
        <v>488</v>
      </c>
      <c r="D2256" t="s">
        <v>487</v>
      </c>
      <c r="E2256">
        <v>2</v>
      </c>
      <c r="F2256">
        <v>5</v>
      </c>
      <c r="G2256">
        <v>120</v>
      </c>
      <c r="H2256">
        <v>10</v>
      </c>
      <c r="I2256">
        <v>5.9</v>
      </c>
      <c r="J2256">
        <v>12.1</v>
      </c>
      <c r="K2256">
        <v>12</v>
      </c>
      <c r="L2256">
        <v>7.9</v>
      </c>
      <c r="M2256">
        <v>70</v>
      </c>
    </row>
    <row r="2257" spans="1:13" x14ac:dyDescent="0.25">
      <c r="A2257" s="34" t="s">
        <v>344</v>
      </c>
      <c r="B2257" t="s">
        <v>482</v>
      </c>
      <c r="C2257" t="s">
        <v>488</v>
      </c>
      <c r="D2257" t="s">
        <v>487</v>
      </c>
      <c r="E2257">
        <v>2</v>
      </c>
      <c r="F2257">
        <v>6</v>
      </c>
      <c r="G2257">
        <v>60</v>
      </c>
      <c r="H2257">
        <v>12</v>
      </c>
      <c r="I2257">
        <v>9.5</v>
      </c>
      <c r="J2257">
        <v>11.4</v>
      </c>
      <c r="K2257">
        <v>12</v>
      </c>
      <c r="L2257">
        <v>11</v>
      </c>
      <c r="M2257">
        <v>36</v>
      </c>
    </row>
    <row r="2258" spans="1:13" x14ac:dyDescent="0.25">
      <c r="A2258" s="34" t="s">
        <v>344</v>
      </c>
      <c r="B2258" t="s">
        <v>482</v>
      </c>
      <c r="C2258" t="s">
        <v>488</v>
      </c>
      <c r="D2258" t="s">
        <v>487</v>
      </c>
      <c r="E2258">
        <v>2</v>
      </c>
      <c r="F2258">
        <v>6</v>
      </c>
      <c r="G2258">
        <v>70</v>
      </c>
      <c r="H2258">
        <v>12</v>
      </c>
      <c r="I2258">
        <v>9.5</v>
      </c>
      <c r="J2258">
        <v>11.4</v>
      </c>
      <c r="K2258">
        <v>12</v>
      </c>
      <c r="L2258">
        <v>11</v>
      </c>
      <c r="M2258">
        <v>42</v>
      </c>
    </row>
    <row r="2259" spans="1:13" x14ac:dyDescent="0.25">
      <c r="A2259" s="34" t="s">
        <v>344</v>
      </c>
      <c r="B2259" t="s">
        <v>482</v>
      </c>
      <c r="C2259" t="s">
        <v>488</v>
      </c>
      <c r="D2259" t="s">
        <v>487</v>
      </c>
      <c r="E2259">
        <v>2</v>
      </c>
      <c r="F2259">
        <v>6</v>
      </c>
      <c r="G2259">
        <v>80</v>
      </c>
      <c r="H2259">
        <v>12</v>
      </c>
      <c r="I2259">
        <v>9.5</v>
      </c>
      <c r="J2259">
        <v>11.4</v>
      </c>
      <c r="K2259">
        <v>12</v>
      </c>
      <c r="L2259">
        <v>11</v>
      </c>
      <c r="M2259">
        <v>48</v>
      </c>
    </row>
    <row r="2260" spans="1:13" x14ac:dyDescent="0.25">
      <c r="A2260" s="34" t="s">
        <v>344</v>
      </c>
      <c r="B2260" t="s">
        <v>482</v>
      </c>
      <c r="C2260" t="s">
        <v>488</v>
      </c>
      <c r="D2260" t="s">
        <v>487</v>
      </c>
      <c r="E2260">
        <v>2</v>
      </c>
      <c r="F2260">
        <v>6</v>
      </c>
      <c r="G2260">
        <v>90</v>
      </c>
      <c r="H2260">
        <v>12</v>
      </c>
      <c r="I2260">
        <v>9.5</v>
      </c>
      <c r="J2260">
        <v>11.4</v>
      </c>
      <c r="K2260">
        <v>12</v>
      </c>
      <c r="L2260">
        <v>11</v>
      </c>
      <c r="M2260">
        <v>54</v>
      </c>
    </row>
    <row r="2261" spans="1:13" x14ac:dyDescent="0.25">
      <c r="A2261" s="34" t="s">
        <v>344</v>
      </c>
      <c r="B2261" t="s">
        <v>482</v>
      </c>
      <c r="C2261" t="s">
        <v>488</v>
      </c>
      <c r="D2261" t="s">
        <v>487</v>
      </c>
      <c r="E2261">
        <v>2</v>
      </c>
      <c r="F2261">
        <v>6</v>
      </c>
      <c r="G2261">
        <v>100</v>
      </c>
      <c r="H2261">
        <v>12</v>
      </c>
      <c r="I2261">
        <v>9.5</v>
      </c>
      <c r="J2261">
        <v>11.4</v>
      </c>
      <c r="K2261">
        <v>12</v>
      </c>
      <c r="L2261">
        <v>11</v>
      </c>
      <c r="M2261">
        <v>60</v>
      </c>
    </row>
    <row r="2262" spans="1:13" x14ac:dyDescent="0.25">
      <c r="A2262" s="34" t="s">
        <v>344</v>
      </c>
      <c r="B2262" t="s">
        <v>482</v>
      </c>
      <c r="C2262" t="s">
        <v>488</v>
      </c>
      <c r="D2262" t="s">
        <v>487</v>
      </c>
      <c r="E2262">
        <v>2</v>
      </c>
      <c r="F2262">
        <v>6</v>
      </c>
      <c r="G2262">
        <v>110</v>
      </c>
      <c r="H2262">
        <v>12</v>
      </c>
      <c r="I2262">
        <v>9.5</v>
      </c>
      <c r="J2262">
        <v>11.4</v>
      </c>
      <c r="K2262">
        <v>12</v>
      </c>
      <c r="L2262">
        <v>11</v>
      </c>
      <c r="M2262">
        <v>70</v>
      </c>
    </row>
    <row r="2263" spans="1:13" x14ac:dyDescent="0.25">
      <c r="A2263" s="34" t="s">
        <v>344</v>
      </c>
      <c r="B2263" t="s">
        <v>482</v>
      </c>
      <c r="C2263" t="s">
        <v>488</v>
      </c>
      <c r="D2263" t="s">
        <v>487</v>
      </c>
      <c r="E2263">
        <v>2</v>
      </c>
      <c r="F2263">
        <v>6</v>
      </c>
      <c r="G2263">
        <v>120</v>
      </c>
      <c r="H2263">
        <v>12</v>
      </c>
      <c r="I2263">
        <v>9.5</v>
      </c>
      <c r="J2263">
        <v>11.4</v>
      </c>
      <c r="K2263">
        <v>12</v>
      </c>
      <c r="L2263">
        <v>11</v>
      </c>
      <c r="M2263">
        <v>70</v>
      </c>
    </row>
    <row r="2264" spans="1:13" x14ac:dyDescent="0.25">
      <c r="A2264" s="34" t="s">
        <v>344</v>
      </c>
      <c r="B2264" t="s">
        <v>482</v>
      </c>
      <c r="C2264" t="s">
        <v>488</v>
      </c>
      <c r="D2264" t="s">
        <v>487</v>
      </c>
      <c r="E2264">
        <v>2</v>
      </c>
      <c r="F2264">
        <v>6</v>
      </c>
      <c r="G2264">
        <v>130</v>
      </c>
      <c r="H2264">
        <v>12</v>
      </c>
      <c r="I2264">
        <v>9.5</v>
      </c>
      <c r="J2264">
        <v>11.4</v>
      </c>
      <c r="K2264">
        <v>12</v>
      </c>
      <c r="L2264">
        <v>11</v>
      </c>
      <c r="M2264">
        <v>70</v>
      </c>
    </row>
    <row r="2265" spans="1:13" x14ac:dyDescent="0.25">
      <c r="A2265" s="34" t="s">
        <v>344</v>
      </c>
      <c r="B2265" t="s">
        <v>482</v>
      </c>
      <c r="C2265" t="s">
        <v>488</v>
      </c>
      <c r="D2265" t="s">
        <v>487</v>
      </c>
      <c r="E2265">
        <v>2</v>
      </c>
      <c r="F2265">
        <v>6</v>
      </c>
      <c r="G2265">
        <v>140</v>
      </c>
      <c r="H2265">
        <v>12</v>
      </c>
      <c r="I2265">
        <v>9.5</v>
      </c>
      <c r="J2265">
        <v>11.4</v>
      </c>
      <c r="K2265">
        <v>12</v>
      </c>
      <c r="L2265">
        <v>11</v>
      </c>
      <c r="M2265">
        <v>70</v>
      </c>
    </row>
    <row r="2266" spans="1:13" x14ac:dyDescent="0.25">
      <c r="A2266" s="34" t="s">
        <v>344</v>
      </c>
      <c r="B2266" t="s">
        <v>482</v>
      </c>
      <c r="C2266" t="s">
        <v>488</v>
      </c>
      <c r="D2266" t="s">
        <v>487</v>
      </c>
      <c r="E2266">
        <v>2</v>
      </c>
      <c r="F2266">
        <v>6</v>
      </c>
      <c r="G2266">
        <v>150</v>
      </c>
      <c r="H2266">
        <v>12</v>
      </c>
      <c r="I2266">
        <v>9.5</v>
      </c>
      <c r="J2266">
        <v>11.4</v>
      </c>
      <c r="K2266">
        <v>12</v>
      </c>
      <c r="L2266">
        <v>11</v>
      </c>
      <c r="M2266">
        <v>70</v>
      </c>
    </row>
    <row r="2267" spans="1:13" x14ac:dyDescent="0.25">
      <c r="A2267" s="34" t="s">
        <v>344</v>
      </c>
      <c r="B2267" t="s">
        <v>482</v>
      </c>
      <c r="C2267" t="s">
        <v>488</v>
      </c>
      <c r="D2267" t="s">
        <v>487</v>
      </c>
      <c r="E2267">
        <v>2</v>
      </c>
      <c r="F2267">
        <v>6</v>
      </c>
      <c r="G2267">
        <v>160</v>
      </c>
      <c r="H2267">
        <v>12</v>
      </c>
      <c r="I2267">
        <v>9.5</v>
      </c>
      <c r="J2267">
        <v>11.4</v>
      </c>
      <c r="K2267">
        <v>12</v>
      </c>
      <c r="L2267">
        <v>11</v>
      </c>
      <c r="M2267">
        <v>70</v>
      </c>
    </row>
    <row r="2268" spans="1:13" x14ac:dyDescent="0.25">
      <c r="A2268" s="34" t="s">
        <v>344</v>
      </c>
      <c r="B2268" t="s">
        <v>482</v>
      </c>
      <c r="C2268" t="s">
        <v>488</v>
      </c>
      <c r="D2268" t="s">
        <v>487</v>
      </c>
      <c r="E2268">
        <v>2</v>
      </c>
      <c r="F2268">
        <v>6</v>
      </c>
      <c r="G2268">
        <v>180</v>
      </c>
      <c r="H2268">
        <v>12</v>
      </c>
      <c r="I2268">
        <v>9.5</v>
      </c>
      <c r="J2268">
        <v>11.4</v>
      </c>
      <c r="K2268">
        <v>12</v>
      </c>
      <c r="L2268">
        <v>11</v>
      </c>
      <c r="M2268">
        <v>70</v>
      </c>
    </row>
    <row r="2269" spans="1:13" x14ac:dyDescent="0.25">
      <c r="A2269" s="34" t="s">
        <v>344</v>
      </c>
      <c r="B2269" t="s">
        <v>482</v>
      </c>
      <c r="C2269" t="s">
        <v>488</v>
      </c>
      <c r="D2269" t="s">
        <v>487</v>
      </c>
      <c r="E2269">
        <v>2</v>
      </c>
      <c r="F2269">
        <v>6</v>
      </c>
      <c r="G2269">
        <v>200</v>
      </c>
      <c r="H2269">
        <v>12</v>
      </c>
      <c r="I2269">
        <v>9.5</v>
      </c>
      <c r="J2269">
        <v>11.4</v>
      </c>
      <c r="K2269">
        <v>12</v>
      </c>
      <c r="L2269">
        <v>11</v>
      </c>
      <c r="M2269">
        <v>70</v>
      </c>
    </row>
    <row r="2270" spans="1:13" x14ac:dyDescent="0.25">
      <c r="A2270" s="34" t="s">
        <v>344</v>
      </c>
      <c r="B2270" t="s">
        <v>482</v>
      </c>
      <c r="C2270" t="s">
        <v>488</v>
      </c>
      <c r="D2270" t="s">
        <v>487</v>
      </c>
      <c r="E2270">
        <v>2</v>
      </c>
      <c r="F2270">
        <v>6</v>
      </c>
      <c r="G2270">
        <v>220</v>
      </c>
      <c r="H2270">
        <v>12</v>
      </c>
      <c r="I2270">
        <v>9.5</v>
      </c>
      <c r="J2270">
        <v>11.4</v>
      </c>
      <c r="K2270">
        <v>12</v>
      </c>
      <c r="L2270">
        <v>11</v>
      </c>
      <c r="M2270">
        <v>70</v>
      </c>
    </row>
    <row r="2271" spans="1:13" x14ac:dyDescent="0.25">
      <c r="A2271" s="34" t="s">
        <v>344</v>
      </c>
      <c r="B2271" t="s">
        <v>482</v>
      </c>
      <c r="C2271" t="s">
        <v>488</v>
      </c>
      <c r="D2271" t="s">
        <v>487</v>
      </c>
      <c r="E2271">
        <v>2</v>
      </c>
      <c r="F2271">
        <v>6</v>
      </c>
      <c r="G2271">
        <v>240</v>
      </c>
      <c r="H2271">
        <v>12</v>
      </c>
      <c r="I2271">
        <v>9.5</v>
      </c>
      <c r="J2271">
        <v>11.4</v>
      </c>
      <c r="K2271">
        <v>12</v>
      </c>
      <c r="L2271">
        <v>11</v>
      </c>
      <c r="M2271">
        <v>70</v>
      </c>
    </row>
    <row r="2272" spans="1:13" x14ac:dyDescent="0.25">
      <c r="A2272" s="34" t="s">
        <v>344</v>
      </c>
      <c r="B2272" t="s">
        <v>482</v>
      </c>
      <c r="C2272" t="s">
        <v>488</v>
      </c>
      <c r="D2272" t="s">
        <v>487</v>
      </c>
      <c r="E2272">
        <v>2</v>
      </c>
      <c r="F2272">
        <v>6</v>
      </c>
      <c r="G2272">
        <v>260</v>
      </c>
      <c r="H2272">
        <v>12</v>
      </c>
      <c r="I2272">
        <v>9.5</v>
      </c>
      <c r="J2272">
        <v>11.4</v>
      </c>
      <c r="K2272">
        <v>12</v>
      </c>
      <c r="L2272">
        <v>11</v>
      </c>
      <c r="M2272">
        <v>70</v>
      </c>
    </row>
    <row r="2273" spans="1:13" x14ac:dyDescent="0.25">
      <c r="A2273" s="34" t="s">
        <v>344</v>
      </c>
      <c r="B2273" t="s">
        <v>482</v>
      </c>
      <c r="C2273" t="s">
        <v>488</v>
      </c>
      <c r="D2273" t="s">
        <v>487</v>
      </c>
      <c r="E2273">
        <v>2</v>
      </c>
      <c r="F2273">
        <v>6</v>
      </c>
      <c r="G2273">
        <v>280</v>
      </c>
      <c r="H2273">
        <v>12</v>
      </c>
      <c r="I2273">
        <v>9.5</v>
      </c>
      <c r="J2273">
        <v>11.4</v>
      </c>
      <c r="K2273">
        <v>12</v>
      </c>
      <c r="L2273">
        <v>11</v>
      </c>
      <c r="M2273">
        <v>70</v>
      </c>
    </row>
    <row r="2274" spans="1:13" x14ac:dyDescent="0.25">
      <c r="A2274" s="34" t="s">
        <v>344</v>
      </c>
      <c r="B2274" t="s">
        <v>482</v>
      </c>
      <c r="C2274" t="s">
        <v>488</v>
      </c>
      <c r="D2274" t="s">
        <v>487</v>
      </c>
      <c r="E2274">
        <v>2</v>
      </c>
      <c r="F2274">
        <v>6</v>
      </c>
      <c r="G2274">
        <v>300</v>
      </c>
      <c r="H2274">
        <v>12</v>
      </c>
      <c r="I2274">
        <v>9.5</v>
      </c>
      <c r="J2274">
        <v>11.4</v>
      </c>
      <c r="K2274">
        <v>12</v>
      </c>
      <c r="L2274">
        <v>11</v>
      </c>
      <c r="M2274">
        <v>70</v>
      </c>
    </row>
    <row r="2275" spans="1:13" x14ac:dyDescent="0.25">
      <c r="A2275" s="34" t="s">
        <v>344</v>
      </c>
      <c r="B2275" t="s">
        <v>482</v>
      </c>
      <c r="C2275" t="s">
        <v>488</v>
      </c>
      <c r="D2275" t="s">
        <v>487</v>
      </c>
      <c r="E2275">
        <v>2</v>
      </c>
      <c r="F2275">
        <v>8</v>
      </c>
      <c r="G2275">
        <v>80</v>
      </c>
      <c r="H2275">
        <v>14.5</v>
      </c>
      <c r="I2275">
        <v>20</v>
      </c>
      <c r="J2275">
        <v>11.1</v>
      </c>
      <c r="K2275">
        <v>12</v>
      </c>
      <c r="L2275">
        <v>20</v>
      </c>
      <c r="M2275">
        <v>48</v>
      </c>
    </row>
    <row r="2276" spans="1:13" x14ac:dyDescent="0.25">
      <c r="A2276" s="34" t="s">
        <v>344</v>
      </c>
      <c r="B2276" t="s">
        <v>482</v>
      </c>
      <c r="C2276" t="s">
        <v>488</v>
      </c>
      <c r="D2276" t="s">
        <v>487</v>
      </c>
      <c r="E2276">
        <v>2</v>
      </c>
      <c r="F2276">
        <v>8</v>
      </c>
      <c r="G2276">
        <v>100</v>
      </c>
      <c r="H2276">
        <v>14.5</v>
      </c>
      <c r="I2276">
        <v>20</v>
      </c>
      <c r="J2276">
        <v>11.1</v>
      </c>
      <c r="K2276">
        <v>12</v>
      </c>
      <c r="L2276">
        <v>20</v>
      </c>
      <c r="M2276">
        <v>60</v>
      </c>
    </row>
    <row r="2277" spans="1:13" x14ac:dyDescent="0.25">
      <c r="A2277" s="34" t="s">
        <v>344</v>
      </c>
      <c r="B2277" t="s">
        <v>482</v>
      </c>
      <c r="C2277" t="s">
        <v>488</v>
      </c>
      <c r="D2277" t="s">
        <v>487</v>
      </c>
      <c r="E2277">
        <v>2</v>
      </c>
      <c r="F2277">
        <v>8</v>
      </c>
      <c r="G2277">
        <v>120</v>
      </c>
      <c r="H2277">
        <v>14.5</v>
      </c>
      <c r="I2277">
        <v>20</v>
      </c>
      <c r="J2277">
        <v>11.1</v>
      </c>
      <c r="K2277">
        <v>12</v>
      </c>
      <c r="L2277">
        <v>20</v>
      </c>
      <c r="M2277">
        <v>66</v>
      </c>
    </row>
    <row r="2278" spans="1:13" x14ac:dyDescent="0.25">
      <c r="A2278" s="34" t="s">
        <v>344</v>
      </c>
      <c r="B2278" t="s">
        <v>482</v>
      </c>
      <c r="C2278" t="s">
        <v>488</v>
      </c>
      <c r="D2278" t="s">
        <v>487</v>
      </c>
      <c r="E2278">
        <v>2</v>
      </c>
      <c r="F2278">
        <v>8</v>
      </c>
      <c r="G2278">
        <v>140</v>
      </c>
      <c r="H2278">
        <v>14.5</v>
      </c>
      <c r="I2278">
        <v>20</v>
      </c>
      <c r="J2278">
        <v>11.1</v>
      </c>
      <c r="K2278">
        <v>12</v>
      </c>
      <c r="L2278">
        <v>20</v>
      </c>
      <c r="M2278">
        <v>95</v>
      </c>
    </row>
    <row r="2279" spans="1:13" x14ac:dyDescent="0.25">
      <c r="A2279" s="34" t="s">
        <v>344</v>
      </c>
      <c r="B2279" t="s">
        <v>482</v>
      </c>
      <c r="C2279" t="s">
        <v>488</v>
      </c>
      <c r="D2279" t="s">
        <v>487</v>
      </c>
      <c r="E2279">
        <v>2</v>
      </c>
      <c r="F2279">
        <v>8</v>
      </c>
      <c r="G2279">
        <v>160</v>
      </c>
      <c r="H2279">
        <v>14.5</v>
      </c>
      <c r="I2279">
        <v>20</v>
      </c>
      <c r="J2279">
        <v>11.1</v>
      </c>
      <c r="K2279">
        <v>12</v>
      </c>
      <c r="L2279">
        <v>20</v>
      </c>
      <c r="M2279">
        <v>95</v>
      </c>
    </row>
    <row r="2280" spans="1:13" x14ac:dyDescent="0.25">
      <c r="A2280" s="34" t="s">
        <v>344</v>
      </c>
      <c r="B2280" t="s">
        <v>482</v>
      </c>
      <c r="C2280" t="s">
        <v>488</v>
      </c>
      <c r="D2280" t="s">
        <v>487</v>
      </c>
      <c r="E2280">
        <v>2</v>
      </c>
      <c r="F2280">
        <v>8</v>
      </c>
      <c r="G2280">
        <v>180</v>
      </c>
      <c r="H2280">
        <v>14.5</v>
      </c>
      <c r="I2280">
        <v>20</v>
      </c>
      <c r="J2280">
        <v>11.1</v>
      </c>
      <c r="K2280">
        <v>12</v>
      </c>
      <c r="L2280">
        <v>20</v>
      </c>
      <c r="M2280">
        <v>95</v>
      </c>
    </row>
    <row r="2281" spans="1:13" x14ac:dyDescent="0.25">
      <c r="A2281" s="34" t="s">
        <v>344</v>
      </c>
      <c r="B2281" t="s">
        <v>482</v>
      </c>
      <c r="C2281" t="s">
        <v>488</v>
      </c>
      <c r="D2281" t="s">
        <v>487</v>
      </c>
      <c r="E2281">
        <v>2</v>
      </c>
      <c r="F2281">
        <v>8</v>
      </c>
      <c r="G2281">
        <v>200</v>
      </c>
      <c r="H2281">
        <v>14.5</v>
      </c>
      <c r="I2281">
        <v>20</v>
      </c>
      <c r="J2281">
        <v>11.1</v>
      </c>
      <c r="K2281">
        <v>12</v>
      </c>
      <c r="L2281">
        <v>20</v>
      </c>
      <c r="M2281">
        <v>95</v>
      </c>
    </row>
    <row r="2282" spans="1:13" x14ac:dyDescent="0.25">
      <c r="A2282" s="34" t="s">
        <v>344</v>
      </c>
      <c r="B2282" t="s">
        <v>482</v>
      </c>
      <c r="C2282" t="s">
        <v>488</v>
      </c>
      <c r="D2282" t="s">
        <v>487</v>
      </c>
      <c r="E2282">
        <v>2</v>
      </c>
      <c r="F2282">
        <v>8</v>
      </c>
      <c r="G2282">
        <v>220</v>
      </c>
      <c r="H2282">
        <v>14.5</v>
      </c>
      <c r="I2282">
        <v>20</v>
      </c>
      <c r="J2282">
        <v>11.1</v>
      </c>
      <c r="K2282">
        <v>12</v>
      </c>
      <c r="L2282">
        <v>20</v>
      </c>
      <c r="M2282">
        <v>95</v>
      </c>
    </row>
    <row r="2283" spans="1:13" x14ac:dyDescent="0.25">
      <c r="A2283" s="34" t="s">
        <v>344</v>
      </c>
      <c r="B2283" t="s">
        <v>482</v>
      </c>
      <c r="C2283" t="s">
        <v>488</v>
      </c>
      <c r="D2283" t="s">
        <v>487</v>
      </c>
      <c r="E2283">
        <v>2</v>
      </c>
      <c r="F2283">
        <v>8</v>
      </c>
      <c r="G2283">
        <v>240</v>
      </c>
      <c r="H2283">
        <v>14.5</v>
      </c>
      <c r="I2283">
        <v>20</v>
      </c>
      <c r="J2283">
        <v>11.1</v>
      </c>
      <c r="K2283">
        <v>12</v>
      </c>
      <c r="L2283">
        <v>20</v>
      </c>
      <c r="M2283">
        <v>95</v>
      </c>
    </row>
    <row r="2284" spans="1:13" x14ac:dyDescent="0.25">
      <c r="A2284" s="34" t="s">
        <v>344</v>
      </c>
      <c r="B2284" t="s">
        <v>482</v>
      </c>
      <c r="C2284" t="s">
        <v>488</v>
      </c>
      <c r="D2284" t="s">
        <v>487</v>
      </c>
      <c r="E2284">
        <v>2</v>
      </c>
      <c r="F2284">
        <v>8</v>
      </c>
      <c r="G2284">
        <v>260</v>
      </c>
      <c r="H2284">
        <v>14.5</v>
      </c>
      <c r="I2284">
        <v>20</v>
      </c>
      <c r="J2284">
        <v>11.1</v>
      </c>
      <c r="K2284">
        <v>12</v>
      </c>
      <c r="L2284">
        <v>20</v>
      </c>
      <c r="M2284">
        <v>95</v>
      </c>
    </row>
    <row r="2285" spans="1:13" x14ac:dyDescent="0.25">
      <c r="A2285" s="34" t="s">
        <v>344</v>
      </c>
      <c r="B2285" t="s">
        <v>482</v>
      </c>
      <c r="C2285" t="s">
        <v>488</v>
      </c>
      <c r="D2285" t="s">
        <v>487</v>
      </c>
      <c r="E2285">
        <v>2</v>
      </c>
      <c r="F2285">
        <v>8</v>
      </c>
      <c r="G2285">
        <v>280</v>
      </c>
      <c r="H2285">
        <v>14.5</v>
      </c>
      <c r="I2285">
        <v>20</v>
      </c>
      <c r="J2285">
        <v>11.1</v>
      </c>
      <c r="K2285">
        <v>12</v>
      </c>
      <c r="L2285">
        <v>20</v>
      </c>
      <c r="M2285">
        <v>95</v>
      </c>
    </row>
    <row r="2286" spans="1:13" x14ac:dyDescent="0.25">
      <c r="A2286" s="34" t="s">
        <v>344</v>
      </c>
      <c r="B2286" t="s">
        <v>482</v>
      </c>
      <c r="C2286" t="s">
        <v>488</v>
      </c>
      <c r="D2286" t="s">
        <v>487</v>
      </c>
      <c r="E2286">
        <v>2</v>
      </c>
      <c r="F2286">
        <v>8</v>
      </c>
      <c r="G2286">
        <v>300</v>
      </c>
      <c r="H2286">
        <v>14.5</v>
      </c>
      <c r="I2286">
        <v>20</v>
      </c>
      <c r="J2286">
        <v>11.1</v>
      </c>
      <c r="K2286">
        <v>12</v>
      </c>
      <c r="L2286">
        <v>20</v>
      </c>
      <c r="M2286">
        <v>95</v>
      </c>
    </row>
    <row r="2287" spans="1:13" x14ac:dyDescent="0.25">
      <c r="A2287" s="34" t="s">
        <v>344</v>
      </c>
      <c r="B2287" t="s">
        <v>482</v>
      </c>
      <c r="C2287" t="s">
        <v>488</v>
      </c>
      <c r="D2287" t="s">
        <v>487</v>
      </c>
      <c r="E2287">
        <v>2</v>
      </c>
      <c r="F2287">
        <v>8</v>
      </c>
      <c r="G2287">
        <v>320</v>
      </c>
      <c r="H2287">
        <v>14.5</v>
      </c>
      <c r="I2287">
        <v>20</v>
      </c>
      <c r="J2287">
        <v>11.1</v>
      </c>
      <c r="K2287">
        <v>12</v>
      </c>
      <c r="L2287">
        <v>20</v>
      </c>
      <c r="M2287">
        <v>95</v>
      </c>
    </row>
    <row r="2288" spans="1:13" x14ac:dyDescent="0.25">
      <c r="A2288" s="34" t="s">
        <v>344</v>
      </c>
      <c r="B2288" t="s">
        <v>482</v>
      </c>
      <c r="C2288" t="s">
        <v>488</v>
      </c>
      <c r="D2288" t="s">
        <v>487</v>
      </c>
      <c r="E2288">
        <v>2</v>
      </c>
      <c r="F2288">
        <v>8</v>
      </c>
      <c r="G2288">
        <v>340</v>
      </c>
      <c r="H2288">
        <v>14.5</v>
      </c>
      <c r="I2288">
        <v>20</v>
      </c>
      <c r="J2288">
        <v>11.1</v>
      </c>
      <c r="K2288">
        <v>12</v>
      </c>
      <c r="L2288">
        <v>20</v>
      </c>
      <c r="M2288">
        <v>95</v>
      </c>
    </row>
    <row r="2289" spans="1:13" x14ac:dyDescent="0.25">
      <c r="A2289" s="34" t="s">
        <v>344</v>
      </c>
      <c r="B2289" t="s">
        <v>482</v>
      </c>
      <c r="C2289" t="s">
        <v>488</v>
      </c>
      <c r="D2289" t="s">
        <v>487</v>
      </c>
      <c r="E2289">
        <v>2</v>
      </c>
      <c r="F2289">
        <v>8</v>
      </c>
      <c r="G2289">
        <v>360</v>
      </c>
      <c r="H2289">
        <v>14.5</v>
      </c>
      <c r="I2289">
        <v>20</v>
      </c>
      <c r="J2289">
        <v>11.1</v>
      </c>
      <c r="K2289">
        <v>12</v>
      </c>
      <c r="L2289">
        <v>20</v>
      </c>
      <c r="M2289">
        <v>95</v>
      </c>
    </row>
    <row r="2290" spans="1:13" x14ac:dyDescent="0.25">
      <c r="A2290" s="34" t="s">
        <v>344</v>
      </c>
      <c r="B2290" t="s">
        <v>482</v>
      </c>
      <c r="C2290" t="s">
        <v>488</v>
      </c>
      <c r="D2290" t="s">
        <v>487</v>
      </c>
      <c r="E2290">
        <v>2</v>
      </c>
      <c r="F2290">
        <v>8</v>
      </c>
      <c r="G2290">
        <v>380</v>
      </c>
      <c r="H2290">
        <v>14.5</v>
      </c>
      <c r="I2290">
        <v>20</v>
      </c>
      <c r="J2290">
        <v>11.1</v>
      </c>
      <c r="K2290">
        <v>12</v>
      </c>
      <c r="L2290">
        <v>20</v>
      </c>
      <c r="M2290">
        <v>95</v>
      </c>
    </row>
    <row r="2291" spans="1:13" x14ac:dyDescent="0.25">
      <c r="A2291" s="34" t="s">
        <v>344</v>
      </c>
      <c r="B2291" t="s">
        <v>482</v>
      </c>
      <c r="C2291" t="s">
        <v>488</v>
      </c>
      <c r="D2291" t="s">
        <v>487</v>
      </c>
      <c r="E2291">
        <v>2</v>
      </c>
      <c r="F2291">
        <v>8</v>
      </c>
      <c r="G2291">
        <v>400</v>
      </c>
      <c r="H2291">
        <v>14.5</v>
      </c>
      <c r="I2291">
        <v>20</v>
      </c>
      <c r="J2291">
        <v>11.1</v>
      </c>
      <c r="K2291">
        <v>12</v>
      </c>
      <c r="L2291">
        <v>20</v>
      </c>
      <c r="M2291">
        <v>95</v>
      </c>
    </row>
    <row r="2292" spans="1:13" x14ac:dyDescent="0.25">
      <c r="A2292" s="34" t="s">
        <v>344</v>
      </c>
      <c r="B2292" t="s">
        <v>482</v>
      </c>
      <c r="C2292" t="s">
        <v>488</v>
      </c>
      <c r="D2292" t="s">
        <v>487</v>
      </c>
      <c r="E2292">
        <v>2</v>
      </c>
      <c r="F2292">
        <v>8</v>
      </c>
      <c r="G2292">
        <v>420</v>
      </c>
      <c r="H2292">
        <v>14.5</v>
      </c>
      <c r="I2292">
        <v>20</v>
      </c>
      <c r="J2292">
        <v>11.1</v>
      </c>
      <c r="K2292">
        <v>12</v>
      </c>
      <c r="L2292">
        <v>20</v>
      </c>
      <c r="M2292">
        <v>95</v>
      </c>
    </row>
    <row r="2293" spans="1:13" x14ac:dyDescent="0.25">
      <c r="A2293" s="34" t="s">
        <v>344</v>
      </c>
      <c r="B2293" t="s">
        <v>482</v>
      </c>
      <c r="C2293" t="s">
        <v>488</v>
      </c>
      <c r="D2293" t="s">
        <v>487</v>
      </c>
      <c r="E2293">
        <v>2</v>
      </c>
      <c r="F2293">
        <v>8</v>
      </c>
      <c r="G2293">
        <v>440</v>
      </c>
      <c r="H2293">
        <v>14.5</v>
      </c>
      <c r="I2293">
        <v>20</v>
      </c>
      <c r="J2293">
        <v>11.1</v>
      </c>
      <c r="K2293">
        <v>12</v>
      </c>
      <c r="L2293">
        <v>20</v>
      </c>
      <c r="M2293">
        <v>95</v>
      </c>
    </row>
    <row r="2294" spans="1:13" x14ac:dyDescent="0.25">
      <c r="A2294" s="34" t="s">
        <v>344</v>
      </c>
      <c r="B2294" t="s">
        <v>482</v>
      </c>
      <c r="C2294" t="s">
        <v>488</v>
      </c>
      <c r="D2294" t="s">
        <v>487</v>
      </c>
      <c r="E2294">
        <v>2</v>
      </c>
      <c r="F2294">
        <v>8</v>
      </c>
      <c r="G2294">
        <v>460</v>
      </c>
      <c r="H2294">
        <v>14.5</v>
      </c>
      <c r="I2294">
        <v>20</v>
      </c>
      <c r="J2294">
        <v>11.1</v>
      </c>
      <c r="K2294">
        <v>12</v>
      </c>
      <c r="L2294">
        <v>20</v>
      </c>
      <c r="M2294">
        <v>95</v>
      </c>
    </row>
    <row r="2295" spans="1:13" x14ac:dyDescent="0.25">
      <c r="A2295" s="34" t="s">
        <v>344</v>
      </c>
      <c r="B2295" t="s">
        <v>482</v>
      </c>
      <c r="C2295" t="s">
        <v>488</v>
      </c>
      <c r="D2295" t="s">
        <v>487</v>
      </c>
      <c r="E2295">
        <v>2</v>
      </c>
      <c r="F2295">
        <v>8</v>
      </c>
      <c r="G2295">
        <v>480</v>
      </c>
      <c r="H2295">
        <v>14.5</v>
      </c>
      <c r="I2295">
        <v>20</v>
      </c>
      <c r="J2295">
        <v>11.1</v>
      </c>
      <c r="K2295">
        <v>12</v>
      </c>
      <c r="L2295">
        <v>20</v>
      </c>
      <c r="M2295">
        <v>95</v>
      </c>
    </row>
    <row r="2296" spans="1:13" x14ac:dyDescent="0.25">
      <c r="A2296" s="34" t="s">
        <v>344</v>
      </c>
      <c r="B2296" t="s">
        <v>482</v>
      </c>
      <c r="C2296" t="s">
        <v>488</v>
      </c>
      <c r="D2296" t="s">
        <v>487</v>
      </c>
      <c r="E2296">
        <v>2</v>
      </c>
      <c r="F2296">
        <v>8</v>
      </c>
      <c r="G2296">
        <v>500</v>
      </c>
      <c r="H2296">
        <v>14.5</v>
      </c>
      <c r="I2296">
        <v>20</v>
      </c>
      <c r="J2296">
        <v>11.1</v>
      </c>
      <c r="K2296">
        <v>12</v>
      </c>
      <c r="L2296">
        <v>20</v>
      </c>
      <c r="M2296">
        <v>95</v>
      </c>
    </row>
    <row r="2297" spans="1:13" x14ac:dyDescent="0.25">
      <c r="A2297" s="34" t="s">
        <v>344</v>
      </c>
      <c r="B2297" t="s">
        <v>482</v>
      </c>
      <c r="C2297" t="s">
        <v>488</v>
      </c>
      <c r="D2297" t="s">
        <v>487</v>
      </c>
      <c r="E2297">
        <v>2</v>
      </c>
      <c r="F2297">
        <v>8</v>
      </c>
      <c r="G2297">
        <v>550</v>
      </c>
      <c r="H2297">
        <v>14.5</v>
      </c>
      <c r="I2297">
        <v>20</v>
      </c>
      <c r="J2297">
        <v>11.1</v>
      </c>
      <c r="K2297">
        <v>12</v>
      </c>
      <c r="L2297">
        <v>20</v>
      </c>
      <c r="M2297">
        <v>95</v>
      </c>
    </row>
    <row r="2298" spans="1:13" x14ac:dyDescent="0.25">
      <c r="A2298" s="34" t="s">
        <v>344</v>
      </c>
      <c r="B2298" t="s">
        <v>482</v>
      </c>
      <c r="C2298" t="s">
        <v>488</v>
      </c>
      <c r="D2298" t="s">
        <v>487</v>
      </c>
      <c r="E2298">
        <v>2</v>
      </c>
      <c r="F2298">
        <v>8</v>
      </c>
      <c r="G2298">
        <v>600</v>
      </c>
      <c r="H2298">
        <v>14.5</v>
      </c>
      <c r="I2298">
        <v>20</v>
      </c>
      <c r="J2298">
        <v>11.1</v>
      </c>
      <c r="K2298">
        <v>12</v>
      </c>
      <c r="L2298">
        <v>20</v>
      </c>
      <c r="M2298">
        <v>95</v>
      </c>
    </row>
    <row r="2299" spans="1:13" x14ac:dyDescent="0.25">
      <c r="A2299" s="34" t="s">
        <v>344</v>
      </c>
      <c r="B2299" t="s">
        <v>482</v>
      </c>
      <c r="C2299" t="s">
        <v>488</v>
      </c>
      <c r="D2299" t="s">
        <v>487</v>
      </c>
      <c r="E2299">
        <v>2</v>
      </c>
      <c r="F2299">
        <v>10</v>
      </c>
      <c r="G2299">
        <v>100</v>
      </c>
      <c r="H2299">
        <v>17.8</v>
      </c>
      <c r="I2299">
        <v>35.799999999999997</v>
      </c>
      <c r="J2299">
        <v>10.8</v>
      </c>
      <c r="K2299">
        <v>12</v>
      </c>
      <c r="L2299">
        <v>28</v>
      </c>
      <c r="M2299">
        <v>60</v>
      </c>
    </row>
    <row r="2300" spans="1:13" x14ac:dyDescent="0.25">
      <c r="A2300" s="34" t="s">
        <v>344</v>
      </c>
      <c r="B2300" t="s">
        <v>482</v>
      </c>
      <c r="C2300" t="s">
        <v>488</v>
      </c>
      <c r="D2300" t="s">
        <v>487</v>
      </c>
      <c r="E2300">
        <v>2</v>
      </c>
      <c r="F2300">
        <v>10</v>
      </c>
      <c r="G2300">
        <v>120</v>
      </c>
      <c r="H2300">
        <v>17.8</v>
      </c>
      <c r="I2300">
        <v>35.799999999999997</v>
      </c>
      <c r="J2300">
        <v>10.8</v>
      </c>
      <c r="K2300">
        <v>12</v>
      </c>
      <c r="L2300">
        <v>28</v>
      </c>
      <c r="M2300">
        <v>70</v>
      </c>
    </row>
    <row r="2301" spans="1:13" x14ac:dyDescent="0.25">
      <c r="A2301" s="34" t="s">
        <v>344</v>
      </c>
      <c r="B2301" t="s">
        <v>482</v>
      </c>
      <c r="C2301" t="s">
        <v>488</v>
      </c>
      <c r="D2301" t="s">
        <v>487</v>
      </c>
      <c r="E2301">
        <v>2</v>
      </c>
      <c r="F2301">
        <v>10</v>
      </c>
      <c r="G2301">
        <v>140</v>
      </c>
      <c r="H2301">
        <v>17.8</v>
      </c>
      <c r="I2301">
        <v>35.799999999999997</v>
      </c>
      <c r="J2301">
        <v>10.8</v>
      </c>
      <c r="K2301">
        <v>12</v>
      </c>
      <c r="L2301">
        <v>28</v>
      </c>
      <c r="M2301">
        <v>100</v>
      </c>
    </row>
    <row r="2302" spans="1:13" x14ac:dyDescent="0.25">
      <c r="A2302" s="34" t="s">
        <v>344</v>
      </c>
      <c r="B2302" t="s">
        <v>482</v>
      </c>
      <c r="C2302" t="s">
        <v>488</v>
      </c>
      <c r="D2302" t="s">
        <v>487</v>
      </c>
      <c r="E2302">
        <v>2</v>
      </c>
      <c r="F2302">
        <v>10</v>
      </c>
      <c r="G2302">
        <v>160</v>
      </c>
      <c r="H2302">
        <v>17.8</v>
      </c>
      <c r="I2302">
        <v>35.799999999999997</v>
      </c>
      <c r="J2302">
        <v>10.8</v>
      </c>
      <c r="K2302">
        <v>12</v>
      </c>
      <c r="L2302">
        <v>28</v>
      </c>
      <c r="M2302">
        <v>100</v>
      </c>
    </row>
    <row r="2303" spans="1:13" x14ac:dyDescent="0.25">
      <c r="A2303" s="34" t="s">
        <v>344</v>
      </c>
      <c r="B2303" t="s">
        <v>482</v>
      </c>
      <c r="C2303" t="s">
        <v>488</v>
      </c>
      <c r="D2303" t="s">
        <v>487</v>
      </c>
      <c r="E2303">
        <v>2</v>
      </c>
      <c r="F2303">
        <v>10</v>
      </c>
      <c r="G2303">
        <v>180</v>
      </c>
      <c r="H2303">
        <v>17.8</v>
      </c>
      <c r="I2303">
        <v>35.799999999999997</v>
      </c>
      <c r="J2303">
        <v>10.8</v>
      </c>
      <c r="K2303">
        <v>12</v>
      </c>
      <c r="L2303">
        <v>28</v>
      </c>
      <c r="M2303">
        <v>100</v>
      </c>
    </row>
    <row r="2304" spans="1:13" x14ac:dyDescent="0.25">
      <c r="A2304" s="34" t="s">
        <v>344</v>
      </c>
      <c r="B2304" t="s">
        <v>482</v>
      </c>
      <c r="C2304" t="s">
        <v>488</v>
      </c>
      <c r="D2304" t="s">
        <v>487</v>
      </c>
      <c r="E2304">
        <v>2</v>
      </c>
      <c r="F2304">
        <v>10</v>
      </c>
      <c r="G2304">
        <v>200</v>
      </c>
      <c r="H2304">
        <v>17.8</v>
      </c>
      <c r="I2304">
        <v>35.799999999999997</v>
      </c>
      <c r="J2304">
        <v>10.8</v>
      </c>
      <c r="K2304">
        <v>12</v>
      </c>
      <c r="L2304">
        <v>28</v>
      </c>
      <c r="M2304">
        <v>100</v>
      </c>
    </row>
    <row r="2305" spans="1:13" x14ac:dyDescent="0.25">
      <c r="A2305" s="34" t="s">
        <v>344</v>
      </c>
      <c r="B2305" t="s">
        <v>482</v>
      </c>
      <c r="C2305" t="s">
        <v>488</v>
      </c>
      <c r="D2305" t="s">
        <v>487</v>
      </c>
      <c r="E2305">
        <v>2</v>
      </c>
      <c r="F2305">
        <v>10</v>
      </c>
      <c r="G2305">
        <v>220</v>
      </c>
      <c r="H2305">
        <v>17.8</v>
      </c>
      <c r="I2305">
        <v>35.799999999999997</v>
      </c>
      <c r="J2305">
        <v>10.8</v>
      </c>
      <c r="K2305">
        <v>12</v>
      </c>
      <c r="L2305">
        <v>28</v>
      </c>
      <c r="M2305">
        <v>100</v>
      </c>
    </row>
    <row r="2306" spans="1:13" x14ac:dyDescent="0.25">
      <c r="A2306" s="34" t="s">
        <v>344</v>
      </c>
      <c r="B2306" t="s">
        <v>482</v>
      </c>
      <c r="C2306" t="s">
        <v>488</v>
      </c>
      <c r="D2306" t="s">
        <v>487</v>
      </c>
      <c r="E2306">
        <v>2</v>
      </c>
      <c r="F2306">
        <v>10</v>
      </c>
      <c r="G2306">
        <v>240</v>
      </c>
      <c r="H2306">
        <v>17.8</v>
      </c>
      <c r="I2306">
        <v>35.799999999999997</v>
      </c>
      <c r="J2306">
        <v>10.8</v>
      </c>
      <c r="K2306">
        <v>12</v>
      </c>
      <c r="L2306">
        <v>28</v>
      </c>
      <c r="M2306">
        <v>100</v>
      </c>
    </row>
    <row r="2307" spans="1:13" x14ac:dyDescent="0.25">
      <c r="A2307" s="34" t="s">
        <v>344</v>
      </c>
      <c r="B2307" t="s">
        <v>482</v>
      </c>
      <c r="C2307" t="s">
        <v>488</v>
      </c>
      <c r="D2307" t="s">
        <v>487</v>
      </c>
      <c r="E2307">
        <v>2</v>
      </c>
      <c r="F2307">
        <v>10</v>
      </c>
      <c r="G2307">
        <v>260</v>
      </c>
      <c r="H2307">
        <v>17.8</v>
      </c>
      <c r="I2307">
        <v>35.799999999999997</v>
      </c>
      <c r="J2307">
        <v>10.8</v>
      </c>
      <c r="K2307">
        <v>12</v>
      </c>
      <c r="L2307">
        <v>28</v>
      </c>
      <c r="M2307">
        <v>100</v>
      </c>
    </row>
    <row r="2308" spans="1:13" x14ac:dyDescent="0.25">
      <c r="A2308" s="34" t="s">
        <v>344</v>
      </c>
      <c r="B2308" t="s">
        <v>482</v>
      </c>
      <c r="C2308" t="s">
        <v>488</v>
      </c>
      <c r="D2308" t="s">
        <v>487</v>
      </c>
      <c r="E2308">
        <v>2</v>
      </c>
      <c r="F2308">
        <v>10</v>
      </c>
      <c r="G2308">
        <v>280</v>
      </c>
      <c r="H2308">
        <v>17.8</v>
      </c>
      <c r="I2308">
        <v>35.799999999999997</v>
      </c>
      <c r="J2308">
        <v>10.8</v>
      </c>
      <c r="K2308">
        <v>12</v>
      </c>
      <c r="L2308">
        <v>28</v>
      </c>
      <c r="M2308">
        <v>100</v>
      </c>
    </row>
    <row r="2309" spans="1:13" x14ac:dyDescent="0.25">
      <c r="A2309" s="34" t="s">
        <v>344</v>
      </c>
      <c r="B2309" t="s">
        <v>482</v>
      </c>
      <c r="C2309" t="s">
        <v>488</v>
      </c>
      <c r="D2309" t="s">
        <v>487</v>
      </c>
      <c r="E2309">
        <v>2</v>
      </c>
      <c r="F2309">
        <v>10</v>
      </c>
      <c r="G2309">
        <v>300</v>
      </c>
      <c r="H2309">
        <v>17.8</v>
      </c>
      <c r="I2309">
        <v>35.799999999999997</v>
      </c>
      <c r="J2309">
        <v>10.8</v>
      </c>
      <c r="K2309">
        <v>12</v>
      </c>
      <c r="L2309">
        <v>28</v>
      </c>
      <c r="M2309">
        <v>100</v>
      </c>
    </row>
    <row r="2310" spans="1:13" x14ac:dyDescent="0.25">
      <c r="A2310" s="34" t="s">
        <v>344</v>
      </c>
      <c r="B2310" t="s">
        <v>482</v>
      </c>
      <c r="C2310" t="s">
        <v>488</v>
      </c>
      <c r="D2310" t="s">
        <v>487</v>
      </c>
      <c r="E2310">
        <v>2</v>
      </c>
      <c r="F2310">
        <v>10</v>
      </c>
      <c r="G2310">
        <v>320</v>
      </c>
      <c r="H2310">
        <v>17.8</v>
      </c>
      <c r="I2310">
        <v>35.799999999999997</v>
      </c>
      <c r="J2310">
        <v>10.8</v>
      </c>
      <c r="K2310">
        <v>12</v>
      </c>
      <c r="L2310">
        <v>28</v>
      </c>
      <c r="M2310">
        <v>100</v>
      </c>
    </row>
    <row r="2311" spans="1:13" x14ac:dyDescent="0.25">
      <c r="A2311" s="34" t="s">
        <v>344</v>
      </c>
      <c r="B2311" t="s">
        <v>482</v>
      </c>
      <c r="C2311" t="s">
        <v>488</v>
      </c>
      <c r="D2311" t="s">
        <v>487</v>
      </c>
      <c r="E2311">
        <v>2</v>
      </c>
      <c r="F2311">
        <v>10</v>
      </c>
      <c r="G2311">
        <v>340</v>
      </c>
      <c r="H2311">
        <v>17.8</v>
      </c>
      <c r="I2311">
        <v>35.799999999999997</v>
      </c>
      <c r="J2311">
        <v>10.8</v>
      </c>
      <c r="K2311">
        <v>12</v>
      </c>
      <c r="L2311">
        <v>28</v>
      </c>
      <c r="M2311">
        <v>100</v>
      </c>
    </row>
    <row r="2312" spans="1:13" x14ac:dyDescent="0.25">
      <c r="A2312" s="34" t="s">
        <v>344</v>
      </c>
      <c r="B2312" t="s">
        <v>482</v>
      </c>
      <c r="C2312" t="s">
        <v>488</v>
      </c>
      <c r="D2312" t="s">
        <v>487</v>
      </c>
      <c r="E2312">
        <v>2</v>
      </c>
      <c r="F2312">
        <v>10</v>
      </c>
      <c r="G2312">
        <v>360</v>
      </c>
      <c r="H2312">
        <v>17.8</v>
      </c>
      <c r="I2312">
        <v>35.799999999999997</v>
      </c>
      <c r="J2312">
        <v>10.8</v>
      </c>
      <c r="K2312">
        <v>12</v>
      </c>
      <c r="L2312">
        <v>28</v>
      </c>
      <c r="M2312">
        <v>100</v>
      </c>
    </row>
    <row r="2313" spans="1:13" x14ac:dyDescent="0.25">
      <c r="A2313" s="34" t="s">
        <v>344</v>
      </c>
      <c r="B2313" t="s">
        <v>482</v>
      </c>
      <c r="C2313" t="s">
        <v>488</v>
      </c>
      <c r="D2313" t="s">
        <v>487</v>
      </c>
      <c r="E2313">
        <v>2</v>
      </c>
      <c r="F2313">
        <v>10</v>
      </c>
      <c r="G2313">
        <v>380</v>
      </c>
      <c r="H2313">
        <v>17.8</v>
      </c>
      <c r="I2313">
        <v>35.799999999999997</v>
      </c>
      <c r="J2313">
        <v>10.8</v>
      </c>
      <c r="K2313">
        <v>12</v>
      </c>
      <c r="L2313">
        <v>28</v>
      </c>
      <c r="M2313">
        <v>100</v>
      </c>
    </row>
    <row r="2314" spans="1:13" x14ac:dyDescent="0.25">
      <c r="A2314" s="34" t="s">
        <v>344</v>
      </c>
      <c r="B2314" t="s">
        <v>482</v>
      </c>
      <c r="C2314" t="s">
        <v>488</v>
      </c>
      <c r="D2314" t="s">
        <v>487</v>
      </c>
      <c r="E2314">
        <v>2</v>
      </c>
      <c r="F2314">
        <v>10</v>
      </c>
      <c r="G2314">
        <v>400</v>
      </c>
      <c r="H2314">
        <v>17.8</v>
      </c>
      <c r="I2314">
        <v>35.799999999999997</v>
      </c>
      <c r="J2314">
        <v>10.8</v>
      </c>
      <c r="K2314">
        <v>12</v>
      </c>
      <c r="L2314">
        <v>28</v>
      </c>
      <c r="M2314">
        <v>100</v>
      </c>
    </row>
    <row r="2315" spans="1:13" x14ac:dyDescent="0.25">
      <c r="A2315" s="34" t="s">
        <v>344</v>
      </c>
      <c r="B2315" t="s">
        <v>482</v>
      </c>
      <c r="C2315" t="s">
        <v>489</v>
      </c>
      <c r="D2315" t="s">
        <v>490</v>
      </c>
      <c r="E2315">
        <v>2</v>
      </c>
      <c r="F2315">
        <v>4</v>
      </c>
      <c r="G2315">
        <v>40</v>
      </c>
      <c r="H2315">
        <v>10</v>
      </c>
      <c r="I2315">
        <v>3.3</v>
      </c>
      <c r="J2315">
        <v>12.9</v>
      </c>
      <c r="K2315">
        <v>12</v>
      </c>
      <c r="L2315">
        <v>5</v>
      </c>
      <c r="M2315">
        <v>24</v>
      </c>
    </row>
    <row r="2316" spans="1:13" x14ac:dyDescent="0.25">
      <c r="A2316" s="34" t="s">
        <v>344</v>
      </c>
      <c r="B2316" t="s">
        <v>482</v>
      </c>
      <c r="C2316" t="s">
        <v>489</v>
      </c>
      <c r="D2316" t="s">
        <v>490</v>
      </c>
      <c r="E2316">
        <v>2</v>
      </c>
      <c r="F2316">
        <v>4</v>
      </c>
      <c r="G2316">
        <v>50</v>
      </c>
      <c r="H2316">
        <v>10</v>
      </c>
      <c r="I2316">
        <v>3.3</v>
      </c>
      <c r="J2316">
        <v>12.9</v>
      </c>
      <c r="K2316">
        <v>12</v>
      </c>
      <c r="L2316">
        <v>5</v>
      </c>
      <c r="M2316">
        <v>30</v>
      </c>
    </row>
    <row r="2317" spans="1:13" x14ac:dyDescent="0.25">
      <c r="A2317" s="34" t="s">
        <v>344</v>
      </c>
      <c r="B2317" t="s">
        <v>482</v>
      </c>
      <c r="C2317" t="s">
        <v>489</v>
      </c>
      <c r="D2317" t="s">
        <v>490</v>
      </c>
      <c r="E2317">
        <v>2</v>
      </c>
      <c r="F2317">
        <v>4</v>
      </c>
      <c r="G2317">
        <v>60</v>
      </c>
      <c r="H2317">
        <v>10</v>
      </c>
      <c r="I2317">
        <v>3.3</v>
      </c>
      <c r="J2317">
        <v>12.9</v>
      </c>
      <c r="K2317">
        <v>12</v>
      </c>
      <c r="L2317">
        <v>5</v>
      </c>
      <c r="M2317">
        <v>36</v>
      </c>
    </row>
    <row r="2318" spans="1:13" x14ac:dyDescent="0.25">
      <c r="A2318" s="34" t="s">
        <v>344</v>
      </c>
      <c r="B2318" t="s">
        <v>482</v>
      </c>
      <c r="C2318" t="s">
        <v>489</v>
      </c>
      <c r="D2318" t="s">
        <v>490</v>
      </c>
      <c r="E2318">
        <v>2</v>
      </c>
      <c r="F2318">
        <v>4.5</v>
      </c>
      <c r="G2318">
        <v>50</v>
      </c>
      <c r="H2318">
        <v>11</v>
      </c>
      <c r="I2318">
        <v>4.5</v>
      </c>
      <c r="J2318">
        <v>12.5</v>
      </c>
      <c r="K2318">
        <v>12</v>
      </c>
      <c r="L2318">
        <v>6.4</v>
      </c>
      <c r="M2318">
        <v>30</v>
      </c>
    </row>
    <row r="2319" spans="1:13" x14ac:dyDescent="0.25">
      <c r="A2319" s="34" t="s">
        <v>344</v>
      </c>
      <c r="B2319" t="s">
        <v>482</v>
      </c>
      <c r="C2319" t="s">
        <v>489</v>
      </c>
      <c r="D2319" t="s">
        <v>490</v>
      </c>
      <c r="E2319">
        <v>2</v>
      </c>
      <c r="F2319">
        <v>4.5</v>
      </c>
      <c r="G2319">
        <v>60</v>
      </c>
      <c r="H2319">
        <v>11</v>
      </c>
      <c r="I2319">
        <v>4.5</v>
      </c>
      <c r="J2319">
        <v>12.5</v>
      </c>
      <c r="K2319">
        <v>12</v>
      </c>
      <c r="L2319">
        <v>6.4</v>
      </c>
      <c r="M2319">
        <v>36</v>
      </c>
    </row>
    <row r="2320" spans="1:13" x14ac:dyDescent="0.25">
      <c r="A2320" s="34" t="s">
        <v>344</v>
      </c>
      <c r="B2320" t="s">
        <v>482</v>
      </c>
      <c r="C2320" t="s">
        <v>489</v>
      </c>
      <c r="D2320" t="s">
        <v>490</v>
      </c>
      <c r="E2320">
        <v>2</v>
      </c>
      <c r="F2320">
        <v>4.5</v>
      </c>
      <c r="G2320">
        <v>70</v>
      </c>
      <c r="H2320">
        <v>11</v>
      </c>
      <c r="I2320">
        <v>4.5</v>
      </c>
      <c r="J2320">
        <v>12.5</v>
      </c>
      <c r="K2320">
        <v>12</v>
      </c>
      <c r="L2320">
        <v>6.4</v>
      </c>
      <c r="M2320">
        <v>42</v>
      </c>
    </row>
    <row r="2321" spans="1:13" x14ac:dyDescent="0.25">
      <c r="A2321" s="34" t="s">
        <v>344</v>
      </c>
      <c r="B2321" t="s">
        <v>482</v>
      </c>
      <c r="C2321" t="s">
        <v>489</v>
      </c>
      <c r="D2321" t="s">
        <v>490</v>
      </c>
      <c r="E2321">
        <v>2</v>
      </c>
      <c r="F2321">
        <v>5</v>
      </c>
      <c r="G2321">
        <v>50</v>
      </c>
      <c r="H2321">
        <v>12</v>
      </c>
      <c r="I2321">
        <v>5.9</v>
      </c>
      <c r="J2321">
        <v>12.1</v>
      </c>
      <c r="K2321">
        <v>12</v>
      </c>
      <c r="L2321">
        <v>7.9</v>
      </c>
      <c r="M2321">
        <v>30</v>
      </c>
    </row>
    <row r="2322" spans="1:13" x14ac:dyDescent="0.25">
      <c r="A2322" s="34" t="s">
        <v>344</v>
      </c>
      <c r="B2322" t="s">
        <v>482</v>
      </c>
      <c r="C2322" t="s">
        <v>489</v>
      </c>
      <c r="D2322" t="s">
        <v>490</v>
      </c>
      <c r="E2322">
        <v>2</v>
      </c>
      <c r="F2322">
        <v>5</v>
      </c>
      <c r="G2322">
        <v>60</v>
      </c>
      <c r="H2322">
        <v>12</v>
      </c>
      <c r="I2322">
        <v>5.9</v>
      </c>
      <c r="J2322">
        <v>12.1</v>
      </c>
      <c r="K2322">
        <v>12</v>
      </c>
      <c r="L2322">
        <v>7.9</v>
      </c>
      <c r="M2322">
        <v>36</v>
      </c>
    </row>
    <row r="2323" spans="1:13" x14ac:dyDescent="0.25">
      <c r="A2323" s="34" t="s">
        <v>344</v>
      </c>
      <c r="B2323" t="s">
        <v>482</v>
      </c>
      <c r="C2323" t="s">
        <v>489</v>
      </c>
      <c r="D2323" t="s">
        <v>490</v>
      </c>
      <c r="E2323">
        <v>2</v>
      </c>
      <c r="F2323">
        <v>5</v>
      </c>
      <c r="G2323">
        <v>70</v>
      </c>
      <c r="H2323">
        <v>12</v>
      </c>
      <c r="I2323">
        <v>5.9</v>
      </c>
      <c r="J2323">
        <v>12.1</v>
      </c>
      <c r="K2323">
        <v>12</v>
      </c>
      <c r="L2323">
        <v>7.9</v>
      </c>
      <c r="M2323">
        <v>42</v>
      </c>
    </row>
    <row r="2324" spans="1:13" x14ac:dyDescent="0.25">
      <c r="A2324" s="34" t="s">
        <v>344</v>
      </c>
      <c r="B2324" t="s">
        <v>482</v>
      </c>
      <c r="C2324" t="s">
        <v>489</v>
      </c>
      <c r="D2324" t="s">
        <v>490</v>
      </c>
      <c r="E2324">
        <v>2</v>
      </c>
      <c r="F2324">
        <v>5</v>
      </c>
      <c r="G2324">
        <v>80</v>
      </c>
      <c r="H2324">
        <v>12</v>
      </c>
      <c r="I2324">
        <v>5.9</v>
      </c>
      <c r="J2324">
        <v>12.1</v>
      </c>
      <c r="K2324">
        <v>12</v>
      </c>
      <c r="L2324">
        <v>7.9</v>
      </c>
      <c r="M2324">
        <v>48</v>
      </c>
    </row>
    <row r="2325" spans="1:13" x14ac:dyDescent="0.25">
      <c r="A2325" s="34" t="s">
        <v>344</v>
      </c>
      <c r="B2325" t="s">
        <v>482</v>
      </c>
      <c r="C2325" t="s">
        <v>489</v>
      </c>
      <c r="D2325" t="s">
        <v>490</v>
      </c>
      <c r="E2325">
        <v>2</v>
      </c>
      <c r="F2325">
        <v>5</v>
      </c>
      <c r="G2325">
        <v>100</v>
      </c>
      <c r="H2325">
        <v>12</v>
      </c>
      <c r="I2325">
        <v>5.9</v>
      </c>
      <c r="J2325">
        <v>12.1</v>
      </c>
      <c r="K2325">
        <v>12</v>
      </c>
      <c r="L2325">
        <v>7.9</v>
      </c>
      <c r="M2325">
        <v>60</v>
      </c>
    </row>
    <row r="2326" spans="1:13" x14ac:dyDescent="0.25">
      <c r="A2326" s="34" t="s">
        <v>344</v>
      </c>
      <c r="B2326" t="s">
        <v>482</v>
      </c>
      <c r="C2326" t="s">
        <v>489</v>
      </c>
      <c r="D2326" t="s">
        <v>490</v>
      </c>
      <c r="E2326">
        <v>2</v>
      </c>
      <c r="F2326">
        <v>6</v>
      </c>
      <c r="G2326">
        <v>30</v>
      </c>
      <c r="H2326">
        <v>14</v>
      </c>
      <c r="I2326">
        <v>9.5</v>
      </c>
      <c r="J2326">
        <v>11.4</v>
      </c>
      <c r="K2326">
        <v>12</v>
      </c>
      <c r="L2326">
        <v>11</v>
      </c>
      <c r="M2326">
        <v>30</v>
      </c>
    </row>
    <row r="2327" spans="1:13" x14ac:dyDescent="0.25">
      <c r="A2327" s="34" t="s">
        <v>344</v>
      </c>
      <c r="B2327" t="s">
        <v>482</v>
      </c>
      <c r="C2327" t="s">
        <v>489</v>
      </c>
      <c r="D2327" t="s">
        <v>490</v>
      </c>
      <c r="E2327">
        <v>2</v>
      </c>
      <c r="F2327">
        <v>6</v>
      </c>
      <c r="G2327">
        <v>40</v>
      </c>
      <c r="H2327">
        <v>14</v>
      </c>
      <c r="I2327">
        <v>9.5</v>
      </c>
      <c r="J2327">
        <v>11.4</v>
      </c>
      <c r="K2327">
        <v>12</v>
      </c>
      <c r="L2327">
        <v>11</v>
      </c>
      <c r="M2327">
        <v>40</v>
      </c>
    </row>
    <row r="2328" spans="1:13" x14ac:dyDescent="0.25">
      <c r="A2328" s="34" t="s">
        <v>344</v>
      </c>
      <c r="B2328" t="s">
        <v>482</v>
      </c>
      <c r="C2328" t="s">
        <v>489</v>
      </c>
      <c r="D2328" t="s">
        <v>490</v>
      </c>
      <c r="E2328">
        <v>2</v>
      </c>
      <c r="F2328">
        <v>6</v>
      </c>
      <c r="G2328">
        <v>50</v>
      </c>
      <c r="H2328">
        <v>14</v>
      </c>
      <c r="I2328">
        <v>9.5</v>
      </c>
      <c r="J2328">
        <v>11.4</v>
      </c>
      <c r="K2328">
        <v>12</v>
      </c>
      <c r="L2328">
        <v>11</v>
      </c>
      <c r="M2328">
        <v>30</v>
      </c>
    </row>
    <row r="2329" spans="1:13" x14ac:dyDescent="0.25">
      <c r="A2329" s="34" t="s">
        <v>344</v>
      </c>
      <c r="B2329" t="s">
        <v>482</v>
      </c>
      <c r="C2329" t="s">
        <v>489</v>
      </c>
      <c r="D2329" t="s">
        <v>490</v>
      </c>
      <c r="E2329">
        <v>2</v>
      </c>
      <c r="F2329">
        <v>6</v>
      </c>
      <c r="G2329">
        <v>60</v>
      </c>
      <c r="H2329">
        <v>14</v>
      </c>
      <c r="I2329">
        <v>9.5</v>
      </c>
      <c r="J2329">
        <v>11.4</v>
      </c>
      <c r="K2329">
        <v>12</v>
      </c>
      <c r="L2329">
        <v>11</v>
      </c>
      <c r="M2329">
        <v>36</v>
      </c>
    </row>
    <row r="2330" spans="1:13" x14ac:dyDescent="0.25">
      <c r="A2330" s="34" t="s">
        <v>344</v>
      </c>
      <c r="B2330" t="s">
        <v>482</v>
      </c>
      <c r="C2330" t="s">
        <v>489</v>
      </c>
      <c r="D2330" t="s">
        <v>490</v>
      </c>
      <c r="E2330">
        <v>2</v>
      </c>
      <c r="F2330">
        <v>6</v>
      </c>
      <c r="G2330">
        <v>70</v>
      </c>
      <c r="H2330">
        <v>14</v>
      </c>
      <c r="I2330">
        <v>9.5</v>
      </c>
      <c r="J2330">
        <v>11.4</v>
      </c>
      <c r="K2330">
        <v>12</v>
      </c>
      <c r="L2330">
        <v>11</v>
      </c>
      <c r="M2330">
        <v>42</v>
      </c>
    </row>
    <row r="2331" spans="1:13" x14ac:dyDescent="0.25">
      <c r="A2331" s="34" t="s">
        <v>344</v>
      </c>
      <c r="B2331" t="s">
        <v>482</v>
      </c>
      <c r="C2331" t="s">
        <v>489</v>
      </c>
      <c r="D2331" t="s">
        <v>490</v>
      </c>
      <c r="E2331">
        <v>2</v>
      </c>
      <c r="F2331">
        <v>6</v>
      </c>
      <c r="G2331">
        <v>80</v>
      </c>
      <c r="H2331">
        <v>14</v>
      </c>
      <c r="I2331">
        <v>9.5</v>
      </c>
      <c r="J2331">
        <v>11.4</v>
      </c>
      <c r="K2331">
        <v>12</v>
      </c>
      <c r="L2331">
        <v>11</v>
      </c>
      <c r="M2331">
        <v>48</v>
      </c>
    </row>
    <row r="2332" spans="1:13" x14ac:dyDescent="0.25">
      <c r="A2332" s="34" t="s">
        <v>344</v>
      </c>
      <c r="B2332" t="s">
        <v>482</v>
      </c>
      <c r="C2332" t="s">
        <v>489</v>
      </c>
      <c r="D2332" t="s">
        <v>490</v>
      </c>
      <c r="E2332">
        <v>2</v>
      </c>
      <c r="F2332">
        <v>6</v>
      </c>
      <c r="G2332">
        <v>90</v>
      </c>
      <c r="H2332">
        <v>14</v>
      </c>
      <c r="I2332">
        <v>9.5</v>
      </c>
      <c r="J2332">
        <v>11.4</v>
      </c>
      <c r="K2332">
        <v>12</v>
      </c>
      <c r="L2332">
        <v>11</v>
      </c>
      <c r="M2332">
        <v>54</v>
      </c>
    </row>
    <row r="2333" spans="1:13" x14ac:dyDescent="0.25">
      <c r="A2333" s="34" t="s">
        <v>344</v>
      </c>
      <c r="B2333" t="s">
        <v>482</v>
      </c>
      <c r="C2333" t="s">
        <v>489</v>
      </c>
      <c r="D2333" t="s">
        <v>490</v>
      </c>
      <c r="E2333">
        <v>2</v>
      </c>
      <c r="F2333">
        <v>6</v>
      </c>
      <c r="G2333">
        <v>100</v>
      </c>
      <c r="H2333">
        <v>14</v>
      </c>
      <c r="I2333">
        <v>9.5</v>
      </c>
      <c r="J2333">
        <v>11.4</v>
      </c>
      <c r="K2333">
        <v>12</v>
      </c>
      <c r="L2333">
        <v>11</v>
      </c>
      <c r="M2333">
        <v>60</v>
      </c>
    </row>
    <row r="2334" spans="1:13" x14ac:dyDescent="0.25">
      <c r="A2334" s="34" t="s">
        <v>344</v>
      </c>
      <c r="B2334" t="s">
        <v>482</v>
      </c>
      <c r="C2334" t="s">
        <v>489</v>
      </c>
      <c r="D2334" t="s">
        <v>490</v>
      </c>
      <c r="E2334">
        <v>2</v>
      </c>
      <c r="F2334">
        <v>6</v>
      </c>
      <c r="G2334">
        <v>110</v>
      </c>
      <c r="H2334">
        <v>14</v>
      </c>
      <c r="I2334">
        <v>9.5</v>
      </c>
      <c r="J2334">
        <v>11.4</v>
      </c>
      <c r="K2334">
        <v>12</v>
      </c>
      <c r="L2334">
        <v>11</v>
      </c>
      <c r="M2334">
        <v>70</v>
      </c>
    </row>
    <row r="2335" spans="1:13" x14ac:dyDescent="0.25">
      <c r="A2335" s="34" t="s">
        <v>344</v>
      </c>
      <c r="B2335" t="s">
        <v>482</v>
      </c>
      <c r="C2335" t="s">
        <v>489</v>
      </c>
      <c r="D2335" t="s">
        <v>490</v>
      </c>
      <c r="E2335">
        <v>2</v>
      </c>
      <c r="F2335">
        <v>6</v>
      </c>
      <c r="G2335">
        <v>120</v>
      </c>
      <c r="H2335">
        <v>14</v>
      </c>
      <c r="I2335">
        <v>9.5</v>
      </c>
      <c r="J2335">
        <v>11.4</v>
      </c>
      <c r="K2335">
        <v>12</v>
      </c>
      <c r="L2335">
        <v>11</v>
      </c>
      <c r="M2335">
        <v>70</v>
      </c>
    </row>
    <row r="2336" spans="1:13" x14ac:dyDescent="0.25">
      <c r="A2336" s="34" t="s">
        <v>344</v>
      </c>
      <c r="B2336" t="s">
        <v>482</v>
      </c>
      <c r="C2336" t="s">
        <v>489</v>
      </c>
      <c r="D2336" t="s">
        <v>490</v>
      </c>
      <c r="E2336">
        <v>2</v>
      </c>
      <c r="F2336">
        <v>6</v>
      </c>
      <c r="G2336">
        <v>130</v>
      </c>
      <c r="H2336">
        <v>14</v>
      </c>
      <c r="I2336">
        <v>9.5</v>
      </c>
      <c r="J2336">
        <v>11.4</v>
      </c>
      <c r="K2336">
        <v>12</v>
      </c>
      <c r="L2336">
        <v>11</v>
      </c>
      <c r="M2336">
        <v>70</v>
      </c>
    </row>
    <row r="2337" spans="1:13" x14ac:dyDescent="0.25">
      <c r="A2337" s="34" t="s">
        <v>344</v>
      </c>
      <c r="B2337" t="s">
        <v>482</v>
      </c>
      <c r="C2337" t="s">
        <v>489</v>
      </c>
      <c r="D2337" t="s">
        <v>490</v>
      </c>
      <c r="E2337">
        <v>2</v>
      </c>
      <c r="F2337">
        <v>6</v>
      </c>
      <c r="G2337">
        <v>140</v>
      </c>
      <c r="H2337">
        <v>14</v>
      </c>
      <c r="I2337">
        <v>9.5</v>
      </c>
      <c r="J2337">
        <v>11.4</v>
      </c>
      <c r="K2337">
        <v>12</v>
      </c>
      <c r="L2337">
        <v>11</v>
      </c>
      <c r="M2337">
        <v>70</v>
      </c>
    </row>
    <row r="2338" spans="1:13" x14ac:dyDescent="0.25">
      <c r="A2338" s="34" t="s">
        <v>344</v>
      </c>
      <c r="B2338" t="s">
        <v>482</v>
      </c>
      <c r="C2338" t="s">
        <v>489</v>
      </c>
      <c r="D2338" t="s">
        <v>490</v>
      </c>
      <c r="E2338">
        <v>2</v>
      </c>
      <c r="F2338">
        <v>6</v>
      </c>
      <c r="G2338">
        <v>150</v>
      </c>
      <c r="H2338">
        <v>14</v>
      </c>
      <c r="I2338">
        <v>9.5</v>
      </c>
      <c r="J2338">
        <v>11.4</v>
      </c>
      <c r="K2338">
        <v>12</v>
      </c>
      <c r="L2338">
        <v>11</v>
      </c>
      <c r="M2338">
        <v>70</v>
      </c>
    </row>
    <row r="2339" spans="1:13" x14ac:dyDescent="0.25">
      <c r="A2339" s="34" t="s">
        <v>344</v>
      </c>
      <c r="B2339" t="s">
        <v>482</v>
      </c>
      <c r="C2339" t="s">
        <v>489</v>
      </c>
      <c r="D2339" t="s">
        <v>490</v>
      </c>
      <c r="E2339">
        <v>2</v>
      </c>
      <c r="F2339">
        <v>6</v>
      </c>
      <c r="G2339">
        <v>160</v>
      </c>
      <c r="H2339">
        <v>14</v>
      </c>
      <c r="I2339">
        <v>9.5</v>
      </c>
      <c r="J2339">
        <v>11.4</v>
      </c>
      <c r="K2339">
        <v>12</v>
      </c>
      <c r="L2339">
        <v>11</v>
      </c>
      <c r="M2339">
        <v>70</v>
      </c>
    </row>
    <row r="2340" spans="1:13" x14ac:dyDescent="0.25">
      <c r="A2340" s="34" t="s">
        <v>344</v>
      </c>
      <c r="B2340" t="s">
        <v>482</v>
      </c>
      <c r="C2340" t="s">
        <v>489</v>
      </c>
      <c r="D2340" t="s">
        <v>490</v>
      </c>
      <c r="E2340">
        <v>2</v>
      </c>
      <c r="F2340">
        <v>6</v>
      </c>
      <c r="G2340">
        <v>180</v>
      </c>
      <c r="H2340">
        <v>14</v>
      </c>
      <c r="I2340">
        <v>9.5</v>
      </c>
      <c r="J2340">
        <v>11.4</v>
      </c>
      <c r="K2340">
        <v>12</v>
      </c>
      <c r="L2340">
        <v>11</v>
      </c>
      <c r="M2340">
        <v>70</v>
      </c>
    </row>
    <row r="2341" spans="1:13" x14ac:dyDescent="0.25">
      <c r="A2341" s="34" t="s">
        <v>344</v>
      </c>
      <c r="B2341" t="s">
        <v>482</v>
      </c>
      <c r="C2341" t="s">
        <v>489</v>
      </c>
      <c r="D2341" t="s">
        <v>490</v>
      </c>
      <c r="E2341">
        <v>2</v>
      </c>
      <c r="F2341">
        <v>6</v>
      </c>
      <c r="G2341">
        <v>200</v>
      </c>
      <c r="H2341">
        <v>14</v>
      </c>
      <c r="I2341">
        <v>9.5</v>
      </c>
      <c r="J2341">
        <v>11.4</v>
      </c>
      <c r="K2341">
        <v>12</v>
      </c>
      <c r="L2341">
        <v>11</v>
      </c>
      <c r="M2341">
        <v>70</v>
      </c>
    </row>
    <row r="2342" spans="1:13" x14ac:dyDescent="0.25">
      <c r="A2342" s="34" t="s">
        <v>344</v>
      </c>
      <c r="B2342" t="s">
        <v>482</v>
      </c>
      <c r="C2342" t="s">
        <v>489</v>
      </c>
      <c r="D2342" t="s">
        <v>490</v>
      </c>
      <c r="E2342">
        <v>2</v>
      </c>
      <c r="F2342">
        <v>6</v>
      </c>
      <c r="G2342">
        <v>220</v>
      </c>
      <c r="H2342">
        <v>14</v>
      </c>
      <c r="I2342">
        <v>9.5</v>
      </c>
      <c r="J2342">
        <v>11.4</v>
      </c>
      <c r="K2342">
        <v>12</v>
      </c>
      <c r="L2342">
        <v>11</v>
      </c>
      <c r="M2342">
        <v>70</v>
      </c>
    </row>
    <row r="2343" spans="1:13" x14ac:dyDescent="0.25">
      <c r="A2343" s="34" t="s">
        <v>344</v>
      </c>
      <c r="B2343" t="s">
        <v>482</v>
      </c>
      <c r="C2343" t="s">
        <v>489</v>
      </c>
      <c r="D2343" t="s">
        <v>490</v>
      </c>
      <c r="E2343">
        <v>2</v>
      </c>
      <c r="F2343">
        <v>6</v>
      </c>
      <c r="G2343">
        <v>240</v>
      </c>
      <c r="H2343">
        <v>14</v>
      </c>
      <c r="I2343">
        <v>9.5</v>
      </c>
      <c r="J2343">
        <v>11.4</v>
      </c>
      <c r="K2343">
        <v>12</v>
      </c>
      <c r="L2343">
        <v>11</v>
      </c>
      <c r="M2343">
        <v>70</v>
      </c>
    </row>
    <row r="2344" spans="1:13" x14ac:dyDescent="0.25">
      <c r="A2344" s="34" t="s">
        <v>344</v>
      </c>
      <c r="B2344" t="s">
        <v>482</v>
      </c>
      <c r="C2344" t="s">
        <v>489</v>
      </c>
      <c r="D2344" t="s">
        <v>490</v>
      </c>
      <c r="E2344">
        <v>2</v>
      </c>
      <c r="F2344">
        <v>6</v>
      </c>
      <c r="G2344">
        <v>260</v>
      </c>
      <c r="H2344">
        <v>14</v>
      </c>
      <c r="I2344">
        <v>9.5</v>
      </c>
      <c r="J2344">
        <v>11.4</v>
      </c>
      <c r="K2344">
        <v>12</v>
      </c>
      <c r="L2344">
        <v>11</v>
      </c>
      <c r="M2344">
        <v>70</v>
      </c>
    </row>
    <row r="2345" spans="1:13" x14ac:dyDescent="0.25">
      <c r="A2345" s="34" t="s">
        <v>344</v>
      </c>
      <c r="B2345" t="s">
        <v>482</v>
      </c>
      <c r="C2345" t="s">
        <v>489</v>
      </c>
      <c r="D2345" t="s">
        <v>490</v>
      </c>
      <c r="E2345">
        <v>2</v>
      </c>
      <c r="F2345">
        <v>6</v>
      </c>
      <c r="G2345">
        <v>280</v>
      </c>
      <c r="H2345">
        <v>14</v>
      </c>
      <c r="I2345">
        <v>9.5</v>
      </c>
      <c r="J2345">
        <v>11.4</v>
      </c>
      <c r="K2345">
        <v>12</v>
      </c>
      <c r="L2345">
        <v>11</v>
      </c>
      <c r="M2345">
        <v>70</v>
      </c>
    </row>
    <row r="2346" spans="1:13" x14ac:dyDescent="0.25">
      <c r="A2346" s="34" t="s">
        <v>344</v>
      </c>
      <c r="B2346" t="s">
        <v>482</v>
      </c>
      <c r="C2346" t="s">
        <v>489</v>
      </c>
      <c r="D2346" t="s">
        <v>490</v>
      </c>
      <c r="E2346">
        <v>2</v>
      </c>
      <c r="F2346">
        <v>6</v>
      </c>
      <c r="G2346">
        <v>300</v>
      </c>
      <c r="H2346">
        <v>14</v>
      </c>
      <c r="I2346">
        <v>9.5</v>
      </c>
      <c r="J2346">
        <v>11.4</v>
      </c>
      <c r="K2346">
        <v>12</v>
      </c>
      <c r="L2346">
        <v>11</v>
      </c>
      <c r="M2346">
        <v>70</v>
      </c>
    </row>
    <row r="2347" spans="1:13" x14ac:dyDescent="0.25">
      <c r="A2347" s="34" t="s">
        <v>344</v>
      </c>
      <c r="B2347" t="s">
        <v>482</v>
      </c>
      <c r="C2347" t="s">
        <v>489</v>
      </c>
      <c r="D2347" t="s">
        <v>490</v>
      </c>
      <c r="E2347">
        <v>2</v>
      </c>
      <c r="F2347">
        <v>8</v>
      </c>
      <c r="G2347">
        <v>60</v>
      </c>
      <c r="H2347">
        <v>22</v>
      </c>
      <c r="I2347">
        <v>20</v>
      </c>
      <c r="J2347">
        <v>11.1</v>
      </c>
      <c r="K2347">
        <v>12</v>
      </c>
      <c r="L2347">
        <v>20</v>
      </c>
      <c r="M2347">
        <v>48</v>
      </c>
    </row>
    <row r="2348" spans="1:13" x14ac:dyDescent="0.25">
      <c r="A2348" s="34" t="s">
        <v>344</v>
      </c>
      <c r="B2348" t="s">
        <v>482</v>
      </c>
      <c r="C2348" t="s">
        <v>489</v>
      </c>
      <c r="D2348" t="s">
        <v>490</v>
      </c>
      <c r="E2348">
        <v>2</v>
      </c>
      <c r="F2348">
        <v>8</v>
      </c>
      <c r="G2348">
        <v>80</v>
      </c>
      <c r="H2348">
        <v>22</v>
      </c>
      <c r="I2348">
        <v>20</v>
      </c>
      <c r="J2348">
        <v>11.1</v>
      </c>
      <c r="K2348">
        <v>12</v>
      </c>
      <c r="L2348">
        <v>20</v>
      </c>
      <c r="M2348">
        <v>48</v>
      </c>
    </row>
    <row r="2349" spans="1:13" x14ac:dyDescent="0.25">
      <c r="A2349" s="34" t="s">
        <v>344</v>
      </c>
      <c r="B2349" t="s">
        <v>482</v>
      </c>
      <c r="C2349" t="s">
        <v>489</v>
      </c>
      <c r="D2349" t="s">
        <v>490</v>
      </c>
      <c r="E2349">
        <v>2</v>
      </c>
      <c r="F2349">
        <v>8</v>
      </c>
      <c r="G2349">
        <v>100</v>
      </c>
      <c r="H2349">
        <v>22</v>
      </c>
      <c r="I2349">
        <v>20</v>
      </c>
      <c r="J2349">
        <v>11.1</v>
      </c>
      <c r="K2349">
        <v>12</v>
      </c>
      <c r="L2349">
        <v>20</v>
      </c>
      <c r="M2349">
        <v>60</v>
      </c>
    </row>
    <row r="2350" spans="1:13" x14ac:dyDescent="0.25">
      <c r="A2350" s="34" t="s">
        <v>344</v>
      </c>
      <c r="B2350" t="s">
        <v>482</v>
      </c>
      <c r="C2350" t="s">
        <v>489</v>
      </c>
      <c r="D2350" t="s">
        <v>490</v>
      </c>
      <c r="E2350">
        <v>2</v>
      </c>
      <c r="F2350">
        <v>8</v>
      </c>
      <c r="G2350">
        <v>120</v>
      </c>
      <c r="H2350">
        <v>22</v>
      </c>
      <c r="I2350">
        <v>20</v>
      </c>
      <c r="J2350">
        <v>11.1</v>
      </c>
      <c r="K2350">
        <v>12</v>
      </c>
      <c r="L2350">
        <v>20</v>
      </c>
      <c r="M2350">
        <v>66</v>
      </c>
    </row>
    <row r="2351" spans="1:13" x14ac:dyDescent="0.25">
      <c r="A2351" s="34" t="s">
        <v>344</v>
      </c>
      <c r="B2351" t="s">
        <v>482</v>
      </c>
      <c r="C2351" t="s">
        <v>489</v>
      </c>
      <c r="D2351" t="s">
        <v>490</v>
      </c>
      <c r="E2351">
        <v>2</v>
      </c>
      <c r="F2351">
        <v>8</v>
      </c>
      <c r="G2351">
        <v>140</v>
      </c>
      <c r="H2351">
        <v>22</v>
      </c>
      <c r="I2351">
        <v>20</v>
      </c>
      <c r="J2351">
        <v>11.1</v>
      </c>
      <c r="K2351">
        <v>12</v>
      </c>
      <c r="L2351">
        <v>20</v>
      </c>
      <c r="M2351">
        <v>95</v>
      </c>
    </row>
    <row r="2352" spans="1:13" x14ac:dyDescent="0.25">
      <c r="A2352" s="34" t="s">
        <v>344</v>
      </c>
      <c r="B2352" t="s">
        <v>482</v>
      </c>
      <c r="C2352" t="s">
        <v>489</v>
      </c>
      <c r="D2352" t="s">
        <v>490</v>
      </c>
      <c r="E2352">
        <v>2</v>
      </c>
      <c r="F2352">
        <v>8</v>
      </c>
      <c r="G2352">
        <v>160</v>
      </c>
      <c r="H2352">
        <v>22</v>
      </c>
      <c r="I2352">
        <v>20</v>
      </c>
      <c r="J2352">
        <v>11.1</v>
      </c>
      <c r="K2352">
        <v>12</v>
      </c>
      <c r="L2352">
        <v>20</v>
      </c>
      <c r="M2352">
        <v>95</v>
      </c>
    </row>
    <row r="2353" spans="1:13" x14ac:dyDescent="0.25">
      <c r="A2353" s="34" t="s">
        <v>344</v>
      </c>
      <c r="B2353" t="s">
        <v>482</v>
      </c>
      <c r="C2353" t="s">
        <v>489</v>
      </c>
      <c r="D2353" t="s">
        <v>490</v>
      </c>
      <c r="E2353">
        <v>2</v>
      </c>
      <c r="F2353">
        <v>8</v>
      </c>
      <c r="G2353">
        <v>180</v>
      </c>
      <c r="H2353">
        <v>22</v>
      </c>
      <c r="I2353">
        <v>20</v>
      </c>
      <c r="J2353">
        <v>11.1</v>
      </c>
      <c r="K2353">
        <v>12</v>
      </c>
      <c r="L2353">
        <v>20</v>
      </c>
      <c r="M2353">
        <v>95</v>
      </c>
    </row>
    <row r="2354" spans="1:13" x14ac:dyDescent="0.25">
      <c r="A2354" s="34" t="s">
        <v>344</v>
      </c>
      <c r="B2354" t="s">
        <v>482</v>
      </c>
      <c r="C2354" t="s">
        <v>489</v>
      </c>
      <c r="D2354" t="s">
        <v>490</v>
      </c>
      <c r="E2354">
        <v>2</v>
      </c>
      <c r="F2354">
        <v>8</v>
      </c>
      <c r="G2354">
        <v>200</v>
      </c>
      <c r="H2354">
        <v>22</v>
      </c>
      <c r="I2354">
        <v>20</v>
      </c>
      <c r="J2354">
        <v>11.1</v>
      </c>
      <c r="K2354">
        <v>12</v>
      </c>
      <c r="L2354">
        <v>20</v>
      </c>
      <c r="M2354">
        <v>95</v>
      </c>
    </row>
    <row r="2355" spans="1:13" x14ac:dyDescent="0.25">
      <c r="A2355" s="34" t="s">
        <v>344</v>
      </c>
      <c r="B2355" t="s">
        <v>482</v>
      </c>
      <c r="C2355" t="s">
        <v>489</v>
      </c>
      <c r="D2355" t="s">
        <v>490</v>
      </c>
      <c r="E2355">
        <v>2</v>
      </c>
      <c r="F2355">
        <v>8</v>
      </c>
      <c r="G2355">
        <v>220</v>
      </c>
      <c r="H2355">
        <v>22</v>
      </c>
      <c r="I2355">
        <v>20</v>
      </c>
      <c r="J2355">
        <v>11.1</v>
      </c>
      <c r="K2355">
        <v>12</v>
      </c>
      <c r="L2355">
        <v>20</v>
      </c>
      <c r="M2355">
        <v>95</v>
      </c>
    </row>
    <row r="2356" spans="1:13" x14ac:dyDescent="0.25">
      <c r="A2356" s="34" t="s">
        <v>344</v>
      </c>
      <c r="B2356" t="s">
        <v>482</v>
      </c>
      <c r="C2356" t="s">
        <v>489</v>
      </c>
      <c r="D2356" t="s">
        <v>490</v>
      </c>
      <c r="E2356">
        <v>2</v>
      </c>
      <c r="F2356">
        <v>8</v>
      </c>
      <c r="G2356">
        <v>240</v>
      </c>
      <c r="H2356">
        <v>22</v>
      </c>
      <c r="I2356">
        <v>20</v>
      </c>
      <c r="J2356">
        <v>11.1</v>
      </c>
      <c r="K2356">
        <v>12</v>
      </c>
      <c r="L2356">
        <v>20</v>
      </c>
      <c r="M2356">
        <v>95</v>
      </c>
    </row>
    <row r="2357" spans="1:13" x14ac:dyDescent="0.25">
      <c r="A2357" s="34" t="s">
        <v>344</v>
      </c>
      <c r="B2357" t="s">
        <v>482</v>
      </c>
      <c r="C2357" t="s">
        <v>489</v>
      </c>
      <c r="D2357" t="s">
        <v>490</v>
      </c>
      <c r="E2357">
        <v>2</v>
      </c>
      <c r="F2357">
        <v>8</v>
      </c>
      <c r="G2357">
        <v>260</v>
      </c>
      <c r="H2357">
        <v>22</v>
      </c>
      <c r="I2357">
        <v>20</v>
      </c>
      <c r="J2357">
        <v>11.1</v>
      </c>
      <c r="K2357">
        <v>12</v>
      </c>
      <c r="L2357">
        <v>20</v>
      </c>
      <c r="M2357">
        <v>95</v>
      </c>
    </row>
    <row r="2358" spans="1:13" x14ac:dyDescent="0.25">
      <c r="A2358" s="34" t="s">
        <v>344</v>
      </c>
      <c r="B2358" t="s">
        <v>482</v>
      </c>
      <c r="C2358" t="s">
        <v>489</v>
      </c>
      <c r="D2358" t="s">
        <v>490</v>
      </c>
      <c r="E2358">
        <v>2</v>
      </c>
      <c r="F2358">
        <v>8</v>
      </c>
      <c r="G2358">
        <v>280</v>
      </c>
      <c r="H2358">
        <v>22</v>
      </c>
      <c r="I2358">
        <v>20</v>
      </c>
      <c r="J2358">
        <v>11.1</v>
      </c>
      <c r="K2358">
        <v>12</v>
      </c>
      <c r="L2358">
        <v>20</v>
      </c>
      <c r="M2358">
        <v>95</v>
      </c>
    </row>
    <row r="2359" spans="1:13" x14ac:dyDescent="0.25">
      <c r="A2359" s="34" t="s">
        <v>344</v>
      </c>
      <c r="B2359" t="s">
        <v>482</v>
      </c>
      <c r="C2359" t="s">
        <v>489</v>
      </c>
      <c r="D2359" t="s">
        <v>490</v>
      </c>
      <c r="E2359">
        <v>2</v>
      </c>
      <c r="F2359">
        <v>8</v>
      </c>
      <c r="G2359">
        <v>300</v>
      </c>
      <c r="H2359">
        <v>22</v>
      </c>
      <c r="I2359">
        <v>20</v>
      </c>
      <c r="J2359">
        <v>11.1</v>
      </c>
      <c r="K2359">
        <v>12</v>
      </c>
      <c r="L2359">
        <v>20</v>
      </c>
      <c r="M2359">
        <v>95</v>
      </c>
    </row>
    <row r="2360" spans="1:13" x14ac:dyDescent="0.25">
      <c r="A2360" s="34" t="s">
        <v>344</v>
      </c>
      <c r="B2360" t="s">
        <v>482</v>
      </c>
      <c r="C2360" t="s">
        <v>489</v>
      </c>
      <c r="D2360" t="s">
        <v>490</v>
      </c>
      <c r="E2360">
        <v>2</v>
      </c>
      <c r="F2360">
        <v>8</v>
      </c>
      <c r="G2360">
        <v>320</v>
      </c>
      <c r="H2360">
        <v>22</v>
      </c>
      <c r="I2360">
        <v>20</v>
      </c>
      <c r="J2360">
        <v>11.1</v>
      </c>
      <c r="K2360">
        <v>12</v>
      </c>
      <c r="L2360">
        <v>20</v>
      </c>
      <c r="M2360">
        <v>95</v>
      </c>
    </row>
    <row r="2361" spans="1:13" x14ac:dyDescent="0.25">
      <c r="A2361" s="34" t="s">
        <v>344</v>
      </c>
      <c r="B2361" t="s">
        <v>482</v>
      </c>
      <c r="C2361" t="s">
        <v>489</v>
      </c>
      <c r="D2361" t="s">
        <v>490</v>
      </c>
      <c r="E2361">
        <v>2</v>
      </c>
      <c r="F2361">
        <v>8</v>
      </c>
      <c r="G2361">
        <v>340</v>
      </c>
      <c r="H2361">
        <v>22</v>
      </c>
      <c r="I2361">
        <v>20</v>
      </c>
      <c r="J2361">
        <v>11.1</v>
      </c>
      <c r="K2361">
        <v>12</v>
      </c>
      <c r="L2361">
        <v>20</v>
      </c>
      <c r="M2361">
        <v>95</v>
      </c>
    </row>
    <row r="2362" spans="1:13" x14ac:dyDescent="0.25">
      <c r="A2362" s="34" t="s">
        <v>344</v>
      </c>
      <c r="B2362" t="s">
        <v>482</v>
      </c>
      <c r="C2362" t="s">
        <v>489</v>
      </c>
      <c r="D2362" t="s">
        <v>490</v>
      </c>
      <c r="E2362">
        <v>2</v>
      </c>
      <c r="F2362">
        <v>8</v>
      </c>
      <c r="G2362">
        <v>360</v>
      </c>
      <c r="H2362">
        <v>22</v>
      </c>
      <c r="I2362">
        <v>20</v>
      </c>
      <c r="J2362">
        <v>11.1</v>
      </c>
      <c r="K2362">
        <v>12</v>
      </c>
      <c r="L2362">
        <v>20</v>
      </c>
      <c r="M2362">
        <v>95</v>
      </c>
    </row>
    <row r="2363" spans="1:13" x14ac:dyDescent="0.25">
      <c r="A2363" s="34" t="s">
        <v>344</v>
      </c>
      <c r="B2363" t="s">
        <v>482</v>
      </c>
      <c r="C2363" t="s">
        <v>489</v>
      </c>
      <c r="D2363" t="s">
        <v>490</v>
      </c>
      <c r="E2363">
        <v>2</v>
      </c>
      <c r="F2363">
        <v>8</v>
      </c>
      <c r="G2363">
        <v>380</v>
      </c>
      <c r="H2363">
        <v>22</v>
      </c>
      <c r="I2363">
        <v>20</v>
      </c>
      <c r="J2363">
        <v>11.1</v>
      </c>
      <c r="K2363">
        <v>12</v>
      </c>
      <c r="L2363">
        <v>20</v>
      </c>
      <c r="M2363">
        <v>95</v>
      </c>
    </row>
    <row r="2364" spans="1:13" x14ac:dyDescent="0.25">
      <c r="A2364" s="34" t="s">
        <v>344</v>
      </c>
      <c r="B2364" t="s">
        <v>482</v>
      </c>
      <c r="C2364" t="s">
        <v>489</v>
      </c>
      <c r="D2364" t="s">
        <v>490</v>
      </c>
      <c r="E2364">
        <v>2</v>
      </c>
      <c r="F2364">
        <v>8</v>
      </c>
      <c r="G2364">
        <v>400</v>
      </c>
      <c r="H2364">
        <v>22</v>
      </c>
      <c r="I2364">
        <v>20</v>
      </c>
      <c r="J2364">
        <v>11.1</v>
      </c>
      <c r="K2364">
        <v>12</v>
      </c>
      <c r="L2364">
        <v>20</v>
      </c>
      <c r="M2364">
        <v>95</v>
      </c>
    </row>
    <row r="2365" spans="1:13" x14ac:dyDescent="0.25">
      <c r="A2365" s="34" t="s">
        <v>344</v>
      </c>
      <c r="B2365" t="s">
        <v>482</v>
      </c>
      <c r="C2365" t="s">
        <v>489</v>
      </c>
      <c r="D2365" t="s">
        <v>490</v>
      </c>
      <c r="E2365">
        <v>2</v>
      </c>
      <c r="F2365">
        <v>8</v>
      </c>
      <c r="G2365">
        <v>420</v>
      </c>
      <c r="H2365">
        <v>22</v>
      </c>
      <c r="I2365">
        <v>20</v>
      </c>
      <c r="J2365">
        <v>11.1</v>
      </c>
      <c r="K2365">
        <v>12</v>
      </c>
      <c r="L2365">
        <v>20</v>
      </c>
      <c r="M2365">
        <v>95</v>
      </c>
    </row>
    <row r="2366" spans="1:13" x14ac:dyDescent="0.25">
      <c r="A2366" s="34" t="s">
        <v>344</v>
      </c>
      <c r="B2366" t="s">
        <v>482</v>
      </c>
      <c r="C2366" t="s">
        <v>489</v>
      </c>
      <c r="D2366" t="s">
        <v>490</v>
      </c>
      <c r="E2366">
        <v>2</v>
      </c>
      <c r="F2366">
        <v>8</v>
      </c>
      <c r="G2366">
        <v>440</v>
      </c>
      <c r="H2366">
        <v>22</v>
      </c>
      <c r="I2366">
        <v>20</v>
      </c>
      <c r="J2366">
        <v>11.1</v>
      </c>
      <c r="K2366">
        <v>12</v>
      </c>
      <c r="L2366">
        <v>20</v>
      </c>
      <c r="M2366">
        <v>95</v>
      </c>
    </row>
    <row r="2367" spans="1:13" x14ac:dyDescent="0.25">
      <c r="A2367" s="34" t="s">
        <v>344</v>
      </c>
      <c r="B2367" t="s">
        <v>482</v>
      </c>
      <c r="C2367" t="s">
        <v>489</v>
      </c>
      <c r="D2367" t="s">
        <v>490</v>
      </c>
      <c r="E2367">
        <v>2</v>
      </c>
      <c r="F2367">
        <v>8</v>
      </c>
      <c r="G2367">
        <v>460</v>
      </c>
      <c r="H2367">
        <v>22</v>
      </c>
      <c r="I2367">
        <v>20</v>
      </c>
      <c r="J2367">
        <v>11.1</v>
      </c>
      <c r="K2367">
        <v>12</v>
      </c>
      <c r="L2367">
        <v>20</v>
      </c>
      <c r="M2367">
        <v>95</v>
      </c>
    </row>
    <row r="2368" spans="1:13" x14ac:dyDescent="0.25">
      <c r="A2368" s="34" t="s">
        <v>344</v>
      </c>
      <c r="B2368" t="s">
        <v>482</v>
      </c>
      <c r="C2368" t="s">
        <v>489</v>
      </c>
      <c r="D2368" t="s">
        <v>490</v>
      </c>
      <c r="E2368">
        <v>2</v>
      </c>
      <c r="F2368">
        <v>8</v>
      </c>
      <c r="G2368">
        <v>480</v>
      </c>
      <c r="H2368">
        <v>22</v>
      </c>
      <c r="I2368">
        <v>20</v>
      </c>
      <c r="J2368">
        <v>11.1</v>
      </c>
      <c r="K2368">
        <v>12</v>
      </c>
      <c r="L2368">
        <v>20</v>
      </c>
      <c r="M2368">
        <v>95</v>
      </c>
    </row>
    <row r="2369" spans="1:13" x14ac:dyDescent="0.25">
      <c r="A2369" s="34" t="s">
        <v>344</v>
      </c>
      <c r="B2369" t="s">
        <v>482</v>
      </c>
      <c r="C2369" t="s">
        <v>489</v>
      </c>
      <c r="D2369" t="s">
        <v>490</v>
      </c>
      <c r="E2369">
        <v>2</v>
      </c>
      <c r="F2369">
        <v>8</v>
      </c>
      <c r="G2369">
        <v>500</v>
      </c>
      <c r="H2369">
        <v>22</v>
      </c>
      <c r="I2369">
        <v>20</v>
      </c>
      <c r="J2369">
        <v>11.1</v>
      </c>
      <c r="K2369">
        <v>12</v>
      </c>
      <c r="L2369">
        <v>20</v>
      </c>
      <c r="M2369">
        <v>95</v>
      </c>
    </row>
    <row r="2370" spans="1:13" x14ac:dyDescent="0.25">
      <c r="A2370" s="34" t="s">
        <v>344</v>
      </c>
      <c r="B2370" t="s">
        <v>482</v>
      </c>
      <c r="C2370" t="s">
        <v>489</v>
      </c>
      <c r="D2370" t="s">
        <v>490</v>
      </c>
      <c r="E2370">
        <v>2</v>
      </c>
      <c r="F2370">
        <v>8</v>
      </c>
      <c r="G2370">
        <v>550</v>
      </c>
      <c r="H2370">
        <v>22</v>
      </c>
      <c r="I2370">
        <v>20</v>
      </c>
      <c r="J2370">
        <v>11.1</v>
      </c>
      <c r="K2370">
        <v>12</v>
      </c>
      <c r="L2370">
        <v>20</v>
      </c>
      <c r="M2370">
        <v>95</v>
      </c>
    </row>
    <row r="2371" spans="1:13" x14ac:dyDescent="0.25">
      <c r="A2371" s="34" t="s">
        <v>344</v>
      </c>
      <c r="B2371" t="s">
        <v>482</v>
      </c>
      <c r="C2371" t="s">
        <v>489</v>
      </c>
      <c r="D2371" t="s">
        <v>490</v>
      </c>
      <c r="E2371">
        <v>2</v>
      </c>
      <c r="F2371">
        <v>8</v>
      </c>
      <c r="G2371">
        <v>600</v>
      </c>
      <c r="H2371">
        <v>22</v>
      </c>
      <c r="I2371">
        <v>20</v>
      </c>
      <c r="J2371">
        <v>11.1</v>
      </c>
      <c r="K2371">
        <v>12</v>
      </c>
      <c r="L2371">
        <v>20</v>
      </c>
      <c r="M2371">
        <v>95</v>
      </c>
    </row>
    <row r="2372" spans="1:13" x14ac:dyDescent="0.25">
      <c r="A2372" s="34" t="s">
        <v>344</v>
      </c>
      <c r="B2372" t="s">
        <v>482</v>
      </c>
      <c r="C2372" t="s">
        <v>489</v>
      </c>
      <c r="D2372" t="s">
        <v>490</v>
      </c>
      <c r="E2372">
        <v>2</v>
      </c>
      <c r="F2372">
        <v>10</v>
      </c>
      <c r="G2372">
        <v>80</v>
      </c>
      <c r="H2372">
        <v>25</v>
      </c>
      <c r="I2372">
        <v>35.799999999999997</v>
      </c>
      <c r="J2372">
        <v>10.8</v>
      </c>
      <c r="K2372">
        <v>12</v>
      </c>
      <c r="L2372">
        <v>20</v>
      </c>
      <c r="M2372">
        <v>50</v>
      </c>
    </row>
    <row r="2373" spans="1:13" x14ac:dyDescent="0.25">
      <c r="A2373" s="34" t="s">
        <v>344</v>
      </c>
      <c r="B2373" t="s">
        <v>482</v>
      </c>
      <c r="C2373" t="s">
        <v>489</v>
      </c>
      <c r="D2373" t="s">
        <v>490</v>
      </c>
      <c r="E2373">
        <v>2</v>
      </c>
      <c r="F2373">
        <v>10</v>
      </c>
      <c r="G2373">
        <v>100</v>
      </c>
      <c r="H2373">
        <v>25</v>
      </c>
      <c r="I2373">
        <v>35.799999999999997</v>
      </c>
      <c r="J2373">
        <v>10.8</v>
      </c>
      <c r="K2373">
        <v>12</v>
      </c>
      <c r="L2373">
        <v>20</v>
      </c>
      <c r="M2373">
        <v>60</v>
      </c>
    </row>
    <row r="2374" spans="1:13" x14ac:dyDescent="0.25">
      <c r="A2374" s="34" t="s">
        <v>344</v>
      </c>
      <c r="B2374" t="s">
        <v>482</v>
      </c>
      <c r="C2374" t="s">
        <v>489</v>
      </c>
      <c r="D2374" t="s">
        <v>490</v>
      </c>
      <c r="E2374">
        <v>2</v>
      </c>
      <c r="F2374">
        <v>10</v>
      </c>
      <c r="G2374">
        <v>120</v>
      </c>
      <c r="H2374">
        <v>25</v>
      </c>
      <c r="I2374">
        <v>35.799999999999997</v>
      </c>
      <c r="J2374">
        <v>10.8</v>
      </c>
      <c r="K2374">
        <v>12</v>
      </c>
      <c r="L2374">
        <v>20</v>
      </c>
      <c r="M2374">
        <v>70</v>
      </c>
    </row>
    <row r="2375" spans="1:13" x14ac:dyDescent="0.25">
      <c r="A2375" s="34" t="s">
        <v>344</v>
      </c>
      <c r="B2375" t="s">
        <v>482</v>
      </c>
      <c r="C2375" t="s">
        <v>489</v>
      </c>
      <c r="D2375" t="s">
        <v>490</v>
      </c>
      <c r="E2375">
        <v>2</v>
      </c>
      <c r="F2375">
        <v>10</v>
      </c>
      <c r="G2375">
        <v>140</v>
      </c>
      <c r="H2375">
        <v>25</v>
      </c>
      <c r="I2375">
        <v>35.799999999999997</v>
      </c>
      <c r="J2375">
        <v>10.8</v>
      </c>
      <c r="K2375">
        <v>12</v>
      </c>
      <c r="L2375">
        <v>20</v>
      </c>
      <c r="M2375">
        <v>100</v>
      </c>
    </row>
    <row r="2376" spans="1:13" x14ac:dyDescent="0.25">
      <c r="A2376" s="34" t="s">
        <v>344</v>
      </c>
      <c r="B2376" t="s">
        <v>482</v>
      </c>
      <c r="C2376" t="s">
        <v>489</v>
      </c>
      <c r="D2376" t="s">
        <v>490</v>
      </c>
      <c r="E2376">
        <v>2</v>
      </c>
      <c r="F2376">
        <v>10</v>
      </c>
      <c r="G2376">
        <v>160</v>
      </c>
      <c r="H2376">
        <v>25</v>
      </c>
      <c r="I2376">
        <v>35.799999999999997</v>
      </c>
      <c r="J2376">
        <v>10.8</v>
      </c>
      <c r="K2376">
        <v>12</v>
      </c>
      <c r="L2376">
        <v>20</v>
      </c>
      <c r="M2376">
        <v>90</v>
      </c>
    </row>
    <row r="2377" spans="1:13" x14ac:dyDescent="0.25">
      <c r="A2377" s="34" t="s">
        <v>344</v>
      </c>
      <c r="B2377" t="s">
        <v>482</v>
      </c>
      <c r="C2377" t="s">
        <v>489</v>
      </c>
      <c r="D2377" t="s">
        <v>490</v>
      </c>
      <c r="E2377">
        <v>2</v>
      </c>
      <c r="F2377">
        <v>10</v>
      </c>
      <c r="G2377">
        <v>180</v>
      </c>
      <c r="H2377">
        <v>25</v>
      </c>
      <c r="I2377">
        <v>35.799999999999997</v>
      </c>
      <c r="J2377">
        <v>10.8</v>
      </c>
      <c r="K2377">
        <v>12</v>
      </c>
      <c r="L2377">
        <v>20</v>
      </c>
      <c r="M2377">
        <v>100</v>
      </c>
    </row>
    <row r="2378" spans="1:13" x14ac:dyDescent="0.25">
      <c r="A2378" s="34" t="s">
        <v>344</v>
      </c>
      <c r="B2378" t="s">
        <v>482</v>
      </c>
      <c r="C2378" t="s">
        <v>489</v>
      </c>
      <c r="D2378" t="s">
        <v>490</v>
      </c>
      <c r="E2378">
        <v>2</v>
      </c>
      <c r="F2378">
        <v>10</v>
      </c>
      <c r="G2378">
        <v>200</v>
      </c>
      <c r="H2378">
        <v>25</v>
      </c>
      <c r="I2378">
        <v>35.799999999999997</v>
      </c>
      <c r="J2378">
        <v>10.8</v>
      </c>
      <c r="K2378">
        <v>12</v>
      </c>
      <c r="L2378">
        <v>20</v>
      </c>
      <c r="M2378">
        <v>100</v>
      </c>
    </row>
    <row r="2379" spans="1:13" x14ac:dyDescent="0.25">
      <c r="A2379" s="34" t="s">
        <v>344</v>
      </c>
      <c r="B2379" t="s">
        <v>482</v>
      </c>
      <c r="C2379" t="s">
        <v>489</v>
      </c>
      <c r="D2379" t="s">
        <v>490</v>
      </c>
      <c r="E2379">
        <v>2</v>
      </c>
      <c r="F2379">
        <v>10</v>
      </c>
      <c r="G2379">
        <v>220</v>
      </c>
      <c r="H2379">
        <v>25</v>
      </c>
      <c r="I2379">
        <v>35.799999999999997</v>
      </c>
      <c r="J2379">
        <v>10.8</v>
      </c>
      <c r="K2379">
        <v>12</v>
      </c>
      <c r="L2379">
        <v>20</v>
      </c>
      <c r="M2379">
        <v>100</v>
      </c>
    </row>
    <row r="2380" spans="1:13" x14ac:dyDescent="0.25">
      <c r="A2380" s="34" t="s">
        <v>344</v>
      </c>
      <c r="B2380" t="s">
        <v>482</v>
      </c>
      <c r="C2380" t="s">
        <v>489</v>
      </c>
      <c r="D2380" t="s">
        <v>490</v>
      </c>
      <c r="E2380">
        <v>2</v>
      </c>
      <c r="F2380">
        <v>10</v>
      </c>
      <c r="G2380">
        <v>240</v>
      </c>
      <c r="H2380">
        <v>25</v>
      </c>
      <c r="I2380">
        <v>35.799999999999997</v>
      </c>
      <c r="J2380">
        <v>10.8</v>
      </c>
      <c r="K2380">
        <v>12</v>
      </c>
      <c r="L2380">
        <v>20</v>
      </c>
      <c r="M2380">
        <v>100</v>
      </c>
    </row>
    <row r="2381" spans="1:13" x14ac:dyDescent="0.25">
      <c r="A2381" s="34" t="s">
        <v>344</v>
      </c>
      <c r="B2381" t="s">
        <v>482</v>
      </c>
      <c r="C2381" t="s">
        <v>489</v>
      </c>
      <c r="D2381" t="s">
        <v>490</v>
      </c>
      <c r="E2381">
        <v>2</v>
      </c>
      <c r="F2381">
        <v>10</v>
      </c>
      <c r="G2381">
        <v>260</v>
      </c>
      <c r="H2381">
        <v>25</v>
      </c>
      <c r="I2381">
        <v>35.799999999999997</v>
      </c>
      <c r="J2381">
        <v>10.8</v>
      </c>
      <c r="K2381">
        <v>12</v>
      </c>
      <c r="L2381">
        <v>20</v>
      </c>
      <c r="M2381">
        <v>100</v>
      </c>
    </row>
    <row r="2382" spans="1:13" x14ac:dyDescent="0.25">
      <c r="A2382" s="34" t="s">
        <v>344</v>
      </c>
      <c r="B2382" t="s">
        <v>482</v>
      </c>
      <c r="C2382" t="s">
        <v>489</v>
      </c>
      <c r="D2382" t="s">
        <v>490</v>
      </c>
      <c r="E2382">
        <v>2</v>
      </c>
      <c r="F2382">
        <v>10</v>
      </c>
      <c r="G2382">
        <v>280</v>
      </c>
      <c r="H2382">
        <v>25</v>
      </c>
      <c r="I2382">
        <v>35.799999999999997</v>
      </c>
      <c r="J2382">
        <v>10.8</v>
      </c>
      <c r="K2382">
        <v>12</v>
      </c>
      <c r="L2382">
        <v>20</v>
      </c>
      <c r="M2382">
        <v>100</v>
      </c>
    </row>
    <row r="2383" spans="1:13" x14ac:dyDescent="0.25">
      <c r="A2383" s="34" t="s">
        <v>344</v>
      </c>
      <c r="B2383" t="s">
        <v>482</v>
      </c>
      <c r="C2383" t="s">
        <v>489</v>
      </c>
      <c r="D2383" t="s">
        <v>490</v>
      </c>
      <c r="E2383">
        <v>2</v>
      </c>
      <c r="F2383">
        <v>10</v>
      </c>
      <c r="G2383">
        <v>300</v>
      </c>
      <c r="H2383">
        <v>25</v>
      </c>
      <c r="I2383">
        <v>35.799999999999997</v>
      </c>
      <c r="J2383">
        <v>10.8</v>
      </c>
      <c r="K2383">
        <v>12</v>
      </c>
      <c r="L2383">
        <v>20</v>
      </c>
      <c r="M2383">
        <v>100</v>
      </c>
    </row>
    <row r="2384" spans="1:13" x14ac:dyDescent="0.25">
      <c r="A2384" s="34" t="s">
        <v>344</v>
      </c>
      <c r="B2384" t="s">
        <v>482</v>
      </c>
      <c r="C2384" t="s">
        <v>489</v>
      </c>
      <c r="D2384" t="s">
        <v>490</v>
      </c>
      <c r="E2384">
        <v>2</v>
      </c>
      <c r="F2384">
        <v>10</v>
      </c>
      <c r="G2384">
        <v>320</v>
      </c>
      <c r="H2384">
        <v>25</v>
      </c>
      <c r="I2384">
        <v>35.799999999999997</v>
      </c>
      <c r="J2384">
        <v>10.8</v>
      </c>
      <c r="K2384">
        <v>12</v>
      </c>
      <c r="L2384">
        <v>20</v>
      </c>
      <c r="M2384">
        <v>100</v>
      </c>
    </row>
    <row r="2385" spans="1:13" x14ac:dyDescent="0.25">
      <c r="A2385" s="34" t="s">
        <v>344</v>
      </c>
      <c r="B2385" t="s">
        <v>482</v>
      </c>
      <c r="C2385" t="s">
        <v>489</v>
      </c>
      <c r="D2385" t="s">
        <v>490</v>
      </c>
      <c r="E2385">
        <v>2</v>
      </c>
      <c r="F2385">
        <v>10</v>
      </c>
      <c r="G2385">
        <v>340</v>
      </c>
      <c r="H2385">
        <v>25</v>
      </c>
      <c r="I2385">
        <v>35.799999999999997</v>
      </c>
      <c r="J2385">
        <v>10.8</v>
      </c>
      <c r="K2385">
        <v>12</v>
      </c>
      <c r="L2385">
        <v>20</v>
      </c>
      <c r="M2385">
        <v>100</v>
      </c>
    </row>
    <row r="2386" spans="1:13" x14ac:dyDescent="0.25">
      <c r="A2386" s="34" t="s">
        <v>344</v>
      </c>
      <c r="B2386" t="s">
        <v>482</v>
      </c>
      <c r="C2386" t="s">
        <v>489</v>
      </c>
      <c r="D2386" t="s">
        <v>490</v>
      </c>
      <c r="E2386">
        <v>2</v>
      </c>
      <c r="F2386">
        <v>10</v>
      </c>
      <c r="G2386">
        <v>360</v>
      </c>
      <c r="H2386">
        <v>25</v>
      </c>
      <c r="I2386">
        <v>35.799999999999997</v>
      </c>
      <c r="J2386">
        <v>10.8</v>
      </c>
      <c r="K2386">
        <v>12</v>
      </c>
      <c r="L2386">
        <v>20</v>
      </c>
      <c r="M2386">
        <v>100</v>
      </c>
    </row>
    <row r="2387" spans="1:13" x14ac:dyDescent="0.25">
      <c r="A2387" s="34" t="s">
        <v>344</v>
      </c>
      <c r="B2387" t="s">
        <v>482</v>
      </c>
      <c r="C2387" t="s">
        <v>489</v>
      </c>
      <c r="D2387" t="s">
        <v>490</v>
      </c>
      <c r="E2387">
        <v>2</v>
      </c>
      <c r="F2387">
        <v>10</v>
      </c>
      <c r="G2387">
        <v>380</v>
      </c>
      <c r="H2387">
        <v>25</v>
      </c>
      <c r="I2387">
        <v>35.799999999999997</v>
      </c>
      <c r="J2387">
        <v>10.8</v>
      </c>
      <c r="K2387">
        <v>12</v>
      </c>
      <c r="L2387">
        <v>20</v>
      </c>
      <c r="M2387">
        <v>100</v>
      </c>
    </row>
    <row r="2388" spans="1:13" x14ac:dyDescent="0.25">
      <c r="A2388" s="34" t="s">
        <v>344</v>
      </c>
      <c r="B2388" t="s">
        <v>482</v>
      </c>
      <c r="C2388" t="s">
        <v>489</v>
      </c>
      <c r="D2388" t="s">
        <v>490</v>
      </c>
      <c r="E2388">
        <v>2</v>
      </c>
      <c r="F2388">
        <v>10</v>
      </c>
      <c r="G2388">
        <v>400</v>
      </c>
      <c r="H2388">
        <v>25</v>
      </c>
      <c r="I2388">
        <v>35.799999999999997</v>
      </c>
      <c r="J2388">
        <v>10.8</v>
      </c>
      <c r="K2388">
        <v>12</v>
      </c>
      <c r="L2388">
        <v>20</v>
      </c>
      <c r="M2388">
        <v>100</v>
      </c>
    </row>
    <row r="2389" spans="1:13" x14ac:dyDescent="0.25">
      <c r="A2389" t="s">
        <v>344</v>
      </c>
      <c r="B2389" t="s">
        <v>496</v>
      </c>
      <c r="C2389" t="s">
        <v>499</v>
      </c>
      <c r="D2389" t="s">
        <v>497</v>
      </c>
      <c r="E2389">
        <v>2</v>
      </c>
      <c r="F2389">
        <v>8</v>
      </c>
      <c r="G2389">
        <v>80</v>
      </c>
      <c r="H2389">
        <v>15.1</v>
      </c>
      <c r="I2389" s="55">
        <f>0.15*600*F2389^2.6/1000</f>
        <v>20.057484978342696</v>
      </c>
      <c r="J2389">
        <v>12</v>
      </c>
      <c r="K2389">
        <v>8</v>
      </c>
      <c r="L2389">
        <v>17</v>
      </c>
      <c r="M2389">
        <f>G2389-15</f>
        <v>65</v>
      </c>
    </row>
    <row r="2390" spans="1:13" x14ac:dyDescent="0.25">
      <c r="A2390" t="s">
        <v>344</v>
      </c>
      <c r="B2390" t="s">
        <v>496</v>
      </c>
      <c r="C2390" t="s">
        <v>499</v>
      </c>
      <c r="D2390" t="s">
        <v>497</v>
      </c>
      <c r="E2390">
        <v>2</v>
      </c>
      <c r="F2390">
        <v>8</v>
      </c>
      <c r="G2390">
        <v>100</v>
      </c>
      <c r="H2390">
        <v>15.1</v>
      </c>
      <c r="I2390" s="55">
        <f t="shared" ref="I2390:I2453" si="13">0.15*600*F2390^2.6/1000</f>
        <v>20.057484978342696</v>
      </c>
      <c r="J2390">
        <v>12</v>
      </c>
      <c r="K2390">
        <v>8</v>
      </c>
      <c r="L2390">
        <v>17</v>
      </c>
      <c r="M2390">
        <f t="shared" ref="M2390:M2453" si="14">G2390-15</f>
        <v>85</v>
      </c>
    </row>
    <row r="2391" spans="1:13" x14ac:dyDescent="0.25">
      <c r="A2391" t="s">
        <v>344</v>
      </c>
      <c r="B2391" t="s">
        <v>496</v>
      </c>
      <c r="C2391" t="s">
        <v>499</v>
      </c>
      <c r="D2391" t="s">
        <v>497</v>
      </c>
      <c r="E2391">
        <v>2</v>
      </c>
      <c r="F2391">
        <v>8</v>
      </c>
      <c r="G2391">
        <v>120</v>
      </c>
      <c r="H2391">
        <v>15.1</v>
      </c>
      <c r="I2391" s="55">
        <f t="shared" si="13"/>
        <v>20.057484978342696</v>
      </c>
      <c r="J2391">
        <v>12</v>
      </c>
      <c r="K2391">
        <v>8</v>
      </c>
      <c r="L2391">
        <v>17</v>
      </c>
      <c r="M2391">
        <f t="shared" si="14"/>
        <v>105</v>
      </c>
    </row>
    <row r="2392" spans="1:13" x14ac:dyDescent="0.25">
      <c r="A2392" t="s">
        <v>344</v>
      </c>
      <c r="B2392" t="s">
        <v>496</v>
      </c>
      <c r="C2392" t="s">
        <v>499</v>
      </c>
      <c r="D2392" t="s">
        <v>497</v>
      </c>
      <c r="E2392">
        <v>2</v>
      </c>
      <c r="F2392">
        <v>8</v>
      </c>
      <c r="G2392">
        <v>140</v>
      </c>
      <c r="H2392">
        <v>15.1</v>
      </c>
      <c r="I2392" s="55">
        <f t="shared" si="13"/>
        <v>20.057484978342696</v>
      </c>
      <c r="J2392">
        <v>12</v>
      </c>
      <c r="K2392">
        <v>8</v>
      </c>
      <c r="L2392">
        <v>17</v>
      </c>
      <c r="M2392">
        <f t="shared" si="14"/>
        <v>125</v>
      </c>
    </row>
    <row r="2393" spans="1:13" x14ac:dyDescent="0.25">
      <c r="A2393" t="s">
        <v>344</v>
      </c>
      <c r="B2393" t="s">
        <v>496</v>
      </c>
      <c r="C2393" t="s">
        <v>499</v>
      </c>
      <c r="D2393" t="s">
        <v>497</v>
      </c>
      <c r="E2393">
        <v>2</v>
      </c>
      <c r="F2393">
        <v>8</v>
      </c>
      <c r="G2393">
        <v>160</v>
      </c>
      <c r="H2393">
        <v>15.1</v>
      </c>
      <c r="I2393" s="55">
        <f t="shared" si="13"/>
        <v>20.057484978342696</v>
      </c>
      <c r="J2393">
        <v>12</v>
      </c>
      <c r="K2393">
        <v>8</v>
      </c>
      <c r="L2393">
        <v>17</v>
      </c>
      <c r="M2393">
        <f t="shared" si="14"/>
        <v>145</v>
      </c>
    </row>
    <row r="2394" spans="1:13" x14ac:dyDescent="0.25">
      <c r="A2394" t="s">
        <v>344</v>
      </c>
      <c r="B2394" t="s">
        <v>496</v>
      </c>
      <c r="C2394" t="s">
        <v>499</v>
      </c>
      <c r="D2394" t="s">
        <v>497</v>
      </c>
      <c r="E2394">
        <v>2</v>
      </c>
      <c r="F2394">
        <v>8</v>
      </c>
      <c r="G2394">
        <v>180</v>
      </c>
      <c r="H2394">
        <v>15.1</v>
      </c>
      <c r="I2394" s="55">
        <f t="shared" si="13"/>
        <v>20.057484978342696</v>
      </c>
      <c r="J2394">
        <v>12</v>
      </c>
      <c r="K2394">
        <v>8</v>
      </c>
      <c r="L2394">
        <v>17</v>
      </c>
      <c r="M2394">
        <f t="shared" si="14"/>
        <v>165</v>
      </c>
    </row>
    <row r="2395" spans="1:13" x14ac:dyDescent="0.25">
      <c r="A2395" t="s">
        <v>344</v>
      </c>
      <c r="B2395" t="s">
        <v>496</v>
      </c>
      <c r="C2395" t="s">
        <v>499</v>
      </c>
      <c r="D2395" t="s">
        <v>497</v>
      </c>
      <c r="E2395">
        <v>2</v>
      </c>
      <c r="F2395">
        <v>8</v>
      </c>
      <c r="G2395">
        <v>200</v>
      </c>
      <c r="H2395">
        <v>15.1</v>
      </c>
      <c r="I2395" s="55">
        <f t="shared" si="13"/>
        <v>20.057484978342696</v>
      </c>
      <c r="J2395">
        <v>12</v>
      </c>
      <c r="K2395">
        <v>8</v>
      </c>
      <c r="L2395">
        <v>17</v>
      </c>
      <c r="M2395">
        <f t="shared" si="14"/>
        <v>185</v>
      </c>
    </row>
    <row r="2396" spans="1:13" x14ac:dyDescent="0.25">
      <c r="A2396" t="s">
        <v>344</v>
      </c>
      <c r="B2396" t="s">
        <v>496</v>
      </c>
      <c r="C2396" t="s">
        <v>499</v>
      </c>
      <c r="D2396" t="s">
        <v>497</v>
      </c>
      <c r="E2396">
        <v>2</v>
      </c>
      <c r="F2396">
        <v>8</v>
      </c>
      <c r="G2396">
        <v>220</v>
      </c>
      <c r="H2396">
        <v>15.1</v>
      </c>
      <c r="I2396" s="55">
        <f t="shared" si="13"/>
        <v>20.057484978342696</v>
      </c>
      <c r="J2396">
        <v>12</v>
      </c>
      <c r="K2396">
        <v>8</v>
      </c>
      <c r="L2396">
        <v>17</v>
      </c>
      <c r="M2396">
        <f t="shared" si="14"/>
        <v>205</v>
      </c>
    </row>
    <row r="2397" spans="1:13" x14ac:dyDescent="0.25">
      <c r="A2397" t="s">
        <v>344</v>
      </c>
      <c r="B2397" t="s">
        <v>496</v>
      </c>
      <c r="C2397" t="s">
        <v>499</v>
      </c>
      <c r="D2397" t="s">
        <v>497</v>
      </c>
      <c r="E2397">
        <v>2</v>
      </c>
      <c r="F2397">
        <v>8</v>
      </c>
      <c r="G2397">
        <v>240</v>
      </c>
      <c r="H2397">
        <v>15.1</v>
      </c>
      <c r="I2397" s="55">
        <f t="shared" si="13"/>
        <v>20.057484978342696</v>
      </c>
      <c r="J2397">
        <v>12</v>
      </c>
      <c r="K2397">
        <v>8</v>
      </c>
      <c r="L2397">
        <v>17</v>
      </c>
      <c r="M2397">
        <f t="shared" si="14"/>
        <v>225</v>
      </c>
    </row>
    <row r="2398" spans="1:13" x14ac:dyDescent="0.25">
      <c r="A2398" t="s">
        <v>344</v>
      </c>
      <c r="B2398" t="s">
        <v>496</v>
      </c>
      <c r="C2398" t="s">
        <v>499</v>
      </c>
      <c r="D2398" t="s">
        <v>497</v>
      </c>
      <c r="E2398">
        <v>2</v>
      </c>
      <c r="F2398">
        <v>8</v>
      </c>
      <c r="G2398">
        <v>260</v>
      </c>
      <c r="H2398">
        <v>15.1</v>
      </c>
      <c r="I2398" s="55">
        <f t="shared" si="13"/>
        <v>20.057484978342696</v>
      </c>
      <c r="J2398">
        <v>12</v>
      </c>
      <c r="K2398">
        <v>8</v>
      </c>
      <c r="L2398">
        <v>17</v>
      </c>
      <c r="M2398">
        <f t="shared" si="14"/>
        <v>245</v>
      </c>
    </row>
    <row r="2399" spans="1:13" x14ac:dyDescent="0.25">
      <c r="A2399" t="s">
        <v>344</v>
      </c>
      <c r="B2399" t="s">
        <v>496</v>
      </c>
      <c r="C2399" t="s">
        <v>499</v>
      </c>
      <c r="D2399" t="s">
        <v>497</v>
      </c>
      <c r="E2399">
        <v>2</v>
      </c>
      <c r="F2399">
        <v>8</v>
      </c>
      <c r="G2399">
        <v>280</v>
      </c>
      <c r="H2399">
        <v>15.1</v>
      </c>
      <c r="I2399" s="55">
        <f t="shared" si="13"/>
        <v>20.057484978342696</v>
      </c>
      <c r="J2399">
        <v>12</v>
      </c>
      <c r="K2399">
        <v>8</v>
      </c>
      <c r="L2399">
        <v>17</v>
      </c>
      <c r="M2399">
        <f t="shared" si="14"/>
        <v>265</v>
      </c>
    </row>
    <row r="2400" spans="1:13" x14ac:dyDescent="0.25">
      <c r="A2400" t="s">
        <v>344</v>
      </c>
      <c r="B2400" t="s">
        <v>496</v>
      </c>
      <c r="C2400" t="s">
        <v>499</v>
      </c>
      <c r="D2400" t="s">
        <v>497</v>
      </c>
      <c r="E2400">
        <v>2</v>
      </c>
      <c r="F2400">
        <v>8</v>
      </c>
      <c r="G2400">
        <v>300</v>
      </c>
      <c r="H2400">
        <v>15.1</v>
      </c>
      <c r="I2400" s="55">
        <f t="shared" si="13"/>
        <v>20.057484978342696</v>
      </c>
      <c r="J2400">
        <v>12</v>
      </c>
      <c r="K2400">
        <v>8</v>
      </c>
      <c r="L2400">
        <v>17</v>
      </c>
      <c r="M2400">
        <f t="shared" si="14"/>
        <v>285</v>
      </c>
    </row>
    <row r="2401" spans="1:13" x14ac:dyDescent="0.25">
      <c r="A2401" t="s">
        <v>344</v>
      </c>
      <c r="B2401" t="s">
        <v>496</v>
      </c>
      <c r="C2401" t="s">
        <v>499</v>
      </c>
      <c r="D2401" t="s">
        <v>497</v>
      </c>
      <c r="E2401">
        <v>2</v>
      </c>
      <c r="F2401">
        <v>8</v>
      </c>
      <c r="G2401">
        <v>325</v>
      </c>
      <c r="H2401">
        <v>15.1</v>
      </c>
      <c r="I2401" s="55">
        <f t="shared" si="13"/>
        <v>20.057484978342696</v>
      </c>
      <c r="J2401">
        <v>12</v>
      </c>
      <c r="K2401">
        <v>8</v>
      </c>
      <c r="L2401">
        <v>17</v>
      </c>
      <c r="M2401">
        <f t="shared" si="14"/>
        <v>310</v>
      </c>
    </row>
    <row r="2402" spans="1:13" x14ac:dyDescent="0.25">
      <c r="A2402" t="s">
        <v>344</v>
      </c>
      <c r="B2402" t="s">
        <v>496</v>
      </c>
      <c r="C2402" t="s">
        <v>499</v>
      </c>
      <c r="D2402" t="s">
        <v>497</v>
      </c>
      <c r="E2402">
        <v>2</v>
      </c>
      <c r="F2402">
        <v>8</v>
      </c>
      <c r="G2402">
        <v>350</v>
      </c>
      <c r="H2402">
        <v>15.1</v>
      </c>
      <c r="I2402" s="55">
        <f t="shared" si="13"/>
        <v>20.057484978342696</v>
      </c>
      <c r="J2402">
        <v>12</v>
      </c>
      <c r="K2402">
        <v>8</v>
      </c>
      <c r="L2402">
        <v>17</v>
      </c>
      <c r="M2402">
        <f t="shared" si="14"/>
        <v>335</v>
      </c>
    </row>
    <row r="2403" spans="1:13" x14ac:dyDescent="0.25">
      <c r="A2403" t="s">
        <v>344</v>
      </c>
      <c r="B2403" t="s">
        <v>496</v>
      </c>
      <c r="C2403" t="s">
        <v>499</v>
      </c>
      <c r="D2403" t="s">
        <v>497</v>
      </c>
      <c r="E2403">
        <v>2</v>
      </c>
      <c r="F2403">
        <v>8</v>
      </c>
      <c r="G2403">
        <v>375</v>
      </c>
      <c r="H2403">
        <v>15.1</v>
      </c>
      <c r="I2403" s="55">
        <f t="shared" si="13"/>
        <v>20.057484978342696</v>
      </c>
      <c r="J2403">
        <v>12</v>
      </c>
      <c r="K2403">
        <v>8</v>
      </c>
      <c r="L2403">
        <v>17</v>
      </c>
      <c r="M2403">
        <f t="shared" si="14"/>
        <v>360</v>
      </c>
    </row>
    <row r="2404" spans="1:13" x14ac:dyDescent="0.25">
      <c r="A2404" t="s">
        <v>344</v>
      </c>
      <c r="B2404" t="s">
        <v>496</v>
      </c>
      <c r="C2404" t="s">
        <v>499</v>
      </c>
      <c r="D2404" t="s">
        <v>497</v>
      </c>
      <c r="E2404">
        <v>2</v>
      </c>
      <c r="F2404">
        <v>8</v>
      </c>
      <c r="G2404">
        <v>400</v>
      </c>
      <c r="H2404">
        <v>15.1</v>
      </c>
      <c r="I2404" s="55">
        <f t="shared" si="13"/>
        <v>20.057484978342696</v>
      </c>
      <c r="J2404">
        <v>12</v>
      </c>
      <c r="K2404">
        <v>8</v>
      </c>
      <c r="L2404">
        <v>17</v>
      </c>
      <c r="M2404">
        <f t="shared" si="14"/>
        <v>385</v>
      </c>
    </row>
    <row r="2405" spans="1:13" x14ac:dyDescent="0.25">
      <c r="A2405" t="s">
        <v>344</v>
      </c>
      <c r="B2405" t="s">
        <v>496</v>
      </c>
      <c r="C2405" t="s">
        <v>499</v>
      </c>
      <c r="D2405" t="s">
        <v>497</v>
      </c>
      <c r="E2405">
        <v>2</v>
      </c>
      <c r="F2405">
        <v>8</v>
      </c>
      <c r="G2405">
        <v>425</v>
      </c>
      <c r="H2405">
        <v>15.1</v>
      </c>
      <c r="I2405" s="55">
        <f t="shared" si="13"/>
        <v>20.057484978342696</v>
      </c>
      <c r="J2405">
        <v>12</v>
      </c>
      <c r="K2405">
        <v>8</v>
      </c>
      <c r="L2405">
        <v>17</v>
      </c>
      <c r="M2405">
        <f t="shared" si="14"/>
        <v>410</v>
      </c>
    </row>
    <row r="2406" spans="1:13" x14ac:dyDescent="0.25">
      <c r="A2406" t="s">
        <v>344</v>
      </c>
      <c r="B2406" t="s">
        <v>496</v>
      </c>
      <c r="C2406" t="s">
        <v>499</v>
      </c>
      <c r="D2406" t="s">
        <v>497</v>
      </c>
      <c r="E2406">
        <v>2</v>
      </c>
      <c r="F2406">
        <v>8</v>
      </c>
      <c r="G2406">
        <v>450</v>
      </c>
      <c r="H2406">
        <v>15.1</v>
      </c>
      <c r="I2406" s="55">
        <f t="shared" si="13"/>
        <v>20.057484978342696</v>
      </c>
      <c r="J2406">
        <v>12</v>
      </c>
      <c r="K2406">
        <v>8</v>
      </c>
      <c r="L2406">
        <v>17</v>
      </c>
      <c r="M2406">
        <f t="shared" si="14"/>
        <v>435</v>
      </c>
    </row>
    <row r="2407" spans="1:13" x14ac:dyDescent="0.25">
      <c r="A2407" t="s">
        <v>344</v>
      </c>
      <c r="B2407" t="s">
        <v>496</v>
      </c>
      <c r="C2407" t="s">
        <v>499</v>
      </c>
      <c r="D2407" t="s">
        <v>497</v>
      </c>
      <c r="E2407">
        <v>2</v>
      </c>
      <c r="F2407">
        <v>8</v>
      </c>
      <c r="G2407">
        <v>475</v>
      </c>
      <c r="H2407">
        <v>15.1</v>
      </c>
      <c r="I2407" s="55">
        <f t="shared" si="13"/>
        <v>20.057484978342696</v>
      </c>
      <c r="J2407">
        <v>12</v>
      </c>
      <c r="K2407">
        <v>8</v>
      </c>
      <c r="L2407">
        <v>17</v>
      </c>
      <c r="M2407">
        <f t="shared" si="14"/>
        <v>460</v>
      </c>
    </row>
    <row r="2408" spans="1:13" x14ac:dyDescent="0.25">
      <c r="A2408" t="s">
        <v>344</v>
      </c>
      <c r="B2408" t="s">
        <v>496</v>
      </c>
      <c r="C2408" t="s">
        <v>499</v>
      </c>
      <c r="D2408" t="s">
        <v>497</v>
      </c>
      <c r="E2408">
        <v>2</v>
      </c>
      <c r="F2408">
        <v>8</v>
      </c>
      <c r="G2408">
        <v>500</v>
      </c>
      <c r="H2408">
        <v>15.1</v>
      </c>
      <c r="I2408" s="55">
        <f t="shared" si="13"/>
        <v>20.057484978342696</v>
      </c>
      <c r="J2408">
        <v>12</v>
      </c>
      <c r="K2408">
        <v>8</v>
      </c>
      <c r="L2408">
        <v>17</v>
      </c>
      <c r="M2408">
        <f t="shared" si="14"/>
        <v>485</v>
      </c>
    </row>
    <row r="2409" spans="1:13" x14ac:dyDescent="0.25">
      <c r="A2409" t="s">
        <v>344</v>
      </c>
      <c r="B2409" t="s">
        <v>496</v>
      </c>
      <c r="C2409" t="s">
        <v>499</v>
      </c>
      <c r="D2409" t="s">
        <v>497</v>
      </c>
      <c r="E2409">
        <v>2</v>
      </c>
      <c r="F2409">
        <v>8</v>
      </c>
      <c r="G2409">
        <v>550</v>
      </c>
      <c r="H2409">
        <v>15.1</v>
      </c>
      <c r="I2409" s="55">
        <f t="shared" si="13"/>
        <v>20.057484978342696</v>
      </c>
      <c r="J2409">
        <v>12</v>
      </c>
      <c r="K2409">
        <v>8</v>
      </c>
      <c r="L2409">
        <v>17</v>
      </c>
      <c r="M2409">
        <f t="shared" si="14"/>
        <v>535</v>
      </c>
    </row>
    <row r="2410" spans="1:13" x14ac:dyDescent="0.25">
      <c r="A2410" t="s">
        <v>344</v>
      </c>
      <c r="B2410" t="s">
        <v>496</v>
      </c>
      <c r="C2410" t="s">
        <v>499</v>
      </c>
      <c r="D2410" t="s">
        <v>497</v>
      </c>
      <c r="E2410">
        <v>2</v>
      </c>
      <c r="F2410">
        <v>8</v>
      </c>
      <c r="G2410">
        <v>600</v>
      </c>
      <c r="H2410">
        <v>15.1</v>
      </c>
      <c r="I2410" s="55">
        <f t="shared" si="13"/>
        <v>20.057484978342696</v>
      </c>
      <c r="J2410">
        <v>12</v>
      </c>
      <c r="K2410">
        <v>8</v>
      </c>
      <c r="L2410">
        <v>17</v>
      </c>
      <c r="M2410">
        <f t="shared" si="14"/>
        <v>585</v>
      </c>
    </row>
    <row r="2411" spans="1:13" x14ac:dyDescent="0.25">
      <c r="A2411" t="s">
        <v>344</v>
      </c>
      <c r="B2411" t="s">
        <v>496</v>
      </c>
      <c r="C2411" t="s">
        <v>499</v>
      </c>
      <c r="D2411" t="s">
        <v>497</v>
      </c>
      <c r="E2411">
        <v>2</v>
      </c>
      <c r="F2411">
        <v>10</v>
      </c>
      <c r="G2411">
        <v>100</v>
      </c>
      <c r="H2411">
        <v>18.600000000000001</v>
      </c>
      <c r="I2411" s="55">
        <f t="shared" si="13"/>
        <v>35.829645349814783</v>
      </c>
      <c r="J2411">
        <v>11.5</v>
      </c>
      <c r="K2411">
        <v>8</v>
      </c>
      <c r="L2411">
        <v>28</v>
      </c>
      <c r="M2411">
        <f t="shared" si="14"/>
        <v>85</v>
      </c>
    </row>
    <row r="2412" spans="1:13" x14ac:dyDescent="0.25">
      <c r="A2412" t="s">
        <v>344</v>
      </c>
      <c r="B2412" t="s">
        <v>496</v>
      </c>
      <c r="C2412" t="s">
        <v>499</v>
      </c>
      <c r="D2412" t="s">
        <v>497</v>
      </c>
      <c r="E2412">
        <v>2</v>
      </c>
      <c r="F2412">
        <v>10</v>
      </c>
      <c r="G2412">
        <v>120</v>
      </c>
      <c r="H2412">
        <v>18.600000000000001</v>
      </c>
      <c r="I2412" s="55">
        <f t="shared" si="13"/>
        <v>35.829645349814783</v>
      </c>
      <c r="J2412">
        <v>11.5</v>
      </c>
      <c r="K2412">
        <v>8</v>
      </c>
      <c r="L2412">
        <v>28</v>
      </c>
      <c r="M2412">
        <f t="shared" si="14"/>
        <v>105</v>
      </c>
    </row>
    <row r="2413" spans="1:13" x14ac:dyDescent="0.25">
      <c r="A2413" t="s">
        <v>344</v>
      </c>
      <c r="B2413" t="s">
        <v>496</v>
      </c>
      <c r="C2413" t="s">
        <v>499</v>
      </c>
      <c r="D2413" t="s">
        <v>497</v>
      </c>
      <c r="E2413">
        <v>2</v>
      </c>
      <c r="F2413">
        <v>10</v>
      </c>
      <c r="G2413">
        <v>140</v>
      </c>
      <c r="H2413">
        <v>18.600000000000001</v>
      </c>
      <c r="I2413" s="55">
        <f t="shared" si="13"/>
        <v>35.829645349814783</v>
      </c>
      <c r="J2413">
        <v>11.5</v>
      </c>
      <c r="K2413">
        <v>8</v>
      </c>
      <c r="L2413">
        <v>28</v>
      </c>
      <c r="M2413">
        <f t="shared" si="14"/>
        <v>125</v>
      </c>
    </row>
    <row r="2414" spans="1:13" x14ac:dyDescent="0.25">
      <c r="A2414" t="s">
        <v>344</v>
      </c>
      <c r="B2414" t="s">
        <v>496</v>
      </c>
      <c r="C2414" t="s">
        <v>499</v>
      </c>
      <c r="D2414" t="s">
        <v>497</v>
      </c>
      <c r="E2414">
        <v>2</v>
      </c>
      <c r="F2414">
        <v>10</v>
      </c>
      <c r="G2414">
        <v>160</v>
      </c>
      <c r="H2414">
        <v>18.600000000000001</v>
      </c>
      <c r="I2414" s="55">
        <f t="shared" si="13"/>
        <v>35.829645349814783</v>
      </c>
      <c r="J2414">
        <v>11.5</v>
      </c>
      <c r="K2414">
        <v>8</v>
      </c>
      <c r="L2414">
        <v>28</v>
      </c>
      <c r="M2414">
        <f t="shared" si="14"/>
        <v>145</v>
      </c>
    </row>
    <row r="2415" spans="1:13" x14ac:dyDescent="0.25">
      <c r="A2415" t="s">
        <v>344</v>
      </c>
      <c r="B2415" t="s">
        <v>496</v>
      </c>
      <c r="C2415" t="s">
        <v>499</v>
      </c>
      <c r="D2415" t="s">
        <v>497</v>
      </c>
      <c r="E2415">
        <v>2</v>
      </c>
      <c r="F2415">
        <v>10</v>
      </c>
      <c r="G2415">
        <v>180</v>
      </c>
      <c r="H2415">
        <v>18.600000000000001</v>
      </c>
      <c r="I2415" s="55">
        <f t="shared" si="13"/>
        <v>35.829645349814783</v>
      </c>
      <c r="J2415">
        <v>11.5</v>
      </c>
      <c r="K2415">
        <v>8</v>
      </c>
      <c r="L2415">
        <v>28</v>
      </c>
      <c r="M2415">
        <f t="shared" si="14"/>
        <v>165</v>
      </c>
    </row>
    <row r="2416" spans="1:13" x14ac:dyDescent="0.25">
      <c r="A2416" t="s">
        <v>344</v>
      </c>
      <c r="B2416" t="s">
        <v>496</v>
      </c>
      <c r="C2416" t="s">
        <v>499</v>
      </c>
      <c r="D2416" t="s">
        <v>497</v>
      </c>
      <c r="E2416">
        <v>2</v>
      </c>
      <c r="F2416">
        <v>10</v>
      </c>
      <c r="G2416">
        <v>200</v>
      </c>
      <c r="H2416">
        <v>18.600000000000001</v>
      </c>
      <c r="I2416" s="55">
        <f t="shared" si="13"/>
        <v>35.829645349814783</v>
      </c>
      <c r="J2416">
        <v>11.5</v>
      </c>
      <c r="K2416">
        <v>8</v>
      </c>
      <c r="L2416">
        <v>28</v>
      </c>
      <c r="M2416">
        <f t="shared" si="14"/>
        <v>185</v>
      </c>
    </row>
    <row r="2417" spans="1:13" x14ac:dyDescent="0.25">
      <c r="A2417" t="s">
        <v>344</v>
      </c>
      <c r="B2417" t="s">
        <v>496</v>
      </c>
      <c r="C2417" t="s">
        <v>499</v>
      </c>
      <c r="D2417" t="s">
        <v>497</v>
      </c>
      <c r="E2417">
        <v>2</v>
      </c>
      <c r="F2417">
        <v>10</v>
      </c>
      <c r="G2417">
        <v>220</v>
      </c>
      <c r="H2417">
        <v>18.600000000000001</v>
      </c>
      <c r="I2417" s="55">
        <f t="shared" si="13"/>
        <v>35.829645349814783</v>
      </c>
      <c r="J2417">
        <v>11.5</v>
      </c>
      <c r="K2417">
        <v>8</v>
      </c>
      <c r="L2417">
        <v>28</v>
      </c>
      <c r="M2417">
        <f t="shared" si="14"/>
        <v>205</v>
      </c>
    </row>
    <row r="2418" spans="1:13" x14ac:dyDescent="0.25">
      <c r="A2418" t="s">
        <v>344</v>
      </c>
      <c r="B2418" t="s">
        <v>496</v>
      </c>
      <c r="C2418" t="s">
        <v>499</v>
      </c>
      <c r="D2418" t="s">
        <v>497</v>
      </c>
      <c r="E2418">
        <v>2</v>
      </c>
      <c r="F2418">
        <v>10</v>
      </c>
      <c r="G2418">
        <v>240</v>
      </c>
      <c r="H2418">
        <v>18.600000000000001</v>
      </c>
      <c r="I2418" s="55">
        <f t="shared" si="13"/>
        <v>35.829645349814783</v>
      </c>
      <c r="J2418">
        <v>11.5</v>
      </c>
      <c r="K2418">
        <v>8</v>
      </c>
      <c r="L2418">
        <v>28</v>
      </c>
      <c r="M2418">
        <f t="shared" si="14"/>
        <v>225</v>
      </c>
    </row>
    <row r="2419" spans="1:13" x14ac:dyDescent="0.25">
      <c r="A2419" t="s">
        <v>344</v>
      </c>
      <c r="B2419" t="s">
        <v>496</v>
      </c>
      <c r="C2419" t="s">
        <v>499</v>
      </c>
      <c r="D2419" t="s">
        <v>497</v>
      </c>
      <c r="E2419">
        <v>2</v>
      </c>
      <c r="F2419">
        <v>10</v>
      </c>
      <c r="G2419">
        <v>260</v>
      </c>
      <c r="H2419">
        <v>18.600000000000001</v>
      </c>
      <c r="I2419" s="55">
        <f t="shared" si="13"/>
        <v>35.829645349814783</v>
      </c>
      <c r="J2419">
        <v>11.5</v>
      </c>
      <c r="K2419">
        <v>8</v>
      </c>
      <c r="L2419">
        <v>28</v>
      </c>
      <c r="M2419">
        <f t="shared" si="14"/>
        <v>245</v>
      </c>
    </row>
    <row r="2420" spans="1:13" x14ac:dyDescent="0.25">
      <c r="A2420" t="s">
        <v>344</v>
      </c>
      <c r="B2420" t="s">
        <v>496</v>
      </c>
      <c r="C2420" t="s">
        <v>499</v>
      </c>
      <c r="D2420" t="s">
        <v>497</v>
      </c>
      <c r="E2420">
        <v>2</v>
      </c>
      <c r="F2420">
        <v>10</v>
      </c>
      <c r="G2420">
        <v>280</v>
      </c>
      <c r="H2420">
        <v>18.600000000000001</v>
      </c>
      <c r="I2420" s="55">
        <f t="shared" si="13"/>
        <v>35.829645349814783</v>
      </c>
      <c r="J2420">
        <v>11.5</v>
      </c>
      <c r="K2420">
        <v>8</v>
      </c>
      <c r="L2420">
        <v>28</v>
      </c>
      <c r="M2420">
        <f t="shared" si="14"/>
        <v>265</v>
      </c>
    </row>
    <row r="2421" spans="1:13" x14ac:dyDescent="0.25">
      <c r="A2421" t="s">
        <v>344</v>
      </c>
      <c r="B2421" t="s">
        <v>496</v>
      </c>
      <c r="C2421" t="s">
        <v>499</v>
      </c>
      <c r="D2421" t="s">
        <v>497</v>
      </c>
      <c r="E2421">
        <v>2</v>
      </c>
      <c r="F2421">
        <v>10</v>
      </c>
      <c r="G2421">
        <v>300</v>
      </c>
      <c r="H2421">
        <v>18.600000000000001</v>
      </c>
      <c r="I2421" s="55">
        <f t="shared" si="13"/>
        <v>35.829645349814783</v>
      </c>
      <c r="J2421">
        <v>11.5</v>
      </c>
      <c r="K2421">
        <v>8</v>
      </c>
      <c r="L2421">
        <v>28</v>
      </c>
      <c r="M2421">
        <f t="shared" si="14"/>
        <v>285</v>
      </c>
    </row>
    <row r="2422" spans="1:13" x14ac:dyDescent="0.25">
      <c r="A2422" t="s">
        <v>344</v>
      </c>
      <c r="B2422" t="s">
        <v>496</v>
      </c>
      <c r="C2422" t="s">
        <v>499</v>
      </c>
      <c r="D2422" t="s">
        <v>497</v>
      </c>
      <c r="E2422">
        <v>2</v>
      </c>
      <c r="F2422">
        <v>10</v>
      </c>
      <c r="G2422">
        <v>325</v>
      </c>
      <c r="H2422">
        <v>18.600000000000001</v>
      </c>
      <c r="I2422" s="55">
        <f t="shared" si="13"/>
        <v>35.829645349814783</v>
      </c>
      <c r="J2422">
        <v>11.5</v>
      </c>
      <c r="K2422">
        <v>8</v>
      </c>
      <c r="L2422">
        <v>28</v>
      </c>
      <c r="M2422">
        <f t="shared" si="14"/>
        <v>310</v>
      </c>
    </row>
    <row r="2423" spans="1:13" x14ac:dyDescent="0.25">
      <c r="A2423" t="s">
        <v>344</v>
      </c>
      <c r="B2423" t="s">
        <v>496</v>
      </c>
      <c r="C2423" t="s">
        <v>499</v>
      </c>
      <c r="D2423" t="s">
        <v>497</v>
      </c>
      <c r="E2423">
        <v>2</v>
      </c>
      <c r="F2423">
        <v>10</v>
      </c>
      <c r="G2423">
        <v>350</v>
      </c>
      <c r="H2423">
        <v>18.600000000000001</v>
      </c>
      <c r="I2423" s="55">
        <f t="shared" si="13"/>
        <v>35.829645349814783</v>
      </c>
      <c r="J2423">
        <v>11.5</v>
      </c>
      <c r="K2423">
        <v>8</v>
      </c>
      <c r="L2423">
        <v>28</v>
      </c>
      <c r="M2423">
        <f t="shared" si="14"/>
        <v>335</v>
      </c>
    </row>
    <row r="2424" spans="1:13" x14ac:dyDescent="0.25">
      <c r="A2424" t="s">
        <v>344</v>
      </c>
      <c r="B2424" t="s">
        <v>496</v>
      </c>
      <c r="C2424" t="s">
        <v>499</v>
      </c>
      <c r="D2424" t="s">
        <v>497</v>
      </c>
      <c r="E2424">
        <v>2</v>
      </c>
      <c r="F2424">
        <v>10</v>
      </c>
      <c r="G2424">
        <v>375</v>
      </c>
      <c r="H2424">
        <v>18.600000000000001</v>
      </c>
      <c r="I2424" s="55">
        <f t="shared" si="13"/>
        <v>35.829645349814783</v>
      </c>
      <c r="J2424">
        <v>11.5</v>
      </c>
      <c r="K2424">
        <v>8</v>
      </c>
      <c r="L2424">
        <v>28</v>
      </c>
      <c r="M2424">
        <f t="shared" si="14"/>
        <v>360</v>
      </c>
    </row>
    <row r="2425" spans="1:13" x14ac:dyDescent="0.25">
      <c r="A2425" t="s">
        <v>344</v>
      </c>
      <c r="B2425" t="s">
        <v>496</v>
      </c>
      <c r="C2425" t="s">
        <v>499</v>
      </c>
      <c r="D2425" t="s">
        <v>497</v>
      </c>
      <c r="E2425">
        <v>2</v>
      </c>
      <c r="F2425">
        <v>10</v>
      </c>
      <c r="G2425">
        <v>400</v>
      </c>
      <c r="H2425">
        <v>18.600000000000001</v>
      </c>
      <c r="I2425" s="55">
        <f t="shared" si="13"/>
        <v>35.829645349814783</v>
      </c>
      <c r="J2425">
        <v>11.5</v>
      </c>
      <c r="K2425">
        <v>8</v>
      </c>
      <c r="L2425">
        <v>28</v>
      </c>
      <c r="M2425">
        <f t="shared" si="14"/>
        <v>385</v>
      </c>
    </row>
    <row r="2426" spans="1:13" x14ac:dyDescent="0.25">
      <c r="A2426" t="s">
        <v>344</v>
      </c>
      <c r="B2426" t="s">
        <v>496</v>
      </c>
      <c r="C2426" t="s">
        <v>499</v>
      </c>
      <c r="D2426" t="s">
        <v>497</v>
      </c>
      <c r="E2426">
        <v>2</v>
      </c>
      <c r="F2426">
        <v>10</v>
      </c>
      <c r="G2426">
        <v>425</v>
      </c>
      <c r="H2426">
        <v>18.600000000000001</v>
      </c>
      <c r="I2426" s="55">
        <f t="shared" si="13"/>
        <v>35.829645349814783</v>
      </c>
      <c r="J2426">
        <v>11.5</v>
      </c>
      <c r="K2426">
        <v>8</v>
      </c>
      <c r="L2426">
        <v>28</v>
      </c>
      <c r="M2426">
        <f t="shared" si="14"/>
        <v>410</v>
      </c>
    </row>
    <row r="2427" spans="1:13" x14ac:dyDescent="0.25">
      <c r="A2427" t="s">
        <v>344</v>
      </c>
      <c r="B2427" t="s">
        <v>496</v>
      </c>
      <c r="C2427" t="s">
        <v>499</v>
      </c>
      <c r="D2427" t="s">
        <v>497</v>
      </c>
      <c r="E2427">
        <v>2</v>
      </c>
      <c r="F2427">
        <v>10</v>
      </c>
      <c r="G2427">
        <v>450</v>
      </c>
      <c r="H2427">
        <v>18.600000000000001</v>
      </c>
      <c r="I2427" s="55">
        <f t="shared" si="13"/>
        <v>35.829645349814783</v>
      </c>
      <c r="J2427">
        <v>11.5</v>
      </c>
      <c r="K2427">
        <v>8</v>
      </c>
      <c r="L2427">
        <v>28</v>
      </c>
      <c r="M2427">
        <f t="shared" si="14"/>
        <v>435</v>
      </c>
    </row>
    <row r="2428" spans="1:13" x14ac:dyDescent="0.25">
      <c r="A2428" t="s">
        <v>344</v>
      </c>
      <c r="B2428" t="s">
        <v>496</v>
      </c>
      <c r="C2428" t="s">
        <v>499</v>
      </c>
      <c r="D2428" t="s">
        <v>497</v>
      </c>
      <c r="E2428">
        <v>2</v>
      </c>
      <c r="F2428">
        <v>10</v>
      </c>
      <c r="G2428">
        <v>500</v>
      </c>
      <c r="H2428">
        <v>18.600000000000001</v>
      </c>
      <c r="I2428" s="55">
        <f t="shared" si="13"/>
        <v>35.829645349814783</v>
      </c>
      <c r="J2428">
        <v>11.5</v>
      </c>
      <c r="K2428">
        <v>8</v>
      </c>
      <c r="L2428">
        <v>28</v>
      </c>
      <c r="M2428">
        <f t="shared" si="14"/>
        <v>485</v>
      </c>
    </row>
    <row r="2429" spans="1:13" x14ac:dyDescent="0.25">
      <c r="A2429" t="s">
        <v>344</v>
      </c>
      <c r="B2429" t="s">
        <v>496</v>
      </c>
      <c r="C2429" t="s">
        <v>499</v>
      </c>
      <c r="D2429" t="s">
        <v>497</v>
      </c>
      <c r="E2429">
        <v>2</v>
      </c>
      <c r="F2429">
        <v>10</v>
      </c>
      <c r="G2429">
        <v>550</v>
      </c>
      <c r="H2429">
        <v>18.600000000000001</v>
      </c>
      <c r="I2429" s="55">
        <f t="shared" si="13"/>
        <v>35.829645349814783</v>
      </c>
      <c r="J2429">
        <v>11.5</v>
      </c>
      <c r="K2429">
        <v>8</v>
      </c>
      <c r="L2429">
        <v>28</v>
      </c>
      <c r="M2429">
        <f t="shared" si="14"/>
        <v>535</v>
      </c>
    </row>
    <row r="2430" spans="1:13" x14ac:dyDescent="0.25">
      <c r="A2430" t="s">
        <v>344</v>
      </c>
      <c r="B2430" t="s">
        <v>496</v>
      </c>
      <c r="C2430" t="s">
        <v>499</v>
      </c>
      <c r="D2430" t="s">
        <v>497</v>
      </c>
      <c r="E2430">
        <v>2</v>
      </c>
      <c r="F2430">
        <v>10</v>
      </c>
      <c r="G2430">
        <v>600</v>
      </c>
      <c r="H2430">
        <v>18.600000000000001</v>
      </c>
      <c r="I2430" s="55">
        <f t="shared" si="13"/>
        <v>35.829645349814783</v>
      </c>
      <c r="J2430">
        <v>11.5</v>
      </c>
      <c r="K2430">
        <v>8</v>
      </c>
      <c r="L2430">
        <v>28</v>
      </c>
      <c r="M2430">
        <f t="shared" si="14"/>
        <v>585</v>
      </c>
    </row>
    <row r="2431" spans="1:13" x14ac:dyDescent="0.25">
      <c r="A2431" t="s">
        <v>344</v>
      </c>
      <c r="B2431" t="s">
        <v>496</v>
      </c>
      <c r="C2431" t="s">
        <v>499</v>
      </c>
      <c r="D2431" t="s">
        <v>497</v>
      </c>
      <c r="E2431">
        <v>2</v>
      </c>
      <c r="F2431">
        <v>10</v>
      </c>
      <c r="G2431">
        <v>650</v>
      </c>
      <c r="H2431">
        <v>18.600000000000001</v>
      </c>
      <c r="I2431" s="55">
        <f t="shared" si="13"/>
        <v>35.829645349814783</v>
      </c>
      <c r="J2431">
        <v>11.5</v>
      </c>
      <c r="K2431">
        <v>8</v>
      </c>
      <c r="L2431">
        <v>28</v>
      </c>
      <c r="M2431">
        <f t="shared" si="14"/>
        <v>635</v>
      </c>
    </row>
    <row r="2432" spans="1:13" x14ac:dyDescent="0.25">
      <c r="A2432" t="s">
        <v>344</v>
      </c>
      <c r="B2432" t="s">
        <v>496</v>
      </c>
      <c r="C2432" t="s">
        <v>499</v>
      </c>
      <c r="D2432" t="s">
        <v>497</v>
      </c>
      <c r="E2432">
        <v>2</v>
      </c>
      <c r="F2432">
        <v>10</v>
      </c>
      <c r="G2432">
        <v>700</v>
      </c>
      <c r="H2432">
        <v>18.600000000000001</v>
      </c>
      <c r="I2432" s="55">
        <f t="shared" si="13"/>
        <v>35.829645349814783</v>
      </c>
      <c r="J2432">
        <v>11.5</v>
      </c>
      <c r="K2432">
        <v>8</v>
      </c>
      <c r="L2432">
        <v>28</v>
      </c>
      <c r="M2432">
        <f t="shared" si="14"/>
        <v>685</v>
      </c>
    </row>
    <row r="2433" spans="1:13" x14ac:dyDescent="0.25">
      <c r="A2433" t="s">
        <v>344</v>
      </c>
      <c r="B2433" t="s">
        <v>496</v>
      </c>
      <c r="C2433" t="s">
        <v>499</v>
      </c>
      <c r="D2433" t="s">
        <v>497</v>
      </c>
      <c r="E2433">
        <v>2</v>
      </c>
      <c r="F2433">
        <v>10</v>
      </c>
      <c r="G2433">
        <v>750</v>
      </c>
      <c r="H2433">
        <v>18.600000000000001</v>
      </c>
      <c r="I2433" s="55">
        <f t="shared" si="13"/>
        <v>35.829645349814783</v>
      </c>
      <c r="J2433">
        <v>11.5</v>
      </c>
      <c r="K2433">
        <v>8</v>
      </c>
      <c r="L2433">
        <v>28</v>
      </c>
      <c r="M2433">
        <f t="shared" si="14"/>
        <v>735</v>
      </c>
    </row>
    <row r="2434" spans="1:13" x14ac:dyDescent="0.25">
      <c r="A2434" t="s">
        <v>344</v>
      </c>
      <c r="B2434" t="s">
        <v>496</v>
      </c>
      <c r="C2434" t="s">
        <v>499</v>
      </c>
      <c r="D2434" t="s">
        <v>497</v>
      </c>
      <c r="E2434">
        <v>2</v>
      </c>
      <c r="F2434">
        <v>10</v>
      </c>
      <c r="G2434">
        <v>800</v>
      </c>
      <c r="H2434">
        <v>18.600000000000001</v>
      </c>
      <c r="I2434" s="55">
        <f t="shared" si="13"/>
        <v>35.829645349814783</v>
      </c>
      <c r="J2434">
        <v>11.5</v>
      </c>
      <c r="K2434">
        <v>8</v>
      </c>
      <c r="L2434">
        <v>28</v>
      </c>
      <c r="M2434">
        <f t="shared" si="14"/>
        <v>785</v>
      </c>
    </row>
    <row r="2435" spans="1:13" x14ac:dyDescent="0.25">
      <c r="A2435" t="s">
        <v>344</v>
      </c>
      <c r="B2435" t="s">
        <v>496</v>
      </c>
      <c r="C2435" t="s">
        <v>499</v>
      </c>
      <c r="D2435" t="s">
        <v>497</v>
      </c>
      <c r="E2435">
        <v>2</v>
      </c>
      <c r="F2435">
        <v>12</v>
      </c>
      <c r="G2435">
        <v>200</v>
      </c>
      <c r="H2435">
        <v>18.600000000000001</v>
      </c>
      <c r="I2435" s="55">
        <f t="shared" si="13"/>
        <v>57.559067465202105</v>
      </c>
      <c r="J2435">
        <v>11</v>
      </c>
      <c r="K2435">
        <v>8</v>
      </c>
      <c r="L2435">
        <v>38</v>
      </c>
      <c r="M2435">
        <f t="shared" si="14"/>
        <v>185</v>
      </c>
    </row>
    <row r="2436" spans="1:13" x14ac:dyDescent="0.25">
      <c r="A2436" t="s">
        <v>344</v>
      </c>
      <c r="B2436" t="s">
        <v>496</v>
      </c>
      <c r="C2436" t="s">
        <v>499</v>
      </c>
      <c r="D2436" t="s">
        <v>497</v>
      </c>
      <c r="E2436">
        <v>2</v>
      </c>
      <c r="F2436">
        <v>12</v>
      </c>
      <c r="G2436">
        <v>240</v>
      </c>
      <c r="H2436">
        <v>18.600000000000001</v>
      </c>
      <c r="I2436" s="55">
        <f t="shared" si="13"/>
        <v>57.559067465202105</v>
      </c>
      <c r="J2436">
        <v>11</v>
      </c>
      <c r="K2436">
        <v>8</v>
      </c>
      <c r="L2436">
        <v>38</v>
      </c>
      <c r="M2436">
        <f t="shared" si="14"/>
        <v>225</v>
      </c>
    </row>
    <row r="2437" spans="1:13" x14ac:dyDescent="0.25">
      <c r="A2437" t="s">
        <v>344</v>
      </c>
      <c r="B2437" t="s">
        <v>496</v>
      </c>
      <c r="C2437" t="s">
        <v>499</v>
      </c>
      <c r="D2437" t="s">
        <v>497</v>
      </c>
      <c r="E2437">
        <v>2</v>
      </c>
      <c r="F2437">
        <v>12</v>
      </c>
      <c r="G2437">
        <v>280</v>
      </c>
      <c r="H2437">
        <v>18.600000000000001</v>
      </c>
      <c r="I2437" s="55">
        <f t="shared" si="13"/>
        <v>57.559067465202105</v>
      </c>
      <c r="J2437">
        <v>11</v>
      </c>
      <c r="K2437">
        <v>8</v>
      </c>
      <c r="L2437">
        <v>38</v>
      </c>
      <c r="M2437">
        <f t="shared" si="14"/>
        <v>265</v>
      </c>
    </row>
    <row r="2438" spans="1:13" x14ac:dyDescent="0.25">
      <c r="A2438" t="s">
        <v>344</v>
      </c>
      <c r="B2438" t="s">
        <v>496</v>
      </c>
      <c r="C2438" t="s">
        <v>499</v>
      </c>
      <c r="D2438" t="s">
        <v>497</v>
      </c>
      <c r="E2438">
        <v>2</v>
      </c>
      <c r="F2438">
        <v>12</v>
      </c>
      <c r="G2438">
        <v>300</v>
      </c>
      <c r="H2438">
        <v>18.600000000000001</v>
      </c>
      <c r="I2438" s="55">
        <f t="shared" si="13"/>
        <v>57.559067465202105</v>
      </c>
      <c r="J2438">
        <v>11</v>
      </c>
      <c r="K2438">
        <v>8</v>
      </c>
      <c r="L2438">
        <v>38</v>
      </c>
      <c r="M2438">
        <f t="shared" si="14"/>
        <v>285</v>
      </c>
    </row>
    <row r="2439" spans="1:13" x14ac:dyDescent="0.25">
      <c r="A2439" t="s">
        <v>344</v>
      </c>
      <c r="B2439" t="s">
        <v>496</v>
      </c>
      <c r="C2439" t="s">
        <v>499</v>
      </c>
      <c r="D2439" t="s">
        <v>497</v>
      </c>
      <c r="E2439">
        <v>2</v>
      </c>
      <c r="F2439">
        <v>12</v>
      </c>
      <c r="G2439">
        <v>350</v>
      </c>
      <c r="H2439">
        <v>18.600000000000001</v>
      </c>
      <c r="I2439" s="55">
        <f t="shared" si="13"/>
        <v>57.559067465202105</v>
      </c>
      <c r="J2439">
        <v>11</v>
      </c>
      <c r="K2439">
        <v>8</v>
      </c>
      <c r="L2439">
        <v>38</v>
      </c>
      <c r="M2439">
        <f t="shared" si="14"/>
        <v>335</v>
      </c>
    </row>
    <row r="2440" spans="1:13" x14ac:dyDescent="0.25">
      <c r="A2440" t="s">
        <v>344</v>
      </c>
      <c r="B2440" t="s">
        <v>496</v>
      </c>
      <c r="C2440" t="s">
        <v>499</v>
      </c>
      <c r="D2440" t="s">
        <v>497</v>
      </c>
      <c r="E2440">
        <v>2</v>
      </c>
      <c r="F2440">
        <v>12</v>
      </c>
      <c r="G2440">
        <v>400</v>
      </c>
      <c r="H2440">
        <v>18.600000000000001</v>
      </c>
      <c r="I2440" s="55">
        <f t="shared" si="13"/>
        <v>57.559067465202105</v>
      </c>
      <c r="J2440">
        <v>11</v>
      </c>
      <c r="K2440">
        <v>8</v>
      </c>
      <c r="L2440">
        <v>38</v>
      </c>
      <c r="M2440">
        <f t="shared" si="14"/>
        <v>385</v>
      </c>
    </row>
    <row r="2441" spans="1:13" x14ac:dyDescent="0.25">
      <c r="A2441" t="s">
        <v>344</v>
      </c>
      <c r="B2441" t="s">
        <v>496</v>
      </c>
      <c r="C2441" t="s">
        <v>499</v>
      </c>
      <c r="D2441" t="s">
        <v>497</v>
      </c>
      <c r="E2441">
        <v>2</v>
      </c>
      <c r="F2441">
        <v>12</v>
      </c>
      <c r="G2441">
        <v>450</v>
      </c>
      <c r="H2441">
        <v>18.600000000000001</v>
      </c>
      <c r="I2441" s="55">
        <f t="shared" si="13"/>
        <v>57.559067465202105</v>
      </c>
      <c r="J2441">
        <v>11</v>
      </c>
      <c r="K2441">
        <v>8</v>
      </c>
      <c r="L2441">
        <v>38</v>
      </c>
      <c r="M2441">
        <f t="shared" si="14"/>
        <v>435</v>
      </c>
    </row>
    <row r="2442" spans="1:13" x14ac:dyDescent="0.25">
      <c r="A2442" t="s">
        <v>344</v>
      </c>
      <c r="B2442" t="s">
        <v>496</v>
      </c>
      <c r="C2442" t="s">
        <v>499</v>
      </c>
      <c r="D2442" t="s">
        <v>497</v>
      </c>
      <c r="E2442">
        <v>2</v>
      </c>
      <c r="F2442">
        <v>12</v>
      </c>
      <c r="G2442">
        <v>500</v>
      </c>
      <c r="H2442">
        <v>18.600000000000001</v>
      </c>
      <c r="I2442" s="55">
        <f t="shared" si="13"/>
        <v>57.559067465202105</v>
      </c>
      <c r="J2442">
        <v>11</v>
      </c>
      <c r="K2442">
        <v>8</v>
      </c>
      <c r="L2442">
        <v>38</v>
      </c>
      <c r="M2442">
        <f t="shared" si="14"/>
        <v>485</v>
      </c>
    </row>
    <row r="2443" spans="1:13" x14ac:dyDescent="0.25">
      <c r="A2443" t="s">
        <v>344</v>
      </c>
      <c r="B2443" t="s">
        <v>496</v>
      </c>
      <c r="C2443" t="s">
        <v>499</v>
      </c>
      <c r="D2443" t="s">
        <v>497</v>
      </c>
      <c r="E2443">
        <v>2</v>
      </c>
      <c r="F2443">
        <v>12</v>
      </c>
      <c r="G2443">
        <v>550</v>
      </c>
      <c r="H2443">
        <v>18.600000000000001</v>
      </c>
      <c r="I2443" s="55">
        <f t="shared" si="13"/>
        <v>57.559067465202105</v>
      </c>
      <c r="J2443">
        <v>11</v>
      </c>
      <c r="K2443">
        <v>8</v>
      </c>
      <c r="L2443">
        <v>38</v>
      </c>
      <c r="M2443">
        <f t="shared" si="14"/>
        <v>535</v>
      </c>
    </row>
    <row r="2444" spans="1:13" x14ac:dyDescent="0.25">
      <c r="A2444" t="s">
        <v>344</v>
      </c>
      <c r="B2444" t="s">
        <v>496</v>
      </c>
      <c r="C2444" t="s">
        <v>499</v>
      </c>
      <c r="D2444" t="s">
        <v>497</v>
      </c>
      <c r="E2444">
        <v>2</v>
      </c>
      <c r="F2444">
        <v>12</v>
      </c>
      <c r="G2444">
        <v>600</v>
      </c>
      <c r="H2444">
        <v>18.600000000000001</v>
      </c>
      <c r="I2444" s="55">
        <f t="shared" si="13"/>
        <v>57.559067465202105</v>
      </c>
      <c r="J2444">
        <v>11</v>
      </c>
      <c r="K2444">
        <v>8</v>
      </c>
      <c r="L2444">
        <v>38</v>
      </c>
      <c r="M2444">
        <f t="shared" si="14"/>
        <v>585</v>
      </c>
    </row>
    <row r="2445" spans="1:13" x14ac:dyDescent="0.25">
      <c r="A2445" t="s">
        <v>344</v>
      </c>
      <c r="B2445" t="s">
        <v>496</v>
      </c>
      <c r="C2445" t="s">
        <v>498</v>
      </c>
      <c r="D2445" t="s">
        <v>497</v>
      </c>
      <c r="E2445">
        <v>3</v>
      </c>
      <c r="F2445">
        <v>8</v>
      </c>
      <c r="G2445">
        <v>100</v>
      </c>
      <c r="H2445">
        <v>15.1</v>
      </c>
      <c r="I2445" s="55">
        <f t="shared" si="13"/>
        <v>20.057484978342696</v>
      </c>
      <c r="J2445">
        <v>12</v>
      </c>
      <c r="K2445">
        <v>8</v>
      </c>
      <c r="L2445">
        <v>13</v>
      </c>
      <c r="M2445">
        <f t="shared" si="14"/>
        <v>85</v>
      </c>
    </row>
    <row r="2446" spans="1:13" x14ac:dyDescent="0.25">
      <c r="A2446" t="s">
        <v>344</v>
      </c>
      <c r="B2446" t="s">
        <v>496</v>
      </c>
      <c r="C2446" t="s">
        <v>498</v>
      </c>
      <c r="D2446" t="s">
        <v>497</v>
      </c>
      <c r="E2446">
        <v>3</v>
      </c>
      <c r="F2446">
        <v>8</v>
      </c>
      <c r="G2446">
        <v>120</v>
      </c>
      <c r="H2446">
        <v>15.1</v>
      </c>
      <c r="I2446" s="55">
        <f t="shared" si="13"/>
        <v>20.057484978342696</v>
      </c>
      <c r="J2446">
        <v>12</v>
      </c>
      <c r="K2446">
        <v>8</v>
      </c>
      <c r="L2446">
        <v>13</v>
      </c>
      <c r="M2446">
        <f t="shared" si="14"/>
        <v>105</v>
      </c>
    </row>
    <row r="2447" spans="1:13" x14ac:dyDescent="0.25">
      <c r="A2447" t="s">
        <v>344</v>
      </c>
      <c r="B2447" t="s">
        <v>496</v>
      </c>
      <c r="C2447" t="s">
        <v>498</v>
      </c>
      <c r="D2447" t="s">
        <v>497</v>
      </c>
      <c r="E2447">
        <v>3</v>
      </c>
      <c r="F2447">
        <v>8</v>
      </c>
      <c r="G2447">
        <v>140</v>
      </c>
      <c r="H2447">
        <v>15.1</v>
      </c>
      <c r="I2447" s="55">
        <f t="shared" si="13"/>
        <v>20.057484978342696</v>
      </c>
      <c r="J2447">
        <v>12</v>
      </c>
      <c r="K2447">
        <v>8</v>
      </c>
      <c r="L2447">
        <v>13</v>
      </c>
      <c r="M2447">
        <f t="shared" si="14"/>
        <v>125</v>
      </c>
    </row>
    <row r="2448" spans="1:13" x14ac:dyDescent="0.25">
      <c r="A2448" t="s">
        <v>344</v>
      </c>
      <c r="B2448" t="s">
        <v>496</v>
      </c>
      <c r="C2448" t="s">
        <v>498</v>
      </c>
      <c r="D2448" t="s">
        <v>497</v>
      </c>
      <c r="E2448">
        <v>3</v>
      </c>
      <c r="F2448">
        <v>8</v>
      </c>
      <c r="G2448">
        <v>160</v>
      </c>
      <c r="H2448">
        <v>15.1</v>
      </c>
      <c r="I2448" s="55">
        <f t="shared" si="13"/>
        <v>20.057484978342696</v>
      </c>
      <c r="J2448">
        <v>12</v>
      </c>
      <c r="K2448">
        <v>8</v>
      </c>
      <c r="L2448">
        <v>13</v>
      </c>
      <c r="M2448">
        <f t="shared" si="14"/>
        <v>145</v>
      </c>
    </row>
    <row r="2449" spans="1:13" x14ac:dyDescent="0.25">
      <c r="A2449" t="s">
        <v>344</v>
      </c>
      <c r="B2449" t="s">
        <v>496</v>
      </c>
      <c r="C2449" t="s">
        <v>498</v>
      </c>
      <c r="D2449" t="s">
        <v>497</v>
      </c>
      <c r="E2449">
        <v>3</v>
      </c>
      <c r="F2449">
        <v>8</v>
      </c>
      <c r="G2449">
        <v>180</v>
      </c>
      <c r="H2449">
        <v>15.1</v>
      </c>
      <c r="I2449" s="55">
        <f t="shared" si="13"/>
        <v>20.057484978342696</v>
      </c>
      <c r="J2449">
        <v>12</v>
      </c>
      <c r="K2449">
        <v>8</v>
      </c>
      <c r="L2449">
        <v>13</v>
      </c>
      <c r="M2449">
        <f t="shared" si="14"/>
        <v>165</v>
      </c>
    </row>
    <row r="2450" spans="1:13" x14ac:dyDescent="0.25">
      <c r="A2450" t="s">
        <v>344</v>
      </c>
      <c r="B2450" t="s">
        <v>496</v>
      </c>
      <c r="C2450" t="s">
        <v>498</v>
      </c>
      <c r="D2450" t="s">
        <v>497</v>
      </c>
      <c r="E2450">
        <v>3</v>
      </c>
      <c r="F2450">
        <v>8</v>
      </c>
      <c r="G2450">
        <v>200</v>
      </c>
      <c r="H2450">
        <v>15.1</v>
      </c>
      <c r="I2450" s="55">
        <f t="shared" si="13"/>
        <v>20.057484978342696</v>
      </c>
      <c r="J2450">
        <v>12</v>
      </c>
      <c r="K2450">
        <v>8</v>
      </c>
      <c r="L2450">
        <v>13</v>
      </c>
      <c r="M2450">
        <f t="shared" si="14"/>
        <v>185</v>
      </c>
    </row>
    <row r="2451" spans="1:13" x14ac:dyDescent="0.25">
      <c r="A2451" t="s">
        <v>344</v>
      </c>
      <c r="B2451" t="s">
        <v>496</v>
      </c>
      <c r="C2451" t="s">
        <v>498</v>
      </c>
      <c r="D2451" t="s">
        <v>497</v>
      </c>
      <c r="E2451">
        <v>3</v>
      </c>
      <c r="F2451">
        <v>8</v>
      </c>
      <c r="G2451">
        <v>220</v>
      </c>
      <c r="H2451">
        <v>15.1</v>
      </c>
      <c r="I2451" s="55">
        <f t="shared" si="13"/>
        <v>20.057484978342696</v>
      </c>
      <c r="J2451">
        <v>12</v>
      </c>
      <c r="K2451">
        <v>8</v>
      </c>
      <c r="L2451">
        <v>13</v>
      </c>
      <c r="M2451">
        <f t="shared" si="14"/>
        <v>205</v>
      </c>
    </row>
    <row r="2452" spans="1:13" x14ac:dyDescent="0.25">
      <c r="A2452" t="s">
        <v>344</v>
      </c>
      <c r="B2452" t="s">
        <v>496</v>
      </c>
      <c r="C2452" t="s">
        <v>498</v>
      </c>
      <c r="D2452" t="s">
        <v>497</v>
      </c>
      <c r="E2452">
        <v>3</v>
      </c>
      <c r="F2452">
        <v>8</v>
      </c>
      <c r="G2452">
        <v>240</v>
      </c>
      <c r="H2452">
        <v>15.1</v>
      </c>
      <c r="I2452" s="55">
        <f t="shared" si="13"/>
        <v>20.057484978342696</v>
      </c>
      <c r="J2452">
        <v>12</v>
      </c>
      <c r="K2452">
        <v>8</v>
      </c>
      <c r="L2452">
        <v>13</v>
      </c>
      <c r="M2452">
        <f t="shared" si="14"/>
        <v>225</v>
      </c>
    </row>
    <row r="2453" spans="1:13" x14ac:dyDescent="0.25">
      <c r="A2453" t="s">
        <v>344</v>
      </c>
      <c r="B2453" t="s">
        <v>496</v>
      </c>
      <c r="C2453" t="s">
        <v>498</v>
      </c>
      <c r="D2453" t="s">
        <v>497</v>
      </c>
      <c r="E2453">
        <v>3</v>
      </c>
      <c r="F2453">
        <v>8</v>
      </c>
      <c r="G2453">
        <v>260</v>
      </c>
      <c r="H2453">
        <v>15.1</v>
      </c>
      <c r="I2453" s="55">
        <f t="shared" si="13"/>
        <v>20.057484978342696</v>
      </c>
      <c r="J2453">
        <v>12</v>
      </c>
      <c r="K2453">
        <v>8</v>
      </c>
      <c r="L2453">
        <v>13</v>
      </c>
      <c r="M2453">
        <f t="shared" si="14"/>
        <v>245</v>
      </c>
    </row>
    <row r="2454" spans="1:13" x14ac:dyDescent="0.25">
      <c r="A2454" t="s">
        <v>344</v>
      </c>
      <c r="B2454" t="s">
        <v>496</v>
      </c>
      <c r="C2454" t="s">
        <v>498</v>
      </c>
      <c r="D2454" t="s">
        <v>497</v>
      </c>
      <c r="E2454">
        <v>3</v>
      </c>
      <c r="F2454">
        <v>8</v>
      </c>
      <c r="G2454">
        <v>280</v>
      </c>
      <c r="H2454">
        <v>15.1</v>
      </c>
      <c r="I2454" s="55">
        <f t="shared" ref="I2454:I2487" si="15">0.15*600*F2454^2.6/1000</f>
        <v>20.057484978342696</v>
      </c>
      <c r="J2454">
        <v>12</v>
      </c>
      <c r="K2454">
        <v>8</v>
      </c>
      <c r="L2454">
        <v>13</v>
      </c>
      <c r="M2454">
        <f t="shared" ref="M2454:M2487" si="16">G2454-15</f>
        <v>265</v>
      </c>
    </row>
    <row r="2455" spans="1:13" x14ac:dyDescent="0.25">
      <c r="A2455" t="s">
        <v>344</v>
      </c>
      <c r="B2455" t="s">
        <v>496</v>
      </c>
      <c r="C2455" t="s">
        <v>498</v>
      </c>
      <c r="D2455" t="s">
        <v>497</v>
      </c>
      <c r="E2455">
        <v>3</v>
      </c>
      <c r="F2455">
        <v>8</v>
      </c>
      <c r="G2455">
        <v>300</v>
      </c>
      <c r="H2455">
        <v>15.1</v>
      </c>
      <c r="I2455" s="55">
        <f t="shared" si="15"/>
        <v>20.057484978342696</v>
      </c>
      <c r="J2455">
        <v>12</v>
      </c>
      <c r="K2455">
        <v>8</v>
      </c>
      <c r="L2455">
        <v>13</v>
      </c>
      <c r="M2455">
        <f t="shared" si="16"/>
        <v>285</v>
      </c>
    </row>
    <row r="2456" spans="1:13" x14ac:dyDescent="0.25">
      <c r="A2456" t="s">
        <v>344</v>
      </c>
      <c r="B2456" t="s">
        <v>496</v>
      </c>
      <c r="C2456" t="s">
        <v>498</v>
      </c>
      <c r="D2456" t="s">
        <v>497</v>
      </c>
      <c r="E2456">
        <v>3</v>
      </c>
      <c r="F2456">
        <v>8</v>
      </c>
      <c r="G2456">
        <v>325</v>
      </c>
      <c r="H2456">
        <v>15.1</v>
      </c>
      <c r="I2456" s="55">
        <f t="shared" si="15"/>
        <v>20.057484978342696</v>
      </c>
      <c r="J2456">
        <v>12</v>
      </c>
      <c r="K2456">
        <v>8</v>
      </c>
      <c r="L2456">
        <v>13</v>
      </c>
      <c r="M2456">
        <f t="shared" si="16"/>
        <v>310</v>
      </c>
    </row>
    <row r="2457" spans="1:13" x14ac:dyDescent="0.25">
      <c r="A2457" t="s">
        <v>344</v>
      </c>
      <c r="B2457" t="s">
        <v>496</v>
      </c>
      <c r="C2457" t="s">
        <v>498</v>
      </c>
      <c r="D2457" t="s">
        <v>497</v>
      </c>
      <c r="E2457">
        <v>3</v>
      </c>
      <c r="F2457">
        <v>8</v>
      </c>
      <c r="G2457">
        <v>350</v>
      </c>
      <c r="H2457">
        <v>15.1</v>
      </c>
      <c r="I2457" s="55">
        <f t="shared" si="15"/>
        <v>20.057484978342696</v>
      </c>
      <c r="J2457">
        <v>12</v>
      </c>
      <c r="K2457">
        <v>8</v>
      </c>
      <c r="L2457">
        <v>13</v>
      </c>
      <c r="M2457">
        <f t="shared" si="16"/>
        <v>335</v>
      </c>
    </row>
    <row r="2458" spans="1:13" x14ac:dyDescent="0.25">
      <c r="A2458" t="s">
        <v>344</v>
      </c>
      <c r="B2458" t="s">
        <v>496</v>
      </c>
      <c r="C2458" t="s">
        <v>498</v>
      </c>
      <c r="D2458" t="s">
        <v>497</v>
      </c>
      <c r="E2458">
        <v>3</v>
      </c>
      <c r="F2458">
        <v>8</v>
      </c>
      <c r="G2458">
        <v>375</v>
      </c>
      <c r="H2458">
        <v>15.1</v>
      </c>
      <c r="I2458" s="55">
        <f t="shared" si="15"/>
        <v>20.057484978342696</v>
      </c>
      <c r="J2458">
        <v>12</v>
      </c>
      <c r="K2458">
        <v>8</v>
      </c>
      <c r="L2458">
        <v>13</v>
      </c>
      <c r="M2458">
        <f t="shared" si="16"/>
        <v>360</v>
      </c>
    </row>
    <row r="2459" spans="1:13" x14ac:dyDescent="0.25">
      <c r="A2459" t="s">
        <v>344</v>
      </c>
      <c r="B2459" t="s">
        <v>496</v>
      </c>
      <c r="C2459" t="s">
        <v>498</v>
      </c>
      <c r="D2459" t="s">
        <v>497</v>
      </c>
      <c r="E2459">
        <v>3</v>
      </c>
      <c r="F2459">
        <v>8</v>
      </c>
      <c r="G2459">
        <v>400</v>
      </c>
      <c r="H2459">
        <v>15.1</v>
      </c>
      <c r="I2459" s="55">
        <f t="shared" si="15"/>
        <v>20.057484978342696</v>
      </c>
      <c r="J2459">
        <v>12</v>
      </c>
      <c r="K2459">
        <v>8</v>
      </c>
      <c r="L2459">
        <v>13</v>
      </c>
      <c r="M2459">
        <f t="shared" si="16"/>
        <v>385</v>
      </c>
    </row>
    <row r="2460" spans="1:13" x14ac:dyDescent="0.25">
      <c r="A2460" t="s">
        <v>344</v>
      </c>
      <c r="B2460" t="s">
        <v>496</v>
      </c>
      <c r="C2460" t="s">
        <v>500</v>
      </c>
      <c r="D2460" t="s">
        <v>497</v>
      </c>
      <c r="E2460">
        <v>3</v>
      </c>
      <c r="F2460">
        <v>8</v>
      </c>
      <c r="G2460">
        <v>100</v>
      </c>
      <c r="H2460">
        <v>15.1</v>
      </c>
      <c r="I2460" s="55">
        <f t="shared" si="15"/>
        <v>20.057484978342696</v>
      </c>
      <c r="J2460">
        <v>12</v>
      </c>
      <c r="K2460">
        <v>8</v>
      </c>
      <c r="L2460">
        <v>13</v>
      </c>
      <c r="M2460">
        <f t="shared" si="16"/>
        <v>85</v>
      </c>
    </row>
    <row r="2461" spans="1:13" x14ac:dyDescent="0.25">
      <c r="A2461" t="s">
        <v>344</v>
      </c>
      <c r="B2461" t="s">
        <v>496</v>
      </c>
      <c r="C2461" t="s">
        <v>500</v>
      </c>
      <c r="D2461" t="s">
        <v>497</v>
      </c>
      <c r="E2461">
        <v>3</v>
      </c>
      <c r="F2461">
        <v>8</v>
      </c>
      <c r="G2461">
        <v>120</v>
      </c>
      <c r="H2461">
        <v>15.1</v>
      </c>
      <c r="I2461" s="55">
        <f t="shared" si="15"/>
        <v>20.057484978342696</v>
      </c>
      <c r="J2461">
        <v>12</v>
      </c>
      <c r="K2461">
        <v>8</v>
      </c>
      <c r="L2461">
        <v>13</v>
      </c>
      <c r="M2461">
        <f t="shared" si="16"/>
        <v>105</v>
      </c>
    </row>
    <row r="2462" spans="1:13" x14ac:dyDescent="0.25">
      <c r="A2462" t="s">
        <v>344</v>
      </c>
      <c r="B2462" t="s">
        <v>496</v>
      </c>
      <c r="C2462" t="s">
        <v>500</v>
      </c>
      <c r="D2462" t="s">
        <v>497</v>
      </c>
      <c r="E2462">
        <v>3</v>
      </c>
      <c r="F2462">
        <v>8</v>
      </c>
      <c r="G2462">
        <v>140</v>
      </c>
      <c r="H2462">
        <v>15.1</v>
      </c>
      <c r="I2462" s="55">
        <f t="shared" si="15"/>
        <v>20.057484978342696</v>
      </c>
      <c r="J2462">
        <v>12</v>
      </c>
      <c r="K2462">
        <v>8</v>
      </c>
      <c r="L2462">
        <v>13</v>
      </c>
      <c r="M2462">
        <f t="shared" si="16"/>
        <v>125</v>
      </c>
    </row>
    <row r="2463" spans="1:13" x14ac:dyDescent="0.25">
      <c r="A2463" t="s">
        <v>344</v>
      </c>
      <c r="B2463" t="s">
        <v>496</v>
      </c>
      <c r="C2463" t="s">
        <v>500</v>
      </c>
      <c r="D2463" t="s">
        <v>497</v>
      </c>
      <c r="E2463">
        <v>3</v>
      </c>
      <c r="F2463">
        <v>8</v>
      </c>
      <c r="G2463">
        <v>160</v>
      </c>
      <c r="H2463">
        <v>15.1</v>
      </c>
      <c r="I2463" s="55">
        <f t="shared" si="15"/>
        <v>20.057484978342696</v>
      </c>
      <c r="J2463">
        <v>12</v>
      </c>
      <c r="K2463">
        <v>8</v>
      </c>
      <c r="L2463">
        <v>13</v>
      </c>
      <c r="M2463">
        <f t="shared" si="16"/>
        <v>145</v>
      </c>
    </row>
    <row r="2464" spans="1:13" x14ac:dyDescent="0.25">
      <c r="A2464" t="s">
        <v>344</v>
      </c>
      <c r="B2464" t="s">
        <v>496</v>
      </c>
      <c r="C2464" t="s">
        <v>500</v>
      </c>
      <c r="D2464" t="s">
        <v>497</v>
      </c>
      <c r="E2464">
        <v>3</v>
      </c>
      <c r="F2464">
        <v>8</v>
      </c>
      <c r="G2464">
        <v>180</v>
      </c>
      <c r="H2464">
        <v>15.1</v>
      </c>
      <c r="I2464" s="55">
        <f t="shared" si="15"/>
        <v>20.057484978342696</v>
      </c>
      <c r="J2464">
        <v>12</v>
      </c>
      <c r="K2464">
        <v>8</v>
      </c>
      <c r="L2464">
        <v>13</v>
      </c>
      <c r="M2464">
        <f t="shared" si="16"/>
        <v>165</v>
      </c>
    </row>
    <row r="2465" spans="1:13" x14ac:dyDescent="0.25">
      <c r="A2465" t="s">
        <v>344</v>
      </c>
      <c r="B2465" t="s">
        <v>496</v>
      </c>
      <c r="C2465" t="s">
        <v>500</v>
      </c>
      <c r="D2465" t="s">
        <v>497</v>
      </c>
      <c r="E2465">
        <v>3</v>
      </c>
      <c r="F2465">
        <v>8</v>
      </c>
      <c r="G2465">
        <v>200</v>
      </c>
      <c r="H2465">
        <v>15.1</v>
      </c>
      <c r="I2465" s="55">
        <f t="shared" si="15"/>
        <v>20.057484978342696</v>
      </c>
      <c r="J2465">
        <v>12</v>
      </c>
      <c r="K2465">
        <v>8</v>
      </c>
      <c r="L2465">
        <v>13</v>
      </c>
      <c r="M2465">
        <f t="shared" si="16"/>
        <v>185</v>
      </c>
    </row>
    <row r="2466" spans="1:13" x14ac:dyDescent="0.25">
      <c r="A2466" t="s">
        <v>344</v>
      </c>
      <c r="B2466" t="s">
        <v>496</v>
      </c>
      <c r="C2466" t="s">
        <v>500</v>
      </c>
      <c r="D2466" t="s">
        <v>497</v>
      </c>
      <c r="E2466">
        <v>3</v>
      </c>
      <c r="F2466">
        <v>8</v>
      </c>
      <c r="G2466">
        <v>220</v>
      </c>
      <c r="H2466">
        <v>15.1</v>
      </c>
      <c r="I2466" s="55">
        <f t="shared" si="15"/>
        <v>20.057484978342696</v>
      </c>
      <c r="J2466">
        <v>12</v>
      </c>
      <c r="K2466">
        <v>8</v>
      </c>
      <c r="L2466">
        <v>13</v>
      </c>
      <c r="M2466">
        <f t="shared" si="16"/>
        <v>205</v>
      </c>
    </row>
    <row r="2467" spans="1:13" x14ac:dyDescent="0.25">
      <c r="A2467" t="s">
        <v>344</v>
      </c>
      <c r="B2467" t="s">
        <v>496</v>
      </c>
      <c r="C2467" t="s">
        <v>500</v>
      </c>
      <c r="D2467" t="s">
        <v>497</v>
      </c>
      <c r="E2467">
        <v>3</v>
      </c>
      <c r="F2467">
        <v>8</v>
      </c>
      <c r="G2467">
        <v>240</v>
      </c>
      <c r="H2467">
        <v>15.1</v>
      </c>
      <c r="I2467" s="55">
        <f t="shared" si="15"/>
        <v>20.057484978342696</v>
      </c>
      <c r="J2467">
        <v>12</v>
      </c>
      <c r="K2467">
        <v>8</v>
      </c>
      <c r="L2467">
        <v>13</v>
      </c>
      <c r="M2467">
        <f t="shared" si="16"/>
        <v>225</v>
      </c>
    </row>
    <row r="2468" spans="1:13" x14ac:dyDescent="0.25">
      <c r="A2468" t="s">
        <v>344</v>
      </c>
      <c r="B2468" t="s">
        <v>496</v>
      </c>
      <c r="C2468" t="s">
        <v>500</v>
      </c>
      <c r="D2468" t="s">
        <v>497</v>
      </c>
      <c r="E2468">
        <v>3</v>
      </c>
      <c r="F2468">
        <v>8</v>
      </c>
      <c r="G2468">
        <v>260</v>
      </c>
      <c r="H2468">
        <v>15.1</v>
      </c>
      <c r="I2468" s="55">
        <f t="shared" si="15"/>
        <v>20.057484978342696</v>
      </c>
      <c r="J2468">
        <v>12</v>
      </c>
      <c r="K2468">
        <v>8</v>
      </c>
      <c r="L2468">
        <v>13</v>
      </c>
      <c r="M2468">
        <f t="shared" si="16"/>
        <v>245</v>
      </c>
    </row>
    <row r="2469" spans="1:13" x14ac:dyDescent="0.25">
      <c r="A2469" t="s">
        <v>344</v>
      </c>
      <c r="B2469" t="s">
        <v>496</v>
      </c>
      <c r="C2469" t="s">
        <v>500</v>
      </c>
      <c r="D2469" t="s">
        <v>497</v>
      </c>
      <c r="E2469">
        <v>3</v>
      </c>
      <c r="F2469">
        <v>8</v>
      </c>
      <c r="G2469">
        <v>280</v>
      </c>
      <c r="H2469">
        <v>15.1</v>
      </c>
      <c r="I2469" s="55">
        <f t="shared" si="15"/>
        <v>20.057484978342696</v>
      </c>
      <c r="J2469">
        <v>12</v>
      </c>
      <c r="K2469">
        <v>8</v>
      </c>
      <c r="L2469">
        <v>13</v>
      </c>
      <c r="M2469">
        <f t="shared" si="16"/>
        <v>265</v>
      </c>
    </row>
    <row r="2470" spans="1:13" x14ac:dyDescent="0.25">
      <c r="A2470" t="s">
        <v>344</v>
      </c>
      <c r="B2470" t="s">
        <v>496</v>
      </c>
      <c r="C2470" t="s">
        <v>500</v>
      </c>
      <c r="D2470" t="s">
        <v>497</v>
      </c>
      <c r="E2470">
        <v>3</v>
      </c>
      <c r="F2470">
        <v>8</v>
      </c>
      <c r="G2470">
        <v>300</v>
      </c>
      <c r="H2470">
        <v>15.1</v>
      </c>
      <c r="I2470" s="55">
        <f t="shared" si="15"/>
        <v>20.057484978342696</v>
      </c>
      <c r="J2470">
        <v>12</v>
      </c>
      <c r="K2470">
        <v>8</v>
      </c>
      <c r="L2470">
        <v>13</v>
      </c>
      <c r="M2470">
        <f t="shared" si="16"/>
        <v>285</v>
      </c>
    </row>
    <row r="2471" spans="1:13" x14ac:dyDescent="0.25">
      <c r="A2471" t="s">
        <v>344</v>
      </c>
      <c r="B2471" t="s">
        <v>496</v>
      </c>
      <c r="C2471" t="s">
        <v>500</v>
      </c>
      <c r="D2471" t="s">
        <v>497</v>
      </c>
      <c r="E2471">
        <v>3</v>
      </c>
      <c r="F2471">
        <v>8</v>
      </c>
      <c r="G2471">
        <v>325</v>
      </c>
      <c r="H2471">
        <v>15.1</v>
      </c>
      <c r="I2471" s="55">
        <f t="shared" si="15"/>
        <v>20.057484978342696</v>
      </c>
      <c r="J2471">
        <v>12</v>
      </c>
      <c r="K2471">
        <v>8</v>
      </c>
      <c r="L2471">
        <v>13</v>
      </c>
      <c r="M2471">
        <f t="shared" si="16"/>
        <v>310</v>
      </c>
    </row>
    <row r="2472" spans="1:13" x14ac:dyDescent="0.25">
      <c r="A2472" t="s">
        <v>344</v>
      </c>
      <c r="B2472" t="s">
        <v>496</v>
      </c>
      <c r="C2472" t="s">
        <v>500</v>
      </c>
      <c r="D2472" t="s">
        <v>497</v>
      </c>
      <c r="E2472">
        <v>3</v>
      </c>
      <c r="F2472">
        <v>8</v>
      </c>
      <c r="G2472">
        <v>350</v>
      </c>
      <c r="H2472">
        <v>15.1</v>
      </c>
      <c r="I2472" s="55">
        <f t="shared" si="15"/>
        <v>20.057484978342696</v>
      </c>
      <c r="J2472">
        <v>12</v>
      </c>
      <c r="K2472">
        <v>8</v>
      </c>
      <c r="L2472">
        <v>13</v>
      </c>
      <c r="M2472">
        <f t="shared" si="16"/>
        <v>335</v>
      </c>
    </row>
    <row r="2473" spans="1:13" x14ac:dyDescent="0.25">
      <c r="A2473" t="s">
        <v>344</v>
      </c>
      <c r="B2473" t="s">
        <v>496</v>
      </c>
      <c r="C2473" t="s">
        <v>500</v>
      </c>
      <c r="D2473" t="s">
        <v>497</v>
      </c>
      <c r="E2473">
        <v>3</v>
      </c>
      <c r="F2473">
        <v>8</v>
      </c>
      <c r="G2473">
        <v>375</v>
      </c>
      <c r="H2473">
        <v>15.1</v>
      </c>
      <c r="I2473" s="55">
        <f t="shared" si="15"/>
        <v>20.057484978342696</v>
      </c>
      <c r="J2473">
        <v>12</v>
      </c>
      <c r="K2473">
        <v>8</v>
      </c>
      <c r="L2473">
        <v>13</v>
      </c>
      <c r="M2473">
        <f t="shared" si="16"/>
        <v>360</v>
      </c>
    </row>
    <row r="2474" spans="1:13" x14ac:dyDescent="0.25">
      <c r="A2474" t="s">
        <v>344</v>
      </c>
      <c r="B2474" t="s">
        <v>496</v>
      </c>
      <c r="C2474" t="s">
        <v>500</v>
      </c>
      <c r="D2474" t="s">
        <v>497</v>
      </c>
      <c r="E2474">
        <v>3</v>
      </c>
      <c r="F2474">
        <v>8</v>
      </c>
      <c r="G2474">
        <v>400</v>
      </c>
      <c r="H2474">
        <v>15.1</v>
      </c>
      <c r="I2474" s="55">
        <f t="shared" si="15"/>
        <v>20.057484978342696</v>
      </c>
      <c r="J2474">
        <v>12</v>
      </c>
      <c r="K2474">
        <v>8</v>
      </c>
      <c r="L2474">
        <v>13</v>
      </c>
      <c r="M2474">
        <f t="shared" si="16"/>
        <v>385</v>
      </c>
    </row>
    <row r="2475" spans="1:13" x14ac:dyDescent="0.25">
      <c r="A2475" t="s">
        <v>344</v>
      </c>
      <c r="B2475" t="s">
        <v>496</v>
      </c>
      <c r="C2475" t="s">
        <v>500</v>
      </c>
      <c r="D2475" t="s">
        <v>497</v>
      </c>
      <c r="E2475">
        <v>3</v>
      </c>
      <c r="F2475">
        <v>10</v>
      </c>
      <c r="G2475">
        <v>160</v>
      </c>
      <c r="H2475">
        <v>18.600000000000001</v>
      </c>
      <c r="I2475" s="55">
        <f t="shared" si="15"/>
        <v>35.829645349814783</v>
      </c>
      <c r="J2475">
        <v>11.5</v>
      </c>
      <c r="K2475">
        <v>8</v>
      </c>
      <c r="L2475">
        <v>20</v>
      </c>
      <c r="M2475">
        <f t="shared" si="16"/>
        <v>145</v>
      </c>
    </row>
    <row r="2476" spans="1:13" x14ac:dyDescent="0.25">
      <c r="A2476" t="s">
        <v>344</v>
      </c>
      <c r="B2476" t="s">
        <v>496</v>
      </c>
      <c r="C2476" t="s">
        <v>500</v>
      </c>
      <c r="D2476" t="s">
        <v>497</v>
      </c>
      <c r="E2476">
        <v>3</v>
      </c>
      <c r="F2476">
        <v>10</v>
      </c>
      <c r="G2476">
        <v>200</v>
      </c>
      <c r="H2476">
        <v>18.600000000000001</v>
      </c>
      <c r="I2476" s="55">
        <f t="shared" si="15"/>
        <v>35.829645349814783</v>
      </c>
      <c r="J2476">
        <v>11.5</v>
      </c>
      <c r="K2476">
        <v>8</v>
      </c>
      <c r="L2476">
        <v>20</v>
      </c>
      <c r="M2476">
        <f t="shared" si="16"/>
        <v>185</v>
      </c>
    </row>
    <row r="2477" spans="1:13" x14ac:dyDescent="0.25">
      <c r="A2477" t="s">
        <v>344</v>
      </c>
      <c r="B2477" t="s">
        <v>496</v>
      </c>
      <c r="C2477" t="s">
        <v>500</v>
      </c>
      <c r="D2477" t="s">
        <v>497</v>
      </c>
      <c r="E2477">
        <v>3</v>
      </c>
      <c r="F2477">
        <v>10</v>
      </c>
      <c r="G2477">
        <v>220</v>
      </c>
      <c r="H2477">
        <v>18.600000000000001</v>
      </c>
      <c r="I2477" s="55">
        <f t="shared" si="15"/>
        <v>35.829645349814783</v>
      </c>
      <c r="J2477">
        <v>11.5</v>
      </c>
      <c r="K2477">
        <v>8</v>
      </c>
      <c r="L2477">
        <v>20</v>
      </c>
      <c r="M2477">
        <f t="shared" si="16"/>
        <v>205</v>
      </c>
    </row>
    <row r="2478" spans="1:13" x14ac:dyDescent="0.25">
      <c r="A2478" t="s">
        <v>344</v>
      </c>
      <c r="B2478" t="s">
        <v>496</v>
      </c>
      <c r="C2478" t="s">
        <v>500</v>
      </c>
      <c r="D2478" t="s">
        <v>497</v>
      </c>
      <c r="E2478">
        <v>3</v>
      </c>
      <c r="F2478">
        <v>10</v>
      </c>
      <c r="G2478">
        <v>240</v>
      </c>
      <c r="H2478">
        <v>18.600000000000001</v>
      </c>
      <c r="I2478" s="55">
        <f t="shared" si="15"/>
        <v>35.829645349814783</v>
      </c>
      <c r="J2478">
        <v>11.5</v>
      </c>
      <c r="K2478">
        <v>8</v>
      </c>
      <c r="L2478">
        <v>20</v>
      </c>
      <c r="M2478">
        <f t="shared" si="16"/>
        <v>225</v>
      </c>
    </row>
    <row r="2479" spans="1:13" x14ac:dyDescent="0.25">
      <c r="A2479" t="s">
        <v>344</v>
      </c>
      <c r="B2479" t="s">
        <v>496</v>
      </c>
      <c r="C2479" t="s">
        <v>500</v>
      </c>
      <c r="D2479" t="s">
        <v>497</v>
      </c>
      <c r="E2479">
        <v>3</v>
      </c>
      <c r="F2479">
        <v>10</v>
      </c>
      <c r="G2479">
        <v>260</v>
      </c>
      <c r="H2479">
        <v>18.600000000000001</v>
      </c>
      <c r="I2479" s="55">
        <f t="shared" si="15"/>
        <v>35.829645349814783</v>
      </c>
      <c r="J2479">
        <v>11.5</v>
      </c>
      <c r="K2479">
        <v>8</v>
      </c>
      <c r="L2479">
        <v>20</v>
      </c>
      <c r="M2479">
        <f t="shared" si="16"/>
        <v>245</v>
      </c>
    </row>
    <row r="2480" spans="1:13" x14ac:dyDescent="0.25">
      <c r="A2480" t="s">
        <v>344</v>
      </c>
      <c r="B2480" t="s">
        <v>496</v>
      </c>
      <c r="C2480" t="s">
        <v>500</v>
      </c>
      <c r="D2480" t="s">
        <v>497</v>
      </c>
      <c r="E2480">
        <v>3</v>
      </c>
      <c r="F2480">
        <v>10</v>
      </c>
      <c r="G2480">
        <v>280</v>
      </c>
      <c r="H2480">
        <v>18.600000000000001</v>
      </c>
      <c r="I2480" s="55">
        <f t="shared" si="15"/>
        <v>35.829645349814783</v>
      </c>
      <c r="J2480">
        <v>11.5</v>
      </c>
      <c r="K2480">
        <v>8</v>
      </c>
      <c r="L2480">
        <v>20</v>
      </c>
      <c r="M2480">
        <f t="shared" si="16"/>
        <v>265</v>
      </c>
    </row>
    <row r="2481" spans="1:13" x14ac:dyDescent="0.25">
      <c r="A2481" t="s">
        <v>344</v>
      </c>
      <c r="B2481" t="s">
        <v>496</v>
      </c>
      <c r="C2481" t="s">
        <v>500</v>
      </c>
      <c r="D2481" t="s">
        <v>497</v>
      </c>
      <c r="E2481">
        <v>3</v>
      </c>
      <c r="F2481">
        <v>10</v>
      </c>
      <c r="G2481">
        <v>300</v>
      </c>
      <c r="H2481">
        <v>18.600000000000001</v>
      </c>
      <c r="I2481" s="55">
        <f t="shared" si="15"/>
        <v>35.829645349814783</v>
      </c>
      <c r="J2481">
        <v>11.5</v>
      </c>
      <c r="K2481">
        <v>8</v>
      </c>
      <c r="L2481">
        <v>20</v>
      </c>
      <c r="M2481">
        <f t="shared" si="16"/>
        <v>285</v>
      </c>
    </row>
    <row r="2482" spans="1:13" x14ac:dyDescent="0.25">
      <c r="A2482" t="s">
        <v>344</v>
      </c>
      <c r="B2482" t="s">
        <v>496</v>
      </c>
      <c r="C2482" t="s">
        <v>500</v>
      </c>
      <c r="D2482" t="s">
        <v>497</v>
      </c>
      <c r="E2482">
        <v>3</v>
      </c>
      <c r="F2482">
        <v>10</v>
      </c>
      <c r="G2482">
        <v>350</v>
      </c>
      <c r="H2482">
        <v>18.600000000000001</v>
      </c>
      <c r="I2482" s="55">
        <f t="shared" si="15"/>
        <v>35.829645349814783</v>
      </c>
      <c r="J2482">
        <v>11.5</v>
      </c>
      <c r="K2482">
        <v>8</v>
      </c>
      <c r="L2482">
        <v>20</v>
      </c>
      <c r="M2482">
        <f t="shared" si="16"/>
        <v>335</v>
      </c>
    </row>
    <row r="2483" spans="1:13" x14ac:dyDescent="0.25">
      <c r="A2483" t="s">
        <v>344</v>
      </c>
      <c r="B2483" t="s">
        <v>496</v>
      </c>
      <c r="C2483" t="s">
        <v>500</v>
      </c>
      <c r="D2483" t="s">
        <v>497</v>
      </c>
      <c r="E2483">
        <v>3</v>
      </c>
      <c r="F2483">
        <v>10</v>
      </c>
      <c r="G2483">
        <v>400</v>
      </c>
      <c r="H2483">
        <v>18.600000000000001</v>
      </c>
      <c r="I2483" s="55">
        <f t="shared" si="15"/>
        <v>35.829645349814783</v>
      </c>
      <c r="J2483">
        <v>11.5</v>
      </c>
      <c r="K2483">
        <v>8</v>
      </c>
      <c r="L2483">
        <v>20</v>
      </c>
      <c r="M2483">
        <f t="shared" si="16"/>
        <v>385</v>
      </c>
    </row>
    <row r="2484" spans="1:13" x14ac:dyDescent="0.25">
      <c r="A2484" t="s">
        <v>344</v>
      </c>
      <c r="B2484" t="s">
        <v>496</v>
      </c>
      <c r="C2484" t="s">
        <v>500</v>
      </c>
      <c r="D2484" t="s">
        <v>497</v>
      </c>
      <c r="E2484">
        <v>3</v>
      </c>
      <c r="F2484">
        <v>12</v>
      </c>
      <c r="G2484">
        <v>400</v>
      </c>
      <c r="H2484">
        <v>18.600000000000001</v>
      </c>
      <c r="I2484" s="55">
        <f t="shared" si="15"/>
        <v>57.559067465202105</v>
      </c>
      <c r="J2484">
        <v>11</v>
      </c>
      <c r="K2484">
        <v>8</v>
      </c>
      <c r="L2484">
        <v>28</v>
      </c>
      <c r="M2484">
        <f t="shared" si="16"/>
        <v>385</v>
      </c>
    </row>
    <row r="2485" spans="1:13" x14ac:dyDescent="0.25">
      <c r="A2485" t="s">
        <v>344</v>
      </c>
      <c r="B2485" t="s">
        <v>496</v>
      </c>
      <c r="C2485" t="s">
        <v>500</v>
      </c>
      <c r="D2485" t="s">
        <v>497</v>
      </c>
      <c r="E2485">
        <v>3</v>
      </c>
      <c r="F2485">
        <v>12</v>
      </c>
      <c r="G2485">
        <v>450</v>
      </c>
      <c r="H2485">
        <v>18.600000000000001</v>
      </c>
      <c r="I2485" s="55">
        <f t="shared" si="15"/>
        <v>57.559067465202105</v>
      </c>
      <c r="J2485">
        <v>11</v>
      </c>
      <c r="K2485">
        <v>8</v>
      </c>
      <c r="L2485">
        <v>28</v>
      </c>
      <c r="M2485">
        <f t="shared" si="16"/>
        <v>435</v>
      </c>
    </row>
    <row r="2486" spans="1:13" x14ac:dyDescent="0.25">
      <c r="A2486" t="s">
        <v>344</v>
      </c>
      <c r="B2486" t="s">
        <v>496</v>
      </c>
      <c r="C2486" t="s">
        <v>500</v>
      </c>
      <c r="D2486" t="s">
        <v>497</v>
      </c>
      <c r="E2486">
        <v>3</v>
      </c>
      <c r="F2486">
        <v>12</v>
      </c>
      <c r="G2486">
        <v>500</v>
      </c>
      <c r="H2486">
        <v>18.600000000000001</v>
      </c>
      <c r="I2486" s="55">
        <f t="shared" si="15"/>
        <v>57.559067465202105</v>
      </c>
      <c r="J2486">
        <v>11</v>
      </c>
      <c r="K2486">
        <v>8</v>
      </c>
      <c r="L2486">
        <v>28</v>
      </c>
      <c r="M2486">
        <f t="shared" si="16"/>
        <v>485</v>
      </c>
    </row>
    <row r="2487" spans="1:13" x14ac:dyDescent="0.25">
      <c r="A2487" t="s">
        <v>344</v>
      </c>
      <c r="B2487" t="s">
        <v>496</v>
      </c>
      <c r="C2487" t="s">
        <v>500</v>
      </c>
      <c r="D2487" t="s">
        <v>497</v>
      </c>
      <c r="E2487">
        <v>3</v>
      </c>
      <c r="F2487">
        <v>12</v>
      </c>
      <c r="G2487">
        <v>550</v>
      </c>
      <c r="H2487">
        <v>18.600000000000001</v>
      </c>
      <c r="I2487" s="55">
        <f t="shared" si="15"/>
        <v>57.559067465202105</v>
      </c>
      <c r="J2487">
        <v>11</v>
      </c>
      <c r="K2487">
        <v>8</v>
      </c>
      <c r="L2487">
        <v>28</v>
      </c>
      <c r="M2487">
        <f t="shared" si="16"/>
        <v>535</v>
      </c>
    </row>
    <row r="2488" spans="1:13" x14ac:dyDescent="0.25">
      <c r="A2488" t="s">
        <v>344</v>
      </c>
      <c r="B2488" t="s">
        <v>495</v>
      </c>
      <c r="C2488" t="s">
        <v>501</v>
      </c>
      <c r="D2488" t="s">
        <v>493</v>
      </c>
      <c r="E2488">
        <v>1</v>
      </c>
      <c r="F2488">
        <v>4</v>
      </c>
      <c r="G2488">
        <v>30</v>
      </c>
      <c r="H2488">
        <v>8</v>
      </c>
      <c r="I2488">
        <v>3.1</v>
      </c>
      <c r="J2488">
        <v>14.3</v>
      </c>
      <c r="K2488">
        <v>17.100000000000001</v>
      </c>
      <c r="L2488">
        <v>5</v>
      </c>
      <c r="M2488">
        <v>20</v>
      </c>
    </row>
    <row r="2489" spans="1:13" x14ac:dyDescent="0.25">
      <c r="A2489" t="s">
        <v>344</v>
      </c>
      <c r="B2489" t="s">
        <v>495</v>
      </c>
      <c r="C2489" t="s">
        <v>501</v>
      </c>
      <c r="D2489" t="s">
        <v>493</v>
      </c>
      <c r="E2489">
        <v>1</v>
      </c>
      <c r="F2489">
        <v>4</v>
      </c>
      <c r="G2489">
        <v>35</v>
      </c>
      <c r="H2489">
        <v>8</v>
      </c>
      <c r="I2489">
        <v>3.1</v>
      </c>
      <c r="J2489">
        <v>14.3</v>
      </c>
      <c r="K2489">
        <v>17.100000000000001</v>
      </c>
      <c r="L2489">
        <v>5</v>
      </c>
      <c r="M2489">
        <v>20</v>
      </c>
    </row>
    <row r="2490" spans="1:13" x14ac:dyDescent="0.25">
      <c r="A2490" t="s">
        <v>344</v>
      </c>
      <c r="B2490" t="s">
        <v>495</v>
      </c>
      <c r="C2490" t="s">
        <v>501</v>
      </c>
      <c r="D2490" t="s">
        <v>493</v>
      </c>
      <c r="E2490">
        <v>1</v>
      </c>
      <c r="F2490">
        <v>4</v>
      </c>
      <c r="G2490">
        <v>40</v>
      </c>
      <c r="H2490">
        <v>8</v>
      </c>
      <c r="I2490">
        <v>3.1</v>
      </c>
      <c r="J2490">
        <v>14.3</v>
      </c>
      <c r="K2490">
        <v>17.100000000000001</v>
      </c>
      <c r="L2490">
        <v>5</v>
      </c>
      <c r="M2490">
        <v>25</v>
      </c>
    </row>
    <row r="2491" spans="1:13" x14ac:dyDescent="0.25">
      <c r="A2491" t="s">
        <v>344</v>
      </c>
      <c r="B2491" t="s">
        <v>495</v>
      </c>
      <c r="C2491" t="s">
        <v>501</v>
      </c>
      <c r="D2491" t="s">
        <v>493</v>
      </c>
      <c r="E2491">
        <v>1</v>
      </c>
      <c r="F2491">
        <v>4</v>
      </c>
      <c r="G2491">
        <v>45</v>
      </c>
      <c r="H2491">
        <v>8</v>
      </c>
      <c r="I2491">
        <v>3.1</v>
      </c>
      <c r="J2491">
        <v>14.3</v>
      </c>
      <c r="K2491">
        <v>17.100000000000001</v>
      </c>
      <c r="L2491">
        <v>5</v>
      </c>
      <c r="M2491">
        <v>25</v>
      </c>
    </row>
    <row r="2492" spans="1:13" x14ac:dyDescent="0.25">
      <c r="A2492" t="s">
        <v>344</v>
      </c>
      <c r="B2492" t="s">
        <v>495</v>
      </c>
      <c r="C2492" t="s">
        <v>501</v>
      </c>
      <c r="D2492" t="s">
        <v>493</v>
      </c>
      <c r="E2492">
        <v>1</v>
      </c>
      <c r="F2492">
        <v>4</v>
      </c>
      <c r="G2492">
        <v>50</v>
      </c>
      <c r="H2492">
        <v>8</v>
      </c>
      <c r="I2492">
        <v>3.1</v>
      </c>
      <c r="J2492">
        <v>14.3</v>
      </c>
      <c r="K2492">
        <v>17.100000000000001</v>
      </c>
      <c r="L2492">
        <v>5</v>
      </c>
      <c r="M2492">
        <v>30</v>
      </c>
    </row>
    <row r="2493" spans="1:13" x14ac:dyDescent="0.25">
      <c r="A2493" t="s">
        <v>344</v>
      </c>
      <c r="B2493" t="s">
        <v>495</v>
      </c>
      <c r="C2493" t="s">
        <v>501</v>
      </c>
      <c r="D2493" t="s">
        <v>493</v>
      </c>
      <c r="E2493">
        <v>1</v>
      </c>
      <c r="F2493">
        <v>4</v>
      </c>
      <c r="G2493">
        <v>60</v>
      </c>
      <c r="H2493">
        <v>8</v>
      </c>
      <c r="I2493">
        <v>3.1</v>
      </c>
      <c r="J2493">
        <v>14.3</v>
      </c>
      <c r="K2493">
        <v>17.100000000000001</v>
      </c>
      <c r="L2493">
        <v>5</v>
      </c>
      <c r="M2493">
        <v>35</v>
      </c>
    </row>
    <row r="2494" spans="1:13" x14ac:dyDescent="0.25">
      <c r="A2494" t="s">
        <v>344</v>
      </c>
      <c r="B2494" t="s">
        <v>495</v>
      </c>
      <c r="C2494" t="s">
        <v>501</v>
      </c>
      <c r="D2494" t="s">
        <v>493</v>
      </c>
      <c r="E2494">
        <v>1</v>
      </c>
      <c r="F2494">
        <v>4</v>
      </c>
      <c r="G2494">
        <v>70</v>
      </c>
      <c r="H2494">
        <v>8</v>
      </c>
      <c r="I2494">
        <v>3.1</v>
      </c>
      <c r="J2494">
        <v>14.3</v>
      </c>
      <c r="K2494">
        <v>17.100000000000001</v>
      </c>
      <c r="L2494">
        <v>5</v>
      </c>
      <c r="M2494">
        <v>35</v>
      </c>
    </row>
    <row r="2495" spans="1:13" x14ac:dyDescent="0.25">
      <c r="A2495" t="s">
        <v>344</v>
      </c>
      <c r="B2495" t="s">
        <v>495</v>
      </c>
      <c r="C2495" t="s">
        <v>501</v>
      </c>
      <c r="D2495" t="s">
        <v>493</v>
      </c>
      <c r="E2495">
        <v>2</v>
      </c>
      <c r="F2495">
        <v>4.5</v>
      </c>
      <c r="G2495">
        <v>30</v>
      </c>
      <c r="H2495">
        <v>9</v>
      </c>
      <c r="I2495">
        <v>4.2</v>
      </c>
      <c r="J2495">
        <v>13.3</v>
      </c>
      <c r="K2495">
        <v>17.600000000000001</v>
      </c>
      <c r="L2495">
        <v>7</v>
      </c>
      <c r="M2495">
        <v>20</v>
      </c>
    </row>
    <row r="2496" spans="1:13" x14ac:dyDescent="0.25">
      <c r="A2496" t="s">
        <v>344</v>
      </c>
      <c r="B2496" t="s">
        <v>495</v>
      </c>
      <c r="C2496" t="s">
        <v>501</v>
      </c>
      <c r="D2496" t="s">
        <v>493</v>
      </c>
      <c r="E2496">
        <v>2</v>
      </c>
      <c r="F2496">
        <v>4.5</v>
      </c>
      <c r="G2496">
        <v>35</v>
      </c>
      <c r="H2496">
        <v>9</v>
      </c>
      <c r="I2496">
        <v>4.2</v>
      </c>
      <c r="J2496">
        <v>13.3</v>
      </c>
      <c r="K2496">
        <v>17.600000000000001</v>
      </c>
      <c r="L2496">
        <v>7</v>
      </c>
      <c r="M2496">
        <v>20</v>
      </c>
    </row>
    <row r="2497" spans="1:13" x14ac:dyDescent="0.25">
      <c r="A2497" t="s">
        <v>344</v>
      </c>
      <c r="B2497" t="s">
        <v>495</v>
      </c>
      <c r="C2497" t="s">
        <v>501</v>
      </c>
      <c r="D2497" t="s">
        <v>493</v>
      </c>
      <c r="E2497">
        <v>2</v>
      </c>
      <c r="F2497">
        <v>4.5</v>
      </c>
      <c r="G2497">
        <v>40</v>
      </c>
      <c r="H2497">
        <v>9</v>
      </c>
      <c r="I2497">
        <v>4.2</v>
      </c>
      <c r="J2497">
        <v>13.3</v>
      </c>
      <c r="K2497">
        <v>17.600000000000001</v>
      </c>
      <c r="L2497">
        <v>7</v>
      </c>
      <c r="M2497">
        <v>25</v>
      </c>
    </row>
    <row r="2498" spans="1:13" x14ac:dyDescent="0.25">
      <c r="A2498" t="s">
        <v>344</v>
      </c>
      <c r="B2498" t="s">
        <v>495</v>
      </c>
      <c r="C2498" t="s">
        <v>501</v>
      </c>
      <c r="D2498" t="s">
        <v>493</v>
      </c>
      <c r="E2498">
        <v>2</v>
      </c>
      <c r="F2498">
        <v>4.5</v>
      </c>
      <c r="G2498">
        <v>45</v>
      </c>
      <c r="H2498">
        <v>9</v>
      </c>
      <c r="I2498">
        <v>4.2</v>
      </c>
      <c r="J2498">
        <v>13.3</v>
      </c>
      <c r="K2498">
        <v>17.600000000000001</v>
      </c>
      <c r="L2498">
        <v>7</v>
      </c>
      <c r="M2498">
        <v>25</v>
      </c>
    </row>
    <row r="2499" spans="1:13" x14ac:dyDescent="0.25">
      <c r="A2499" t="s">
        <v>344</v>
      </c>
      <c r="B2499" t="s">
        <v>495</v>
      </c>
      <c r="C2499" t="s">
        <v>501</v>
      </c>
      <c r="D2499" t="s">
        <v>493</v>
      </c>
      <c r="E2499">
        <v>2</v>
      </c>
      <c r="F2499">
        <v>4.5</v>
      </c>
      <c r="G2499">
        <v>50</v>
      </c>
      <c r="H2499">
        <v>9</v>
      </c>
      <c r="I2499">
        <v>4.2</v>
      </c>
      <c r="J2499">
        <v>13.3</v>
      </c>
      <c r="K2499">
        <v>17.600000000000001</v>
      </c>
      <c r="L2499">
        <v>7</v>
      </c>
      <c r="M2499">
        <v>30</v>
      </c>
    </row>
    <row r="2500" spans="1:13" x14ac:dyDescent="0.25">
      <c r="A2500" t="s">
        <v>344</v>
      </c>
      <c r="B2500" t="s">
        <v>495</v>
      </c>
      <c r="C2500" t="s">
        <v>501</v>
      </c>
      <c r="D2500" t="s">
        <v>493</v>
      </c>
      <c r="E2500">
        <v>2</v>
      </c>
      <c r="F2500">
        <v>4.5</v>
      </c>
      <c r="G2500">
        <v>60</v>
      </c>
      <c r="H2500">
        <v>9</v>
      </c>
      <c r="I2500">
        <v>4.2</v>
      </c>
      <c r="J2500">
        <v>13.3</v>
      </c>
      <c r="K2500">
        <v>17.600000000000001</v>
      </c>
      <c r="L2500">
        <v>7</v>
      </c>
      <c r="M2500">
        <v>40</v>
      </c>
    </row>
    <row r="2501" spans="1:13" x14ac:dyDescent="0.25">
      <c r="A2501" t="s">
        <v>344</v>
      </c>
      <c r="B2501" t="s">
        <v>495</v>
      </c>
      <c r="C2501" t="s">
        <v>501</v>
      </c>
      <c r="D2501" t="s">
        <v>493</v>
      </c>
      <c r="E2501">
        <v>2</v>
      </c>
      <c r="F2501">
        <v>4.5</v>
      </c>
      <c r="G2501">
        <v>70</v>
      </c>
      <c r="H2501">
        <v>9</v>
      </c>
      <c r="I2501">
        <v>4.2</v>
      </c>
      <c r="J2501">
        <v>13.3</v>
      </c>
      <c r="K2501">
        <v>17.600000000000001</v>
      </c>
      <c r="L2501">
        <v>7</v>
      </c>
      <c r="M2501">
        <v>40</v>
      </c>
    </row>
    <row r="2502" spans="1:13" x14ac:dyDescent="0.25">
      <c r="A2502" t="s">
        <v>344</v>
      </c>
      <c r="B2502" t="s">
        <v>495</v>
      </c>
      <c r="C2502" t="s">
        <v>501</v>
      </c>
      <c r="D2502" t="s">
        <v>493</v>
      </c>
      <c r="E2502">
        <v>2</v>
      </c>
      <c r="F2502">
        <v>4.5</v>
      </c>
      <c r="G2502">
        <v>80</v>
      </c>
      <c r="H2502">
        <v>9</v>
      </c>
      <c r="I2502">
        <v>4.2</v>
      </c>
      <c r="J2502">
        <v>13.3</v>
      </c>
      <c r="K2502">
        <v>17.600000000000001</v>
      </c>
      <c r="L2502">
        <v>7</v>
      </c>
      <c r="M2502">
        <v>40</v>
      </c>
    </row>
    <row r="2503" spans="1:13" x14ac:dyDescent="0.25">
      <c r="A2503" t="s">
        <v>344</v>
      </c>
      <c r="B2503" t="s">
        <v>495</v>
      </c>
      <c r="C2503" t="s">
        <v>501</v>
      </c>
      <c r="D2503" t="s">
        <v>493</v>
      </c>
      <c r="E2503">
        <v>2</v>
      </c>
      <c r="F2503">
        <v>5</v>
      </c>
      <c r="G2503">
        <v>30</v>
      </c>
      <c r="H2503">
        <v>10</v>
      </c>
      <c r="I2503">
        <v>5.9</v>
      </c>
      <c r="J2503">
        <v>13.6</v>
      </c>
      <c r="K2503">
        <v>14.6</v>
      </c>
      <c r="L2503">
        <v>8.8000000000000007</v>
      </c>
      <c r="M2503">
        <v>20</v>
      </c>
    </row>
    <row r="2504" spans="1:13" x14ac:dyDescent="0.25">
      <c r="A2504" t="s">
        <v>344</v>
      </c>
      <c r="B2504" t="s">
        <v>495</v>
      </c>
      <c r="C2504" t="s">
        <v>501</v>
      </c>
      <c r="D2504" t="s">
        <v>493</v>
      </c>
      <c r="E2504">
        <v>2</v>
      </c>
      <c r="F2504">
        <v>5</v>
      </c>
      <c r="G2504">
        <v>35</v>
      </c>
      <c r="H2504">
        <v>10</v>
      </c>
      <c r="I2504">
        <v>5.9</v>
      </c>
      <c r="J2504">
        <v>13.6</v>
      </c>
      <c r="K2504">
        <v>14.6</v>
      </c>
      <c r="L2504">
        <v>8.8000000000000007</v>
      </c>
      <c r="M2504">
        <v>20</v>
      </c>
    </row>
    <row r="2505" spans="1:13" x14ac:dyDescent="0.25">
      <c r="A2505" t="s">
        <v>344</v>
      </c>
      <c r="B2505" t="s">
        <v>495</v>
      </c>
      <c r="C2505" t="s">
        <v>501</v>
      </c>
      <c r="D2505" t="s">
        <v>493</v>
      </c>
      <c r="E2505">
        <v>2</v>
      </c>
      <c r="F2505">
        <v>5</v>
      </c>
      <c r="G2505">
        <v>40</v>
      </c>
      <c r="H2505">
        <v>10</v>
      </c>
      <c r="I2505">
        <v>5.9</v>
      </c>
      <c r="J2505">
        <v>13.6</v>
      </c>
      <c r="K2505">
        <v>14.6</v>
      </c>
      <c r="L2505">
        <v>8.8000000000000007</v>
      </c>
      <c r="M2505">
        <v>25</v>
      </c>
    </row>
    <row r="2506" spans="1:13" x14ac:dyDescent="0.25">
      <c r="A2506" t="s">
        <v>344</v>
      </c>
      <c r="B2506" t="s">
        <v>495</v>
      </c>
      <c r="C2506" t="s">
        <v>501</v>
      </c>
      <c r="D2506" t="s">
        <v>493</v>
      </c>
      <c r="E2506">
        <v>2</v>
      </c>
      <c r="F2506">
        <v>5</v>
      </c>
      <c r="G2506">
        <v>50</v>
      </c>
      <c r="H2506">
        <v>10</v>
      </c>
      <c r="I2506">
        <v>5.9</v>
      </c>
      <c r="J2506">
        <v>13.6</v>
      </c>
      <c r="K2506">
        <v>14.6</v>
      </c>
      <c r="L2506">
        <v>8.8000000000000007</v>
      </c>
      <c r="M2506">
        <v>30</v>
      </c>
    </row>
    <row r="2507" spans="1:13" x14ac:dyDescent="0.25">
      <c r="A2507" t="s">
        <v>344</v>
      </c>
      <c r="B2507" t="s">
        <v>495</v>
      </c>
      <c r="C2507" t="s">
        <v>501</v>
      </c>
      <c r="D2507" t="s">
        <v>493</v>
      </c>
      <c r="E2507">
        <v>2</v>
      </c>
      <c r="F2507">
        <v>5</v>
      </c>
      <c r="G2507">
        <v>60</v>
      </c>
      <c r="H2507">
        <v>10</v>
      </c>
      <c r="I2507">
        <v>5.9</v>
      </c>
      <c r="J2507">
        <v>13.6</v>
      </c>
      <c r="K2507">
        <v>14.6</v>
      </c>
      <c r="L2507">
        <v>8.8000000000000007</v>
      </c>
      <c r="M2507">
        <v>40</v>
      </c>
    </row>
    <row r="2508" spans="1:13" x14ac:dyDescent="0.25">
      <c r="A2508" t="s">
        <v>344</v>
      </c>
      <c r="B2508" t="s">
        <v>495</v>
      </c>
      <c r="C2508" t="s">
        <v>501</v>
      </c>
      <c r="D2508" t="s">
        <v>493</v>
      </c>
      <c r="E2508">
        <v>2</v>
      </c>
      <c r="F2508">
        <v>5</v>
      </c>
      <c r="G2508">
        <v>70</v>
      </c>
      <c r="H2508">
        <v>10</v>
      </c>
      <c r="I2508">
        <v>5.9</v>
      </c>
      <c r="J2508">
        <v>13.6</v>
      </c>
      <c r="K2508">
        <v>14.6</v>
      </c>
      <c r="L2508">
        <v>8.8000000000000007</v>
      </c>
      <c r="M2508">
        <v>40</v>
      </c>
    </row>
    <row r="2509" spans="1:13" x14ac:dyDescent="0.25">
      <c r="A2509" t="s">
        <v>344</v>
      </c>
      <c r="B2509" t="s">
        <v>495</v>
      </c>
      <c r="C2509" t="s">
        <v>501</v>
      </c>
      <c r="D2509" t="s">
        <v>493</v>
      </c>
      <c r="E2509">
        <v>2</v>
      </c>
      <c r="F2509">
        <v>5</v>
      </c>
      <c r="G2509">
        <v>80</v>
      </c>
      <c r="H2509">
        <v>10</v>
      </c>
      <c r="I2509">
        <v>5.9</v>
      </c>
      <c r="J2509">
        <v>13.6</v>
      </c>
      <c r="K2509">
        <v>14.6</v>
      </c>
      <c r="L2509">
        <v>8.8000000000000007</v>
      </c>
      <c r="M2509">
        <v>50</v>
      </c>
    </row>
    <row r="2510" spans="1:13" x14ac:dyDescent="0.25">
      <c r="A2510" t="s">
        <v>344</v>
      </c>
      <c r="B2510" t="s">
        <v>495</v>
      </c>
      <c r="C2510" t="s">
        <v>501</v>
      </c>
      <c r="D2510" t="s">
        <v>493</v>
      </c>
      <c r="E2510">
        <v>2</v>
      </c>
      <c r="F2510">
        <v>5</v>
      </c>
      <c r="G2510">
        <v>90</v>
      </c>
      <c r="H2510">
        <v>10</v>
      </c>
      <c r="I2510">
        <v>5.9</v>
      </c>
      <c r="J2510">
        <v>13.6</v>
      </c>
      <c r="K2510">
        <v>14.6</v>
      </c>
      <c r="L2510">
        <v>8.8000000000000007</v>
      </c>
      <c r="M2510">
        <v>50</v>
      </c>
    </row>
    <row r="2511" spans="1:13" x14ac:dyDescent="0.25">
      <c r="A2511" t="s">
        <v>344</v>
      </c>
      <c r="B2511" t="s">
        <v>495</v>
      </c>
      <c r="C2511" t="s">
        <v>501</v>
      </c>
      <c r="D2511" t="s">
        <v>493</v>
      </c>
      <c r="E2511">
        <v>2</v>
      </c>
      <c r="F2511">
        <v>5</v>
      </c>
      <c r="G2511">
        <v>100</v>
      </c>
      <c r="H2511">
        <v>10</v>
      </c>
      <c r="I2511">
        <v>5.9</v>
      </c>
      <c r="J2511">
        <v>13.6</v>
      </c>
      <c r="K2511">
        <v>14.6</v>
      </c>
      <c r="L2511">
        <v>8.8000000000000007</v>
      </c>
      <c r="M2511">
        <v>60</v>
      </c>
    </row>
    <row r="2512" spans="1:13" x14ac:dyDescent="0.25">
      <c r="A2512" t="s">
        <v>344</v>
      </c>
      <c r="B2512" t="s">
        <v>495</v>
      </c>
      <c r="C2512" t="s">
        <v>501</v>
      </c>
      <c r="D2512" t="s">
        <v>493</v>
      </c>
      <c r="E2512">
        <v>2</v>
      </c>
      <c r="F2512">
        <v>5</v>
      </c>
      <c r="G2512">
        <v>110</v>
      </c>
      <c r="H2512">
        <v>10</v>
      </c>
      <c r="I2512">
        <v>5.9</v>
      </c>
      <c r="J2512">
        <v>13.6</v>
      </c>
      <c r="K2512">
        <v>14.6</v>
      </c>
      <c r="L2512">
        <v>8.8000000000000007</v>
      </c>
      <c r="M2512">
        <v>40</v>
      </c>
    </row>
    <row r="2513" spans="1:13" x14ac:dyDescent="0.25">
      <c r="A2513" t="s">
        <v>344</v>
      </c>
      <c r="B2513" t="s">
        <v>495</v>
      </c>
      <c r="C2513" t="s">
        <v>501</v>
      </c>
      <c r="D2513" t="s">
        <v>493</v>
      </c>
      <c r="E2513">
        <v>2</v>
      </c>
      <c r="F2513">
        <v>5</v>
      </c>
      <c r="G2513">
        <v>120</v>
      </c>
      <c r="H2513">
        <v>10</v>
      </c>
      <c r="I2513">
        <v>5.9</v>
      </c>
      <c r="J2513">
        <v>13.6</v>
      </c>
      <c r="K2513">
        <v>14.6</v>
      </c>
      <c r="L2513">
        <v>8.8000000000000007</v>
      </c>
      <c r="M2513">
        <v>40</v>
      </c>
    </row>
    <row r="2514" spans="1:13" x14ac:dyDescent="0.25">
      <c r="A2514" t="s">
        <v>344</v>
      </c>
      <c r="B2514" t="s">
        <v>495</v>
      </c>
      <c r="C2514" t="s">
        <v>501</v>
      </c>
      <c r="D2514" t="s">
        <v>493</v>
      </c>
      <c r="E2514">
        <v>2</v>
      </c>
      <c r="F2514">
        <v>6</v>
      </c>
      <c r="G2514">
        <v>50</v>
      </c>
      <c r="H2514">
        <v>12</v>
      </c>
      <c r="I2514">
        <v>10.7</v>
      </c>
      <c r="J2514">
        <v>13</v>
      </c>
      <c r="K2514">
        <v>14.6</v>
      </c>
      <c r="L2514">
        <v>13.1</v>
      </c>
      <c r="M2514">
        <v>30</v>
      </c>
    </row>
    <row r="2515" spans="1:13" x14ac:dyDescent="0.25">
      <c r="A2515" t="s">
        <v>344</v>
      </c>
      <c r="B2515" t="s">
        <v>495</v>
      </c>
      <c r="C2515" t="s">
        <v>501</v>
      </c>
      <c r="D2515" t="s">
        <v>493</v>
      </c>
      <c r="E2515">
        <v>2</v>
      </c>
      <c r="F2515">
        <v>6</v>
      </c>
      <c r="G2515">
        <v>60</v>
      </c>
      <c r="H2515">
        <v>12</v>
      </c>
      <c r="I2515">
        <v>10.7</v>
      </c>
      <c r="J2515">
        <v>13</v>
      </c>
      <c r="K2515">
        <v>14.6</v>
      </c>
      <c r="L2515">
        <v>13.1</v>
      </c>
      <c r="M2515">
        <v>40</v>
      </c>
    </row>
    <row r="2516" spans="1:13" x14ac:dyDescent="0.25">
      <c r="A2516" t="s">
        <v>344</v>
      </c>
      <c r="B2516" t="s">
        <v>495</v>
      </c>
      <c r="C2516" t="s">
        <v>501</v>
      </c>
      <c r="D2516" t="s">
        <v>493</v>
      </c>
      <c r="E2516">
        <v>2</v>
      </c>
      <c r="F2516">
        <v>6</v>
      </c>
      <c r="G2516">
        <v>70</v>
      </c>
      <c r="H2516">
        <v>12</v>
      </c>
      <c r="I2516">
        <v>10.7</v>
      </c>
      <c r="J2516">
        <v>13</v>
      </c>
      <c r="K2516">
        <v>14.6</v>
      </c>
      <c r="L2516">
        <v>13.1</v>
      </c>
      <c r="M2516">
        <v>40</v>
      </c>
    </row>
    <row r="2517" spans="1:13" x14ac:dyDescent="0.25">
      <c r="A2517" t="s">
        <v>344</v>
      </c>
      <c r="B2517" t="s">
        <v>495</v>
      </c>
      <c r="C2517" t="s">
        <v>501</v>
      </c>
      <c r="D2517" t="s">
        <v>493</v>
      </c>
      <c r="E2517">
        <v>2</v>
      </c>
      <c r="F2517">
        <v>6</v>
      </c>
      <c r="G2517">
        <v>80</v>
      </c>
      <c r="H2517">
        <v>12</v>
      </c>
      <c r="I2517">
        <v>10.7</v>
      </c>
      <c r="J2517">
        <v>13</v>
      </c>
      <c r="K2517">
        <v>14.6</v>
      </c>
      <c r="L2517">
        <v>13.1</v>
      </c>
      <c r="M2517">
        <v>50</v>
      </c>
    </row>
    <row r="2518" spans="1:13" x14ac:dyDescent="0.25">
      <c r="A2518" t="s">
        <v>344</v>
      </c>
      <c r="B2518" t="s">
        <v>495</v>
      </c>
      <c r="C2518" t="s">
        <v>501</v>
      </c>
      <c r="D2518" t="s">
        <v>493</v>
      </c>
      <c r="E2518">
        <v>2</v>
      </c>
      <c r="F2518">
        <v>6</v>
      </c>
      <c r="G2518">
        <v>90</v>
      </c>
      <c r="H2518">
        <v>12</v>
      </c>
      <c r="I2518">
        <v>10.7</v>
      </c>
      <c r="J2518">
        <v>13</v>
      </c>
      <c r="K2518">
        <v>14.6</v>
      </c>
      <c r="L2518">
        <v>13.1</v>
      </c>
      <c r="M2518">
        <v>50</v>
      </c>
    </row>
    <row r="2519" spans="1:13" x14ac:dyDescent="0.25">
      <c r="A2519" t="s">
        <v>344</v>
      </c>
      <c r="B2519" t="s">
        <v>495</v>
      </c>
      <c r="C2519" t="s">
        <v>501</v>
      </c>
      <c r="D2519" t="s">
        <v>493</v>
      </c>
      <c r="E2519">
        <v>2</v>
      </c>
      <c r="F2519">
        <v>6</v>
      </c>
      <c r="G2519">
        <v>100</v>
      </c>
      <c r="H2519">
        <v>12</v>
      </c>
      <c r="I2519">
        <v>10.7</v>
      </c>
      <c r="J2519">
        <v>13</v>
      </c>
      <c r="K2519">
        <v>14.6</v>
      </c>
      <c r="L2519">
        <v>13.1</v>
      </c>
      <c r="M2519">
        <v>60</v>
      </c>
    </row>
    <row r="2520" spans="1:13" x14ac:dyDescent="0.25">
      <c r="A2520" t="s">
        <v>344</v>
      </c>
      <c r="B2520" t="s">
        <v>495</v>
      </c>
      <c r="C2520" t="s">
        <v>501</v>
      </c>
      <c r="D2520" t="s">
        <v>493</v>
      </c>
      <c r="E2520">
        <v>2</v>
      </c>
      <c r="F2520">
        <v>6</v>
      </c>
      <c r="G2520">
        <v>110</v>
      </c>
      <c r="H2520">
        <v>12</v>
      </c>
      <c r="I2520">
        <v>10.7</v>
      </c>
      <c r="J2520">
        <v>13</v>
      </c>
      <c r="K2520">
        <v>14.6</v>
      </c>
      <c r="L2520">
        <v>13.1</v>
      </c>
      <c r="M2520">
        <v>60</v>
      </c>
    </row>
    <row r="2521" spans="1:13" x14ac:dyDescent="0.25">
      <c r="A2521" t="s">
        <v>344</v>
      </c>
      <c r="B2521" t="s">
        <v>495</v>
      </c>
      <c r="C2521" t="s">
        <v>501</v>
      </c>
      <c r="D2521" t="s">
        <v>493</v>
      </c>
      <c r="E2521">
        <v>2</v>
      </c>
      <c r="F2521">
        <v>6</v>
      </c>
      <c r="G2521">
        <v>120</v>
      </c>
      <c r="H2521">
        <v>12</v>
      </c>
      <c r="I2521">
        <v>10.7</v>
      </c>
      <c r="J2521">
        <v>13</v>
      </c>
      <c r="K2521">
        <v>14.6</v>
      </c>
      <c r="L2521">
        <v>13.1</v>
      </c>
      <c r="M2521">
        <v>70</v>
      </c>
    </row>
    <row r="2522" spans="1:13" x14ac:dyDescent="0.25">
      <c r="A2522" t="s">
        <v>344</v>
      </c>
      <c r="B2522" t="s">
        <v>495</v>
      </c>
      <c r="C2522" t="s">
        <v>501</v>
      </c>
      <c r="D2522" t="s">
        <v>493</v>
      </c>
      <c r="E2522">
        <v>2</v>
      </c>
      <c r="F2522">
        <v>6</v>
      </c>
      <c r="G2522">
        <v>130</v>
      </c>
      <c r="H2522">
        <v>12</v>
      </c>
      <c r="I2522">
        <v>10.7</v>
      </c>
      <c r="J2522">
        <v>13</v>
      </c>
      <c r="K2522">
        <v>14.6</v>
      </c>
      <c r="L2522">
        <v>13.1</v>
      </c>
      <c r="M2522">
        <v>70</v>
      </c>
    </row>
    <row r="2523" spans="1:13" x14ac:dyDescent="0.25">
      <c r="A2523" t="s">
        <v>344</v>
      </c>
      <c r="B2523" t="s">
        <v>495</v>
      </c>
      <c r="C2523" t="s">
        <v>501</v>
      </c>
      <c r="D2523" t="s">
        <v>493</v>
      </c>
      <c r="E2523">
        <v>2</v>
      </c>
      <c r="F2523">
        <v>6</v>
      </c>
      <c r="G2523">
        <v>140</v>
      </c>
      <c r="H2523">
        <v>12</v>
      </c>
      <c r="I2523">
        <v>10.7</v>
      </c>
      <c r="J2523">
        <v>13</v>
      </c>
      <c r="K2523">
        <v>14.6</v>
      </c>
      <c r="L2523">
        <v>13.1</v>
      </c>
      <c r="M2523">
        <v>70</v>
      </c>
    </row>
    <row r="2524" spans="1:13" x14ac:dyDescent="0.25">
      <c r="A2524" t="s">
        <v>344</v>
      </c>
      <c r="B2524" t="s">
        <v>495</v>
      </c>
      <c r="C2524" t="s">
        <v>501</v>
      </c>
      <c r="D2524" t="s">
        <v>493</v>
      </c>
      <c r="E2524">
        <v>2</v>
      </c>
      <c r="F2524">
        <v>6</v>
      </c>
      <c r="G2524">
        <v>150</v>
      </c>
      <c r="H2524">
        <v>12</v>
      </c>
      <c r="I2524">
        <v>10.7</v>
      </c>
      <c r="J2524">
        <v>13</v>
      </c>
      <c r="K2524">
        <v>14.6</v>
      </c>
      <c r="L2524">
        <v>13.1</v>
      </c>
      <c r="M2524">
        <v>70</v>
      </c>
    </row>
    <row r="2525" spans="1:13" x14ac:dyDescent="0.25">
      <c r="A2525" t="s">
        <v>344</v>
      </c>
      <c r="B2525" t="s">
        <v>495</v>
      </c>
      <c r="C2525" t="s">
        <v>501</v>
      </c>
      <c r="D2525" t="s">
        <v>493</v>
      </c>
      <c r="E2525">
        <v>2</v>
      </c>
      <c r="F2525">
        <v>6</v>
      </c>
      <c r="G2525">
        <v>160</v>
      </c>
      <c r="H2525">
        <v>12</v>
      </c>
      <c r="I2525">
        <v>10.7</v>
      </c>
      <c r="J2525">
        <v>13</v>
      </c>
      <c r="K2525">
        <v>14.6</v>
      </c>
      <c r="L2525">
        <v>13.1</v>
      </c>
      <c r="M2525">
        <v>70</v>
      </c>
    </row>
    <row r="2526" spans="1:13" x14ac:dyDescent="0.25">
      <c r="A2526" t="s">
        <v>344</v>
      </c>
      <c r="B2526" t="s">
        <v>495</v>
      </c>
      <c r="C2526" t="s">
        <v>501</v>
      </c>
      <c r="D2526" t="s">
        <v>493</v>
      </c>
      <c r="E2526">
        <v>2</v>
      </c>
      <c r="F2526">
        <v>6</v>
      </c>
      <c r="G2526">
        <v>180</v>
      </c>
      <c r="H2526">
        <v>12</v>
      </c>
      <c r="I2526">
        <v>10.7</v>
      </c>
      <c r="J2526">
        <v>13</v>
      </c>
      <c r="K2526">
        <v>14.6</v>
      </c>
      <c r="L2526">
        <v>13.1</v>
      </c>
      <c r="M2526">
        <v>70</v>
      </c>
    </row>
    <row r="2527" spans="1:13" x14ac:dyDescent="0.25">
      <c r="A2527" t="s">
        <v>344</v>
      </c>
      <c r="B2527" t="s">
        <v>495</v>
      </c>
      <c r="C2527" t="s">
        <v>501</v>
      </c>
      <c r="D2527" t="s">
        <v>493</v>
      </c>
      <c r="E2527">
        <v>2</v>
      </c>
      <c r="F2527">
        <v>6</v>
      </c>
      <c r="G2527">
        <v>200</v>
      </c>
      <c r="H2527">
        <v>12</v>
      </c>
      <c r="I2527">
        <v>10.7</v>
      </c>
      <c r="J2527">
        <v>13</v>
      </c>
      <c r="K2527">
        <v>14.6</v>
      </c>
      <c r="L2527">
        <v>13.1</v>
      </c>
      <c r="M2527">
        <v>70</v>
      </c>
    </row>
    <row r="2528" spans="1:13" x14ac:dyDescent="0.25">
      <c r="A2528" t="s">
        <v>344</v>
      </c>
      <c r="B2528" t="s">
        <v>495</v>
      </c>
      <c r="C2528" t="s">
        <v>501</v>
      </c>
      <c r="D2528" t="s">
        <v>493</v>
      </c>
      <c r="E2528">
        <v>2</v>
      </c>
      <c r="F2528">
        <v>6</v>
      </c>
      <c r="G2528">
        <v>220</v>
      </c>
      <c r="H2528">
        <v>12</v>
      </c>
      <c r="I2528">
        <v>10.7</v>
      </c>
      <c r="J2528">
        <v>13</v>
      </c>
      <c r="K2528">
        <v>14.6</v>
      </c>
      <c r="L2528">
        <v>13.1</v>
      </c>
      <c r="M2528">
        <v>70</v>
      </c>
    </row>
    <row r="2529" spans="1:13" x14ac:dyDescent="0.25">
      <c r="A2529" t="s">
        <v>344</v>
      </c>
      <c r="B2529" t="s">
        <v>495</v>
      </c>
      <c r="C2529" t="s">
        <v>501</v>
      </c>
      <c r="D2529" t="s">
        <v>493</v>
      </c>
      <c r="E2529">
        <v>2</v>
      </c>
      <c r="F2529">
        <v>6</v>
      </c>
      <c r="G2529">
        <v>240</v>
      </c>
      <c r="H2529">
        <v>12</v>
      </c>
      <c r="I2529">
        <v>10.7</v>
      </c>
      <c r="J2529">
        <v>13</v>
      </c>
      <c r="K2529">
        <v>14.6</v>
      </c>
      <c r="L2529">
        <v>13.1</v>
      </c>
      <c r="M2529">
        <v>70</v>
      </c>
    </row>
    <row r="2530" spans="1:13" x14ac:dyDescent="0.25">
      <c r="A2530" t="s">
        <v>344</v>
      </c>
      <c r="B2530" t="s">
        <v>495</v>
      </c>
      <c r="C2530" t="s">
        <v>501</v>
      </c>
      <c r="D2530" t="s">
        <v>493</v>
      </c>
      <c r="E2530">
        <v>2</v>
      </c>
      <c r="F2530">
        <v>6</v>
      </c>
      <c r="G2530">
        <v>260</v>
      </c>
      <c r="H2530">
        <v>12</v>
      </c>
      <c r="I2530">
        <v>10.7</v>
      </c>
      <c r="J2530">
        <v>13</v>
      </c>
      <c r="K2530">
        <v>14.6</v>
      </c>
      <c r="L2530">
        <v>13.1</v>
      </c>
      <c r="M2530">
        <v>70</v>
      </c>
    </row>
    <row r="2531" spans="1:13" x14ac:dyDescent="0.25">
      <c r="A2531" t="s">
        <v>344</v>
      </c>
      <c r="B2531" t="s">
        <v>495</v>
      </c>
      <c r="C2531" t="s">
        <v>501</v>
      </c>
      <c r="D2531" t="s">
        <v>493</v>
      </c>
      <c r="E2531">
        <v>2</v>
      </c>
      <c r="F2531">
        <v>6</v>
      </c>
      <c r="G2531">
        <v>280</v>
      </c>
      <c r="H2531">
        <v>12</v>
      </c>
      <c r="I2531">
        <v>10.7</v>
      </c>
      <c r="J2531">
        <v>13</v>
      </c>
      <c r="K2531">
        <v>14.6</v>
      </c>
      <c r="L2531">
        <v>13.1</v>
      </c>
      <c r="M2531">
        <v>70</v>
      </c>
    </row>
    <row r="2532" spans="1:13" x14ac:dyDescent="0.25">
      <c r="A2532" t="s">
        <v>344</v>
      </c>
      <c r="B2532" t="s">
        <v>495</v>
      </c>
      <c r="C2532" t="s">
        <v>501</v>
      </c>
      <c r="D2532" t="s">
        <v>493</v>
      </c>
      <c r="E2532">
        <v>2</v>
      </c>
      <c r="F2532">
        <v>6</v>
      </c>
      <c r="G2532">
        <v>300</v>
      </c>
      <c r="H2532">
        <v>12</v>
      </c>
      <c r="I2532">
        <v>10.7</v>
      </c>
      <c r="J2532">
        <v>13</v>
      </c>
      <c r="K2532">
        <v>14.6</v>
      </c>
      <c r="L2532">
        <v>13.1</v>
      </c>
      <c r="M2532">
        <v>70</v>
      </c>
    </row>
    <row r="2533" spans="1:13" x14ac:dyDescent="0.25">
      <c r="A2533" t="s">
        <v>344</v>
      </c>
      <c r="B2533" t="s">
        <v>495</v>
      </c>
      <c r="C2533" t="s">
        <v>501</v>
      </c>
      <c r="D2533" t="s">
        <v>493</v>
      </c>
      <c r="E2533">
        <v>2</v>
      </c>
      <c r="F2533">
        <v>8</v>
      </c>
      <c r="G2533">
        <v>80</v>
      </c>
      <c r="H2533">
        <v>15</v>
      </c>
      <c r="I2533">
        <v>22.6</v>
      </c>
      <c r="J2533">
        <v>10.9</v>
      </c>
      <c r="K2533">
        <v>12.4</v>
      </c>
      <c r="L2533">
        <v>23.3</v>
      </c>
      <c r="M2533">
        <v>50</v>
      </c>
    </row>
    <row r="2534" spans="1:13" x14ac:dyDescent="0.25">
      <c r="A2534" t="s">
        <v>344</v>
      </c>
      <c r="B2534" t="s">
        <v>495</v>
      </c>
      <c r="C2534" t="s">
        <v>501</v>
      </c>
      <c r="D2534" t="s">
        <v>493</v>
      </c>
      <c r="E2534">
        <v>2</v>
      </c>
      <c r="F2534">
        <v>8</v>
      </c>
      <c r="G2534">
        <v>90</v>
      </c>
      <c r="H2534">
        <v>15</v>
      </c>
      <c r="I2534">
        <v>22.6</v>
      </c>
      <c r="J2534">
        <v>10.9</v>
      </c>
      <c r="K2534">
        <v>12.4</v>
      </c>
      <c r="L2534">
        <v>23.3</v>
      </c>
      <c r="M2534">
        <v>50</v>
      </c>
    </row>
    <row r="2535" spans="1:13" x14ac:dyDescent="0.25">
      <c r="A2535" t="s">
        <v>344</v>
      </c>
      <c r="B2535" t="s">
        <v>495</v>
      </c>
      <c r="C2535" t="s">
        <v>501</v>
      </c>
      <c r="D2535" t="s">
        <v>493</v>
      </c>
      <c r="E2535">
        <v>2</v>
      </c>
      <c r="F2535">
        <v>8</v>
      </c>
      <c r="G2535">
        <v>100</v>
      </c>
      <c r="H2535">
        <v>15</v>
      </c>
      <c r="I2535">
        <v>22.6</v>
      </c>
      <c r="J2535">
        <v>10.9</v>
      </c>
      <c r="K2535">
        <v>12.4</v>
      </c>
      <c r="L2535">
        <v>23.3</v>
      </c>
      <c r="M2535">
        <v>60</v>
      </c>
    </row>
    <row r="2536" spans="1:13" x14ac:dyDescent="0.25">
      <c r="A2536" t="s">
        <v>344</v>
      </c>
      <c r="B2536" t="s">
        <v>495</v>
      </c>
      <c r="C2536" t="s">
        <v>501</v>
      </c>
      <c r="D2536" t="s">
        <v>493</v>
      </c>
      <c r="E2536">
        <v>2</v>
      </c>
      <c r="F2536">
        <v>8</v>
      </c>
      <c r="G2536">
        <v>120</v>
      </c>
      <c r="H2536">
        <v>15</v>
      </c>
      <c r="I2536">
        <v>22.6</v>
      </c>
      <c r="J2536">
        <v>10.9</v>
      </c>
      <c r="K2536">
        <v>12.4</v>
      </c>
      <c r="L2536">
        <v>23.3</v>
      </c>
      <c r="M2536">
        <v>80</v>
      </c>
    </row>
    <row r="2537" spans="1:13" x14ac:dyDescent="0.25">
      <c r="A2537" t="s">
        <v>344</v>
      </c>
      <c r="B2537" t="s">
        <v>495</v>
      </c>
      <c r="C2537" t="s">
        <v>501</v>
      </c>
      <c r="D2537" t="s">
        <v>493</v>
      </c>
      <c r="E2537">
        <v>2</v>
      </c>
      <c r="F2537">
        <v>8</v>
      </c>
      <c r="G2537">
        <v>140</v>
      </c>
      <c r="H2537">
        <v>15</v>
      </c>
      <c r="I2537">
        <v>22.6</v>
      </c>
      <c r="J2537">
        <v>10.9</v>
      </c>
      <c r="K2537">
        <v>12.4</v>
      </c>
      <c r="L2537">
        <v>23.3</v>
      </c>
      <c r="M2537">
        <v>80</v>
      </c>
    </row>
    <row r="2538" spans="1:13" x14ac:dyDescent="0.25">
      <c r="A2538" t="s">
        <v>344</v>
      </c>
      <c r="B2538" t="s">
        <v>495</v>
      </c>
      <c r="C2538" t="s">
        <v>501</v>
      </c>
      <c r="D2538" t="s">
        <v>493</v>
      </c>
      <c r="E2538">
        <v>2</v>
      </c>
      <c r="F2538">
        <v>8</v>
      </c>
      <c r="G2538">
        <v>160</v>
      </c>
      <c r="H2538">
        <v>15</v>
      </c>
      <c r="I2538">
        <v>22.6</v>
      </c>
      <c r="J2538">
        <v>10.9</v>
      </c>
      <c r="K2538">
        <v>12.4</v>
      </c>
      <c r="L2538">
        <v>23.3</v>
      </c>
      <c r="M2538">
        <v>80</v>
      </c>
    </row>
    <row r="2539" spans="1:13" x14ac:dyDescent="0.25">
      <c r="A2539" t="s">
        <v>344</v>
      </c>
      <c r="B2539" t="s">
        <v>495</v>
      </c>
      <c r="C2539" t="s">
        <v>501</v>
      </c>
      <c r="D2539" t="s">
        <v>493</v>
      </c>
      <c r="E2539">
        <v>2</v>
      </c>
      <c r="F2539">
        <v>8</v>
      </c>
      <c r="G2539">
        <v>180</v>
      </c>
      <c r="H2539">
        <v>15</v>
      </c>
      <c r="I2539">
        <v>22.6</v>
      </c>
      <c r="J2539">
        <v>10.9</v>
      </c>
      <c r="K2539">
        <v>12.4</v>
      </c>
      <c r="L2539">
        <v>23.3</v>
      </c>
      <c r="M2539">
        <v>100</v>
      </c>
    </row>
    <row r="2540" spans="1:13" x14ac:dyDescent="0.25">
      <c r="A2540" t="s">
        <v>344</v>
      </c>
      <c r="B2540" t="s">
        <v>495</v>
      </c>
      <c r="C2540" t="s">
        <v>501</v>
      </c>
      <c r="D2540" t="s">
        <v>493</v>
      </c>
      <c r="E2540">
        <v>2</v>
      </c>
      <c r="F2540">
        <v>8</v>
      </c>
      <c r="G2540">
        <v>200</v>
      </c>
      <c r="H2540">
        <v>15</v>
      </c>
      <c r="I2540">
        <v>22.6</v>
      </c>
      <c r="J2540">
        <v>10.9</v>
      </c>
      <c r="K2540">
        <v>12.4</v>
      </c>
      <c r="L2540">
        <v>23.3</v>
      </c>
      <c r="M2540">
        <v>100</v>
      </c>
    </row>
    <row r="2541" spans="1:13" x14ac:dyDescent="0.25">
      <c r="A2541" t="s">
        <v>344</v>
      </c>
      <c r="B2541" t="s">
        <v>495</v>
      </c>
      <c r="C2541" t="s">
        <v>501</v>
      </c>
      <c r="D2541" t="s">
        <v>493</v>
      </c>
      <c r="E2541">
        <v>2</v>
      </c>
      <c r="F2541">
        <v>8</v>
      </c>
      <c r="G2541">
        <v>220</v>
      </c>
      <c r="H2541">
        <v>15</v>
      </c>
      <c r="I2541">
        <v>22.6</v>
      </c>
      <c r="J2541">
        <v>10.9</v>
      </c>
      <c r="K2541">
        <v>12.4</v>
      </c>
      <c r="L2541">
        <v>23.3</v>
      </c>
      <c r="M2541">
        <v>100</v>
      </c>
    </row>
    <row r="2542" spans="1:13" x14ac:dyDescent="0.25">
      <c r="A2542" t="s">
        <v>344</v>
      </c>
      <c r="B2542" t="s">
        <v>495</v>
      </c>
      <c r="C2542" t="s">
        <v>501</v>
      </c>
      <c r="D2542" t="s">
        <v>493</v>
      </c>
      <c r="E2542">
        <v>2</v>
      </c>
      <c r="F2542">
        <v>8</v>
      </c>
      <c r="G2542">
        <v>240</v>
      </c>
      <c r="H2542">
        <v>15</v>
      </c>
      <c r="I2542">
        <v>22.6</v>
      </c>
      <c r="J2542">
        <v>10.9</v>
      </c>
      <c r="K2542">
        <v>12.4</v>
      </c>
      <c r="L2542">
        <v>23.3</v>
      </c>
      <c r="M2542">
        <v>100</v>
      </c>
    </row>
    <row r="2543" spans="1:13" x14ac:dyDescent="0.25">
      <c r="A2543" t="s">
        <v>344</v>
      </c>
      <c r="B2543" t="s">
        <v>495</v>
      </c>
      <c r="C2543" t="s">
        <v>501</v>
      </c>
      <c r="D2543" t="s">
        <v>493</v>
      </c>
      <c r="E2543">
        <v>2</v>
      </c>
      <c r="F2543">
        <v>8</v>
      </c>
      <c r="G2543">
        <v>260</v>
      </c>
      <c r="H2543">
        <v>15</v>
      </c>
      <c r="I2543">
        <v>22.6</v>
      </c>
      <c r="J2543">
        <v>10.9</v>
      </c>
      <c r="K2543">
        <v>12.4</v>
      </c>
      <c r="L2543">
        <v>23.3</v>
      </c>
      <c r="M2543">
        <v>100</v>
      </c>
    </row>
    <row r="2544" spans="1:13" x14ac:dyDescent="0.25">
      <c r="A2544" t="s">
        <v>344</v>
      </c>
      <c r="B2544" t="s">
        <v>495</v>
      </c>
      <c r="C2544" t="s">
        <v>501</v>
      </c>
      <c r="D2544" t="s">
        <v>493</v>
      </c>
      <c r="E2544">
        <v>2</v>
      </c>
      <c r="F2544">
        <v>8</v>
      </c>
      <c r="G2544">
        <v>280</v>
      </c>
      <c r="H2544">
        <v>15</v>
      </c>
      <c r="I2544">
        <v>22.6</v>
      </c>
      <c r="J2544">
        <v>10.9</v>
      </c>
      <c r="K2544">
        <v>12.4</v>
      </c>
      <c r="L2544">
        <v>23.3</v>
      </c>
      <c r="M2544">
        <v>100</v>
      </c>
    </row>
    <row r="2545" spans="1:13" x14ac:dyDescent="0.25">
      <c r="A2545" t="s">
        <v>344</v>
      </c>
      <c r="B2545" t="s">
        <v>495</v>
      </c>
      <c r="C2545" t="s">
        <v>501</v>
      </c>
      <c r="D2545" t="s">
        <v>493</v>
      </c>
      <c r="E2545">
        <v>2</v>
      </c>
      <c r="F2545">
        <v>8</v>
      </c>
      <c r="G2545">
        <v>300</v>
      </c>
      <c r="H2545">
        <v>15</v>
      </c>
      <c r="I2545">
        <v>22.6</v>
      </c>
      <c r="J2545">
        <v>10.9</v>
      </c>
      <c r="K2545">
        <v>12.4</v>
      </c>
      <c r="L2545">
        <v>23.3</v>
      </c>
      <c r="M2545">
        <v>100</v>
      </c>
    </row>
    <row r="2546" spans="1:13" x14ac:dyDescent="0.25">
      <c r="A2546" t="s">
        <v>344</v>
      </c>
      <c r="B2546" t="s">
        <v>495</v>
      </c>
      <c r="C2546" t="s">
        <v>501</v>
      </c>
      <c r="D2546" t="s">
        <v>493</v>
      </c>
      <c r="E2546">
        <v>2</v>
      </c>
      <c r="F2546">
        <v>8</v>
      </c>
      <c r="G2546">
        <v>320</v>
      </c>
      <c r="H2546">
        <v>15</v>
      </c>
      <c r="I2546">
        <v>22.6</v>
      </c>
      <c r="J2546">
        <v>10.9</v>
      </c>
      <c r="K2546">
        <v>12.4</v>
      </c>
      <c r="L2546">
        <v>23.3</v>
      </c>
      <c r="M2546">
        <v>100</v>
      </c>
    </row>
    <row r="2547" spans="1:13" x14ac:dyDescent="0.25">
      <c r="A2547" t="s">
        <v>344</v>
      </c>
      <c r="B2547" t="s">
        <v>495</v>
      </c>
      <c r="C2547" t="s">
        <v>501</v>
      </c>
      <c r="D2547" t="s">
        <v>493</v>
      </c>
      <c r="E2547">
        <v>2</v>
      </c>
      <c r="F2547">
        <v>8</v>
      </c>
      <c r="G2547">
        <v>340</v>
      </c>
      <c r="H2547">
        <v>15</v>
      </c>
      <c r="I2547">
        <v>22.6</v>
      </c>
      <c r="J2547">
        <v>10.9</v>
      </c>
      <c r="K2547">
        <v>12.4</v>
      </c>
      <c r="L2547">
        <v>23.3</v>
      </c>
      <c r="M2547">
        <v>100</v>
      </c>
    </row>
    <row r="2548" spans="1:13" x14ac:dyDescent="0.25">
      <c r="A2548" t="s">
        <v>344</v>
      </c>
      <c r="B2548" t="s">
        <v>495</v>
      </c>
      <c r="C2548" t="s">
        <v>501</v>
      </c>
      <c r="D2548" t="s">
        <v>493</v>
      </c>
      <c r="E2548">
        <v>2</v>
      </c>
      <c r="F2548">
        <v>8</v>
      </c>
      <c r="G2548">
        <v>360</v>
      </c>
      <c r="H2548">
        <v>15</v>
      </c>
      <c r="I2548">
        <v>22.6</v>
      </c>
      <c r="J2548">
        <v>10.9</v>
      </c>
      <c r="K2548">
        <v>12.4</v>
      </c>
      <c r="L2548">
        <v>23.3</v>
      </c>
      <c r="M2548">
        <v>100</v>
      </c>
    </row>
    <row r="2549" spans="1:13" x14ac:dyDescent="0.25">
      <c r="A2549" t="s">
        <v>344</v>
      </c>
      <c r="B2549" t="s">
        <v>495</v>
      </c>
      <c r="C2549" t="s">
        <v>501</v>
      </c>
      <c r="D2549" t="s">
        <v>493</v>
      </c>
      <c r="E2549">
        <v>2</v>
      </c>
      <c r="F2549">
        <v>8</v>
      </c>
      <c r="G2549">
        <v>380</v>
      </c>
      <c r="H2549">
        <v>15</v>
      </c>
      <c r="I2549">
        <v>22.6</v>
      </c>
      <c r="J2549">
        <v>10.9</v>
      </c>
      <c r="K2549">
        <v>12.4</v>
      </c>
      <c r="L2549">
        <v>23.3</v>
      </c>
      <c r="M2549">
        <v>100</v>
      </c>
    </row>
    <row r="2550" spans="1:13" x14ac:dyDescent="0.25">
      <c r="A2550" t="s">
        <v>344</v>
      </c>
      <c r="B2550" t="s">
        <v>495</v>
      </c>
      <c r="C2550" t="s">
        <v>501</v>
      </c>
      <c r="D2550" t="s">
        <v>493</v>
      </c>
      <c r="E2550">
        <v>2</v>
      </c>
      <c r="F2550">
        <v>8</v>
      </c>
      <c r="G2550">
        <v>400</v>
      </c>
      <c r="H2550">
        <v>15</v>
      </c>
      <c r="I2550">
        <v>22.6</v>
      </c>
      <c r="J2550">
        <v>10.9</v>
      </c>
      <c r="K2550">
        <v>12.4</v>
      </c>
      <c r="L2550">
        <v>23.3</v>
      </c>
      <c r="M2550">
        <v>100</v>
      </c>
    </row>
    <row r="2551" spans="1:13" x14ac:dyDescent="0.25">
      <c r="A2551" t="s">
        <v>344</v>
      </c>
      <c r="B2551" t="s">
        <v>495</v>
      </c>
      <c r="C2551" t="s">
        <v>501</v>
      </c>
      <c r="D2551" t="s">
        <v>493</v>
      </c>
      <c r="E2551">
        <v>2</v>
      </c>
      <c r="F2551">
        <v>8</v>
      </c>
      <c r="G2551">
        <v>420</v>
      </c>
      <c r="H2551">
        <v>15</v>
      </c>
      <c r="I2551">
        <v>22.6</v>
      </c>
      <c r="J2551">
        <v>10.9</v>
      </c>
      <c r="K2551">
        <v>12.4</v>
      </c>
      <c r="L2551">
        <v>23.3</v>
      </c>
      <c r="M2551">
        <v>100</v>
      </c>
    </row>
    <row r="2552" spans="1:13" x14ac:dyDescent="0.25">
      <c r="A2552" t="s">
        <v>344</v>
      </c>
      <c r="B2552" t="s">
        <v>495</v>
      </c>
      <c r="C2552" t="s">
        <v>501</v>
      </c>
      <c r="D2552" t="s">
        <v>493</v>
      </c>
      <c r="E2552">
        <v>2</v>
      </c>
      <c r="F2552">
        <v>8</v>
      </c>
      <c r="G2552">
        <v>440</v>
      </c>
      <c r="H2552">
        <v>15</v>
      </c>
      <c r="I2552">
        <v>22.6</v>
      </c>
      <c r="J2552">
        <v>10.9</v>
      </c>
      <c r="K2552">
        <v>12.4</v>
      </c>
      <c r="L2552">
        <v>23.3</v>
      </c>
      <c r="M2552">
        <v>100</v>
      </c>
    </row>
    <row r="2553" spans="1:13" x14ac:dyDescent="0.25">
      <c r="A2553" t="s">
        <v>344</v>
      </c>
      <c r="B2553" t="s">
        <v>495</v>
      </c>
      <c r="C2553" t="s">
        <v>501</v>
      </c>
      <c r="D2553" t="s">
        <v>493</v>
      </c>
      <c r="E2553">
        <v>2</v>
      </c>
      <c r="F2553">
        <v>8</v>
      </c>
      <c r="G2553">
        <v>460</v>
      </c>
      <c r="H2553">
        <v>15</v>
      </c>
      <c r="I2553">
        <v>22.6</v>
      </c>
      <c r="J2553">
        <v>10.9</v>
      </c>
      <c r="K2553">
        <v>12.4</v>
      </c>
      <c r="L2553">
        <v>23.3</v>
      </c>
      <c r="M2553">
        <v>100</v>
      </c>
    </row>
    <row r="2554" spans="1:13" x14ac:dyDescent="0.25">
      <c r="A2554" t="s">
        <v>344</v>
      </c>
      <c r="B2554" t="s">
        <v>495</v>
      </c>
      <c r="C2554" t="s">
        <v>501</v>
      </c>
      <c r="D2554" t="s">
        <v>493</v>
      </c>
      <c r="E2554">
        <v>2</v>
      </c>
      <c r="F2554">
        <v>8</v>
      </c>
      <c r="G2554">
        <v>480</v>
      </c>
      <c r="H2554">
        <v>15</v>
      </c>
      <c r="I2554">
        <v>22.6</v>
      </c>
      <c r="J2554">
        <v>10.9</v>
      </c>
      <c r="K2554">
        <v>12.4</v>
      </c>
      <c r="L2554">
        <v>23.3</v>
      </c>
      <c r="M2554">
        <v>100</v>
      </c>
    </row>
    <row r="2555" spans="1:13" x14ac:dyDescent="0.25">
      <c r="A2555" t="s">
        <v>344</v>
      </c>
      <c r="B2555" t="s">
        <v>495</v>
      </c>
      <c r="C2555" t="s">
        <v>501</v>
      </c>
      <c r="D2555" t="s">
        <v>493</v>
      </c>
      <c r="E2555">
        <v>2</v>
      </c>
      <c r="F2555">
        <v>8</v>
      </c>
      <c r="G2555">
        <v>500</v>
      </c>
      <c r="H2555">
        <v>15</v>
      </c>
      <c r="I2555">
        <v>22.6</v>
      </c>
      <c r="J2555">
        <v>10.9</v>
      </c>
      <c r="K2555">
        <v>12.4</v>
      </c>
      <c r="L2555">
        <v>23.3</v>
      </c>
      <c r="M2555">
        <v>100</v>
      </c>
    </row>
    <row r="2556" spans="1:13" x14ac:dyDescent="0.25">
      <c r="A2556" t="s">
        <v>344</v>
      </c>
      <c r="B2556" t="s">
        <v>495</v>
      </c>
      <c r="C2556" t="s">
        <v>501</v>
      </c>
      <c r="D2556" t="s">
        <v>493</v>
      </c>
      <c r="E2556">
        <v>2</v>
      </c>
      <c r="F2556">
        <v>10</v>
      </c>
      <c r="G2556">
        <v>80</v>
      </c>
      <c r="H2556">
        <v>18.5</v>
      </c>
      <c r="I2556">
        <v>33.6</v>
      </c>
      <c r="J2556">
        <v>11</v>
      </c>
      <c r="K2556">
        <v>12.2</v>
      </c>
      <c r="L2556">
        <v>35</v>
      </c>
      <c r="M2556">
        <v>50</v>
      </c>
    </row>
    <row r="2557" spans="1:13" x14ac:dyDescent="0.25">
      <c r="A2557" t="s">
        <v>344</v>
      </c>
      <c r="B2557" t="s">
        <v>495</v>
      </c>
      <c r="C2557" t="s">
        <v>501</v>
      </c>
      <c r="D2557" t="s">
        <v>493</v>
      </c>
      <c r="E2557">
        <v>2</v>
      </c>
      <c r="F2557">
        <v>10</v>
      </c>
      <c r="G2557">
        <v>100</v>
      </c>
      <c r="H2557">
        <v>18.5</v>
      </c>
      <c r="I2557">
        <v>33.6</v>
      </c>
      <c r="J2557">
        <v>11</v>
      </c>
      <c r="K2557">
        <v>12.2</v>
      </c>
      <c r="L2557">
        <v>35</v>
      </c>
      <c r="M2557">
        <v>60</v>
      </c>
    </row>
    <row r="2558" spans="1:13" x14ac:dyDescent="0.25">
      <c r="A2558" t="s">
        <v>344</v>
      </c>
      <c r="B2558" t="s">
        <v>495</v>
      </c>
      <c r="C2558" t="s">
        <v>501</v>
      </c>
      <c r="D2558" t="s">
        <v>493</v>
      </c>
      <c r="E2558">
        <v>2</v>
      </c>
      <c r="F2558">
        <v>10</v>
      </c>
      <c r="G2558">
        <v>120</v>
      </c>
      <c r="H2558">
        <v>18.5</v>
      </c>
      <c r="I2558">
        <v>33.6</v>
      </c>
      <c r="J2558">
        <v>11</v>
      </c>
      <c r="K2558">
        <v>12.2</v>
      </c>
      <c r="L2558">
        <v>35</v>
      </c>
      <c r="M2558">
        <v>80</v>
      </c>
    </row>
    <row r="2559" spans="1:13" x14ac:dyDescent="0.25">
      <c r="A2559" t="s">
        <v>344</v>
      </c>
      <c r="B2559" t="s">
        <v>495</v>
      </c>
      <c r="C2559" t="s">
        <v>501</v>
      </c>
      <c r="D2559" t="s">
        <v>493</v>
      </c>
      <c r="E2559">
        <v>2</v>
      </c>
      <c r="F2559">
        <v>10</v>
      </c>
      <c r="G2559">
        <v>140</v>
      </c>
      <c r="H2559">
        <v>18.5</v>
      </c>
      <c r="I2559">
        <v>33.6</v>
      </c>
      <c r="J2559">
        <v>11</v>
      </c>
      <c r="K2559">
        <v>12.2</v>
      </c>
      <c r="L2559">
        <v>35</v>
      </c>
      <c r="M2559">
        <v>80</v>
      </c>
    </row>
    <row r="2560" spans="1:13" x14ac:dyDescent="0.25">
      <c r="A2560" t="s">
        <v>344</v>
      </c>
      <c r="B2560" t="s">
        <v>495</v>
      </c>
      <c r="C2560" t="s">
        <v>501</v>
      </c>
      <c r="D2560" t="s">
        <v>493</v>
      </c>
      <c r="E2560">
        <v>2</v>
      </c>
      <c r="F2560">
        <v>10</v>
      </c>
      <c r="G2560">
        <v>160</v>
      </c>
      <c r="H2560">
        <v>18.5</v>
      </c>
      <c r="I2560">
        <v>33.6</v>
      </c>
      <c r="J2560">
        <v>11</v>
      </c>
      <c r="K2560">
        <v>12.2</v>
      </c>
      <c r="L2560">
        <v>35</v>
      </c>
      <c r="M2560">
        <v>80</v>
      </c>
    </row>
    <row r="2561" spans="1:13" x14ac:dyDescent="0.25">
      <c r="A2561" t="s">
        <v>344</v>
      </c>
      <c r="B2561" t="s">
        <v>495</v>
      </c>
      <c r="C2561" t="s">
        <v>501</v>
      </c>
      <c r="D2561" t="s">
        <v>493</v>
      </c>
      <c r="E2561">
        <v>2</v>
      </c>
      <c r="F2561">
        <v>10</v>
      </c>
      <c r="G2561">
        <v>180</v>
      </c>
      <c r="H2561">
        <v>18.5</v>
      </c>
      <c r="I2561">
        <v>33.6</v>
      </c>
      <c r="J2561">
        <v>11</v>
      </c>
      <c r="K2561">
        <v>12.2</v>
      </c>
      <c r="L2561">
        <v>35</v>
      </c>
      <c r="M2561">
        <v>100</v>
      </c>
    </row>
    <row r="2562" spans="1:13" x14ac:dyDescent="0.25">
      <c r="A2562" t="s">
        <v>344</v>
      </c>
      <c r="B2562" t="s">
        <v>495</v>
      </c>
      <c r="C2562" t="s">
        <v>501</v>
      </c>
      <c r="D2562" t="s">
        <v>493</v>
      </c>
      <c r="E2562">
        <v>2</v>
      </c>
      <c r="F2562">
        <v>10</v>
      </c>
      <c r="G2562">
        <v>200</v>
      </c>
      <c r="H2562">
        <v>18.5</v>
      </c>
      <c r="I2562">
        <v>33.6</v>
      </c>
      <c r="J2562">
        <v>11</v>
      </c>
      <c r="K2562">
        <v>12.2</v>
      </c>
      <c r="L2562">
        <v>35</v>
      </c>
      <c r="M2562">
        <v>100</v>
      </c>
    </row>
    <row r="2563" spans="1:13" x14ac:dyDescent="0.25">
      <c r="A2563" t="s">
        <v>344</v>
      </c>
      <c r="B2563" t="s">
        <v>495</v>
      </c>
      <c r="C2563" t="s">
        <v>501</v>
      </c>
      <c r="D2563" t="s">
        <v>493</v>
      </c>
      <c r="E2563">
        <v>2</v>
      </c>
      <c r="F2563">
        <v>10</v>
      </c>
      <c r="G2563">
        <v>220</v>
      </c>
      <c r="H2563">
        <v>18.5</v>
      </c>
      <c r="I2563">
        <v>33.6</v>
      </c>
      <c r="J2563">
        <v>11</v>
      </c>
      <c r="K2563">
        <v>12.2</v>
      </c>
      <c r="L2563">
        <v>35</v>
      </c>
      <c r="M2563">
        <v>100</v>
      </c>
    </row>
    <row r="2564" spans="1:13" x14ac:dyDescent="0.25">
      <c r="A2564" t="s">
        <v>344</v>
      </c>
      <c r="B2564" t="s">
        <v>495</v>
      </c>
      <c r="C2564" t="s">
        <v>501</v>
      </c>
      <c r="D2564" t="s">
        <v>493</v>
      </c>
      <c r="E2564">
        <v>2</v>
      </c>
      <c r="F2564">
        <v>10</v>
      </c>
      <c r="G2564">
        <v>240</v>
      </c>
      <c r="H2564">
        <v>18.5</v>
      </c>
      <c r="I2564">
        <v>33.6</v>
      </c>
      <c r="J2564">
        <v>11</v>
      </c>
      <c r="K2564">
        <v>12.2</v>
      </c>
      <c r="L2564">
        <v>35</v>
      </c>
      <c r="M2564">
        <v>100</v>
      </c>
    </row>
    <row r="2565" spans="1:13" x14ac:dyDescent="0.25">
      <c r="A2565" t="s">
        <v>344</v>
      </c>
      <c r="B2565" t="s">
        <v>495</v>
      </c>
      <c r="C2565" t="s">
        <v>501</v>
      </c>
      <c r="D2565" t="s">
        <v>493</v>
      </c>
      <c r="E2565">
        <v>2</v>
      </c>
      <c r="F2565">
        <v>10</v>
      </c>
      <c r="G2565">
        <v>260</v>
      </c>
      <c r="H2565">
        <v>18.5</v>
      </c>
      <c r="I2565">
        <v>33.6</v>
      </c>
      <c r="J2565">
        <v>11</v>
      </c>
      <c r="K2565">
        <v>12.2</v>
      </c>
      <c r="L2565">
        <v>35</v>
      </c>
      <c r="M2565">
        <v>100</v>
      </c>
    </row>
    <row r="2566" spans="1:13" x14ac:dyDescent="0.25">
      <c r="A2566" t="s">
        <v>344</v>
      </c>
      <c r="B2566" t="s">
        <v>495</v>
      </c>
      <c r="C2566" t="s">
        <v>501</v>
      </c>
      <c r="D2566" t="s">
        <v>493</v>
      </c>
      <c r="E2566">
        <v>2</v>
      </c>
      <c r="F2566">
        <v>10</v>
      </c>
      <c r="G2566">
        <v>280</v>
      </c>
      <c r="H2566">
        <v>18.5</v>
      </c>
      <c r="I2566">
        <v>33.6</v>
      </c>
      <c r="J2566">
        <v>11</v>
      </c>
      <c r="K2566">
        <v>12.2</v>
      </c>
      <c r="L2566">
        <v>35</v>
      </c>
      <c r="M2566">
        <v>100</v>
      </c>
    </row>
    <row r="2567" spans="1:13" x14ac:dyDescent="0.25">
      <c r="A2567" t="s">
        <v>344</v>
      </c>
      <c r="B2567" t="s">
        <v>495</v>
      </c>
      <c r="C2567" t="s">
        <v>501</v>
      </c>
      <c r="D2567" t="s">
        <v>493</v>
      </c>
      <c r="E2567">
        <v>2</v>
      </c>
      <c r="F2567">
        <v>10</v>
      </c>
      <c r="G2567">
        <v>300</v>
      </c>
      <c r="H2567">
        <v>18.5</v>
      </c>
      <c r="I2567">
        <v>33.6</v>
      </c>
      <c r="J2567">
        <v>11</v>
      </c>
      <c r="K2567">
        <v>12.2</v>
      </c>
      <c r="L2567">
        <v>35</v>
      </c>
      <c r="M2567">
        <v>100</v>
      </c>
    </row>
    <row r="2568" spans="1:13" x14ac:dyDescent="0.25">
      <c r="A2568" t="s">
        <v>344</v>
      </c>
      <c r="B2568" t="s">
        <v>495</v>
      </c>
      <c r="C2568" t="s">
        <v>501</v>
      </c>
      <c r="D2568" t="s">
        <v>493</v>
      </c>
      <c r="E2568">
        <v>2</v>
      </c>
      <c r="F2568">
        <v>10</v>
      </c>
      <c r="G2568">
        <v>320</v>
      </c>
      <c r="H2568">
        <v>18.5</v>
      </c>
      <c r="I2568">
        <v>33.6</v>
      </c>
      <c r="J2568">
        <v>11</v>
      </c>
      <c r="K2568">
        <v>12.2</v>
      </c>
      <c r="L2568">
        <v>35</v>
      </c>
      <c r="M2568">
        <v>100</v>
      </c>
    </row>
    <row r="2569" spans="1:13" x14ac:dyDescent="0.25">
      <c r="A2569" t="s">
        <v>344</v>
      </c>
      <c r="B2569" t="s">
        <v>495</v>
      </c>
      <c r="C2569" t="s">
        <v>501</v>
      </c>
      <c r="D2569" t="s">
        <v>493</v>
      </c>
      <c r="E2569">
        <v>2</v>
      </c>
      <c r="F2569">
        <v>10</v>
      </c>
      <c r="G2569">
        <v>340</v>
      </c>
      <c r="H2569">
        <v>18.5</v>
      </c>
      <c r="I2569">
        <v>33.6</v>
      </c>
      <c r="J2569">
        <v>11</v>
      </c>
      <c r="K2569">
        <v>12.2</v>
      </c>
      <c r="L2569">
        <v>35</v>
      </c>
      <c r="M2569">
        <v>100</v>
      </c>
    </row>
    <row r="2570" spans="1:13" x14ac:dyDescent="0.25">
      <c r="A2570" t="s">
        <v>344</v>
      </c>
      <c r="B2570" t="s">
        <v>495</v>
      </c>
      <c r="C2570" t="s">
        <v>501</v>
      </c>
      <c r="D2570" t="s">
        <v>493</v>
      </c>
      <c r="E2570">
        <v>2</v>
      </c>
      <c r="F2570">
        <v>10</v>
      </c>
      <c r="G2570">
        <v>360</v>
      </c>
      <c r="H2570">
        <v>18.5</v>
      </c>
      <c r="I2570">
        <v>33.6</v>
      </c>
      <c r="J2570">
        <v>11</v>
      </c>
      <c r="K2570">
        <v>12.2</v>
      </c>
      <c r="L2570">
        <v>35</v>
      </c>
      <c r="M2570">
        <v>100</v>
      </c>
    </row>
    <row r="2571" spans="1:13" x14ac:dyDescent="0.25">
      <c r="A2571" t="s">
        <v>344</v>
      </c>
      <c r="B2571" t="s">
        <v>495</v>
      </c>
      <c r="C2571" t="s">
        <v>501</v>
      </c>
      <c r="D2571" t="s">
        <v>493</v>
      </c>
      <c r="E2571">
        <v>2</v>
      </c>
      <c r="F2571">
        <v>10</v>
      </c>
      <c r="G2571">
        <v>380</v>
      </c>
      <c r="H2571">
        <v>18.5</v>
      </c>
      <c r="I2571">
        <v>33.6</v>
      </c>
      <c r="J2571">
        <v>11</v>
      </c>
      <c r="K2571">
        <v>12.2</v>
      </c>
      <c r="L2571">
        <v>35</v>
      </c>
      <c r="M2571">
        <v>100</v>
      </c>
    </row>
    <row r="2572" spans="1:13" x14ac:dyDescent="0.25">
      <c r="A2572" t="s">
        <v>344</v>
      </c>
      <c r="B2572" t="s">
        <v>495</v>
      </c>
      <c r="C2572" t="s">
        <v>501</v>
      </c>
      <c r="D2572" t="s">
        <v>493</v>
      </c>
      <c r="E2572">
        <v>2</v>
      </c>
      <c r="F2572">
        <v>10</v>
      </c>
      <c r="G2572">
        <v>400</v>
      </c>
      <c r="H2572">
        <v>18.5</v>
      </c>
      <c r="I2572">
        <v>33.6</v>
      </c>
      <c r="J2572">
        <v>11</v>
      </c>
      <c r="K2572">
        <v>12.2</v>
      </c>
      <c r="L2572">
        <v>35</v>
      </c>
      <c r="M2572">
        <v>100</v>
      </c>
    </row>
    <row r="2573" spans="1:13" x14ac:dyDescent="0.25">
      <c r="A2573" t="s">
        <v>344</v>
      </c>
      <c r="B2573" t="s">
        <v>495</v>
      </c>
      <c r="C2573" t="s">
        <v>501</v>
      </c>
      <c r="D2573" t="s">
        <v>493</v>
      </c>
      <c r="E2573">
        <v>2</v>
      </c>
      <c r="F2573">
        <v>10</v>
      </c>
      <c r="G2573">
        <v>420</v>
      </c>
      <c r="H2573">
        <v>18.5</v>
      </c>
      <c r="I2573">
        <v>33.6</v>
      </c>
      <c r="J2573">
        <v>11</v>
      </c>
      <c r="K2573">
        <v>12.2</v>
      </c>
      <c r="L2573">
        <v>35</v>
      </c>
      <c r="M2573">
        <v>100</v>
      </c>
    </row>
    <row r="2574" spans="1:13" x14ac:dyDescent="0.25">
      <c r="A2574" t="s">
        <v>344</v>
      </c>
      <c r="B2574" t="s">
        <v>495</v>
      </c>
      <c r="C2574" t="s">
        <v>501</v>
      </c>
      <c r="D2574" t="s">
        <v>493</v>
      </c>
      <c r="E2574">
        <v>2</v>
      </c>
      <c r="F2574">
        <v>10</v>
      </c>
      <c r="G2574">
        <v>440</v>
      </c>
      <c r="H2574">
        <v>18.5</v>
      </c>
      <c r="I2574">
        <v>33.6</v>
      </c>
      <c r="J2574">
        <v>11</v>
      </c>
      <c r="K2574">
        <v>12.2</v>
      </c>
      <c r="L2574">
        <v>35</v>
      </c>
      <c r="M2574">
        <v>100</v>
      </c>
    </row>
    <row r="2575" spans="1:13" x14ac:dyDescent="0.25">
      <c r="A2575" t="s">
        <v>344</v>
      </c>
      <c r="B2575" t="s">
        <v>495</v>
      </c>
      <c r="C2575" t="s">
        <v>501</v>
      </c>
      <c r="D2575" t="s">
        <v>493</v>
      </c>
      <c r="E2575">
        <v>2</v>
      </c>
      <c r="F2575">
        <v>10</v>
      </c>
      <c r="G2575">
        <v>460</v>
      </c>
      <c r="H2575">
        <v>18.5</v>
      </c>
      <c r="I2575">
        <v>33.6</v>
      </c>
      <c r="J2575">
        <v>11</v>
      </c>
      <c r="K2575">
        <v>12.2</v>
      </c>
      <c r="L2575">
        <v>35</v>
      </c>
      <c r="M2575">
        <v>100</v>
      </c>
    </row>
    <row r="2576" spans="1:13" x14ac:dyDescent="0.25">
      <c r="A2576" t="s">
        <v>344</v>
      </c>
      <c r="B2576" t="s">
        <v>495</v>
      </c>
      <c r="C2576" t="s">
        <v>501</v>
      </c>
      <c r="D2576" t="s">
        <v>493</v>
      </c>
      <c r="E2576">
        <v>2</v>
      </c>
      <c r="F2576">
        <v>10</v>
      </c>
      <c r="G2576">
        <v>480</v>
      </c>
      <c r="H2576">
        <v>18.5</v>
      </c>
      <c r="I2576">
        <v>33.6</v>
      </c>
      <c r="J2576">
        <v>11</v>
      </c>
      <c r="K2576">
        <v>12.2</v>
      </c>
      <c r="L2576">
        <v>35</v>
      </c>
      <c r="M2576">
        <v>100</v>
      </c>
    </row>
    <row r="2577" spans="1:13" x14ac:dyDescent="0.25">
      <c r="A2577" t="s">
        <v>344</v>
      </c>
      <c r="B2577" t="s">
        <v>495</v>
      </c>
      <c r="C2577" t="s">
        <v>501</v>
      </c>
      <c r="D2577" t="s">
        <v>493</v>
      </c>
      <c r="E2577">
        <v>2</v>
      </c>
      <c r="F2577">
        <v>10</v>
      </c>
      <c r="G2577">
        <v>500</v>
      </c>
      <c r="H2577">
        <v>18.5</v>
      </c>
      <c r="I2577">
        <v>33.6</v>
      </c>
      <c r="J2577">
        <v>11</v>
      </c>
      <c r="K2577">
        <v>12.2</v>
      </c>
      <c r="L2577">
        <v>35</v>
      </c>
      <c r="M2577">
        <v>100</v>
      </c>
    </row>
    <row r="2578" spans="1:13" x14ac:dyDescent="0.25">
      <c r="A2578" t="s">
        <v>344</v>
      </c>
      <c r="B2578" t="s">
        <v>495</v>
      </c>
      <c r="C2578" t="s">
        <v>501</v>
      </c>
      <c r="D2578" t="s">
        <v>493</v>
      </c>
      <c r="E2578">
        <v>2</v>
      </c>
      <c r="F2578">
        <v>12</v>
      </c>
      <c r="G2578">
        <v>100</v>
      </c>
      <c r="H2578">
        <v>21</v>
      </c>
      <c r="I2578">
        <v>46.9</v>
      </c>
      <c r="J2578">
        <v>11.2</v>
      </c>
      <c r="K2578">
        <v>10.3</v>
      </c>
      <c r="L2578">
        <v>42</v>
      </c>
      <c r="M2578">
        <v>60</v>
      </c>
    </row>
    <row r="2579" spans="1:13" x14ac:dyDescent="0.25">
      <c r="A2579" t="s">
        <v>344</v>
      </c>
      <c r="B2579" t="s">
        <v>495</v>
      </c>
      <c r="C2579" t="s">
        <v>501</v>
      </c>
      <c r="D2579" t="s">
        <v>493</v>
      </c>
      <c r="E2579">
        <v>2</v>
      </c>
      <c r="F2579">
        <v>12</v>
      </c>
      <c r="G2579">
        <v>120</v>
      </c>
      <c r="H2579">
        <v>21</v>
      </c>
      <c r="I2579">
        <v>46.9</v>
      </c>
      <c r="J2579">
        <v>11.2</v>
      </c>
      <c r="K2579">
        <v>10.3</v>
      </c>
      <c r="L2579">
        <v>42</v>
      </c>
      <c r="M2579">
        <v>80</v>
      </c>
    </row>
    <row r="2580" spans="1:13" x14ac:dyDescent="0.25">
      <c r="A2580" t="s">
        <v>344</v>
      </c>
      <c r="B2580" t="s">
        <v>495</v>
      </c>
      <c r="C2580" t="s">
        <v>501</v>
      </c>
      <c r="D2580" t="s">
        <v>493</v>
      </c>
      <c r="E2580">
        <v>2</v>
      </c>
      <c r="F2580">
        <v>12</v>
      </c>
      <c r="G2580">
        <v>140</v>
      </c>
      <c r="H2580">
        <v>21</v>
      </c>
      <c r="I2580">
        <v>46.9</v>
      </c>
      <c r="J2580">
        <v>11.2</v>
      </c>
      <c r="K2580">
        <v>10.3</v>
      </c>
      <c r="L2580">
        <v>42</v>
      </c>
      <c r="M2580">
        <v>80</v>
      </c>
    </row>
    <row r="2581" spans="1:13" x14ac:dyDescent="0.25">
      <c r="A2581" t="s">
        <v>344</v>
      </c>
      <c r="B2581" t="s">
        <v>495</v>
      </c>
      <c r="C2581" t="s">
        <v>501</v>
      </c>
      <c r="D2581" t="s">
        <v>493</v>
      </c>
      <c r="E2581">
        <v>2</v>
      </c>
      <c r="F2581">
        <v>12</v>
      </c>
      <c r="G2581">
        <v>160</v>
      </c>
      <c r="H2581">
        <v>21</v>
      </c>
      <c r="I2581">
        <v>46.9</v>
      </c>
      <c r="J2581">
        <v>11.2</v>
      </c>
      <c r="K2581">
        <v>10.3</v>
      </c>
      <c r="L2581">
        <v>42</v>
      </c>
      <c r="M2581">
        <v>80</v>
      </c>
    </row>
    <row r="2582" spans="1:13" x14ac:dyDescent="0.25">
      <c r="A2582" t="s">
        <v>344</v>
      </c>
      <c r="B2582" t="s">
        <v>495</v>
      </c>
      <c r="C2582" t="s">
        <v>501</v>
      </c>
      <c r="D2582" t="s">
        <v>493</v>
      </c>
      <c r="E2582">
        <v>2</v>
      </c>
      <c r="F2582">
        <v>12</v>
      </c>
      <c r="G2582">
        <v>180</v>
      </c>
      <c r="H2582">
        <v>21</v>
      </c>
      <c r="I2582">
        <v>46.9</v>
      </c>
      <c r="J2582">
        <v>11.2</v>
      </c>
      <c r="K2582">
        <v>10.3</v>
      </c>
      <c r="L2582">
        <v>42</v>
      </c>
      <c r="M2582">
        <v>100</v>
      </c>
    </row>
    <row r="2583" spans="1:13" x14ac:dyDescent="0.25">
      <c r="A2583" t="s">
        <v>344</v>
      </c>
      <c r="B2583" t="s">
        <v>495</v>
      </c>
      <c r="C2583" t="s">
        <v>501</v>
      </c>
      <c r="D2583" t="s">
        <v>493</v>
      </c>
      <c r="E2583">
        <v>2</v>
      </c>
      <c r="F2583">
        <v>12</v>
      </c>
      <c r="G2583">
        <v>200</v>
      </c>
      <c r="H2583">
        <v>21</v>
      </c>
      <c r="I2583">
        <v>46.9</v>
      </c>
      <c r="J2583">
        <v>11.2</v>
      </c>
      <c r="K2583">
        <v>10.3</v>
      </c>
      <c r="L2583">
        <v>42</v>
      </c>
      <c r="M2583">
        <v>100</v>
      </c>
    </row>
    <row r="2584" spans="1:13" x14ac:dyDescent="0.25">
      <c r="A2584" t="s">
        <v>344</v>
      </c>
      <c r="B2584" t="s">
        <v>495</v>
      </c>
      <c r="C2584" t="s">
        <v>501</v>
      </c>
      <c r="D2584" t="s">
        <v>493</v>
      </c>
      <c r="E2584">
        <v>2</v>
      </c>
      <c r="F2584">
        <v>12</v>
      </c>
      <c r="G2584">
        <v>220</v>
      </c>
      <c r="H2584">
        <v>21</v>
      </c>
      <c r="I2584">
        <v>46.9</v>
      </c>
      <c r="J2584">
        <v>11.2</v>
      </c>
      <c r="K2584">
        <v>10.3</v>
      </c>
      <c r="L2584">
        <v>42</v>
      </c>
      <c r="M2584">
        <v>100</v>
      </c>
    </row>
    <row r="2585" spans="1:13" x14ac:dyDescent="0.25">
      <c r="A2585" t="s">
        <v>344</v>
      </c>
      <c r="B2585" t="s">
        <v>495</v>
      </c>
      <c r="C2585" t="s">
        <v>501</v>
      </c>
      <c r="D2585" t="s">
        <v>493</v>
      </c>
      <c r="E2585">
        <v>2</v>
      </c>
      <c r="F2585">
        <v>12</v>
      </c>
      <c r="G2585">
        <v>240</v>
      </c>
      <c r="H2585">
        <v>21</v>
      </c>
      <c r="I2585">
        <v>46.9</v>
      </c>
      <c r="J2585">
        <v>11.2</v>
      </c>
      <c r="K2585">
        <v>10.3</v>
      </c>
      <c r="L2585">
        <v>42</v>
      </c>
      <c r="M2585">
        <v>100</v>
      </c>
    </row>
    <row r="2586" spans="1:13" x14ac:dyDescent="0.25">
      <c r="A2586" t="s">
        <v>344</v>
      </c>
      <c r="B2586" t="s">
        <v>495</v>
      </c>
      <c r="C2586" t="s">
        <v>501</v>
      </c>
      <c r="D2586" t="s">
        <v>493</v>
      </c>
      <c r="E2586">
        <v>2</v>
      </c>
      <c r="F2586">
        <v>12</v>
      </c>
      <c r="G2586">
        <v>260</v>
      </c>
      <c r="H2586">
        <v>21</v>
      </c>
      <c r="I2586">
        <v>46.9</v>
      </c>
      <c r="J2586">
        <v>11.2</v>
      </c>
      <c r="K2586">
        <v>10.3</v>
      </c>
      <c r="L2586">
        <v>42</v>
      </c>
      <c r="M2586">
        <v>100</v>
      </c>
    </row>
    <row r="2587" spans="1:13" x14ac:dyDescent="0.25">
      <c r="A2587" t="s">
        <v>344</v>
      </c>
      <c r="B2587" t="s">
        <v>495</v>
      </c>
      <c r="C2587" t="s">
        <v>501</v>
      </c>
      <c r="D2587" t="s">
        <v>493</v>
      </c>
      <c r="E2587">
        <v>2</v>
      </c>
      <c r="F2587">
        <v>12</v>
      </c>
      <c r="G2587">
        <v>280</v>
      </c>
      <c r="H2587">
        <v>21</v>
      </c>
      <c r="I2587">
        <v>46.9</v>
      </c>
      <c r="J2587">
        <v>11.2</v>
      </c>
      <c r="K2587">
        <v>10.3</v>
      </c>
      <c r="L2587">
        <v>42</v>
      </c>
      <c r="M2587">
        <v>100</v>
      </c>
    </row>
    <row r="2588" spans="1:13" x14ac:dyDescent="0.25">
      <c r="A2588" t="s">
        <v>344</v>
      </c>
      <c r="B2588" t="s">
        <v>495</v>
      </c>
      <c r="C2588" t="s">
        <v>501</v>
      </c>
      <c r="D2588" t="s">
        <v>493</v>
      </c>
      <c r="E2588">
        <v>2</v>
      </c>
      <c r="F2588">
        <v>12</v>
      </c>
      <c r="G2588">
        <v>300</v>
      </c>
      <c r="H2588">
        <v>21</v>
      </c>
      <c r="I2588">
        <v>46.9</v>
      </c>
      <c r="J2588">
        <v>11.2</v>
      </c>
      <c r="K2588">
        <v>10.3</v>
      </c>
      <c r="L2588">
        <v>42</v>
      </c>
      <c r="M2588">
        <v>120</v>
      </c>
    </row>
    <row r="2589" spans="1:13" x14ac:dyDescent="0.25">
      <c r="A2589" t="s">
        <v>344</v>
      </c>
      <c r="B2589" t="s">
        <v>495</v>
      </c>
      <c r="C2589" t="s">
        <v>501</v>
      </c>
      <c r="D2589" t="s">
        <v>493</v>
      </c>
      <c r="E2589">
        <v>2</v>
      </c>
      <c r="F2589">
        <v>12</v>
      </c>
      <c r="G2589">
        <v>320</v>
      </c>
      <c r="H2589">
        <v>21</v>
      </c>
      <c r="I2589">
        <v>46.9</v>
      </c>
      <c r="J2589">
        <v>11.2</v>
      </c>
      <c r="K2589">
        <v>10.3</v>
      </c>
      <c r="L2589">
        <v>42</v>
      </c>
      <c r="M2589">
        <v>120</v>
      </c>
    </row>
    <row r="2590" spans="1:13" x14ac:dyDescent="0.25">
      <c r="A2590" t="s">
        <v>344</v>
      </c>
      <c r="B2590" t="s">
        <v>495</v>
      </c>
      <c r="C2590" t="s">
        <v>501</v>
      </c>
      <c r="D2590" t="s">
        <v>493</v>
      </c>
      <c r="E2590">
        <v>2</v>
      </c>
      <c r="F2590">
        <v>12</v>
      </c>
      <c r="G2590">
        <v>340</v>
      </c>
      <c r="H2590">
        <v>21</v>
      </c>
      <c r="I2590">
        <v>46.9</v>
      </c>
      <c r="J2590">
        <v>11.2</v>
      </c>
      <c r="K2590">
        <v>10.3</v>
      </c>
      <c r="L2590">
        <v>42</v>
      </c>
      <c r="M2590">
        <v>120</v>
      </c>
    </row>
    <row r="2591" spans="1:13" x14ac:dyDescent="0.25">
      <c r="A2591" t="s">
        <v>344</v>
      </c>
      <c r="B2591" t="s">
        <v>495</v>
      </c>
      <c r="C2591" t="s">
        <v>501</v>
      </c>
      <c r="D2591" t="s">
        <v>493</v>
      </c>
      <c r="E2591">
        <v>2</v>
      </c>
      <c r="F2591">
        <v>12</v>
      </c>
      <c r="G2591">
        <v>360</v>
      </c>
      <c r="H2591">
        <v>21</v>
      </c>
      <c r="I2591">
        <v>46.9</v>
      </c>
      <c r="J2591">
        <v>11.2</v>
      </c>
      <c r="K2591">
        <v>10.3</v>
      </c>
      <c r="L2591">
        <v>42</v>
      </c>
      <c r="M2591">
        <v>120</v>
      </c>
    </row>
    <row r="2592" spans="1:13" x14ac:dyDescent="0.25">
      <c r="A2592" t="s">
        <v>344</v>
      </c>
      <c r="B2592" t="s">
        <v>495</v>
      </c>
      <c r="C2592" t="s">
        <v>501</v>
      </c>
      <c r="D2592" t="s">
        <v>493</v>
      </c>
      <c r="E2592">
        <v>2</v>
      </c>
      <c r="F2592">
        <v>12</v>
      </c>
      <c r="G2592">
        <v>380</v>
      </c>
      <c r="H2592">
        <v>21</v>
      </c>
      <c r="I2592">
        <v>46.9</v>
      </c>
      <c r="J2592">
        <v>11.2</v>
      </c>
      <c r="K2592">
        <v>10.3</v>
      </c>
      <c r="L2592">
        <v>42</v>
      </c>
      <c r="M2592">
        <v>120</v>
      </c>
    </row>
    <row r="2593" spans="1:13" x14ac:dyDescent="0.25">
      <c r="A2593" t="s">
        <v>344</v>
      </c>
      <c r="B2593" t="s">
        <v>495</v>
      </c>
      <c r="C2593" t="s">
        <v>501</v>
      </c>
      <c r="D2593" t="s">
        <v>493</v>
      </c>
      <c r="E2593">
        <v>2</v>
      </c>
      <c r="F2593">
        <v>12</v>
      </c>
      <c r="G2593">
        <v>400</v>
      </c>
      <c r="H2593">
        <v>21</v>
      </c>
      <c r="I2593">
        <v>46.9</v>
      </c>
      <c r="J2593">
        <v>11.2</v>
      </c>
      <c r="K2593">
        <v>10.3</v>
      </c>
      <c r="L2593">
        <v>42</v>
      </c>
      <c r="M2593">
        <v>120</v>
      </c>
    </row>
    <row r="2594" spans="1:13" x14ac:dyDescent="0.25">
      <c r="A2594" t="s">
        <v>344</v>
      </c>
      <c r="B2594" t="s">
        <v>495</v>
      </c>
      <c r="C2594" t="s">
        <v>502</v>
      </c>
      <c r="D2594" t="s">
        <v>494</v>
      </c>
      <c r="E2594">
        <v>2</v>
      </c>
      <c r="F2594">
        <v>6</v>
      </c>
      <c r="G2594">
        <v>60</v>
      </c>
      <c r="H2594">
        <v>14</v>
      </c>
      <c r="I2594">
        <v>10.7</v>
      </c>
      <c r="J2594">
        <v>13</v>
      </c>
      <c r="K2594">
        <v>16.7</v>
      </c>
      <c r="L2594">
        <v>13.1</v>
      </c>
      <c r="M2594">
        <v>40</v>
      </c>
    </row>
    <row r="2595" spans="1:13" x14ac:dyDescent="0.25">
      <c r="A2595" t="s">
        <v>344</v>
      </c>
      <c r="B2595" t="s">
        <v>495</v>
      </c>
      <c r="C2595" t="s">
        <v>502</v>
      </c>
      <c r="D2595" t="s">
        <v>494</v>
      </c>
      <c r="E2595">
        <v>2</v>
      </c>
      <c r="F2595">
        <v>6</v>
      </c>
      <c r="G2595">
        <v>80</v>
      </c>
      <c r="H2595">
        <v>14</v>
      </c>
      <c r="I2595">
        <v>10.7</v>
      </c>
      <c r="J2595">
        <v>13</v>
      </c>
      <c r="K2595">
        <v>16.7</v>
      </c>
      <c r="L2595">
        <v>13.1</v>
      </c>
      <c r="M2595">
        <v>50</v>
      </c>
    </row>
    <row r="2596" spans="1:13" x14ac:dyDescent="0.25">
      <c r="A2596" t="s">
        <v>344</v>
      </c>
      <c r="B2596" t="s">
        <v>495</v>
      </c>
      <c r="C2596" t="s">
        <v>502</v>
      </c>
      <c r="D2596" t="s">
        <v>494</v>
      </c>
      <c r="E2596">
        <v>2</v>
      </c>
      <c r="F2596">
        <v>6</v>
      </c>
      <c r="G2596">
        <v>100</v>
      </c>
      <c r="H2596">
        <v>14</v>
      </c>
      <c r="I2596">
        <v>10.7</v>
      </c>
      <c r="J2596">
        <v>13</v>
      </c>
      <c r="K2596">
        <v>16.7</v>
      </c>
      <c r="L2596">
        <v>13.1</v>
      </c>
      <c r="M2596">
        <v>60</v>
      </c>
    </row>
    <row r="2597" spans="1:13" x14ac:dyDescent="0.25">
      <c r="A2597" t="s">
        <v>344</v>
      </c>
      <c r="B2597" t="s">
        <v>495</v>
      </c>
      <c r="C2597" t="s">
        <v>502</v>
      </c>
      <c r="D2597" t="s">
        <v>494</v>
      </c>
      <c r="E2597">
        <v>2</v>
      </c>
      <c r="F2597">
        <v>6</v>
      </c>
      <c r="G2597">
        <v>120</v>
      </c>
      <c r="H2597">
        <v>14</v>
      </c>
      <c r="I2597">
        <v>10.7</v>
      </c>
      <c r="J2597">
        <v>13</v>
      </c>
      <c r="K2597">
        <v>16.7</v>
      </c>
      <c r="L2597">
        <v>13.1</v>
      </c>
      <c r="M2597">
        <v>70</v>
      </c>
    </row>
    <row r="2598" spans="1:13" x14ac:dyDescent="0.25">
      <c r="A2598" t="s">
        <v>344</v>
      </c>
      <c r="B2598" t="s">
        <v>495</v>
      </c>
      <c r="C2598" t="s">
        <v>502</v>
      </c>
      <c r="D2598" t="s">
        <v>494</v>
      </c>
      <c r="E2598">
        <v>2</v>
      </c>
      <c r="F2598">
        <v>6</v>
      </c>
      <c r="G2598">
        <v>140</v>
      </c>
      <c r="H2598">
        <v>14</v>
      </c>
      <c r="I2598">
        <v>10.7</v>
      </c>
      <c r="J2598">
        <v>13</v>
      </c>
      <c r="K2598">
        <v>16.7</v>
      </c>
      <c r="L2598">
        <v>13.1</v>
      </c>
      <c r="M2598">
        <v>70</v>
      </c>
    </row>
    <row r="2599" spans="1:13" x14ac:dyDescent="0.25">
      <c r="A2599" t="s">
        <v>344</v>
      </c>
      <c r="B2599" t="s">
        <v>495</v>
      </c>
      <c r="C2599" t="s">
        <v>502</v>
      </c>
      <c r="D2599" t="s">
        <v>494</v>
      </c>
      <c r="E2599">
        <v>2</v>
      </c>
      <c r="F2599">
        <v>6</v>
      </c>
      <c r="G2599">
        <v>160</v>
      </c>
      <c r="H2599">
        <v>14</v>
      </c>
      <c r="I2599">
        <v>10.7</v>
      </c>
      <c r="J2599">
        <v>13</v>
      </c>
      <c r="K2599">
        <v>16.7</v>
      </c>
      <c r="L2599">
        <v>13.1</v>
      </c>
      <c r="M2599">
        <v>70</v>
      </c>
    </row>
    <row r="2600" spans="1:13" x14ac:dyDescent="0.25">
      <c r="A2600" t="s">
        <v>344</v>
      </c>
      <c r="B2600" t="s">
        <v>495</v>
      </c>
      <c r="C2600" t="s">
        <v>502</v>
      </c>
      <c r="D2600" t="s">
        <v>494</v>
      </c>
      <c r="E2600">
        <v>2</v>
      </c>
      <c r="F2600">
        <v>6</v>
      </c>
      <c r="G2600">
        <v>180</v>
      </c>
      <c r="H2600">
        <v>14</v>
      </c>
      <c r="I2600">
        <v>10.7</v>
      </c>
      <c r="J2600">
        <v>13</v>
      </c>
      <c r="K2600">
        <v>16.7</v>
      </c>
      <c r="L2600">
        <v>13.1</v>
      </c>
      <c r="M2600">
        <v>70</v>
      </c>
    </row>
    <row r="2601" spans="1:13" x14ac:dyDescent="0.25">
      <c r="A2601" t="s">
        <v>344</v>
      </c>
      <c r="B2601" t="s">
        <v>495</v>
      </c>
      <c r="C2601" t="s">
        <v>502</v>
      </c>
      <c r="D2601" t="s">
        <v>494</v>
      </c>
      <c r="E2601">
        <v>2</v>
      </c>
      <c r="F2601">
        <v>6</v>
      </c>
      <c r="G2601">
        <v>200</v>
      </c>
      <c r="H2601">
        <v>14</v>
      </c>
      <c r="I2601">
        <v>10.7</v>
      </c>
      <c r="J2601">
        <v>13</v>
      </c>
      <c r="K2601">
        <v>16.7</v>
      </c>
      <c r="L2601">
        <v>13.1</v>
      </c>
      <c r="M2601">
        <v>70</v>
      </c>
    </row>
    <row r="2602" spans="1:13" x14ac:dyDescent="0.25">
      <c r="A2602" t="s">
        <v>344</v>
      </c>
      <c r="B2602" t="s">
        <v>495</v>
      </c>
      <c r="C2602" t="s">
        <v>502</v>
      </c>
      <c r="D2602" t="s">
        <v>494</v>
      </c>
      <c r="E2602">
        <v>2</v>
      </c>
      <c r="F2602">
        <v>6</v>
      </c>
      <c r="G2602">
        <v>220</v>
      </c>
      <c r="H2602">
        <v>14</v>
      </c>
      <c r="I2602">
        <v>10.7</v>
      </c>
      <c r="J2602">
        <v>13</v>
      </c>
      <c r="K2602">
        <v>16.7</v>
      </c>
      <c r="L2602">
        <v>13.1</v>
      </c>
      <c r="M2602">
        <v>70</v>
      </c>
    </row>
    <row r="2603" spans="1:13" x14ac:dyDescent="0.25">
      <c r="A2603" t="s">
        <v>344</v>
      </c>
      <c r="B2603" t="s">
        <v>495</v>
      </c>
      <c r="C2603" t="s">
        <v>502</v>
      </c>
      <c r="D2603" t="s">
        <v>494</v>
      </c>
      <c r="E2603">
        <v>2</v>
      </c>
      <c r="F2603">
        <v>6</v>
      </c>
      <c r="G2603">
        <v>240</v>
      </c>
      <c r="H2603">
        <v>14</v>
      </c>
      <c r="I2603">
        <v>10.7</v>
      </c>
      <c r="J2603">
        <v>13</v>
      </c>
      <c r="K2603">
        <v>16.7</v>
      </c>
      <c r="L2603">
        <v>13.1</v>
      </c>
      <c r="M2603">
        <v>70</v>
      </c>
    </row>
    <row r="2604" spans="1:13" x14ac:dyDescent="0.25">
      <c r="A2604" t="s">
        <v>344</v>
      </c>
      <c r="B2604" t="s">
        <v>495</v>
      </c>
      <c r="C2604" t="s">
        <v>502</v>
      </c>
      <c r="D2604" t="s">
        <v>494</v>
      </c>
      <c r="E2604">
        <v>2</v>
      </c>
      <c r="F2604">
        <v>6</v>
      </c>
      <c r="G2604">
        <v>260</v>
      </c>
      <c r="H2604">
        <v>14</v>
      </c>
      <c r="I2604">
        <v>10.7</v>
      </c>
      <c r="J2604">
        <v>13</v>
      </c>
      <c r="K2604">
        <v>16.7</v>
      </c>
      <c r="L2604">
        <v>13.1</v>
      </c>
      <c r="M2604">
        <v>70</v>
      </c>
    </row>
    <row r="2605" spans="1:13" x14ac:dyDescent="0.25">
      <c r="A2605" t="s">
        <v>344</v>
      </c>
      <c r="B2605" t="s">
        <v>495</v>
      </c>
      <c r="C2605" t="s">
        <v>502</v>
      </c>
      <c r="D2605" t="s">
        <v>494</v>
      </c>
      <c r="E2605">
        <v>2</v>
      </c>
      <c r="F2605">
        <v>6</v>
      </c>
      <c r="G2605">
        <v>280</v>
      </c>
      <c r="H2605">
        <v>14</v>
      </c>
      <c r="I2605">
        <v>10.7</v>
      </c>
      <c r="J2605">
        <v>13</v>
      </c>
      <c r="K2605">
        <v>16.7</v>
      </c>
      <c r="L2605">
        <v>13.1</v>
      </c>
      <c r="M2605">
        <v>70</v>
      </c>
    </row>
    <row r="2606" spans="1:13" x14ac:dyDescent="0.25">
      <c r="A2606" t="s">
        <v>344</v>
      </c>
      <c r="B2606" t="s">
        <v>495</v>
      </c>
      <c r="C2606" t="s">
        <v>502</v>
      </c>
      <c r="D2606" t="s">
        <v>494</v>
      </c>
      <c r="E2606">
        <v>2</v>
      </c>
      <c r="F2606">
        <v>6</v>
      </c>
      <c r="G2606">
        <v>300</v>
      </c>
      <c r="H2606">
        <v>14</v>
      </c>
      <c r="I2606">
        <v>10.7</v>
      </c>
      <c r="J2606">
        <v>13</v>
      </c>
      <c r="K2606">
        <v>16.7</v>
      </c>
      <c r="L2606">
        <v>13.1</v>
      </c>
      <c r="M2606">
        <v>70</v>
      </c>
    </row>
    <row r="2607" spans="1:13" x14ac:dyDescent="0.25">
      <c r="A2607" t="s">
        <v>344</v>
      </c>
      <c r="B2607" t="s">
        <v>495</v>
      </c>
      <c r="C2607" t="s">
        <v>502</v>
      </c>
      <c r="D2607" t="s">
        <v>494</v>
      </c>
      <c r="E2607">
        <v>2</v>
      </c>
      <c r="F2607">
        <v>8</v>
      </c>
      <c r="G2607">
        <v>80</v>
      </c>
      <c r="H2607">
        <v>20</v>
      </c>
      <c r="I2607">
        <v>22.6</v>
      </c>
      <c r="J2607">
        <v>10.9</v>
      </c>
      <c r="K2607">
        <v>17.600000000000001</v>
      </c>
      <c r="L2607">
        <v>23.3</v>
      </c>
      <c r="M2607">
        <v>50</v>
      </c>
    </row>
    <row r="2608" spans="1:13" x14ac:dyDescent="0.25">
      <c r="A2608" t="s">
        <v>344</v>
      </c>
      <c r="B2608" t="s">
        <v>495</v>
      </c>
      <c r="C2608" t="s">
        <v>502</v>
      </c>
      <c r="D2608" t="s">
        <v>494</v>
      </c>
      <c r="E2608">
        <v>2</v>
      </c>
      <c r="F2608">
        <v>8</v>
      </c>
      <c r="G2608">
        <v>100</v>
      </c>
      <c r="H2608">
        <v>20</v>
      </c>
      <c r="I2608">
        <v>22.6</v>
      </c>
      <c r="J2608">
        <v>10.9</v>
      </c>
      <c r="K2608">
        <v>17.600000000000001</v>
      </c>
      <c r="L2608">
        <v>23.3</v>
      </c>
      <c r="M2608">
        <v>60</v>
      </c>
    </row>
    <row r="2609" spans="1:13" x14ac:dyDescent="0.25">
      <c r="A2609" t="s">
        <v>344</v>
      </c>
      <c r="B2609" t="s">
        <v>495</v>
      </c>
      <c r="C2609" t="s">
        <v>502</v>
      </c>
      <c r="D2609" t="s">
        <v>494</v>
      </c>
      <c r="E2609">
        <v>2</v>
      </c>
      <c r="F2609">
        <v>8</v>
      </c>
      <c r="G2609">
        <v>120</v>
      </c>
      <c r="H2609">
        <v>20</v>
      </c>
      <c r="I2609">
        <v>22.6</v>
      </c>
      <c r="J2609">
        <v>10.9</v>
      </c>
      <c r="K2609">
        <v>17.600000000000001</v>
      </c>
      <c r="L2609">
        <v>23.3</v>
      </c>
      <c r="M2609">
        <v>80</v>
      </c>
    </row>
    <row r="2610" spans="1:13" x14ac:dyDescent="0.25">
      <c r="A2610" t="s">
        <v>344</v>
      </c>
      <c r="B2610" t="s">
        <v>495</v>
      </c>
      <c r="C2610" t="s">
        <v>502</v>
      </c>
      <c r="D2610" t="s">
        <v>494</v>
      </c>
      <c r="E2610">
        <v>2</v>
      </c>
      <c r="F2610">
        <v>8</v>
      </c>
      <c r="G2610">
        <v>140</v>
      </c>
      <c r="H2610">
        <v>20</v>
      </c>
      <c r="I2610">
        <v>22.6</v>
      </c>
      <c r="J2610">
        <v>10.9</v>
      </c>
      <c r="K2610">
        <v>17.600000000000001</v>
      </c>
      <c r="L2610">
        <v>23.3</v>
      </c>
      <c r="M2610">
        <v>80</v>
      </c>
    </row>
    <row r="2611" spans="1:13" x14ac:dyDescent="0.25">
      <c r="A2611" t="s">
        <v>344</v>
      </c>
      <c r="B2611" t="s">
        <v>495</v>
      </c>
      <c r="C2611" t="s">
        <v>502</v>
      </c>
      <c r="D2611" t="s">
        <v>494</v>
      </c>
      <c r="E2611">
        <v>2</v>
      </c>
      <c r="F2611">
        <v>8</v>
      </c>
      <c r="G2611">
        <v>160</v>
      </c>
      <c r="H2611">
        <v>20</v>
      </c>
      <c r="I2611">
        <v>22.6</v>
      </c>
      <c r="J2611">
        <v>10.9</v>
      </c>
      <c r="K2611">
        <v>17.600000000000001</v>
      </c>
      <c r="L2611">
        <v>23.3</v>
      </c>
      <c r="M2611">
        <v>80</v>
      </c>
    </row>
    <row r="2612" spans="1:13" x14ac:dyDescent="0.25">
      <c r="A2612" t="s">
        <v>344</v>
      </c>
      <c r="B2612" t="s">
        <v>495</v>
      </c>
      <c r="C2612" t="s">
        <v>502</v>
      </c>
      <c r="D2612" t="s">
        <v>494</v>
      </c>
      <c r="E2612">
        <v>2</v>
      </c>
      <c r="F2612">
        <v>8</v>
      </c>
      <c r="G2612">
        <v>180</v>
      </c>
      <c r="H2612">
        <v>20</v>
      </c>
      <c r="I2612">
        <v>22.6</v>
      </c>
      <c r="J2612">
        <v>10.9</v>
      </c>
      <c r="K2612">
        <v>17.600000000000001</v>
      </c>
      <c r="L2612">
        <v>23.3</v>
      </c>
      <c r="M2612">
        <v>100</v>
      </c>
    </row>
    <row r="2613" spans="1:13" x14ac:dyDescent="0.25">
      <c r="A2613" t="s">
        <v>344</v>
      </c>
      <c r="B2613" t="s">
        <v>495</v>
      </c>
      <c r="C2613" t="s">
        <v>502</v>
      </c>
      <c r="D2613" t="s">
        <v>494</v>
      </c>
      <c r="E2613">
        <v>2</v>
      </c>
      <c r="F2613">
        <v>8</v>
      </c>
      <c r="G2613">
        <v>200</v>
      </c>
      <c r="H2613">
        <v>20</v>
      </c>
      <c r="I2613">
        <v>22.6</v>
      </c>
      <c r="J2613">
        <v>10.9</v>
      </c>
      <c r="K2613">
        <v>17.600000000000001</v>
      </c>
      <c r="L2613">
        <v>23.3</v>
      </c>
      <c r="M2613">
        <v>100</v>
      </c>
    </row>
    <row r="2614" spans="1:13" x14ac:dyDescent="0.25">
      <c r="A2614" t="s">
        <v>344</v>
      </c>
      <c r="B2614" t="s">
        <v>495</v>
      </c>
      <c r="C2614" t="s">
        <v>502</v>
      </c>
      <c r="D2614" t="s">
        <v>494</v>
      </c>
      <c r="E2614">
        <v>2</v>
      </c>
      <c r="F2614">
        <v>8</v>
      </c>
      <c r="G2614">
        <v>220</v>
      </c>
      <c r="H2614">
        <v>20</v>
      </c>
      <c r="I2614">
        <v>22.6</v>
      </c>
      <c r="J2614">
        <v>10.9</v>
      </c>
      <c r="K2614">
        <v>17.600000000000001</v>
      </c>
      <c r="L2614">
        <v>23.3</v>
      </c>
      <c r="M2614">
        <v>100</v>
      </c>
    </row>
    <row r="2615" spans="1:13" x14ac:dyDescent="0.25">
      <c r="A2615" t="s">
        <v>344</v>
      </c>
      <c r="B2615" t="s">
        <v>495</v>
      </c>
      <c r="C2615" t="s">
        <v>502</v>
      </c>
      <c r="D2615" t="s">
        <v>494</v>
      </c>
      <c r="E2615">
        <v>2</v>
      </c>
      <c r="F2615">
        <v>8</v>
      </c>
      <c r="G2615">
        <v>240</v>
      </c>
      <c r="H2615">
        <v>20</v>
      </c>
      <c r="I2615">
        <v>22.6</v>
      </c>
      <c r="J2615">
        <v>10.9</v>
      </c>
      <c r="K2615">
        <v>17.600000000000001</v>
      </c>
      <c r="L2615">
        <v>23.3</v>
      </c>
      <c r="M2615">
        <v>100</v>
      </c>
    </row>
    <row r="2616" spans="1:13" x14ac:dyDescent="0.25">
      <c r="A2616" t="s">
        <v>344</v>
      </c>
      <c r="B2616" t="s">
        <v>495</v>
      </c>
      <c r="C2616" t="s">
        <v>502</v>
      </c>
      <c r="D2616" t="s">
        <v>494</v>
      </c>
      <c r="E2616">
        <v>2</v>
      </c>
      <c r="F2616">
        <v>8</v>
      </c>
      <c r="G2616">
        <v>260</v>
      </c>
      <c r="H2616">
        <v>20</v>
      </c>
      <c r="I2616">
        <v>22.6</v>
      </c>
      <c r="J2616">
        <v>10.9</v>
      </c>
      <c r="K2616">
        <v>17.600000000000001</v>
      </c>
      <c r="L2616">
        <v>23.3</v>
      </c>
      <c r="M2616">
        <v>100</v>
      </c>
    </row>
    <row r="2617" spans="1:13" x14ac:dyDescent="0.25">
      <c r="A2617" t="s">
        <v>344</v>
      </c>
      <c r="B2617" t="s">
        <v>495</v>
      </c>
      <c r="C2617" t="s">
        <v>502</v>
      </c>
      <c r="D2617" t="s">
        <v>494</v>
      </c>
      <c r="E2617">
        <v>2</v>
      </c>
      <c r="F2617">
        <v>8</v>
      </c>
      <c r="G2617">
        <v>280</v>
      </c>
      <c r="H2617">
        <v>20</v>
      </c>
      <c r="I2617">
        <v>22.6</v>
      </c>
      <c r="J2617">
        <v>10.9</v>
      </c>
      <c r="K2617">
        <v>17.600000000000001</v>
      </c>
      <c r="L2617">
        <v>23.3</v>
      </c>
      <c r="M2617">
        <v>100</v>
      </c>
    </row>
    <row r="2618" spans="1:13" x14ac:dyDescent="0.25">
      <c r="A2618" t="s">
        <v>344</v>
      </c>
      <c r="B2618" t="s">
        <v>495</v>
      </c>
      <c r="C2618" t="s">
        <v>502</v>
      </c>
      <c r="D2618" t="s">
        <v>494</v>
      </c>
      <c r="E2618">
        <v>2</v>
      </c>
      <c r="F2618">
        <v>8</v>
      </c>
      <c r="G2618">
        <v>300</v>
      </c>
      <c r="H2618">
        <v>20</v>
      </c>
      <c r="I2618">
        <v>22.6</v>
      </c>
      <c r="J2618">
        <v>10.9</v>
      </c>
      <c r="K2618">
        <v>17.600000000000001</v>
      </c>
      <c r="L2618">
        <v>23.3</v>
      </c>
      <c r="M2618">
        <v>100</v>
      </c>
    </row>
    <row r="2619" spans="1:13" x14ac:dyDescent="0.25">
      <c r="A2619" t="s">
        <v>344</v>
      </c>
      <c r="B2619" t="s">
        <v>495</v>
      </c>
      <c r="C2619" t="s">
        <v>502</v>
      </c>
      <c r="D2619" t="s">
        <v>494</v>
      </c>
      <c r="E2619">
        <v>2</v>
      </c>
      <c r="F2619">
        <v>8</v>
      </c>
      <c r="G2619">
        <v>320</v>
      </c>
      <c r="H2619">
        <v>20</v>
      </c>
      <c r="I2619">
        <v>22.6</v>
      </c>
      <c r="J2619">
        <v>10.9</v>
      </c>
      <c r="K2619">
        <v>17.600000000000001</v>
      </c>
      <c r="L2619">
        <v>23.3</v>
      </c>
      <c r="M2619">
        <v>100</v>
      </c>
    </row>
    <row r="2620" spans="1:13" x14ac:dyDescent="0.25">
      <c r="A2620" t="s">
        <v>344</v>
      </c>
      <c r="B2620" t="s">
        <v>495</v>
      </c>
      <c r="C2620" t="s">
        <v>502</v>
      </c>
      <c r="D2620" t="s">
        <v>494</v>
      </c>
      <c r="E2620">
        <v>2</v>
      </c>
      <c r="F2620">
        <v>8</v>
      </c>
      <c r="G2620">
        <v>340</v>
      </c>
      <c r="H2620">
        <v>20</v>
      </c>
      <c r="I2620">
        <v>22.6</v>
      </c>
      <c r="J2620">
        <v>10.9</v>
      </c>
      <c r="K2620">
        <v>17.600000000000001</v>
      </c>
      <c r="L2620">
        <v>23.3</v>
      </c>
      <c r="M2620">
        <v>100</v>
      </c>
    </row>
    <row r="2621" spans="1:13" x14ac:dyDescent="0.25">
      <c r="A2621" t="s">
        <v>344</v>
      </c>
      <c r="B2621" t="s">
        <v>495</v>
      </c>
      <c r="C2621" t="s">
        <v>502</v>
      </c>
      <c r="D2621" t="s">
        <v>494</v>
      </c>
      <c r="E2621">
        <v>2</v>
      </c>
      <c r="F2621">
        <v>8</v>
      </c>
      <c r="G2621">
        <v>360</v>
      </c>
      <c r="H2621">
        <v>20</v>
      </c>
      <c r="I2621">
        <v>22.6</v>
      </c>
      <c r="J2621">
        <v>10.9</v>
      </c>
      <c r="K2621">
        <v>17.600000000000001</v>
      </c>
      <c r="L2621">
        <v>23.3</v>
      </c>
      <c r="M2621">
        <v>100</v>
      </c>
    </row>
    <row r="2622" spans="1:13" x14ac:dyDescent="0.25">
      <c r="A2622" t="s">
        <v>344</v>
      </c>
      <c r="B2622" t="s">
        <v>495</v>
      </c>
      <c r="C2622" t="s">
        <v>502</v>
      </c>
      <c r="D2622" t="s">
        <v>494</v>
      </c>
      <c r="E2622">
        <v>2</v>
      </c>
      <c r="F2622">
        <v>8</v>
      </c>
      <c r="G2622">
        <v>380</v>
      </c>
      <c r="H2622">
        <v>20</v>
      </c>
      <c r="I2622">
        <v>22.6</v>
      </c>
      <c r="J2622">
        <v>10.9</v>
      </c>
      <c r="K2622">
        <v>17.600000000000001</v>
      </c>
      <c r="L2622">
        <v>23.3</v>
      </c>
      <c r="M2622">
        <v>100</v>
      </c>
    </row>
    <row r="2623" spans="1:13" x14ac:dyDescent="0.25">
      <c r="A2623" t="s">
        <v>344</v>
      </c>
      <c r="B2623" t="s">
        <v>495</v>
      </c>
      <c r="C2623" t="s">
        <v>502</v>
      </c>
      <c r="D2623" t="s">
        <v>494</v>
      </c>
      <c r="E2623">
        <v>2</v>
      </c>
      <c r="F2623">
        <v>8</v>
      </c>
      <c r="G2623">
        <v>400</v>
      </c>
      <c r="H2623">
        <v>20</v>
      </c>
      <c r="I2623">
        <v>22.6</v>
      </c>
      <c r="J2623">
        <v>10.9</v>
      </c>
      <c r="K2623">
        <v>17.600000000000001</v>
      </c>
      <c r="L2623">
        <v>23.3</v>
      </c>
      <c r="M2623">
        <v>100</v>
      </c>
    </row>
    <row r="2624" spans="1:13" x14ac:dyDescent="0.25">
      <c r="A2624" t="s">
        <v>344</v>
      </c>
      <c r="B2624" t="s">
        <v>495</v>
      </c>
      <c r="C2624" t="s">
        <v>502</v>
      </c>
      <c r="D2624" t="s">
        <v>494</v>
      </c>
      <c r="E2624">
        <v>2</v>
      </c>
      <c r="F2624">
        <v>8</v>
      </c>
      <c r="G2624">
        <v>450</v>
      </c>
      <c r="H2624">
        <v>20</v>
      </c>
      <c r="I2624">
        <v>22.6</v>
      </c>
      <c r="J2624">
        <v>10.9</v>
      </c>
      <c r="K2624">
        <v>17.600000000000001</v>
      </c>
      <c r="L2624">
        <v>23.3</v>
      </c>
      <c r="M2624">
        <v>100</v>
      </c>
    </row>
    <row r="2625" spans="1:13" x14ac:dyDescent="0.25">
      <c r="A2625" t="s">
        <v>344</v>
      </c>
      <c r="B2625" t="s">
        <v>495</v>
      </c>
      <c r="C2625" t="s">
        <v>502</v>
      </c>
      <c r="D2625" t="s">
        <v>494</v>
      </c>
      <c r="E2625">
        <v>2</v>
      </c>
      <c r="F2625">
        <v>8</v>
      </c>
      <c r="G2625">
        <v>500</v>
      </c>
      <c r="H2625">
        <v>20</v>
      </c>
      <c r="I2625">
        <v>22.6</v>
      </c>
      <c r="J2625">
        <v>10.9</v>
      </c>
      <c r="K2625">
        <v>17.600000000000001</v>
      </c>
      <c r="L2625">
        <v>23.3</v>
      </c>
      <c r="M2625">
        <v>100</v>
      </c>
    </row>
    <row r="2626" spans="1:13" x14ac:dyDescent="0.25">
      <c r="A2626" t="s">
        <v>344</v>
      </c>
      <c r="B2626" t="s">
        <v>495</v>
      </c>
      <c r="C2626" t="s">
        <v>502</v>
      </c>
      <c r="D2626" t="s">
        <v>494</v>
      </c>
      <c r="E2626">
        <v>2</v>
      </c>
      <c r="F2626">
        <v>10</v>
      </c>
      <c r="G2626">
        <v>100</v>
      </c>
      <c r="H2626">
        <v>25</v>
      </c>
      <c r="I2626">
        <v>33.6</v>
      </c>
      <c r="J2626">
        <v>11</v>
      </c>
      <c r="K2626">
        <v>15.2</v>
      </c>
      <c r="L2626">
        <v>35</v>
      </c>
      <c r="M2626">
        <v>60</v>
      </c>
    </row>
    <row r="2627" spans="1:13" x14ac:dyDescent="0.25">
      <c r="A2627" t="s">
        <v>344</v>
      </c>
      <c r="B2627" t="s">
        <v>495</v>
      </c>
      <c r="C2627" t="s">
        <v>502</v>
      </c>
      <c r="D2627" t="s">
        <v>494</v>
      </c>
      <c r="E2627">
        <v>2</v>
      </c>
      <c r="F2627">
        <v>10</v>
      </c>
      <c r="G2627">
        <v>120</v>
      </c>
      <c r="H2627">
        <v>25</v>
      </c>
      <c r="I2627">
        <v>33.6</v>
      </c>
      <c r="J2627">
        <v>11</v>
      </c>
      <c r="K2627">
        <v>15.2</v>
      </c>
      <c r="L2627">
        <v>35</v>
      </c>
      <c r="M2627">
        <v>80</v>
      </c>
    </row>
    <row r="2628" spans="1:13" x14ac:dyDescent="0.25">
      <c r="A2628" t="s">
        <v>344</v>
      </c>
      <c r="B2628" t="s">
        <v>495</v>
      </c>
      <c r="C2628" t="s">
        <v>502</v>
      </c>
      <c r="D2628" t="s">
        <v>494</v>
      </c>
      <c r="E2628">
        <v>2</v>
      </c>
      <c r="F2628">
        <v>10</v>
      </c>
      <c r="G2628">
        <v>140</v>
      </c>
      <c r="H2628">
        <v>25</v>
      </c>
      <c r="I2628">
        <v>33.6</v>
      </c>
      <c r="J2628">
        <v>11</v>
      </c>
      <c r="K2628">
        <v>15.2</v>
      </c>
      <c r="L2628">
        <v>35</v>
      </c>
      <c r="M2628">
        <v>80</v>
      </c>
    </row>
    <row r="2629" spans="1:13" x14ac:dyDescent="0.25">
      <c r="A2629" t="s">
        <v>344</v>
      </c>
      <c r="B2629" t="s">
        <v>495</v>
      </c>
      <c r="C2629" t="s">
        <v>502</v>
      </c>
      <c r="D2629" t="s">
        <v>494</v>
      </c>
      <c r="E2629">
        <v>2</v>
      </c>
      <c r="F2629">
        <v>10</v>
      </c>
      <c r="G2629">
        <v>160</v>
      </c>
      <c r="H2629">
        <v>25</v>
      </c>
      <c r="I2629">
        <v>33.6</v>
      </c>
      <c r="J2629">
        <v>11</v>
      </c>
      <c r="K2629">
        <v>15.2</v>
      </c>
      <c r="L2629">
        <v>35</v>
      </c>
      <c r="M2629">
        <v>80</v>
      </c>
    </row>
    <row r="2630" spans="1:13" x14ac:dyDescent="0.25">
      <c r="A2630" t="s">
        <v>344</v>
      </c>
      <c r="B2630" t="s">
        <v>495</v>
      </c>
      <c r="C2630" t="s">
        <v>502</v>
      </c>
      <c r="D2630" t="s">
        <v>494</v>
      </c>
      <c r="E2630">
        <v>2</v>
      </c>
      <c r="F2630">
        <v>10</v>
      </c>
      <c r="G2630">
        <v>180</v>
      </c>
      <c r="H2630">
        <v>25</v>
      </c>
      <c r="I2630">
        <v>33.6</v>
      </c>
      <c r="J2630">
        <v>11</v>
      </c>
      <c r="K2630">
        <v>15.2</v>
      </c>
      <c r="L2630">
        <v>35</v>
      </c>
      <c r="M2630">
        <v>100</v>
      </c>
    </row>
    <row r="2631" spans="1:13" x14ac:dyDescent="0.25">
      <c r="A2631" t="s">
        <v>344</v>
      </c>
      <c r="B2631" t="s">
        <v>495</v>
      </c>
      <c r="C2631" t="s">
        <v>502</v>
      </c>
      <c r="D2631" t="s">
        <v>494</v>
      </c>
      <c r="E2631">
        <v>2</v>
      </c>
      <c r="F2631">
        <v>10</v>
      </c>
      <c r="G2631">
        <v>200</v>
      </c>
      <c r="H2631">
        <v>25</v>
      </c>
      <c r="I2631">
        <v>33.6</v>
      </c>
      <c r="J2631">
        <v>11</v>
      </c>
      <c r="K2631">
        <v>15.2</v>
      </c>
      <c r="L2631">
        <v>35</v>
      </c>
      <c r="M2631">
        <v>100</v>
      </c>
    </row>
    <row r="2632" spans="1:13" x14ac:dyDescent="0.25">
      <c r="A2632" t="s">
        <v>344</v>
      </c>
      <c r="B2632" t="s">
        <v>495</v>
      </c>
      <c r="C2632" t="s">
        <v>502</v>
      </c>
      <c r="D2632" t="s">
        <v>494</v>
      </c>
      <c r="E2632">
        <v>2</v>
      </c>
      <c r="F2632">
        <v>10</v>
      </c>
      <c r="G2632">
        <v>220</v>
      </c>
      <c r="H2632">
        <v>25</v>
      </c>
      <c r="I2632">
        <v>33.6</v>
      </c>
      <c r="J2632">
        <v>11</v>
      </c>
      <c r="K2632">
        <v>15.2</v>
      </c>
      <c r="L2632">
        <v>35</v>
      </c>
      <c r="M2632">
        <v>100</v>
      </c>
    </row>
    <row r="2633" spans="1:13" x14ac:dyDescent="0.25">
      <c r="A2633" t="s">
        <v>344</v>
      </c>
      <c r="B2633" t="s">
        <v>495</v>
      </c>
      <c r="C2633" t="s">
        <v>502</v>
      </c>
      <c r="D2633" t="s">
        <v>494</v>
      </c>
      <c r="E2633">
        <v>2</v>
      </c>
      <c r="F2633">
        <v>10</v>
      </c>
      <c r="G2633">
        <v>240</v>
      </c>
      <c r="H2633">
        <v>25</v>
      </c>
      <c r="I2633">
        <v>33.6</v>
      </c>
      <c r="J2633">
        <v>11</v>
      </c>
      <c r="K2633">
        <v>15.2</v>
      </c>
      <c r="L2633">
        <v>35</v>
      </c>
      <c r="M2633">
        <v>100</v>
      </c>
    </row>
    <row r="2634" spans="1:13" x14ac:dyDescent="0.25">
      <c r="A2634" t="s">
        <v>344</v>
      </c>
      <c r="B2634" t="s">
        <v>495</v>
      </c>
      <c r="C2634" t="s">
        <v>502</v>
      </c>
      <c r="D2634" t="s">
        <v>494</v>
      </c>
      <c r="E2634">
        <v>2</v>
      </c>
      <c r="F2634">
        <v>10</v>
      </c>
      <c r="G2634">
        <v>260</v>
      </c>
      <c r="H2634">
        <v>25</v>
      </c>
      <c r="I2634">
        <v>33.6</v>
      </c>
      <c r="J2634">
        <v>11</v>
      </c>
      <c r="K2634">
        <v>15.2</v>
      </c>
      <c r="L2634">
        <v>35</v>
      </c>
      <c r="M2634">
        <v>100</v>
      </c>
    </row>
    <row r="2635" spans="1:13" x14ac:dyDescent="0.25">
      <c r="A2635" t="s">
        <v>344</v>
      </c>
      <c r="B2635" t="s">
        <v>495</v>
      </c>
      <c r="C2635" t="s">
        <v>502</v>
      </c>
      <c r="D2635" t="s">
        <v>494</v>
      </c>
      <c r="E2635">
        <v>2</v>
      </c>
      <c r="F2635">
        <v>10</v>
      </c>
      <c r="G2635">
        <v>280</v>
      </c>
      <c r="H2635">
        <v>25</v>
      </c>
      <c r="I2635">
        <v>33.6</v>
      </c>
      <c r="J2635">
        <v>11</v>
      </c>
      <c r="K2635">
        <v>15.2</v>
      </c>
      <c r="L2635">
        <v>35</v>
      </c>
      <c r="M2635">
        <v>100</v>
      </c>
    </row>
    <row r="2636" spans="1:13" x14ac:dyDescent="0.25">
      <c r="A2636" t="s">
        <v>344</v>
      </c>
      <c r="B2636" t="s">
        <v>495</v>
      </c>
      <c r="C2636" t="s">
        <v>502</v>
      </c>
      <c r="D2636" t="s">
        <v>494</v>
      </c>
      <c r="E2636">
        <v>2</v>
      </c>
      <c r="F2636">
        <v>10</v>
      </c>
      <c r="G2636">
        <v>300</v>
      </c>
      <c r="H2636">
        <v>25</v>
      </c>
      <c r="I2636">
        <v>33.6</v>
      </c>
      <c r="J2636">
        <v>11</v>
      </c>
      <c r="K2636">
        <v>15.2</v>
      </c>
      <c r="L2636">
        <v>35</v>
      </c>
      <c r="M2636">
        <v>100</v>
      </c>
    </row>
    <row r="2637" spans="1:13" x14ac:dyDescent="0.25">
      <c r="A2637" t="s">
        <v>344</v>
      </c>
      <c r="B2637" t="s">
        <v>495</v>
      </c>
      <c r="C2637" t="s">
        <v>502</v>
      </c>
      <c r="D2637" t="s">
        <v>494</v>
      </c>
      <c r="E2637">
        <v>2</v>
      </c>
      <c r="F2637">
        <v>10</v>
      </c>
      <c r="G2637">
        <v>320</v>
      </c>
      <c r="H2637">
        <v>25</v>
      </c>
      <c r="I2637">
        <v>33.6</v>
      </c>
      <c r="J2637">
        <v>11</v>
      </c>
      <c r="K2637">
        <v>15.2</v>
      </c>
      <c r="L2637">
        <v>35</v>
      </c>
      <c r="M2637">
        <v>100</v>
      </c>
    </row>
    <row r="2638" spans="1:13" x14ac:dyDescent="0.25">
      <c r="A2638" t="s">
        <v>344</v>
      </c>
      <c r="B2638" t="s">
        <v>495</v>
      </c>
      <c r="C2638" t="s">
        <v>502</v>
      </c>
      <c r="D2638" t="s">
        <v>494</v>
      </c>
      <c r="E2638">
        <v>2</v>
      </c>
      <c r="F2638">
        <v>10</v>
      </c>
      <c r="G2638">
        <v>340</v>
      </c>
      <c r="H2638">
        <v>25</v>
      </c>
      <c r="I2638">
        <v>33.6</v>
      </c>
      <c r="J2638">
        <v>11</v>
      </c>
      <c r="K2638">
        <v>15.2</v>
      </c>
      <c r="L2638">
        <v>35</v>
      </c>
      <c r="M2638">
        <v>100</v>
      </c>
    </row>
    <row r="2639" spans="1:13" x14ac:dyDescent="0.25">
      <c r="A2639" t="s">
        <v>344</v>
      </c>
      <c r="B2639" t="s">
        <v>495</v>
      </c>
      <c r="C2639" t="s">
        <v>502</v>
      </c>
      <c r="D2639" t="s">
        <v>494</v>
      </c>
      <c r="E2639">
        <v>2</v>
      </c>
      <c r="F2639">
        <v>10</v>
      </c>
      <c r="G2639">
        <v>360</v>
      </c>
      <c r="H2639">
        <v>25</v>
      </c>
      <c r="I2639">
        <v>33.6</v>
      </c>
      <c r="J2639">
        <v>11</v>
      </c>
      <c r="K2639">
        <v>15.2</v>
      </c>
      <c r="L2639">
        <v>35</v>
      </c>
      <c r="M2639">
        <v>100</v>
      </c>
    </row>
    <row r="2640" spans="1:13" x14ac:dyDescent="0.25">
      <c r="A2640" t="s">
        <v>344</v>
      </c>
      <c r="B2640" t="s">
        <v>495</v>
      </c>
      <c r="C2640" t="s">
        <v>502</v>
      </c>
      <c r="D2640" t="s">
        <v>494</v>
      </c>
      <c r="E2640">
        <v>2</v>
      </c>
      <c r="F2640">
        <v>10</v>
      </c>
      <c r="G2640">
        <v>380</v>
      </c>
      <c r="H2640">
        <v>25</v>
      </c>
      <c r="I2640">
        <v>33.6</v>
      </c>
      <c r="J2640">
        <v>11</v>
      </c>
      <c r="K2640">
        <v>15.2</v>
      </c>
      <c r="L2640">
        <v>35</v>
      </c>
      <c r="M2640">
        <v>100</v>
      </c>
    </row>
    <row r="2641" spans="1:13" x14ac:dyDescent="0.25">
      <c r="A2641" t="s">
        <v>344</v>
      </c>
      <c r="B2641" t="s">
        <v>495</v>
      </c>
      <c r="C2641" t="s">
        <v>502</v>
      </c>
      <c r="D2641" t="s">
        <v>494</v>
      </c>
      <c r="E2641">
        <v>2</v>
      </c>
      <c r="F2641">
        <v>10</v>
      </c>
      <c r="G2641">
        <v>400</v>
      </c>
      <c r="H2641">
        <v>25</v>
      </c>
      <c r="I2641">
        <v>33.6</v>
      </c>
      <c r="J2641">
        <v>11</v>
      </c>
      <c r="K2641">
        <v>15.2</v>
      </c>
      <c r="L2641">
        <v>35</v>
      </c>
      <c r="M2641">
        <v>100</v>
      </c>
    </row>
    <row r="2642" spans="1:13" x14ac:dyDescent="0.25">
      <c r="A2642" t="s">
        <v>344</v>
      </c>
      <c r="B2642" t="s">
        <v>495</v>
      </c>
      <c r="C2642" t="s">
        <v>502</v>
      </c>
      <c r="D2642" t="s">
        <v>494</v>
      </c>
      <c r="E2642">
        <v>2</v>
      </c>
      <c r="F2642">
        <v>10</v>
      </c>
      <c r="G2642">
        <v>450</v>
      </c>
      <c r="H2642">
        <v>25</v>
      </c>
      <c r="I2642">
        <v>33.6</v>
      </c>
      <c r="J2642">
        <v>11</v>
      </c>
      <c r="K2642">
        <v>15.2</v>
      </c>
      <c r="L2642">
        <v>35</v>
      </c>
      <c r="M2642">
        <v>100</v>
      </c>
    </row>
    <row r="2643" spans="1:13" x14ac:dyDescent="0.25">
      <c r="A2643" t="s">
        <v>344</v>
      </c>
      <c r="B2643" t="s">
        <v>495</v>
      </c>
      <c r="C2643" t="s">
        <v>502</v>
      </c>
      <c r="D2643" t="s">
        <v>494</v>
      </c>
      <c r="E2643">
        <v>2</v>
      </c>
      <c r="F2643">
        <v>10</v>
      </c>
      <c r="G2643">
        <v>500</v>
      </c>
      <c r="H2643">
        <v>25</v>
      </c>
      <c r="I2643">
        <v>33.6</v>
      </c>
      <c r="J2643">
        <v>11</v>
      </c>
      <c r="K2643">
        <v>15.2</v>
      </c>
      <c r="L2643">
        <v>35</v>
      </c>
      <c r="M2643">
        <v>100</v>
      </c>
    </row>
    <row r="2644" spans="1:13" x14ac:dyDescent="0.25">
      <c r="A2644" t="s">
        <v>344</v>
      </c>
      <c r="B2644" t="s">
        <v>495</v>
      </c>
      <c r="C2644" t="s">
        <v>503</v>
      </c>
      <c r="D2644" t="s">
        <v>504</v>
      </c>
      <c r="E2644">
        <v>2</v>
      </c>
      <c r="F2644">
        <v>8</v>
      </c>
      <c r="G2644">
        <v>50</v>
      </c>
      <c r="H2644">
        <v>12</v>
      </c>
      <c r="I2644">
        <v>22.6</v>
      </c>
      <c r="J2644">
        <v>10.9</v>
      </c>
      <c r="K2644">
        <v>16.5</v>
      </c>
      <c r="L2644">
        <v>23.3</v>
      </c>
      <c r="M2644">
        <v>30</v>
      </c>
    </row>
    <row r="2645" spans="1:13" x14ac:dyDescent="0.25">
      <c r="A2645" t="s">
        <v>344</v>
      </c>
      <c r="B2645" t="s">
        <v>495</v>
      </c>
      <c r="C2645" t="s">
        <v>503</v>
      </c>
      <c r="D2645" t="s">
        <v>504</v>
      </c>
      <c r="E2645">
        <v>2</v>
      </c>
      <c r="F2645">
        <v>8</v>
      </c>
      <c r="G2645">
        <v>60</v>
      </c>
      <c r="H2645">
        <v>12</v>
      </c>
      <c r="I2645">
        <v>22.6</v>
      </c>
      <c r="J2645">
        <v>10.9</v>
      </c>
      <c r="K2645">
        <v>16.5</v>
      </c>
      <c r="L2645">
        <v>23.3</v>
      </c>
      <c r="M2645">
        <v>40</v>
      </c>
    </row>
    <row r="2646" spans="1:13" x14ac:dyDescent="0.25">
      <c r="A2646" t="s">
        <v>344</v>
      </c>
      <c r="B2646" t="s">
        <v>495</v>
      </c>
      <c r="C2646" t="s">
        <v>503</v>
      </c>
      <c r="D2646" t="s">
        <v>504</v>
      </c>
      <c r="E2646">
        <v>2</v>
      </c>
      <c r="F2646">
        <v>8</v>
      </c>
      <c r="G2646">
        <v>70</v>
      </c>
      <c r="H2646">
        <v>12</v>
      </c>
      <c r="I2646">
        <v>22.6</v>
      </c>
      <c r="J2646">
        <v>10.9</v>
      </c>
      <c r="K2646">
        <v>16.5</v>
      </c>
      <c r="L2646">
        <v>23.3</v>
      </c>
      <c r="M2646">
        <v>40</v>
      </c>
    </row>
    <row r="2647" spans="1:13" x14ac:dyDescent="0.25">
      <c r="A2647" t="s">
        <v>344</v>
      </c>
      <c r="B2647" t="s">
        <v>495</v>
      </c>
      <c r="C2647" t="s">
        <v>503</v>
      </c>
      <c r="D2647" t="s">
        <v>504</v>
      </c>
      <c r="E2647">
        <v>2</v>
      </c>
      <c r="F2647">
        <v>8</v>
      </c>
      <c r="G2647">
        <v>80</v>
      </c>
      <c r="H2647">
        <v>12</v>
      </c>
      <c r="I2647">
        <v>22.6</v>
      </c>
      <c r="J2647">
        <v>10.9</v>
      </c>
      <c r="K2647">
        <v>16.5</v>
      </c>
      <c r="L2647">
        <v>23.3</v>
      </c>
      <c r="M2647">
        <v>50</v>
      </c>
    </row>
    <row r="2648" spans="1:13" x14ac:dyDescent="0.25">
      <c r="A2648" t="s">
        <v>344</v>
      </c>
      <c r="B2648" t="s">
        <v>495</v>
      </c>
      <c r="C2648" t="s">
        <v>503</v>
      </c>
      <c r="D2648" t="s">
        <v>504</v>
      </c>
      <c r="E2648">
        <v>2</v>
      </c>
      <c r="F2648">
        <v>8</v>
      </c>
      <c r="G2648">
        <v>100</v>
      </c>
      <c r="H2648">
        <v>12</v>
      </c>
      <c r="I2648">
        <v>22.6</v>
      </c>
      <c r="J2648">
        <v>10.9</v>
      </c>
      <c r="K2648">
        <v>16.5</v>
      </c>
      <c r="L2648">
        <v>23.3</v>
      </c>
      <c r="M2648">
        <v>60</v>
      </c>
    </row>
    <row r="2649" spans="1:13" x14ac:dyDescent="0.25">
      <c r="A2649" t="s">
        <v>344</v>
      </c>
      <c r="B2649" t="s">
        <v>495</v>
      </c>
      <c r="C2649" t="s">
        <v>503</v>
      </c>
      <c r="D2649" t="s">
        <v>504</v>
      </c>
      <c r="E2649">
        <v>2</v>
      </c>
      <c r="F2649">
        <v>8</v>
      </c>
      <c r="G2649">
        <v>120</v>
      </c>
      <c r="H2649">
        <v>12</v>
      </c>
      <c r="I2649">
        <v>22.6</v>
      </c>
      <c r="J2649">
        <v>10.9</v>
      </c>
      <c r="K2649">
        <v>16.5</v>
      </c>
      <c r="L2649">
        <v>23.3</v>
      </c>
      <c r="M2649">
        <v>80</v>
      </c>
    </row>
    <row r="2650" spans="1:13" x14ac:dyDescent="0.25">
      <c r="A2650" t="s">
        <v>344</v>
      </c>
      <c r="B2650" t="s">
        <v>495</v>
      </c>
      <c r="C2650" t="s">
        <v>503</v>
      </c>
      <c r="D2650" t="s">
        <v>504</v>
      </c>
      <c r="E2650">
        <v>2</v>
      </c>
      <c r="F2650">
        <v>8</v>
      </c>
      <c r="G2650">
        <v>140</v>
      </c>
      <c r="H2650">
        <v>12</v>
      </c>
      <c r="I2650">
        <v>22.6</v>
      </c>
      <c r="J2650">
        <v>10.9</v>
      </c>
      <c r="K2650">
        <v>16.5</v>
      </c>
      <c r="L2650">
        <v>23.3</v>
      </c>
      <c r="M2650">
        <v>80</v>
      </c>
    </row>
    <row r="2651" spans="1:13" x14ac:dyDescent="0.25">
      <c r="A2651" t="s">
        <v>344</v>
      </c>
      <c r="B2651" t="s">
        <v>495</v>
      </c>
      <c r="C2651" t="s">
        <v>503</v>
      </c>
      <c r="D2651" t="s">
        <v>504</v>
      </c>
      <c r="E2651">
        <v>2</v>
      </c>
      <c r="F2651">
        <v>8</v>
      </c>
      <c r="G2651">
        <v>160</v>
      </c>
      <c r="H2651">
        <v>12</v>
      </c>
      <c r="I2651">
        <v>22.6</v>
      </c>
      <c r="J2651">
        <v>10.9</v>
      </c>
      <c r="K2651">
        <v>16.5</v>
      </c>
      <c r="L2651">
        <v>23.3</v>
      </c>
      <c r="M2651">
        <v>80</v>
      </c>
    </row>
    <row r="2652" spans="1:13" x14ac:dyDescent="0.25">
      <c r="A2652" t="s">
        <v>344</v>
      </c>
      <c r="B2652" t="s">
        <v>495</v>
      </c>
      <c r="C2652" t="s">
        <v>503</v>
      </c>
      <c r="D2652" t="s">
        <v>504</v>
      </c>
      <c r="E2652">
        <v>2</v>
      </c>
      <c r="F2652">
        <v>8</v>
      </c>
      <c r="G2652">
        <v>180</v>
      </c>
      <c r="H2652">
        <v>12</v>
      </c>
      <c r="I2652">
        <v>22.6</v>
      </c>
      <c r="J2652">
        <v>10.9</v>
      </c>
      <c r="K2652">
        <v>16.5</v>
      </c>
      <c r="L2652">
        <v>23.3</v>
      </c>
      <c r="M2652">
        <v>100</v>
      </c>
    </row>
    <row r="2653" spans="1:13" x14ac:dyDescent="0.25">
      <c r="A2653" t="s">
        <v>344</v>
      </c>
      <c r="B2653" t="s">
        <v>495</v>
      </c>
      <c r="C2653" t="s">
        <v>503</v>
      </c>
      <c r="D2653" t="s">
        <v>504</v>
      </c>
      <c r="E2653">
        <v>2</v>
      </c>
      <c r="F2653">
        <v>8</v>
      </c>
      <c r="G2653">
        <v>200</v>
      </c>
      <c r="H2653">
        <v>12</v>
      </c>
      <c r="I2653">
        <v>22.6</v>
      </c>
      <c r="J2653">
        <v>10.9</v>
      </c>
      <c r="K2653">
        <v>16.5</v>
      </c>
      <c r="L2653">
        <v>23.3</v>
      </c>
      <c r="M2653">
        <v>100</v>
      </c>
    </row>
    <row r="2654" spans="1:13" x14ac:dyDescent="0.25">
      <c r="A2654" t="s">
        <v>344</v>
      </c>
      <c r="B2654" t="s">
        <v>495</v>
      </c>
      <c r="C2654" t="s">
        <v>503</v>
      </c>
      <c r="D2654" t="s">
        <v>504</v>
      </c>
      <c r="E2654">
        <v>2</v>
      </c>
      <c r="F2654">
        <v>8</v>
      </c>
      <c r="G2654">
        <v>220</v>
      </c>
      <c r="H2654">
        <v>12</v>
      </c>
      <c r="I2654">
        <v>22.6</v>
      </c>
      <c r="J2654">
        <v>10.9</v>
      </c>
      <c r="K2654">
        <v>16.5</v>
      </c>
      <c r="L2654">
        <v>23.3</v>
      </c>
      <c r="M2654">
        <v>100</v>
      </c>
    </row>
    <row r="2655" spans="1:13" x14ac:dyDescent="0.25">
      <c r="A2655" t="s">
        <v>344</v>
      </c>
      <c r="B2655" t="s">
        <v>495</v>
      </c>
      <c r="C2655" t="s">
        <v>503</v>
      </c>
      <c r="D2655" t="s">
        <v>504</v>
      </c>
      <c r="E2655">
        <v>2</v>
      </c>
      <c r="F2655">
        <v>8</v>
      </c>
      <c r="G2655">
        <v>240</v>
      </c>
      <c r="H2655">
        <v>12</v>
      </c>
      <c r="I2655">
        <v>22.6</v>
      </c>
      <c r="J2655">
        <v>10.9</v>
      </c>
      <c r="K2655">
        <v>16.5</v>
      </c>
      <c r="L2655">
        <v>23.3</v>
      </c>
      <c r="M2655">
        <v>100</v>
      </c>
    </row>
    <row r="2656" spans="1:13" x14ac:dyDescent="0.25">
      <c r="A2656" t="s">
        <v>344</v>
      </c>
      <c r="B2656" t="s">
        <v>495</v>
      </c>
      <c r="C2656" t="s">
        <v>503</v>
      </c>
      <c r="D2656" t="s">
        <v>504</v>
      </c>
      <c r="E2656">
        <v>2</v>
      </c>
      <c r="F2656">
        <v>8</v>
      </c>
      <c r="G2656">
        <v>260</v>
      </c>
      <c r="H2656">
        <v>12</v>
      </c>
      <c r="I2656">
        <v>22.6</v>
      </c>
      <c r="J2656">
        <v>10.9</v>
      </c>
      <c r="K2656">
        <v>16.5</v>
      </c>
      <c r="L2656">
        <v>23.3</v>
      </c>
      <c r="M2656">
        <v>100</v>
      </c>
    </row>
    <row r="2657" spans="1:13" x14ac:dyDescent="0.25">
      <c r="A2657" t="s">
        <v>344</v>
      </c>
      <c r="B2657" t="s">
        <v>495</v>
      </c>
      <c r="C2657" t="s">
        <v>503</v>
      </c>
      <c r="D2657" t="s">
        <v>504</v>
      </c>
      <c r="E2657">
        <v>2</v>
      </c>
      <c r="F2657">
        <v>8</v>
      </c>
      <c r="G2657">
        <v>280</v>
      </c>
      <c r="H2657">
        <v>12</v>
      </c>
      <c r="I2657">
        <v>22.6</v>
      </c>
      <c r="J2657">
        <v>10.9</v>
      </c>
      <c r="K2657">
        <v>16.5</v>
      </c>
      <c r="L2657">
        <v>23.3</v>
      </c>
      <c r="M2657">
        <v>100</v>
      </c>
    </row>
    <row r="2658" spans="1:13" x14ac:dyDescent="0.25">
      <c r="A2658" t="s">
        <v>344</v>
      </c>
      <c r="B2658" t="s">
        <v>495</v>
      </c>
      <c r="C2658" t="s">
        <v>503</v>
      </c>
      <c r="D2658" t="s">
        <v>504</v>
      </c>
      <c r="E2658">
        <v>2</v>
      </c>
      <c r="F2658">
        <v>8</v>
      </c>
      <c r="G2658">
        <v>300</v>
      </c>
      <c r="H2658">
        <v>12</v>
      </c>
      <c r="I2658">
        <v>22.6</v>
      </c>
      <c r="J2658">
        <v>10.9</v>
      </c>
      <c r="K2658">
        <v>16.5</v>
      </c>
      <c r="L2658">
        <v>23.3</v>
      </c>
      <c r="M2658">
        <v>100</v>
      </c>
    </row>
    <row r="2659" spans="1:13" x14ac:dyDescent="0.25">
      <c r="A2659" t="s">
        <v>344</v>
      </c>
      <c r="B2659" t="s">
        <v>495</v>
      </c>
      <c r="C2659" t="s">
        <v>503</v>
      </c>
      <c r="D2659" t="s">
        <v>504</v>
      </c>
      <c r="E2659">
        <v>2</v>
      </c>
      <c r="F2659">
        <v>8</v>
      </c>
      <c r="G2659">
        <v>320</v>
      </c>
      <c r="H2659">
        <v>12</v>
      </c>
      <c r="I2659">
        <v>22.6</v>
      </c>
      <c r="J2659">
        <v>10.9</v>
      </c>
      <c r="K2659">
        <v>16.5</v>
      </c>
      <c r="L2659">
        <v>23.3</v>
      </c>
      <c r="M2659">
        <v>100</v>
      </c>
    </row>
    <row r="2660" spans="1:13" x14ac:dyDescent="0.25">
      <c r="A2660" t="s">
        <v>344</v>
      </c>
      <c r="B2660" t="s">
        <v>495</v>
      </c>
      <c r="C2660" t="s">
        <v>503</v>
      </c>
      <c r="D2660" t="s">
        <v>504</v>
      </c>
      <c r="E2660">
        <v>2</v>
      </c>
      <c r="F2660">
        <v>8</v>
      </c>
      <c r="G2660">
        <v>340</v>
      </c>
      <c r="H2660">
        <v>12</v>
      </c>
      <c r="I2660">
        <v>22.6</v>
      </c>
      <c r="J2660">
        <v>10.9</v>
      </c>
      <c r="K2660">
        <v>16.5</v>
      </c>
      <c r="L2660">
        <v>23.3</v>
      </c>
      <c r="M2660">
        <v>100</v>
      </c>
    </row>
    <row r="2661" spans="1:13" x14ac:dyDescent="0.25">
      <c r="A2661" t="s">
        <v>344</v>
      </c>
      <c r="B2661" t="s">
        <v>495</v>
      </c>
      <c r="C2661" t="s">
        <v>503</v>
      </c>
      <c r="D2661" t="s">
        <v>504</v>
      </c>
      <c r="E2661">
        <v>2</v>
      </c>
      <c r="F2661">
        <v>8</v>
      </c>
      <c r="G2661">
        <v>360</v>
      </c>
      <c r="H2661">
        <v>12</v>
      </c>
      <c r="I2661">
        <v>22.6</v>
      </c>
      <c r="J2661">
        <v>10.9</v>
      </c>
      <c r="K2661">
        <v>16.5</v>
      </c>
      <c r="L2661">
        <v>23.3</v>
      </c>
      <c r="M2661">
        <v>100</v>
      </c>
    </row>
    <row r="2662" spans="1:13" x14ac:dyDescent="0.25">
      <c r="A2662" t="s">
        <v>344</v>
      </c>
      <c r="B2662" t="s">
        <v>495</v>
      </c>
      <c r="C2662" t="s">
        <v>503</v>
      </c>
      <c r="D2662" t="s">
        <v>504</v>
      </c>
      <c r="E2662">
        <v>2</v>
      </c>
      <c r="F2662">
        <v>8</v>
      </c>
      <c r="G2662">
        <v>380</v>
      </c>
      <c r="H2662">
        <v>12</v>
      </c>
      <c r="I2662">
        <v>22.6</v>
      </c>
      <c r="J2662">
        <v>10.9</v>
      </c>
      <c r="K2662">
        <v>16.5</v>
      </c>
      <c r="L2662">
        <v>23.3</v>
      </c>
      <c r="M2662">
        <v>100</v>
      </c>
    </row>
    <row r="2663" spans="1:13" x14ac:dyDescent="0.25">
      <c r="A2663" t="s">
        <v>344</v>
      </c>
      <c r="B2663" t="s">
        <v>495</v>
      </c>
      <c r="C2663" t="s">
        <v>503</v>
      </c>
      <c r="D2663" t="s">
        <v>504</v>
      </c>
      <c r="E2663">
        <v>2</v>
      </c>
      <c r="F2663">
        <v>8</v>
      </c>
      <c r="G2663">
        <v>400</v>
      </c>
      <c r="H2663">
        <v>12</v>
      </c>
      <c r="I2663">
        <v>22.6</v>
      </c>
      <c r="J2663">
        <v>10.9</v>
      </c>
      <c r="K2663">
        <v>16.5</v>
      </c>
      <c r="L2663">
        <v>23.3</v>
      </c>
      <c r="M2663">
        <v>100</v>
      </c>
    </row>
    <row r="2664" spans="1:13" x14ac:dyDescent="0.25">
      <c r="A2664" t="s">
        <v>344</v>
      </c>
      <c r="B2664" t="s">
        <v>495</v>
      </c>
      <c r="C2664" t="s">
        <v>503</v>
      </c>
      <c r="D2664" t="s">
        <v>504</v>
      </c>
      <c r="E2664">
        <v>2</v>
      </c>
      <c r="F2664">
        <v>10</v>
      </c>
      <c r="G2664">
        <v>60</v>
      </c>
      <c r="H2664">
        <v>15</v>
      </c>
      <c r="I2664">
        <v>33.6</v>
      </c>
      <c r="J2664">
        <v>11</v>
      </c>
      <c r="K2664">
        <v>16.7</v>
      </c>
      <c r="L2664">
        <v>35</v>
      </c>
      <c r="M2664">
        <v>40</v>
      </c>
    </row>
    <row r="2665" spans="1:13" x14ac:dyDescent="0.25">
      <c r="A2665" t="s">
        <v>344</v>
      </c>
      <c r="B2665" t="s">
        <v>495</v>
      </c>
      <c r="C2665" t="s">
        <v>503</v>
      </c>
      <c r="D2665" t="s">
        <v>504</v>
      </c>
      <c r="E2665">
        <v>2</v>
      </c>
      <c r="F2665">
        <v>10</v>
      </c>
      <c r="G2665">
        <v>70</v>
      </c>
      <c r="H2665">
        <v>15</v>
      </c>
      <c r="I2665">
        <v>33.6</v>
      </c>
      <c r="J2665">
        <v>11</v>
      </c>
      <c r="K2665">
        <v>16.7</v>
      </c>
      <c r="L2665">
        <v>35</v>
      </c>
      <c r="M2665">
        <v>40</v>
      </c>
    </row>
    <row r="2666" spans="1:13" x14ac:dyDescent="0.25">
      <c r="A2666" t="s">
        <v>344</v>
      </c>
      <c r="B2666" t="s">
        <v>495</v>
      </c>
      <c r="C2666" t="s">
        <v>503</v>
      </c>
      <c r="D2666" t="s">
        <v>504</v>
      </c>
      <c r="E2666">
        <v>2</v>
      </c>
      <c r="F2666">
        <v>10</v>
      </c>
      <c r="G2666">
        <v>80</v>
      </c>
      <c r="H2666">
        <v>15</v>
      </c>
      <c r="I2666">
        <v>33.6</v>
      </c>
      <c r="J2666">
        <v>11</v>
      </c>
      <c r="K2666">
        <v>16.7</v>
      </c>
      <c r="L2666">
        <v>35</v>
      </c>
      <c r="M2666">
        <v>50</v>
      </c>
    </row>
    <row r="2667" spans="1:13" x14ac:dyDescent="0.25">
      <c r="A2667" t="s">
        <v>344</v>
      </c>
      <c r="B2667" t="s">
        <v>495</v>
      </c>
      <c r="C2667" t="s">
        <v>503</v>
      </c>
      <c r="D2667" t="s">
        <v>504</v>
      </c>
      <c r="E2667">
        <v>2</v>
      </c>
      <c r="F2667">
        <v>10</v>
      </c>
      <c r="G2667">
        <v>100</v>
      </c>
      <c r="H2667">
        <v>15</v>
      </c>
      <c r="I2667">
        <v>33.6</v>
      </c>
      <c r="J2667">
        <v>11</v>
      </c>
      <c r="K2667">
        <v>16.7</v>
      </c>
      <c r="L2667">
        <v>35</v>
      </c>
      <c r="M2667">
        <v>60</v>
      </c>
    </row>
    <row r="2668" spans="1:13" x14ac:dyDescent="0.25">
      <c r="A2668" t="s">
        <v>344</v>
      </c>
      <c r="B2668" t="s">
        <v>495</v>
      </c>
      <c r="C2668" t="s">
        <v>503</v>
      </c>
      <c r="D2668" t="s">
        <v>504</v>
      </c>
      <c r="E2668">
        <v>2</v>
      </c>
      <c r="F2668">
        <v>10</v>
      </c>
      <c r="G2668">
        <v>120</v>
      </c>
      <c r="H2668">
        <v>15</v>
      </c>
      <c r="I2668">
        <v>33.6</v>
      </c>
      <c r="J2668">
        <v>11</v>
      </c>
      <c r="K2668">
        <v>16.7</v>
      </c>
      <c r="L2668">
        <v>35</v>
      </c>
      <c r="M2668">
        <v>80</v>
      </c>
    </row>
    <row r="2669" spans="1:13" x14ac:dyDescent="0.25">
      <c r="A2669" t="s">
        <v>344</v>
      </c>
      <c r="B2669" t="s">
        <v>495</v>
      </c>
      <c r="C2669" t="s">
        <v>503</v>
      </c>
      <c r="D2669" t="s">
        <v>504</v>
      </c>
      <c r="E2669">
        <v>2</v>
      </c>
      <c r="F2669">
        <v>10</v>
      </c>
      <c r="G2669">
        <v>140</v>
      </c>
      <c r="H2669">
        <v>15</v>
      </c>
      <c r="I2669">
        <v>33.6</v>
      </c>
      <c r="J2669">
        <v>11</v>
      </c>
      <c r="K2669">
        <v>16.7</v>
      </c>
      <c r="L2669">
        <v>35</v>
      </c>
      <c r="M2669">
        <v>80</v>
      </c>
    </row>
    <row r="2670" spans="1:13" x14ac:dyDescent="0.25">
      <c r="A2670" t="s">
        <v>344</v>
      </c>
      <c r="B2670" t="s">
        <v>495</v>
      </c>
      <c r="C2670" t="s">
        <v>503</v>
      </c>
      <c r="D2670" t="s">
        <v>504</v>
      </c>
      <c r="E2670">
        <v>2</v>
      </c>
      <c r="F2670">
        <v>10</v>
      </c>
      <c r="G2670">
        <v>160</v>
      </c>
      <c r="H2670">
        <v>15</v>
      </c>
      <c r="I2670">
        <v>33.6</v>
      </c>
      <c r="J2670">
        <v>11</v>
      </c>
      <c r="K2670">
        <v>16.7</v>
      </c>
      <c r="L2670">
        <v>35</v>
      </c>
      <c r="M2670">
        <v>80</v>
      </c>
    </row>
    <row r="2671" spans="1:13" x14ac:dyDescent="0.25">
      <c r="A2671" t="s">
        <v>344</v>
      </c>
      <c r="B2671" t="s">
        <v>495</v>
      </c>
      <c r="C2671" t="s">
        <v>503</v>
      </c>
      <c r="D2671" t="s">
        <v>504</v>
      </c>
      <c r="E2671">
        <v>2</v>
      </c>
      <c r="F2671">
        <v>10</v>
      </c>
      <c r="G2671">
        <v>180</v>
      </c>
      <c r="H2671">
        <v>15</v>
      </c>
      <c r="I2671">
        <v>33.6</v>
      </c>
      <c r="J2671">
        <v>11</v>
      </c>
      <c r="K2671">
        <v>16.7</v>
      </c>
      <c r="L2671">
        <v>35</v>
      </c>
      <c r="M2671">
        <v>100</v>
      </c>
    </row>
    <row r="2672" spans="1:13" x14ac:dyDescent="0.25">
      <c r="A2672" t="s">
        <v>344</v>
      </c>
      <c r="B2672" t="s">
        <v>495</v>
      </c>
      <c r="C2672" t="s">
        <v>503</v>
      </c>
      <c r="D2672" t="s">
        <v>504</v>
      </c>
      <c r="E2672">
        <v>2</v>
      </c>
      <c r="F2672">
        <v>10</v>
      </c>
      <c r="G2672">
        <v>200</v>
      </c>
      <c r="H2672">
        <v>15</v>
      </c>
      <c r="I2672">
        <v>33.6</v>
      </c>
      <c r="J2672">
        <v>11</v>
      </c>
      <c r="K2672">
        <v>16.7</v>
      </c>
      <c r="L2672">
        <v>35</v>
      </c>
      <c r="M2672">
        <v>100</v>
      </c>
    </row>
    <row r="2673" spans="1:13" x14ac:dyDescent="0.25">
      <c r="A2673" t="s">
        <v>344</v>
      </c>
      <c r="B2673" t="s">
        <v>495</v>
      </c>
      <c r="C2673" t="s">
        <v>503</v>
      </c>
      <c r="D2673" t="s">
        <v>504</v>
      </c>
      <c r="E2673">
        <v>2</v>
      </c>
      <c r="F2673">
        <v>10</v>
      </c>
      <c r="G2673">
        <v>220</v>
      </c>
      <c r="H2673">
        <v>15</v>
      </c>
      <c r="I2673">
        <v>33.6</v>
      </c>
      <c r="J2673">
        <v>11</v>
      </c>
      <c r="K2673">
        <v>16.7</v>
      </c>
      <c r="L2673">
        <v>35</v>
      </c>
      <c r="M2673">
        <v>100</v>
      </c>
    </row>
    <row r="2674" spans="1:13" x14ac:dyDescent="0.25">
      <c r="A2674" t="s">
        <v>344</v>
      </c>
      <c r="B2674" t="s">
        <v>495</v>
      </c>
      <c r="C2674" t="s">
        <v>503</v>
      </c>
      <c r="D2674" t="s">
        <v>504</v>
      </c>
      <c r="E2674">
        <v>2</v>
      </c>
      <c r="F2674">
        <v>10</v>
      </c>
      <c r="G2674">
        <v>240</v>
      </c>
      <c r="H2674">
        <v>15</v>
      </c>
      <c r="I2674">
        <v>33.6</v>
      </c>
      <c r="J2674">
        <v>11</v>
      </c>
      <c r="K2674">
        <v>16.7</v>
      </c>
      <c r="L2674">
        <v>35</v>
      </c>
      <c r="M2674">
        <v>100</v>
      </c>
    </row>
    <row r="2675" spans="1:13" x14ac:dyDescent="0.25">
      <c r="A2675" t="s">
        <v>344</v>
      </c>
      <c r="B2675" t="s">
        <v>495</v>
      </c>
      <c r="C2675" t="s">
        <v>503</v>
      </c>
      <c r="D2675" t="s">
        <v>504</v>
      </c>
      <c r="E2675">
        <v>2</v>
      </c>
      <c r="F2675">
        <v>10</v>
      </c>
      <c r="G2675">
        <v>260</v>
      </c>
      <c r="H2675">
        <v>15</v>
      </c>
      <c r="I2675">
        <v>33.6</v>
      </c>
      <c r="J2675">
        <v>11</v>
      </c>
      <c r="K2675">
        <v>16.7</v>
      </c>
      <c r="L2675">
        <v>35</v>
      </c>
      <c r="M2675">
        <v>100</v>
      </c>
    </row>
    <row r="2676" spans="1:13" x14ac:dyDescent="0.25">
      <c r="A2676" t="s">
        <v>344</v>
      </c>
      <c r="B2676" t="s">
        <v>495</v>
      </c>
      <c r="C2676" t="s">
        <v>503</v>
      </c>
      <c r="D2676" t="s">
        <v>504</v>
      </c>
      <c r="E2676">
        <v>2</v>
      </c>
      <c r="F2676">
        <v>10</v>
      </c>
      <c r="G2676">
        <v>280</v>
      </c>
      <c r="H2676">
        <v>15</v>
      </c>
      <c r="I2676">
        <v>33.6</v>
      </c>
      <c r="J2676">
        <v>11</v>
      </c>
      <c r="K2676">
        <v>16.7</v>
      </c>
      <c r="L2676">
        <v>35</v>
      </c>
      <c r="M2676">
        <v>100</v>
      </c>
    </row>
    <row r="2677" spans="1:13" x14ac:dyDescent="0.25">
      <c r="A2677" t="s">
        <v>344</v>
      </c>
      <c r="B2677" t="s">
        <v>495</v>
      </c>
      <c r="C2677" t="s">
        <v>503</v>
      </c>
      <c r="D2677" t="s">
        <v>504</v>
      </c>
      <c r="E2677">
        <v>2</v>
      </c>
      <c r="F2677">
        <v>10</v>
      </c>
      <c r="G2677">
        <v>300</v>
      </c>
      <c r="H2677">
        <v>15</v>
      </c>
      <c r="I2677">
        <v>33.6</v>
      </c>
      <c r="J2677">
        <v>11</v>
      </c>
      <c r="K2677">
        <v>16.7</v>
      </c>
      <c r="L2677">
        <v>35</v>
      </c>
      <c r="M2677">
        <v>100</v>
      </c>
    </row>
    <row r="2678" spans="1:13" x14ac:dyDescent="0.25">
      <c r="A2678" t="s">
        <v>344</v>
      </c>
      <c r="B2678" t="s">
        <v>495</v>
      </c>
      <c r="C2678" t="s">
        <v>503</v>
      </c>
      <c r="D2678" t="s">
        <v>504</v>
      </c>
      <c r="E2678">
        <v>2</v>
      </c>
      <c r="F2678">
        <v>10</v>
      </c>
      <c r="G2678">
        <v>350</v>
      </c>
      <c r="H2678">
        <v>15</v>
      </c>
      <c r="I2678">
        <v>33.6</v>
      </c>
      <c r="J2678">
        <v>11</v>
      </c>
      <c r="K2678">
        <v>16.7</v>
      </c>
      <c r="L2678">
        <v>35</v>
      </c>
      <c r="M2678">
        <v>100</v>
      </c>
    </row>
    <row r="2679" spans="1:13" x14ac:dyDescent="0.25">
      <c r="A2679" t="s">
        <v>344</v>
      </c>
      <c r="B2679" t="s">
        <v>495</v>
      </c>
      <c r="C2679" t="s">
        <v>503</v>
      </c>
      <c r="D2679" t="s">
        <v>504</v>
      </c>
      <c r="E2679">
        <v>2</v>
      </c>
      <c r="F2679">
        <v>10</v>
      </c>
      <c r="G2679">
        <v>400</v>
      </c>
      <c r="H2679">
        <v>15</v>
      </c>
      <c r="I2679">
        <v>33.6</v>
      </c>
      <c r="J2679">
        <v>11</v>
      </c>
      <c r="K2679">
        <v>16.7</v>
      </c>
      <c r="L2679">
        <v>35</v>
      </c>
      <c r="M2679">
        <v>100</v>
      </c>
    </row>
    <row r="2680" spans="1:13" x14ac:dyDescent="0.25">
      <c r="A2680" t="s">
        <v>344</v>
      </c>
      <c r="B2680" t="s">
        <v>495</v>
      </c>
      <c r="C2680" t="s">
        <v>503</v>
      </c>
      <c r="D2680" t="s">
        <v>504</v>
      </c>
      <c r="E2680">
        <v>2</v>
      </c>
      <c r="F2680">
        <v>12</v>
      </c>
      <c r="G2680">
        <v>80</v>
      </c>
      <c r="H2680">
        <v>17</v>
      </c>
      <c r="I2680">
        <v>46.9</v>
      </c>
      <c r="J2680">
        <v>11.2</v>
      </c>
      <c r="K2680">
        <v>17.100000000000001</v>
      </c>
      <c r="L2680">
        <v>42</v>
      </c>
      <c r="M2680">
        <v>50</v>
      </c>
    </row>
    <row r="2681" spans="1:13" x14ac:dyDescent="0.25">
      <c r="A2681" t="s">
        <v>344</v>
      </c>
      <c r="B2681" t="s">
        <v>495</v>
      </c>
      <c r="C2681" t="s">
        <v>503</v>
      </c>
      <c r="D2681" t="s">
        <v>504</v>
      </c>
      <c r="E2681">
        <v>2</v>
      </c>
      <c r="F2681">
        <v>12</v>
      </c>
      <c r="G2681">
        <v>100</v>
      </c>
      <c r="H2681">
        <v>17</v>
      </c>
      <c r="I2681">
        <v>46.9</v>
      </c>
      <c r="J2681">
        <v>11.2</v>
      </c>
      <c r="K2681">
        <v>17.100000000000001</v>
      </c>
      <c r="L2681">
        <v>42</v>
      </c>
      <c r="M2681">
        <v>60</v>
      </c>
    </row>
    <row r="2682" spans="1:13" x14ac:dyDescent="0.25">
      <c r="A2682" t="s">
        <v>344</v>
      </c>
      <c r="B2682" t="s">
        <v>495</v>
      </c>
      <c r="C2682" t="s">
        <v>503</v>
      </c>
      <c r="D2682" t="s">
        <v>504</v>
      </c>
      <c r="E2682">
        <v>2</v>
      </c>
      <c r="F2682">
        <v>12</v>
      </c>
      <c r="G2682">
        <v>120</v>
      </c>
      <c r="H2682">
        <v>17</v>
      </c>
      <c r="I2682">
        <v>46.9</v>
      </c>
      <c r="J2682">
        <v>11.2</v>
      </c>
      <c r="K2682">
        <v>17.100000000000001</v>
      </c>
      <c r="L2682">
        <v>42</v>
      </c>
      <c r="M2682">
        <v>80</v>
      </c>
    </row>
    <row r="2683" spans="1:13" x14ac:dyDescent="0.25">
      <c r="A2683" t="s">
        <v>344</v>
      </c>
      <c r="B2683" t="s">
        <v>495</v>
      </c>
      <c r="C2683" t="s">
        <v>503</v>
      </c>
      <c r="D2683" t="s">
        <v>504</v>
      </c>
      <c r="E2683">
        <v>2</v>
      </c>
      <c r="F2683">
        <v>12</v>
      </c>
      <c r="G2683">
        <v>140</v>
      </c>
      <c r="H2683">
        <v>17</v>
      </c>
      <c r="I2683">
        <v>46.9</v>
      </c>
      <c r="J2683">
        <v>11.2</v>
      </c>
      <c r="K2683">
        <v>17.100000000000001</v>
      </c>
      <c r="L2683">
        <v>42</v>
      </c>
      <c r="M2683">
        <v>80</v>
      </c>
    </row>
    <row r="2684" spans="1:13" x14ac:dyDescent="0.25">
      <c r="A2684" t="s">
        <v>344</v>
      </c>
      <c r="B2684" t="s">
        <v>495</v>
      </c>
      <c r="C2684" t="s">
        <v>503</v>
      </c>
      <c r="D2684" t="s">
        <v>504</v>
      </c>
      <c r="E2684">
        <v>2</v>
      </c>
      <c r="F2684">
        <v>12</v>
      </c>
      <c r="G2684">
        <v>160</v>
      </c>
      <c r="H2684">
        <v>17</v>
      </c>
      <c r="I2684">
        <v>46.9</v>
      </c>
      <c r="J2684">
        <v>11.2</v>
      </c>
      <c r="K2684">
        <v>17.100000000000001</v>
      </c>
      <c r="L2684">
        <v>42</v>
      </c>
      <c r="M2684">
        <v>80</v>
      </c>
    </row>
    <row r="2685" spans="1:13" x14ac:dyDescent="0.25">
      <c r="A2685" t="s">
        <v>344</v>
      </c>
      <c r="B2685" t="s">
        <v>495</v>
      </c>
      <c r="C2685" t="s">
        <v>503</v>
      </c>
      <c r="D2685" t="s">
        <v>504</v>
      </c>
      <c r="E2685">
        <v>2</v>
      </c>
      <c r="F2685">
        <v>12</v>
      </c>
      <c r="G2685">
        <v>180</v>
      </c>
      <c r="H2685">
        <v>17</v>
      </c>
      <c r="I2685">
        <v>46.9</v>
      </c>
      <c r="J2685">
        <v>11.2</v>
      </c>
      <c r="K2685">
        <v>17.100000000000001</v>
      </c>
      <c r="L2685">
        <v>42</v>
      </c>
      <c r="M2685">
        <v>100</v>
      </c>
    </row>
    <row r="2686" spans="1:13" x14ac:dyDescent="0.25">
      <c r="A2686" t="s">
        <v>344</v>
      </c>
      <c r="B2686" t="s">
        <v>495</v>
      </c>
      <c r="C2686" t="s">
        <v>503</v>
      </c>
      <c r="D2686" t="s">
        <v>504</v>
      </c>
      <c r="E2686">
        <v>2</v>
      </c>
      <c r="F2686">
        <v>12</v>
      </c>
      <c r="G2686">
        <v>200</v>
      </c>
      <c r="H2686">
        <v>17</v>
      </c>
      <c r="I2686">
        <v>46.9</v>
      </c>
      <c r="J2686">
        <v>11.2</v>
      </c>
      <c r="K2686">
        <v>17.100000000000001</v>
      </c>
      <c r="L2686">
        <v>42</v>
      </c>
      <c r="M2686">
        <v>100</v>
      </c>
    </row>
    <row r="2687" spans="1:13" x14ac:dyDescent="0.25">
      <c r="A2687" t="s">
        <v>344</v>
      </c>
      <c r="B2687" t="s">
        <v>495</v>
      </c>
      <c r="C2687" t="s">
        <v>503</v>
      </c>
      <c r="D2687" t="s">
        <v>504</v>
      </c>
      <c r="E2687">
        <v>2</v>
      </c>
      <c r="F2687">
        <v>12</v>
      </c>
      <c r="G2687">
        <v>220</v>
      </c>
      <c r="H2687">
        <v>17</v>
      </c>
      <c r="I2687">
        <v>46.9</v>
      </c>
      <c r="J2687">
        <v>11.2</v>
      </c>
      <c r="K2687">
        <v>17.100000000000001</v>
      </c>
      <c r="L2687">
        <v>42</v>
      </c>
      <c r="M2687">
        <v>100</v>
      </c>
    </row>
    <row r="2688" spans="1:13" x14ac:dyDescent="0.25">
      <c r="A2688" t="s">
        <v>344</v>
      </c>
      <c r="B2688" t="s">
        <v>495</v>
      </c>
      <c r="C2688" t="s">
        <v>503</v>
      </c>
      <c r="D2688" t="s">
        <v>504</v>
      </c>
      <c r="E2688">
        <v>2</v>
      </c>
      <c r="F2688">
        <v>12</v>
      </c>
      <c r="G2688">
        <v>240</v>
      </c>
      <c r="H2688">
        <v>17</v>
      </c>
      <c r="I2688">
        <v>46.9</v>
      </c>
      <c r="J2688">
        <v>11.2</v>
      </c>
      <c r="K2688">
        <v>17.100000000000001</v>
      </c>
      <c r="L2688">
        <v>42</v>
      </c>
      <c r="M2688">
        <v>100</v>
      </c>
    </row>
    <row r="2689" spans="1:13" x14ac:dyDescent="0.25">
      <c r="A2689" t="s">
        <v>344</v>
      </c>
      <c r="B2689" t="s">
        <v>495</v>
      </c>
      <c r="C2689" t="s">
        <v>503</v>
      </c>
      <c r="D2689" t="s">
        <v>504</v>
      </c>
      <c r="E2689">
        <v>2</v>
      </c>
      <c r="F2689">
        <v>12</v>
      </c>
      <c r="G2689">
        <v>260</v>
      </c>
      <c r="H2689">
        <v>17</v>
      </c>
      <c r="I2689">
        <v>46.9</v>
      </c>
      <c r="J2689">
        <v>11.2</v>
      </c>
      <c r="K2689">
        <v>17.100000000000001</v>
      </c>
      <c r="L2689">
        <v>42</v>
      </c>
      <c r="M2689">
        <v>100</v>
      </c>
    </row>
    <row r="2690" spans="1:13" x14ac:dyDescent="0.25">
      <c r="A2690" t="s">
        <v>344</v>
      </c>
      <c r="B2690" t="s">
        <v>495</v>
      </c>
      <c r="C2690" t="s">
        <v>503</v>
      </c>
      <c r="D2690" t="s">
        <v>504</v>
      </c>
      <c r="E2690">
        <v>2</v>
      </c>
      <c r="F2690">
        <v>12</v>
      </c>
      <c r="G2690">
        <v>280</v>
      </c>
      <c r="H2690">
        <v>17</v>
      </c>
      <c r="I2690">
        <v>46.9</v>
      </c>
      <c r="J2690">
        <v>11.2</v>
      </c>
      <c r="K2690">
        <v>17.100000000000001</v>
      </c>
      <c r="L2690">
        <v>42</v>
      </c>
      <c r="M2690">
        <v>100</v>
      </c>
    </row>
    <row r="2691" spans="1:13" x14ac:dyDescent="0.25">
      <c r="A2691" t="s">
        <v>344</v>
      </c>
      <c r="B2691" t="s">
        <v>495</v>
      </c>
      <c r="C2691" t="s">
        <v>503</v>
      </c>
      <c r="D2691" t="s">
        <v>504</v>
      </c>
      <c r="E2691">
        <v>2</v>
      </c>
      <c r="F2691">
        <v>12</v>
      </c>
      <c r="G2691">
        <v>300</v>
      </c>
      <c r="H2691">
        <v>17</v>
      </c>
      <c r="I2691">
        <v>46.9</v>
      </c>
      <c r="J2691">
        <v>11.2</v>
      </c>
      <c r="K2691">
        <v>17.100000000000001</v>
      </c>
      <c r="L2691">
        <v>42</v>
      </c>
      <c r="M2691">
        <v>120</v>
      </c>
    </row>
    <row r="2692" spans="1:13" x14ac:dyDescent="0.25">
      <c r="A2692" t="s">
        <v>344</v>
      </c>
      <c r="B2692" t="s">
        <v>495</v>
      </c>
      <c r="C2692" t="s">
        <v>503</v>
      </c>
      <c r="D2692" t="s">
        <v>504</v>
      </c>
      <c r="E2692">
        <v>2</v>
      </c>
      <c r="F2692">
        <v>12</v>
      </c>
      <c r="G2692">
        <v>350</v>
      </c>
      <c r="H2692">
        <v>17</v>
      </c>
      <c r="I2692">
        <v>46.9</v>
      </c>
      <c r="J2692">
        <v>11.2</v>
      </c>
      <c r="K2692">
        <v>17.100000000000001</v>
      </c>
      <c r="L2692">
        <v>42</v>
      </c>
      <c r="M2692">
        <v>120</v>
      </c>
    </row>
    <row r="2693" spans="1:13" x14ac:dyDescent="0.25">
      <c r="A2693" t="s">
        <v>344</v>
      </c>
      <c r="B2693" t="s">
        <v>495</v>
      </c>
      <c r="C2693" t="s">
        <v>503</v>
      </c>
      <c r="D2693" t="s">
        <v>504</v>
      </c>
      <c r="E2693">
        <v>2</v>
      </c>
      <c r="F2693">
        <v>12</v>
      </c>
      <c r="G2693">
        <v>400</v>
      </c>
      <c r="H2693">
        <v>17</v>
      </c>
      <c r="I2693">
        <v>46.9</v>
      </c>
      <c r="J2693">
        <v>11.2</v>
      </c>
      <c r="K2693">
        <v>17.100000000000001</v>
      </c>
      <c r="L2693">
        <v>42</v>
      </c>
      <c r="M2693">
        <v>120</v>
      </c>
    </row>
    <row r="2694" spans="1:13" x14ac:dyDescent="0.25">
      <c r="A2694" t="s">
        <v>344</v>
      </c>
      <c r="B2694" t="s">
        <v>495</v>
      </c>
      <c r="C2694" t="s">
        <v>505</v>
      </c>
      <c r="D2694" t="s">
        <v>506</v>
      </c>
      <c r="E2694">
        <v>2</v>
      </c>
      <c r="F2694">
        <v>6</v>
      </c>
      <c r="G2694">
        <v>80</v>
      </c>
      <c r="H2694">
        <v>13</v>
      </c>
      <c r="I2694">
        <v>10.7</v>
      </c>
      <c r="J2694">
        <v>13</v>
      </c>
      <c r="K2694">
        <v>19.7</v>
      </c>
      <c r="L2694">
        <v>13.1</v>
      </c>
      <c r="M2694">
        <v>50</v>
      </c>
    </row>
    <row r="2695" spans="1:13" x14ac:dyDescent="0.25">
      <c r="A2695" t="s">
        <v>344</v>
      </c>
      <c r="B2695" t="s">
        <v>495</v>
      </c>
      <c r="C2695" t="s">
        <v>505</v>
      </c>
      <c r="D2695" t="s">
        <v>506</v>
      </c>
      <c r="E2695">
        <v>2</v>
      </c>
      <c r="F2695">
        <v>6</v>
      </c>
      <c r="G2695">
        <v>100</v>
      </c>
      <c r="H2695">
        <v>13</v>
      </c>
      <c r="I2695">
        <v>10.7</v>
      </c>
      <c r="J2695">
        <v>13</v>
      </c>
      <c r="K2695">
        <v>19.7</v>
      </c>
      <c r="L2695">
        <v>13.1</v>
      </c>
      <c r="M2695">
        <v>60</v>
      </c>
    </row>
    <row r="2696" spans="1:13" x14ac:dyDescent="0.25">
      <c r="A2696" t="s">
        <v>344</v>
      </c>
      <c r="B2696" t="s">
        <v>495</v>
      </c>
      <c r="C2696" t="s">
        <v>505</v>
      </c>
      <c r="D2696" t="s">
        <v>506</v>
      </c>
      <c r="E2696">
        <v>2</v>
      </c>
      <c r="F2696">
        <v>6</v>
      </c>
      <c r="G2696">
        <v>120</v>
      </c>
      <c r="H2696">
        <v>13</v>
      </c>
      <c r="I2696">
        <v>10.7</v>
      </c>
      <c r="J2696">
        <v>13</v>
      </c>
      <c r="K2696">
        <v>19.7</v>
      </c>
      <c r="L2696">
        <v>13.1</v>
      </c>
      <c r="M2696">
        <v>70</v>
      </c>
    </row>
    <row r="2697" spans="1:13" x14ac:dyDescent="0.25">
      <c r="A2697" t="s">
        <v>344</v>
      </c>
      <c r="B2697" t="s">
        <v>495</v>
      </c>
      <c r="C2697" t="s">
        <v>505</v>
      </c>
      <c r="D2697" t="s">
        <v>506</v>
      </c>
      <c r="E2697">
        <v>2</v>
      </c>
      <c r="F2697">
        <v>6</v>
      </c>
      <c r="G2697">
        <v>140</v>
      </c>
      <c r="H2697">
        <v>13</v>
      </c>
      <c r="I2697">
        <v>10.7</v>
      </c>
      <c r="J2697">
        <v>13</v>
      </c>
      <c r="K2697">
        <v>19.7</v>
      </c>
      <c r="L2697">
        <v>13.1</v>
      </c>
      <c r="M2697">
        <v>70</v>
      </c>
    </row>
    <row r="2698" spans="1:13" x14ac:dyDescent="0.25">
      <c r="A2698" t="s">
        <v>344</v>
      </c>
      <c r="B2698" t="s">
        <v>495</v>
      </c>
      <c r="C2698" t="s">
        <v>505</v>
      </c>
      <c r="D2698" t="s">
        <v>506</v>
      </c>
      <c r="E2698">
        <v>2</v>
      </c>
      <c r="F2698">
        <v>6</v>
      </c>
      <c r="G2698">
        <v>160</v>
      </c>
      <c r="H2698">
        <v>13</v>
      </c>
      <c r="I2698">
        <v>10.7</v>
      </c>
      <c r="J2698">
        <v>13</v>
      </c>
      <c r="K2698">
        <v>19.7</v>
      </c>
      <c r="L2698">
        <v>13.1</v>
      </c>
      <c r="M2698">
        <v>70</v>
      </c>
    </row>
    <row r="2699" spans="1:13" x14ac:dyDescent="0.25">
      <c r="A2699" t="s">
        <v>344</v>
      </c>
      <c r="B2699" t="s">
        <v>495</v>
      </c>
      <c r="C2699" t="s">
        <v>505</v>
      </c>
      <c r="D2699" t="s">
        <v>506</v>
      </c>
      <c r="E2699">
        <v>2</v>
      </c>
      <c r="F2699">
        <v>6</v>
      </c>
      <c r="G2699">
        <v>180</v>
      </c>
      <c r="H2699">
        <v>13</v>
      </c>
      <c r="I2699">
        <v>10.7</v>
      </c>
      <c r="J2699">
        <v>13</v>
      </c>
      <c r="K2699">
        <v>19.7</v>
      </c>
      <c r="L2699">
        <v>13.1</v>
      </c>
      <c r="M2699">
        <v>70</v>
      </c>
    </row>
    <row r="2700" spans="1:13" x14ac:dyDescent="0.25">
      <c r="A2700" t="s">
        <v>344</v>
      </c>
      <c r="B2700" t="s">
        <v>495</v>
      </c>
      <c r="C2700" t="s">
        <v>505</v>
      </c>
      <c r="D2700" t="s">
        <v>506</v>
      </c>
      <c r="E2700">
        <v>2</v>
      </c>
      <c r="F2700">
        <v>6</v>
      </c>
      <c r="G2700">
        <v>200</v>
      </c>
      <c r="H2700">
        <v>13</v>
      </c>
      <c r="I2700">
        <v>10.7</v>
      </c>
      <c r="J2700">
        <v>13</v>
      </c>
      <c r="K2700">
        <v>19.7</v>
      </c>
      <c r="L2700">
        <v>13.1</v>
      </c>
      <c r="M2700">
        <v>70</v>
      </c>
    </row>
    <row r="2701" spans="1:13" x14ac:dyDescent="0.25">
      <c r="A2701" t="s">
        <v>344</v>
      </c>
      <c r="B2701" t="s">
        <v>495</v>
      </c>
      <c r="C2701" t="s">
        <v>505</v>
      </c>
      <c r="D2701" t="s">
        <v>506</v>
      </c>
      <c r="E2701">
        <v>2</v>
      </c>
      <c r="F2701">
        <v>8</v>
      </c>
      <c r="G2701">
        <v>80</v>
      </c>
      <c r="H2701">
        <v>19</v>
      </c>
      <c r="I2701">
        <v>22.6</v>
      </c>
      <c r="J2701">
        <v>10.9</v>
      </c>
      <c r="K2701">
        <v>22.9</v>
      </c>
      <c r="L2701">
        <v>23.3</v>
      </c>
      <c r="M2701">
        <v>50</v>
      </c>
    </row>
    <row r="2702" spans="1:13" x14ac:dyDescent="0.25">
      <c r="A2702" t="s">
        <v>344</v>
      </c>
      <c r="B2702" t="s">
        <v>495</v>
      </c>
      <c r="C2702" t="s">
        <v>505</v>
      </c>
      <c r="D2702" t="s">
        <v>506</v>
      </c>
      <c r="E2702">
        <v>2</v>
      </c>
      <c r="F2702">
        <v>8</v>
      </c>
      <c r="G2702">
        <v>100</v>
      </c>
      <c r="H2702">
        <v>19</v>
      </c>
      <c r="I2702">
        <v>22.6</v>
      </c>
      <c r="J2702">
        <v>10.9</v>
      </c>
      <c r="K2702">
        <v>22.9</v>
      </c>
      <c r="L2702">
        <v>23.3</v>
      </c>
      <c r="M2702">
        <v>60</v>
      </c>
    </row>
    <row r="2703" spans="1:13" x14ac:dyDescent="0.25">
      <c r="A2703" t="s">
        <v>344</v>
      </c>
      <c r="B2703" t="s">
        <v>495</v>
      </c>
      <c r="C2703" t="s">
        <v>505</v>
      </c>
      <c r="D2703" t="s">
        <v>506</v>
      </c>
      <c r="E2703">
        <v>2</v>
      </c>
      <c r="F2703">
        <v>8</v>
      </c>
      <c r="G2703">
        <v>120</v>
      </c>
      <c r="H2703">
        <v>19</v>
      </c>
      <c r="I2703">
        <v>22.6</v>
      </c>
      <c r="J2703">
        <v>10.9</v>
      </c>
      <c r="K2703">
        <v>22.9</v>
      </c>
      <c r="L2703">
        <v>23.3</v>
      </c>
      <c r="M2703">
        <v>80</v>
      </c>
    </row>
    <row r="2704" spans="1:13" x14ac:dyDescent="0.25">
      <c r="A2704" t="s">
        <v>344</v>
      </c>
      <c r="B2704" t="s">
        <v>495</v>
      </c>
      <c r="C2704" t="s">
        <v>505</v>
      </c>
      <c r="D2704" t="s">
        <v>506</v>
      </c>
      <c r="E2704">
        <v>2</v>
      </c>
      <c r="F2704">
        <v>8</v>
      </c>
      <c r="G2704">
        <v>140</v>
      </c>
      <c r="H2704">
        <v>19</v>
      </c>
      <c r="I2704">
        <v>22.6</v>
      </c>
      <c r="J2704">
        <v>10.9</v>
      </c>
      <c r="K2704">
        <v>22.9</v>
      </c>
      <c r="L2704">
        <v>23.3</v>
      </c>
      <c r="M2704">
        <v>80</v>
      </c>
    </row>
    <row r="2705" spans="1:13" x14ac:dyDescent="0.25">
      <c r="A2705" t="s">
        <v>344</v>
      </c>
      <c r="B2705" t="s">
        <v>495</v>
      </c>
      <c r="C2705" t="s">
        <v>505</v>
      </c>
      <c r="D2705" t="s">
        <v>506</v>
      </c>
      <c r="E2705">
        <v>2</v>
      </c>
      <c r="F2705">
        <v>8</v>
      </c>
      <c r="G2705">
        <v>160</v>
      </c>
      <c r="H2705">
        <v>19</v>
      </c>
      <c r="I2705">
        <v>22.6</v>
      </c>
      <c r="J2705">
        <v>10.9</v>
      </c>
      <c r="K2705">
        <v>22.9</v>
      </c>
      <c r="L2705">
        <v>23.3</v>
      </c>
      <c r="M2705">
        <v>80</v>
      </c>
    </row>
    <row r="2706" spans="1:13" x14ac:dyDescent="0.25">
      <c r="A2706" t="s">
        <v>344</v>
      </c>
      <c r="B2706" t="s">
        <v>495</v>
      </c>
      <c r="C2706" t="s">
        <v>505</v>
      </c>
      <c r="D2706" t="s">
        <v>506</v>
      </c>
      <c r="E2706">
        <v>2</v>
      </c>
      <c r="F2706">
        <v>8</v>
      </c>
      <c r="G2706">
        <v>180</v>
      </c>
      <c r="H2706">
        <v>19</v>
      </c>
      <c r="I2706">
        <v>22.6</v>
      </c>
      <c r="J2706">
        <v>10.9</v>
      </c>
      <c r="K2706">
        <v>22.9</v>
      </c>
      <c r="L2706">
        <v>23.3</v>
      </c>
      <c r="M2706">
        <v>100</v>
      </c>
    </row>
    <row r="2707" spans="1:13" x14ac:dyDescent="0.25">
      <c r="A2707" t="s">
        <v>344</v>
      </c>
      <c r="B2707" t="s">
        <v>495</v>
      </c>
      <c r="C2707" t="s">
        <v>505</v>
      </c>
      <c r="D2707" t="s">
        <v>506</v>
      </c>
      <c r="E2707">
        <v>2</v>
      </c>
      <c r="F2707">
        <v>8</v>
      </c>
      <c r="G2707">
        <v>200</v>
      </c>
      <c r="H2707">
        <v>19</v>
      </c>
      <c r="I2707">
        <v>22.6</v>
      </c>
      <c r="J2707">
        <v>10.9</v>
      </c>
      <c r="K2707">
        <v>22.9</v>
      </c>
      <c r="L2707">
        <v>23.3</v>
      </c>
      <c r="M2707">
        <v>100</v>
      </c>
    </row>
    <row r="2708" spans="1:13" x14ac:dyDescent="0.25">
      <c r="A2708" t="s">
        <v>344</v>
      </c>
      <c r="B2708" t="s">
        <v>495</v>
      </c>
      <c r="C2708" t="s">
        <v>505</v>
      </c>
      <c r="D2708" t="s">
        <v>506</v>
      </c>
      <c r="E2708">
        <v>2</v>
      </c>
      <c r="F2708">
        <v>8</v>
      </c>
      <c r="G2708">
        <v>220</v>
      </c>
      <c r="H2708">
        <v>19</v>
      </c>
      <c r="I2708">
        <v>22.6</v>
      </c>
      <c r="J2708">
        <v>10.9</v>
      </c>
      <c r="K2708">
        <v>22.9</v>
      </c>
      <c r="L2708">
        <v>23.3</v>
      </c>
      <c r="M2708">
        <v>100</v>
      </c>
    </row>
    <row r="2709" spans="1:13" x14ac:dyDescent="0.25">
      <c r="A2709" t="s">
        <v>344</v>
      </c>
      <c r="B2709" t="s">
        <v>495</v>
      </c>
      <c r="C2709" t="s">
        <v>505</v>
      </c>
      <c r="D2709" t="s">
        <v>506</v>
      </c>
      <c r="E2709">
        <v>2</v>
      </c>
      <c r="F2709">
        <v>8</v>
      </c>
      <c r="G2709">
        <v>240</v>
      </c>
      <c r="H2709">
        <v>19</v>
      </c>
      <c r="I2709">
        <v>22.6</v>
      </c>
      <c r="J2709">
        <v>10.9</v>
      </c>
      <c r="K2709">
        <v>22.9</v>
      </c>
      <c r="L2709">
        <v>23.3</v>
      </c>
      <c r="M2709">
        <v>100</v>
      </c>
    </row>
    <row r="2710" spans="1:13" x14ac:dyDescent="0.25">
      <c r="A2710" t="s">
        <v>344</v>
      </c>
      <c r="B2710" t="s">
        <v>495</v>
      </c>
      <c r="C2710" t="s">
        <v>505</v>
      </c>
      <c r="D2710" t="s">
        <v>506</v>
      </c>
      <c r="E2710">
        <v>2</v>
      </c>
      <c r="F2710">
        <v>8</v>
      </c>
      <c r="G2710">
        <v>260</v>
      </c>
      <c r="H2710">
        <v>19</v>
      </c>
      <c r="I2710">
        <v>22.6</v>
      </c>
      <c r="J2710">
        <v>10.9</v>
      </c>
      <c r="K2710">
        <v>22.9</v>
      </c>
      <c r="L2710">
        <v>23.3</v>
      </c>
      <c r="M2710">
        <v>100</v>
      </c>
    </row>
    <row r="2711" spans="1:13" x14ac:dyDescent="0.25">
      <c r="A2711" t="s">
        <v>344</v>
      </c>
      <c r="B2711" t="s">
        <v>495</v>
      </c>
      <c r="C2711" t="s">
        <v>505</v>
      </c>
      <c r="D2711" t="s">
        <v>506</v>
      </c>
      <c r="E2711">
        <v>2</v>
      </c>
      <c r="F2711">
        <v>8</v>
      </c>
      <c r="G2711">
        <v>280</v>
      </c>
      <c r="H2711">
        <v>19</v>
      </c>
      <c r="I2711">
        <v>22.6</v>
      </c>
      <c r="J2711">
        <v>10.9</v>
      </c>
      <c r="K2711">
        <v>22.9</v>
      </c>
      <c r="L2711">
        <v>23.3</v>
      </c>
      <c r="M2711">
        <v>100</v>
      </c>
    </row>
    <row r="2712" spans="1:13" x14ac:dyDescent="0.25">
      <c r="A2712" t="s">
        <v>344</v>
      </c>
      <c r="B2712" t="s">
        <v>495</v>
      </c>
      <c r="C2712" t="s">
        <v>505</v>
      </c>
      <c r="D2712" t="s">
        <v>506</v>
      </c>
      <c r="E2712">
        <v>2</v>
      </c>
      <c r="F2712">
        <v>8</v>
      </c>
      <c r="G2712">
        <v>300</v>
      </c>
      <c r="H2712">
        <v>19</v>
      </c>
      <c r="I2712">
        <v>22.6</v>
      </c>
      <c r="J2712">
        <v>10.9</v>
      </c>
      <c r="K2712">
        <v>22.9</v>
      </c>
      <c r="L2712">
        <v>23.3</v>
      </c>
      <c r="M2712">
        <v>100</v>
      </c>
    </row>
    <row r="2713" spans="1:13" x14ac:dyDescent="0.25">
      <c r="A2713" t="s">
        <v>344</v>
      </c>
      <c r="B2713" t="s">
        <v>495</v>
      </c>
      <c r="C2713" t="s">
        <v>505</v>
      </c>
      <c r="D2713" t="s">
        <v>506</v>
      </c>
      <c r="E2713">
        <v>2</v>
      </c>
      <c r="F2713">
        <v>8</v>
      </c>
      <c r="G2713">
        <v>320</v>
      </c>
      <c r="H2713">
        <v>19</v>
      </c>
      <c r="I2713">
        <v>22.6</v>
      </c>
      <c r="J2713">
        <v>10.9</v>
      </c>
      <c r="K2713">
        <v>22.9</v>
      </c>
      <c r="L2713">
        <v>23.3</v>
      </c>
      <c r="M2713">
        <v>100</v>
      </c>
    </row>
    <row r="2714" spans="1:13" x14ac:dyDescent="0.25">
      <c r="A2714" t="s">
        <v>344</v>
      </c>
      <c r="B2714" t="s">
        <v>495</v>
      </c>
      <c r="C2714" t="s">
        <v>505</v>
      </c>
      <c r="D2714" t="s">
        <v>506</v>
      </c>
      <c r="E2714">
        <v>2</v>
      </c>
      <c r="F2714">
        <v>8</v>
      </c>
      <c r="G2714">
        <v>340</v>
      </c>
      <c r="H2714">
        <v>19</v>
      </c>
      <c r="I2714">
        <v>22.6</v>
      </c>
      <c r="J2714">
        <v>10.9</v>
      </c>
      <c r="K2714">
        <v>22.9</v>
      </c>
      <c r="L2714">
        <v>23.3</v>
      </c>
      <c r="M2714">
        <v>100</v>
      </c>
    </row>
    <row r="2715" spans="1:13" x14ac:dyDescent="0.25">
      <c r="A2715" t="s">
        <v>344</v>
      </c>
      <c r="B2715" t="s">
        <v>495</v>
      </c>
      <c r="C2715" t="s">
        <v>505</v>
      </c>
      <c r="D2715" t="s">
        <v>506</v>
      </c>
      <c r="E2715">
        <v>2</v>
      </c>
      <c r="F2715">
        <v>8</v>
      </c>
      <c r="G2715">
        <v>360</v>
      </c>
      <c r="H2715">
        <v>19</v>
      </c>
      <c r="I2715">
        <v>22.6</v>
      </c>
      <c r="J2715">
        <v>10.9</v>
      </c>
      <c r="K2715">
        <v>22.9</v>
      </c>
      <c r="L2715">
        <v>23.3</v>
      </c>
      <c r="M2715">
        <v>100</v>
      </c>
    </row>
    <row r="2716" spans="1:13" x14ac:dyDescent="0.25">
      <c r="A2716" t="s">
        <v>344</v>
      </c>
      <c r="B2716" t="s">
        <v>495</v>
      </c>
      <c r="C2716" t="s">
        <v>505</v>
      </c>
      <c r="D2716" t="s">
        <v>506</v>
      </c>
      <c r="E2716">
        <v>2</v>
      </c>
      <c r="F2716">
        <v>8</v>
      </c>
      <c r="G2716">
        <v>380</v>
      </c>
      <c r="H2716">
        <v>19</v>
      </c>
      <c r="I2716">
        <v>22.6</v>
      </c>
      <c r="J2716">
        <v>10.9</v>
      </c>
      <c r="K2716">
        <v>22.9</v>
      </c>
      <c r="L2716">
        <v>23.3</v>
      </c>
      <c r="M2716">
        <v>100</v>
      </c>
    </row>
    <row r="2717" spans="1:13" x14ac:dyDescent="0.25">
      <c r="A2717" t="s">
        <v>344</v>
      </c>
      <c r="B2717" t="s">
        <v>495</v>
      </c>
      <c r="C2717" t="s">
        <v>505</v>
      </c>
      <c r="D2717" t="s">
        <v>506</v>
      </c>
      <c r="E2717">
        <v>2</v>
      </c>
      <c r="F2717">
        <v>8</v>
      </c>
      <c r="G2717">
        <v>400</v>
      </c>
      <c r="H2717">
        <v>19</v>
      </c>
      <c r="I2717">
        <v>22.6</v>
      </c>
      <c r="J2717">
        <v>10.9</v>
      </c>
      <c r="K2717">
        <v>22.9</v>
      </c>
      <c r="L2717">
        <v>23.3</v>
      </c>
      <c r="M2717">
        <v>100</v>
      </c>
    </row>
    <row r="2718" spans="1:13" x14ac:dyDescent="0.25">
      <c r="A2718" t="s">
        <v>344</v>
      </c>
      <c r="B2718" t="s">
        <v>495</v>
      </c>
      <c r="C2718" t="s">
        <v>505</v>
      </c>
      <c r="D2718" t="s">
        <v>506</v>
      </c>
      <c r="E2718">
        <v>2</v>
      </c>
      <c r="F2718">
        <v>10</v>
      </c>
      <c r="G2718">
        <v>120</v>
      </c>
      <c r="H2718">
        <v>24</v>
      </c>
      <c r="I2718">
        <v>33.6</v>
      </c>
      <c r="J2718">
        <v>11</v>
      </c>
      <c r="K2718">
        <v>12.3</v>
      </c>
      <c r="L2718">
        <v>35</v>
      </c>
      <c r="M2718">
        <v>80</v>
      </c>
    </row>
    <row r="2719" spans="1:13" x14ac:dyDescent="0.25">
      <c r="A2719" t="s">
        <v>344</v>
      </c>
      <c r="B2719" t="s">
        <v>495</v>
      </c>
      <c r="C2719" t="s">
        <v>505</v>
      </c>
      <c r="D2719" t="s">
        <v>506</v>
      </c>
      <c r="E2719">
        <v>2</v>
      </c>
      <c r="F2719">
        <v>10</v>
      </c>
      <c r="G2719">
        <v>140</v>
      </c>
      <c r="H2719">
        <v>24</v>
      </c>
      <c r="I2719">
        <v>33.6</v>
      </c>
      <c r="J2719">
        <v>11</v>
      </c>
      <c r="K2719">
        <v>12.3</v>
      </c>
      <c r="L2719">
        <v>35</v>
      </c>
      <c r="M2719">
        <v>80</v>
      </c>
    </row>
    <row r="2720" spans="1:13" x14ac:dyDescent="0.25">
      <c r="A2720" t="s">
        <v>344</v>
      </c>
      <c r="B2720" t="s">
        <v>495</v>
      </c>
      <c r="C2720" t="s">
        <v>505</v>
      </c>
      <c r="D2720" t="s">
        <v>506</v>
      </c>
      <c r="E2720">
        <v>2</v>
      </c>
      <c r="F2720">
        <v>10</v>
      </c>
      <c r="G2720">
        <v>160</v>
      </c>
      <c r="H2720">
        <v>24</v>
      </c>
      <c r="I2720">
        <v>33.6</v>
      </c>
      <c r="J2720">
        <v>11</v>
      </c>
      <c r="K2720">
        <v>12.3</v>
      </c>
      <c r="L2720">
        <v>35</v>
      </c>
      <c r="M2720">
        <v>80</v>
      </c>
    </row>
    <row r="2721" spans="1:13" x14ac:dyDescent="0.25">
      <c r="A2721" t="s">
        <v>344</v>
      </c>
      <c r="B2721" t="s">
        <v>495</v>
      </c>
      <c r="C2721" t="s">
        <v>505</v>
      </c>
      <c r="D2721" t="s">
        <v>506</v>
      </c>
      <c r="E2721">
        <v>2</v>
      </c>
      <c r="F2721">
        <v>10</v>
      </c>
      <c r="G2721">
        <v>180</v>
      </c>
      <c r="H2721">
        <v>24</v>
      </c>
      <c r="I2721">
        <v>33.6</v>
      </c>
      <c r="J2721">
        <v>11</v>
      </c>
      <c r="K2721">
        <v>12.3</v>
      </c>
      <c r="L2721">
        <v>35</v>
      </c>
      <c r="M2721">
        <v>100</v>
      </c>
    </row>
    <row r="2722" spans="1:13" x14ac:dyDescent="0.25">
      <c r="A2722" t="s">
        <v>344</v>
      </c>
      <c r="B2722" t="s">
        <v>495</v>
      </c>
      <c r="C2722" t="s">
        <v>505</v>
      </c>
      <c r="D2722" t="s">
        <v>506</v>
      </c>
      <c r="E2722">
        <v>2</v>
      </c>
      <c r="F2722">
        <v>10</v>
      </c>
      <c r="G2722">
        <v>200</v>
      </c>
      <c r="H2722">
        <v>24</v>
      </c>
      <c r="I2722">
        <v>33.6</v>
      </c>
      <c r="J2722">
        <v>11</v>
      </c>
      <c r="K2722">
        <v>12.3</v>
      </c>
      <c r="L2722">
        <v>35</v>
      </c>
      <c r="M2722">
        <v>100</v>
      </c>
    </row>
    <row r="2723" spans="1:13" x14ac:dyDescent="0.25">
      <c r="A2723" t="s">
        <v>344</v>
      </c>
      <c r="B2723" t="s">
        <v>495</v>
      </c>
      <c r="C2723" t="s">
        <v>505</v>
      </c>
      <c r="D2723" t="s">
        <v>506</v>
      </c>
      <c r="E2723">
        <v>2</v>
      </c>
      <c r="F2723">
        <v>10</v>
      </c>
      <c r="G2723">
        <v>220</v>
      </c>
      <c r="H2723">
        <v>24</v>
      </c>
      <c r="I2723">
        <v>33.6</v>
      </c>
      <c r="J2723">
        <v>11</v>
      </c>
      <c r="K2723">
        <v>12.3</v>
      </c>
      <c r="L2723">
        <v>35</v>
      </c>
      <c r="M2723">
        <v>100</v>
      </c>
    </row>
    <row r="2724" spans="1:13" x14ac:dyDescent="0.25">
      <c r="A2724" t="s">
        <v>344</v>
      </c>
      <c r="B2724" t="s">
        <v>495</v>
      </c>
      <c r="C2724" t="s">
        <v>505</v>
      </c>
      <c r="D2724" t="s">
        <v>506</v>
      </c>
      <c r="E2724">
        <v>2</v>
      </c>
      <c r="F2724">
        <v>10</v>
      </c>
      <c r="G2724">
        <v>240</v>
      </c>
      <c r="H2724">
        <v>24</v>
      </c>
      <c r="I2724">
        <v>33.6</v>
      </c>
      <c r="J2724">
        <v>11</v>
      </c>
      <c r="K2724">
        <v>12.3</v>
      </c>
      <c r="L2724">
        <v>35</v>
      </c>
      <c r="M2724">
        <v>100</v>
      </c>
    </row>
    <row r="2725" spans="1:13" x14ac:dyDescent="0.25">
      <c r="A2725" t="s">
        <v>344</v>
      </c>
      <c r="B2725" t="s">
        <v>495</v>
      </c>
      <c r="C2725" t="s">
        <v>505</v>
      </c>
      <c r="D2725" t="s">
        <v>506</v>
      </c>
      <c r="E2725">
        <v>2</v>
      </c>
      <c r="F2725">
        <v>10</v>
      </c>
      <c r="G2725">
        <v>260</v>
      </c>
      <c r="H2725">
        <v>24</v>
      </c>
      <c r="I2725">
        <v>33.6</v>
      </c>
      <c r="J2725">
        <v>11</v>
      </c>
      <c r="K2725">
        <v>12.3</v>
      </c>
      <c r="L2725">
        <v>35</v>
      </c>
      <c r="M2725">
        <v>100</v>
      </c>
    </row>
    <row r="2726" spans="1:13" x14ac:dyDescent="0.25">
      <c r="A2726" t="s">
        <v>344</v>
      </c>
      <c r="B2726" t="s">
        <v>495</v>
      </c>
      <c r="C2726" t="s">
        <v>505</v>
      </c>
      <c r="D2726" t="s">
        <v>506</v>
      </c>
      <c r="E2726">
        <v>2</v>
      </c>
      <c r="F2726">
        <v>10</v>
      </c>
      <c r="G2726">
        <v>280</v>
      </c>
      <c r="H2726">
        <v>24</v>
      </c>
      <c r="I2726">
        <v>33.6</v>
      </c>
      <c r="J2726">
        <v>11</v>
      </c>
      <c r="K2726">
        <v>12.3</v>
      </c>
      <c r="L2726">
        <v>35</v>
      </c>
      <c r="M2726">
        <v>100</v>
      </c>
    </row>
    <row r="2727" spans="1:13" x14ac:dyDescent="0.25">
      <c r="A2727" t="s">
        <v>344</v>
      </c>
      <c r="B2727" t="s">
        <v>495</v>
      </c>
      <c r="C2727" t="s">
        <v>505</v>
      </c>
      <c r="D2727" t="s">
        <v>506</v>
      </c>
      <c r="E2727">
        <v>2</v>
      </c>
      <c r="F2727">
        <v>10</v>
      </c>
      <c r="G2727">
        <v>300</v>
      </c>
      <c r="H2727">
        <v>24</v>
      </c>
      <c r="I2727">
        <v>33.6</v>
      </c>
      <c r="J2727">
        <v>11</v>
      </c>
      <c r="K2727">
        <v>12.3</v>
      </c>
      <c r="L2727">
        <v>35</v>
      </c>
      <c r="M2727">
        <v>100</v>
      </c>
    </row>
    <row r="2728" spans="1:13" x14ac:dyDescent="0.25">
      <c r="A2728" t="s">
        <v>344</v>
      </c>
      <c r="B2728" t="s">
        <v>495</v>
      </c>
      <c r="C2728" t="s">
        <v>505</v>
      </c>
      <c r="D2728" t="s">
        <v>506</v>
      </c>
      <c r="E2728">
        <v>2</v>
      </c>
      <c r="F2728">
        <v>10</v>
      </c>
      <c r="G2728">
        <v>350</v>
      </c>
      <c r="H2728">
        <v>24</v>
      </c>
      <c r="I2728">
        <v>33.6</v>
      </c>
      <c r="J2728">
        <v>11</v>
      </c>
      <c r="K2728">
        <v>12.3</v>
      </c>
      <c r="L2728">
        <v>35</v>
      </c>
      <c r="M2728">
        <v>100</v>
      </c>
    </row>
    <row r="2729" spans="1:13" x14ac:dyDescent="0.25">
      <c r="A2729" t="s">
        <v>344</v>
      </c>
      <c r="B2729" t="s">
        <v>495</v>
      </c>
      <c r="C2729" t="s">
        <v>505</v>
      </c>
      <c r="D2729" t="s">
        <v>506</v>
      </c>
      <c r="E2729">
        <v>2</v>
      </c>
      <c r="F2729">
        <v>10</v>
      </c>
      <c r="G2729">
        <v>400</v>
      </c>
      <c r="H2729">
        <v>24</v>
      </c>
      <c r="I2729">
        <v>33.6</v>
      </c>
      <c r="J2729">
        <v>11</v>
      </c>
      <c r="K2729">
        <v>12.3</v>
      </c>
      <c r="L2729">
        <v>35</v>
      </c>
      <c r="M2729">
        <v>100</v>
      </c>
    </row>
    <row r="2730" spans="1:13" x14ac:dyDescent="0.25">
      <c r="A2730" t="s">
        <v>344</v>
      </c>
      <c r="B2730" t="s">
        <v>495</v>
      </c>
      <c r="C2730" t="s">
        <v>507</v>
      </c>
      <c r="D2730" t="s">
        <v>508</v>
      </c>
      <c r="E2730">
        <v>3</v>
      </c>
      <c r="F2730">
        <v>8</v>
      </c>
      <c r="G2730">
        <v>100</v>
      </c>
      <c r="H2730">
        <v>15</v>
      </c>
      <c r="I2730">
        <v>13.8</v>
      </c>
      <c r="J2730">
        <v>13.1</v>
      </c>
      <c r="K2730">
        <v>12.4</v>
      </c>
      <c r="L2730">
        <v>13.5</v>
      </c>
      <c r="M2730">
        <v>54</v>
      </c>
    </row>
    <row r="2731" spans="1:13" x14ac:dyDescent="0.25">
      <c r="A2731" t="s">
        <v>344</v>
      </c>
      <c r="B2731" t="s">
        <v>495</v>
      </c>
      <c r="C2731" t="s">
        <v>507</v>
      </c>
      <c r="D2731" t="s">
        <v>508</v>
      </c>
      <c r="E2731">
        <v>3</v>
      </c>
      <c r="F2731">
        <v>8</v>
      </c>
      <c r="G2731">
        <v>120</v>
      </c>
      <c r="H2731">
        <v>15</v>
      </c>
      <c r="I2731">
        <v>13.8</v>
      </c>
      <c r="J2731">
        <v>13.1</v>
      </c>
      <c r="K2731">
        <v>12.4</v>
      </c>
      <c r="L2731">
        <v>13.5</v>
      </c>
      <c r="M2731">
        <v>54</v>
      </c>
    </row>
    <row r="2732" spans="1:13" x14ac:dyDescent="0.25">
      <c r="A2732" t="s">
        <v>344</v>
      </c>
      <c r="B2732" t="s">
        <v>495</v>
      </c>
      <c r="C2732" t="s">
        <v>507</v>
      </c>
      <c r="D2732" t="s">
        <v>508</v>
      </c>
      <c r="E2732">
        <v>3</v>
      </c>
      <c r="F2732">
        <v>8</v>
      </c>
      <c r="G2732">
        <v>140</v>
      </c>
      <c r="H2732">
        <v>15</v>
      </c>
      <c r="I2732">
        <v>13.8</v>
      </c>
      <c r="J2732">
        <v>13.1</v>
      </c>
      <c r="K2732">
        <v>12.4</v>
      </c>
      <c r="L2732">
        <v>13.5</v>
      </c>
      <c r="M2732">
        <v>84</v>
      </c>
    </row>
    <row r="2733" spans="1:13" x14ac:dyDescent="0.25">
      <c r="A2733" t="s">
        <v>344</v>
      </c>
      <c r="B2733" t="s">
        <v>495</v>
      </c>
      <c r="C2733" t="s">
        <v>509</v>
      </c>
      <c r="D2733" t="s">
        <v>510</v>
      </c>
      <c r="E2733">
        <v>3</v>
      </c>
      <c r="F2733">
        <v>8</v>
      </c>
      <c r="G2733">
        <v>100</v>
      </c>
      <c r="H2733">
        <v>20</v>
      </c>
      <c r="I2733">
        <v>13.8</v>
      </c>
      <c r="J2733">
        <v>13.1</v>
      </c>
      <c r="K2733">
        <v>17.600000000000001</v>
      </c>
      <c r="L2733">
        <v>13.5</v>
      </c>
      <c r="M2733">
        <v>54</v>
      </c>
    </row>
    <row r="2734" spans="1:13" x14ac:dyDescent="0.25">
      <c r="A2734" t="s">
        <v>344</v>
      </c>
      <c r="B2734" t="s">
        <v>495</v>
      </c>
      <c r="C2734" t="s">
        <v>509</v>
      </c>
      <c r="D2734" t="s">
        <v>510</v>
      </c>
      <c r="E2734">
        <v>3</v>
      </c>
      <c r="F2734">
        <v>8</v>
      </c>
      <c r="G2734">
        <v>120</v>
      </c>
      <c r="H2734">
        <v>20</v>
      </c>
      <c r="I2734">
        <v>13.8</v>
      </c>
      <c r="J2734">
        <v>13.1</v>
      </c>
      <c r="K2734">
        <v>17.600000000000001</v>
      </c>
      <c r="L2734">
        <v>13.5</v>
      </c>
      <c r="M2734">
        <v>54</v>
      </c>
    </row>
    <row r="2735" spans="1:13" x14ac:dyDescent="0.25">
      <c r="A2735" t="s">
        <v>344</v>
      </c>
      <c r="B2735" t="s">
        <v>495</v>
      </c>
      <c r="C2735" t="s">
        <v>509</v>
      </c>
      <c r="D2735" t="s">
        <v>510</v>
      </c>
      <c r="E2735">
        <v>3</v>
      </c>
      <c r="F2735">
        <v>8</v>
      </c>
      <c r="G2735">
        <v>140</v>
      </c>
      <c r="H2735">
        <v>20</v>
      </c>
      <c r="I2735">
        <v>13.8</v>
      </c>
      <c r="J2735">
        <v>13.1</v>
      </c>
      <c r="K2735">
        <v>17.600000000000001</v>
      </c>
      <c r="L2735">
        <v>13.5</v>
      </c>
      <c r="M2735">
        <v>84</v>
      </c>
    </row>
    <row r="2736" spans="1:13" x14ac:dyDescent="0.25">
      <c r="A2736" t="s">
        <v>344</v>
      </c>
      <c r="B2736" t="s">
        <v>495</v>
      </c>
      <c r="C2736" t="s">
        <v>491</v>
      </c>
      <c r="D2736" t="s">
        <v>493</v>
      </c>
      <c r="E2736">
        <v>1</v>
      </c>
      <c r="F2736">
        <v>4</v>
      </c>
      <c r="G2736">
        <v>30</v>
      </c>
      <c r="H2736">
        <v>8</v>
      </c>
      <c r="I2736">
        <v>3.2</v>
      </c>
      <c r="J2736">
        <v>14.8</v>
      </c>
      <c r="K2736">
        <v>17.100000000000001</v>
      </c>
      <c r="L2736">
        <v>5</v>
      </c>
      <c r="M2736">
        <v>24</v>
      </c>
    </row>
    <row r="2737" spans="1:13" x14ac:dyDescent="0.25">
      <c r="A2737" t="s">
        <v>344</v>
      </c>
      <c r="B2737" t="s">
        <v>495</v>
      </c>
      <c r="C2737" t="s">
        <v>491</v>
      </c>
      <c r="D2737" t="s">
        <v>493</v>
      </c>
      <c r="E2737">
        <v>1</v>
      </c>
      <c r="F2737">
        <v>4</v>
      </c>
      <c r="G2737">
        <v>35</v>
      </c>
      <c r="H2737">
        <v>8</v>
      </c>
      <c r="I2737">
        <v>3.2</v>
      </c>
      <c r="J2737">
        <v>14.8</v>
      </c>
      <c r="K2737">
        <v>17.100000000000001</v>
      </c>
      <c r="L2737">
        <v>5</v>
      </c>
      <c r="M2737">
        <v>24</v>
      </c>
    </row>
    <row r="2738" spans="1:13" x14ac:dyDescent="0.25">
      <c r="A2738" t="s">
        <v>344</v>
      </c>
      <c r="B2738" t="s">
        <v>495</v>
      </c>
      <c r="C2738" t="s">
        <v>491</v>
      </c>
      <c r="D2738" t="s">
        <v>493</v>
      </c>
      <c r="E2738">
        <v>1</v>
      </c>
      <c r="F2738">
        <v>4</v>
      </c>
      <c r="G2738">
        <v>40</v>
      </c>
      <c r="H2738">
        <v>8</v>
      </c>
      <c r="I2738">
        <v>3.2</v>
      </c>
      <c r="J2738">
        <v>14.8</v>
      </c>
      <c r="K2738">
        <v>17.100000000000001</v>
      </c>
      <c r="L2738">
        <v>5</v>
      </c>
      <c r="M2738">
        <v>30</v>
      </c>
    </row>
    <row r="2739" spans="1:13" x14ac:dyDescent="0.25">
      <c r="A2739" t="s">
        <v>344</v>
      </c>
      <c r="B2739" t="s">
        <v>495</v>
      </c>
      <c r="C2739" t="s">
        <v>491</v>
      </c>
      <c r="D2739" t="s">
        <v>493</v>
      </c>
      <c r="E2739">
        <v>1</v>
      </c>
      <c r="F2739">
        <v>4</v>
      </c>
      <c r="G2739">
        <v>50</v>
      </c>
      <c r="H2739">
        <v>8</v>
      </c>
      <c r="I2739">
        <v>3.2</v>
      </c>
      <c r="J2739">
        <v>14.8</v>
      </c>
      <c r="K2739">
        <v>17.100000000000001</v>
      </c>
      <c r="L2739">
        <v>5</v>
      </c>
      <c r="M2739">
        <v>30</v>
      </c>
    </row>
    <row r="2740" spans="1:13" x14ac:dyDescent="0.25">
      <c r="A2740" t="s">
        <v>344</v>
      </c>
      <c r="B2740" t="s">
        <v>495</v>
      </c>
      <c r="C2740" t="s">
        <v>491</v>
      </c>
      <c r="D2740" t="s">
        <v>493</v>
      </c>
      <c r="E2740">
        <v>1</v>
      </c>
      <c r="F2740">
        <v>4</v>
      </c>
      <c r="G2740">
        <v>60</v>
      </c>
      <c r="H2740">
        <v>8</v>
      </c>
      <c r="I2740">
        <v>3.2</v>
      </c>
      <c r="J2740">
        <v>14.8</v>
      </c>
      <c r="K2740">
        <v>17.100000000000001</v>
      </c>
      <c r="L2740">
        <v>5</v>
      </c>
      <c r="M2740">
        <v>35</v>
      </c>
    </row>
    <row r="2741" spans="1:13" x14ac:dyDescent="0.25">
      <c r="A2741" t="s">
        <v>344</v>
      </c>
      <c r="B2741" t="s">
        <v>495</v>
      </c>
      <c r="C2741" t="s">
        <v>491</v>
      </c>
      <c r="D2741" t="s">
        <v>493</v>
      </c>
      <c r="E2741">
        <v>1</v>
      </c>
      <c r="F2741">
        <v>4</v>
      </c>
      <c r="G2741">
        <v>70</v>
      </c>
      <c r="H2741">
        <v>8</v>
      </c>
      <c r="I2741">
        <v>3.2</v>
      </c>
      <c r="J2741">
        <v>14.8</v>
      </c>
      <c r="K2741">
        <v>17.100000000000001</v>
      </c>
      <c r="L2741">
        <v>5</v>
      </c>
      <c r="M2741">
        <v>35</v>
      </c>
    </row>
    <row r="2742" spans="1:13" x14ac:dyDescent="0.25">
      <c r="A2742" t="s">
        <v>344</v>
      </c>
      <c r="B2742" t="s">
        <v>495</v>
      </c>
      <c r="C2742" t="s">
        <v>491</v>
      </c>
      <c r="D2742" t="s">
        <v>493</v>
      </c>
      <c r="E2742">
        <v>2</v>
      </c>
      <c r="F2742">
        <v>4.5</v>
      </c>
      <c r="G2742">
        <v>50</v>
      </c>
      <c r="H2742">
        <v>9</v>
      </c>
      <c r="I2742">
        <v>4.9000000000000004</v>
      </c>
      <c r="J2742">
        <v>13.8</v>
      </c>
      <c r="K2742">
        <v>17.600000000000001</v>
      </c>
      <c r="L2742">
        <v>5.8</v>
      </c>
      <c r="M2742">
        <v>29</v>
      </c>
    </row>
    <row r="2743" spans="1:13" x14ac:dyDescent="0.25">
      <c r="A2743" t="s">
        <v>344</v>
      </c>
      <c r="B2743" t="s">
        <v>495</v>
      </c>
      <c r="C2743" t="s">
        <v>491</v>
      </c>
      <c r="D2743" t="s">
        <v>493</v>
      </c>
      <c r="E2743">
        <v>2</v>
      </c>
      <c r="F2743">
        <v>4.5</v>
      </c>
      <c r="G2743">
        <v>60</v>
      </c>
      <c r="H2743">
        <v>9</v>
      </c>
      <c r="I2743">
        <v>4.9000000000000004</v>
      </c>
      <c r="J2743">
        <v>13.8</v>
      </c>
      <c r="K2743">
        <v>17.600000000000001</v>
      </c>
      <c r="L2743">
        <v>5.8</v>
      </c>
      <c r="M2743">
        <v>29</v>
      </c>
    </row>
    <row r="2744" spans="1:13" x14ac:dyDescent="0.25">
      <c r="A2744" t="s">
        <v>344</v>
      </c>
      <c r="B2744" t="s">
        <v>495</v>
      </c>
      <c r="C2744" t="s">
        <v>491</v>
      </c>
      <c r="D2744" t="s">
        <v>493</v>
      </c>
      <c r="E2744">
        <v>2</v>
      </c>
      <c r="F2744">
        <v>4.5</v>
      </c>
      <c r="G2744">
        <v>70</v>
      </c>
      <c r="H2744">
        <v>9</v>
      </c>
      <c r="I2744">
        <v>4.9000000000000004</v>
      </c>
      <c r="J2744">
        <v>13.8</v>
      </c>
      <c r="K2744">
        <v>17.600000000000001</v>
      </c>
      <c r="L2744">
        <v>5.8</v>
      </c>
      <c r="M2744">
        <v>39</v>
      </c>
    </row>
    <row r="2745" spans="1:13" x14ac:dyDescent="0.25">
      <c r="A2745" t="s">
        <v>344</v>
      </c>
      <c r="B2745" t="s">
        <v>495</v>
      </c>
      <c r="C2745" t="s">
        <v>491</v>
      </c>
      <c r="D2745" t="s">
        <v>493</v>
      </c>
      <c r="E2745">
        <v>2</v>
      </c>
      <c r="F2745">
        <v>4.5</v>
      </c>
      <c r="G2745">
        <v>80</v>
      </c>
      <c r="H2745">
        <v>9</v>
      </c>
      <c r="I2745">
        <v>4.9000000000000004</v>
      </c>
      <c r="J2745">
        <v>13.8</v>
      </c>
      <c r="K2745">
        <v>17.600000000000001</v>
      </c>
      <c r="L2745">
        <v>5.8</v>
      </c>
      <c r="M2745">
        <v>39</v>
      </c>
    </row>
    <row r="2746" spans="1:13" x14ac:dyDescent="0.25">
      <c r="A2746" t="s">
        <v>344</v>
      </c>
      <c r="B2746" t="s">
        <v>495</v>
      </c>
      <c r="C2746" t="s">
        <v>491</v>
      </c>
      <c r="D2746" t="s">
        <v>493</v>
      </c>
      <c r="E2746">
        <v>2</v>
      </c>
      <c r="F2746">
        <v>5</v>
      </c>
      <c r="G2746">
        <v>50</v>
      </c>
      <c r="H2746">
        <v>10</v>
      </c>
      <c r="I2746">
        <v>6.5</v>
      </c>
      <c r="J2746">
        <v>12.8</v>
      </c>
      <c r="K2746">
        <v>14.6</v>
      </c>
      <c r="L2746">
        <v>8.5</v>
      </c>
      <c r="M2746">
        <v>30</v>
      </c>
    </row>
    <row r="2747" spans="1:13" x14ac:dyDescent="0.25">
      <c r="A2747" t="s">
        <v>344</v>
      </c>
      <c r="B2747" t="s">
        <v>495</v>
      </c>
      <c r="C2747" t="s">
        <v>491</v>
      </c>
      <c r="D2747" t="s">
        <v>493</v>
      </c>
      <c r="E2747">
        <v>2</v>
      </c>
      <c r="F2747">
        <v>5</v>
      </c>
      <c r="G2747">
        <v>60</v>
      </c>
      <c r="H2747">
        <v>10</v>
      </c>
      <c r="I2747">
        <v>6.5</v>
      </c>
      <c r="J2747">
        <v>12.8</v>
      </c>
      <c r="K2747">
        <v>14.6</v>
      </c>
      <c r="L2747">
        <v>8.5</v>
      </c>
      <c r="M2747">
        <v>30</v>
      </c>
    </row>
    <row r="2748" spans="1:13" x14ac:dyDescent="0.25">
      <c r="A2748" t="s">
        <v>344</v>
      </c>
      <c r="B2748" t="s">
        <v>495</v>
      </c>
      <c r="C2748" t="s">
        <v>491</v>
      </c>
      <c r="D2748" t="s">
        <v>493</v>
      </c>
      <c r="E2748">
        <v>2</v>
      </c>
      <c r="F2748">
        <v>5</v>
      </c>
      <c r="G2748">
        <v>70</v>
      </c>
      <c r="H2748">
        <v>10</v>
      </c>
      <c r="I2748">
        <v>6.5</v>
      </c>
      <c r="J2748">
        <v>12.8</v>
      </c>
      <c r="K2748">
        <v>14.6</v>
      </c>
      <c r="L2748">
        <v>8.5</v>
      </c>
      <c r="M2748">
        <v>37</v>
      </c>
    </row>
    <row r="2749" spans="1:13" x14ac:dyDescent="0.25">
      <c r="A2749" t="s">
        <v>344</v>
      </c>
      <c r="B2749" t="s">
        <v>495</v>
      </c>
      <c r="C2749" t="s">
        <v>491</v>
      </c>
      <c r="D2749" t="s">
        <v>493</v>
      </c>
      <c r="E2749">
        <v>2</v>
      </c>
      <c r="F2749">
        <v>5</v>
      </c>
      <c r="G2749">
        <v>80</v>
      </c>
      <c r="H2749">
        <v>10</v>
      </c>
      <c r="I2749">
        <v>6.5</v>
      </c>
      <c r="J2749">
        <v>12.8</v>
      </c>
      <c r="K2749">
        <v>14.6</v>
      </c>
      <c r="L2749">
        <v>8.5</v>
      </c>
      <c r="M2749">
        <v>37</v>
      </c>
    </row>
    <row r="2750" spans="1:13" x14ac:dyDescent="0.25">
      <c r="A2750" t="s">
        <v>344</v>
      </c>
      <c r="B2750" t="s">
        <v>495</v>
      </c>
      <c r="C2750" t="s">
        <v>491</v>
      </c>
      <c r="D2750" t="s">
        <v>493</v>
      </c>
      <c r="E2750">
        <v>2</v>
      </c>
      <c r="F2750">
        <v>5</v>
      </c>
      <c r="G2750">
        <v>90</v>
      </c>
      <c r="H2750">
        <v>10</v>
      </c>
      <c r="I2750">
        <v>6.5</v>
      </c>
      <c r="J2750">
        <v>12.8</v>
      </c>
      <c r="K2750">
        <v>14.6</v>
      </c>
      <c r="L2750">
        <v>8.5</v>
      </c>
      <c r="M2750">
        <v>55</v>
      </c>
    </row>
    <row r="2751" spans="1:13" x14ac:dyDescent="0.25">
      <c r="A2751" t="s">
        <v>344</v>
      </c>
      <c r="B2751" t="s">
        <v>495</v>
      </c>
      <c r="C2751" t="s">
        <v>491</v>
      </c>
      <c r="D2751" t="s">
        <v>493</v>
      </c>
      <c r="E2751">
        <v>2</v>
      </c>
      <c r="F2751">
        <v>5</v>
      </c>
      <c r="G2751">
        <v>100</v>
      </c>
      <c r="H2751">
        <v>10</v>
      </c>
      <c r="I2751">
        <v>6.5</v>
      </c>
      <c r="J2751">
        <v>12.8</v>
      </c>
      <c r="K2751">
        <v>14.6</v>
      </c>
      <c r="L2751">
        <v>8.5</v>
      </c>
      <c r="M2751">
        <v>55</v>
      </c>
    </row>
    <row r="2752" spans="1:13" x14ac:dyDescent="0.25">
      <c r="A2752" t="s">
        <v>344</v>
      </c>
      <c r="B2752" t="s">
        <v>495</v>
      </c>
      <c r="C2752" t="s">
        <v>491</v>
      </c>
      <c r="D2752" t="s">
        <v>493</v>
      </c>
      <c r="E2752">
        <v>2</v>
      </c>
      <c r="F2752">
        <v>5</v>
      </c>
      <c r="G2752">
        <v>120</v>
      </c>
      <c r="H2752">
        <v>10</v>
      </c>
      <c r="I2752">
        <v>6.5</v>
      </c>
      <c r="J2752">
        <v>12.8</v>
      </c>
      <c r="K2752">
        <v>14.6</v>
      </c>
      <c r="L2752">
        <v>8.5</v>
      </c>
      <c r="M2752">
        <v>55</v>
      </c>
    </row>
    <row r="2753" spans="1:13" x14ac:dyDescent="0.25">
      <c r="A2753" t="s">
        <v>344</v>
      </c>
      <c r="B2753" t="s">
        <v>495</v>
      </c>
      <c r="C2753" t="s">
        <v>491</v>
      </c>
      <c r="D2753" t="s">
        <v>493</v>
      </c>
      <c r="E2753">
        <v>2</v>
      </c>
      <c r="F2753">
        <v>6</v>
      </c>
      <c r="G2753">
        <v>60</v>
      </c>
      <c r="H2753">
        <v>12</v>
      </c>
      <c r="I2753">
        <v>10.1</v>
      </c>
      <c r="J2753">
        <v>13.5</v>
      </c>
      <c r="K2753">
        <v>14.6</v>
      </c>
      <c r="L2753">
        <v>12.4</v>
      </c>
      <c r="M2753">
        <v>36</v>
      </c>
    </row>
    <row r="2754" spans="1:13" x14ac:dyDescent="0.25">
      <c r="A2754" t="s">
        <v>344</v>
      </c>
      <c r="B2754" t="s">
        <v>495</v>
      </c>
      <c r="C2754" t="s">
        <v>491</v>
      </c>
      <c r="D2754" t="s">
        <v>493</v>
      </c>
      <c r="E2754">
        <v>2</v>
      </c>
      <c r="F2754">
        <v>6</v>
      </c>
      <c r="G2754">
        <v>70</v>
      </c>
      <c r="H2754">
        <v>12</v>
      </c>
      <c r="I2754">
        <v>10.1</v>
      </c>
      <c r="J2754">
        <v>13.5</v>
      </c>
      <c r="K2754">
        <v>14.6</v>
      </c>
      <c r="L2754">
        <v>12.4</v>
      </c>
      <c r="M2754">
        <v>36</v>
      </c>
    </row>
    <row r="2755" spans="1:13" x14ac:dyDescent="0.25">
      <c r="A2755" t="s">
        <v>344</v>
      </c>
      <c r="B2755" t="s">
        <v>495</v>
      </c>
      <c r="C2755" t="s">
        <v>491</v>
      </c>
      <c r="D2755" t="s">
        <v>493</v>
      </c>
      <c r="E2755">
        <v>2</v>
      </c>
      <c r="F2755">
        <v>6</v>
      </c>
      <c r="G2755">
        <v>80</v>
      </c>
      <c r="H2755">
        <v>12</v>
      </c>
      <c r="I2755">
        <v>10.1</v>
      </c>
      <c r="J2755">
        <v>13.5</v>
      </c>
      <c r="K2755">
        <v>14.6</v>
      </c>
      <c r="L2755">
        <v>12.4</v>
      </c>
      <c r="M2755">
        <v>48</v>
      </c>
    </row>
    <row r="2756" spans="1:13" x14ac:dyDescent="0.25">
      <c r="A2756" t="s">
        <v>344</v>
      </c>
      <c r="B2756" t="s">
        <v>495</v>
      </c>
      <c r="C2756" t="s">
        <v>491</v>
      </c>
      <c r="D2756" t="s">
        <v>493</v>
      </c>
      <c r="E2756">
        <v>2</v>
      </c>
      <c r="F2756">
        <v>6</v>
      </c>
      <c r="G2756">
        <v>90</v>
      </c>
      <c r="H2756">
        <v>12</v>
      </c>
      <c r="I2756">
        <v>10.1</v>
      </c>
      <c r="J2756">
        <v>13.5</v>
      </c>
      <c r="K2756">
        <v>14.6</v>
      </c>
      <c r="L2756">
        <v>12.4</v>
      </c>
      <c r="M2756">
        <v>48</v>
      </c>
    </row>
    <row r="2757" spans="1:13" x14ac:dyDescent="0.25">
      <c r="A2757" t="s">
        <v>344</v>
      </c>
      <c r="B2757" t="s">
        <v>495</v>
      </c>
      <c r="C2757" t="s">
        <v>491</v>
      </c>
      <c r="D2757" t="s">
        <v>493</v>
      </c>
      <c r="E2757">
        <v>2</v>
      </c>
      <c r="F2757">
        <v>6</v>
      </c>
      <c r="G2757">
        <v>100</v>
      </c>
      <c r="H2757">
        <v>12</v>
      </c>
      <c r="I2757">
        <v>10.1</v>
      </c>
      <c r="J2757">
        <v>13.5</v>
      </c>
      <c r="K2757">
        <v>14.6</v>
      </c>
      <c r="L2757">
        <v>12.4</v>
      </c>
      <c r="M2757">
        <v>48</v>
      </c>
    </row>
    <row r="2758" spans="1:13" x14ac:dyDescent="0.25">
      <c r="A2758" t="s">
        <v>344</v>
      </c>
      <c r="B2758" t="s">
        <v>495</v>
      </c>
      <c r="C2758" t="s">
        <v>491</v>
      </c>
      <c r="D2758" t="s">
        <v>493</v>
      </c>
      <c r="E2758">
        <v>2</v>
      </c>
      <c r="F2758">
        <v>6</v>
      </c>
      <c r="G2758">
        <v>110</v>
      </c>
      <c r="H2758">
        <v>12</v>
      </c>
      <c r="I2758">
        <v>10.1</v>
      </c>
      <c r="J2758">
        <v>13.5</v>
      </c>
      <c r="K2758">
        <v>14.6</v>
      </c>
      <c r="L2758">
        <v>12.4</v>
      </c>
      <c r="M2758">
        <v>64</v>
      </c>
    </row>
    <row r="2759" spans="1:13" x14ac:dyDescent="0.25">
      <c r="A2759" t="s">
        <v>344</v>
      </c>
      <c r="B2759" t="s">
        <v>495</v>
      </c>
      <c r="C2759" t="s">
        <v>491</v>
      </c>
      <c r="D2759" t="s">
        <v>493</v>
      </c>
      <c r="E2759">
        <v>2</v>
      </c>
      <c r="F2759">
        <v>6</v>
      </c>
      <c r="G2759">
        <v>120</v>
      </c>
      <c r="H2759">
        <v>12</v>
      </c>
      <c r="I2759">
        <v>10.1</v>
      </c>
      <c r="J2759">
        <v>13.5</v>
      </c>
      <c r="K2759">
        <v>14.6</v>
      </c>
      <c r="L2759">
        <v>12.4</v>
      </c>
      <c r="M2759">
        <v>64</v>
      </c>
    </row>
    <row r="2760" spans="1:13" x14ac:dyDescent="0.25">
      <c r="A2760" t="s">
        <v>344</v>
      </c>
      <c r="B2760" t="s">
        <v>495</v>
      </c>
      <c r="C2760" t="s">
        <v>491</v>
      </c>
      <c r="D2760" t="s">
        <v>493</v>
      </c>
      <c r="E2760">
        <v>2</v>
      </c>
      <c r="F2760">
        <v>6</v>
      </c>
      <c r="G2760">
        <v>130</v>
      </c>
      <c r="H2760">
        <v>12</v>
      </c>
      <c r="I2760">
        <v>10.1</v>
      </c>
      <c r="J2760">
        <v>13.5</v>
      </c>
      <c r="K2760">
        <v>14.6</v>
      </c>
      <c r="L2760">
        <v>12.4</v>
      </c>
      <c r="M2760">
        <v>64</v>
      </c>
    </row>
    <row r="2761" spans="1:13" x14ac:dyDescent="0.25">
      <c r="A2761" t="s">
        <v>344</v>
      </c>
      <c r="B2761" t="s">
        <v>495</v>
      </c>
      <c r="C2761" t="s">
        <v>491</v>
      </c>
      <c r="D2761" t="s">
        <v>493</v>
      </c>
      <c r="E2761">
        <v>2</v>
      </c>
      <c r="F2761">
        <v>6</v>
      </c>
      <c r="G2761">
        <v>140</v>
      </c>
      <c r="H2761">
        <v>12</v>
      </c>
      <c r="I2761">
        <v>10.1</v>
      </c>
      <c r="J2761">
        <v>13.5</v>
      </c>
      <c r="K2761">
        <v>14.6</v>
      </c>
      <c r="L2761">
        <v>12.4</v>
      </c>
      <c r="M2761">
        <v>64</v>
      </c>
    </row>
    <row r="2762" spans="1:13" x14ac:dyDescent="0.25">
      <c r="A2762" t="s">
        <v>344</v>
      </c>
      <c r="B2762" t="s">
        <v>495</v>
      </c>
      <c r="C2762" t="s">
        <v>491</v>
      </c>
      <c r="D2762" t="s">
        <v>493</v>
      </c>
      <c r="E2762">
        <v>2</v>
      </c>
      <c r="F2762">
        <v>6</v>
      </c>
      <c r="G2762">
        <v>150</v>
      </c>
      <c r="H2762">
        <v>12</v>
      </c>
      <c r="I2762">
        <v>10.1</v>
      </c>
      <c r="J2762">
        <v>13.5</v>
      </c>
      <c r="K2762">
        <v>14.6</v>
      </c>
      <c r="L2762">
        <v>12.4</v>
      </c>
      <c r="M2762">
        <v>64</v>
      </c>
    </row>
    <row r="2763" spans="1:13" x14ac:dyDescent="0.25">
      <c r="A2763" t="s">
        <v>344</v>
      </c>
      <c r="B2763" t="s">
        <v>495</v>
      </c>
      <c r="C2763" t="s">
        <v>491</v>
      </c>
      <c r="D2763" t="s">
        <v>493</v>
      </c>
      <c r="E2763">
        <v>2</v>
      </c>
      <c r="F2763">
        <v>6</v>
      </c>
      <c r="G2763">
        <v>160</v>
      </c>
      <c r="H2763">
        <v>12</v>
      </c>
      <c r="I2763">
        <v>10.1</v>
      </c>
      <c r="J2763">
        <v>13.5</v>
      </c>
      <c r="K2763">
        <v>14.6</v>
      </c>
      <c r="L2763">
        <v>12.4</v>
      </c>
      <c r="M2763">
        <v>64</v>
      </c>
    </row>
    <row r="2764" spans="1:13" x14ac:dyDescent="0.25">
      <c r="A2764" t="s">
        <v>344</v>
      </c>
      <c r="B2764" t="s">
        <v>495</v>
      </c>
      <c r="C2764" t="s">
        <v>491</v>
      </c>
      <c r="D2764" t="s">
        <v>493</v>
      </c>
      <c r="E2764">
        <v>2</v>
      </c>
      <c r="F2764">
        <v>6</v>
      </c>
      <c r="G2764">
        <v>180</v>
      </c>
      <c r="H2764">
        <v>12</v>
      </c>
      <c r="I2764">
        <v>10.1</v>
      </c>
      <c r="J2764">
        <v>13.5</v>
      </c>
      <c r="K2764">
        <v>14.6</v>
      </c>
      <c r="L2764">
        <v>12.4</v>
      </c>
      <c r="M2764">
        <v>64</v>
      </c>
    </row>
    <row r="2765" spans="1:13" x14ac:dyDescent="0.25">
      <c r="A2765" t="s">
        <v>344</v>
      </c>
      <c r="B2765" t="s">
        <v>495</v>
      </c>
      <c r="C2765" t="s">
        <v>491</v>
      </c>
      <c r="D2765" t="s">
        <v>493</v>
      </c>
      <c r="E2765">
        <v>2</v>
      </c>
      <c r="F2765">
        <v>6</v>
      </c>
      <c r="G2765">
        <v>200</v>
      </c>
      <c r="H2765">
        <v>12</v>
      </c>
      <c r="I2765">
        <v>10.1</v>
      </c>
      <c r="J2765">
        <v>13.5</v>
      </c>
      <c r="K2765">
        <v>14.6</v>
      </c>
      <c r="L2765">
        <v>12.4</v>
      </c>
      <c r="M2765">
        <v>64</v>
      </c>
    </row>
    <row r="2766" spans="1:13" x14ac:dyDescent="0.25">
      <c r="A2766" t="s">
        <v>344</v>
      </c>
      <c r="B2766" t="s">
        <v>495</v>
      </c>
      <c r="C2766" t="s">
        <v>491</v>
      </c>
      <c r="D2766" t="s">
        <v>493</v>
      </c>
      <c r="E2766">
        <v>2</v>
      </c>
      <c r="F2766">
        <v>6</v>
      </c>
      <c r="G2766">
        <v>220</v>
      </c>
      <c r="H2766">
        <v>12</v>
      </c>
      <c r="I2766">
        <v>10.1</v>
      </c>
      <c r="J2766">
        <v>13.5</v>
      </c>
      <c r="K2766">
        <v>14.6</v>
      </c>
      <c r="L2766">
        <v>12.4</v>
      </c>
      <c r="M2766">
        <v>64</v>
      </c>
    </row>
    <row r="2767" spans="1:13" x14ac:dyDescent="0.25">
      <c r="A2767" t="s">
        <v>344</v>
      </c>
      <c r="B2767" t="s">
        <v>495</v>
      </c>
      <c r="C2767" t="s">
        <v>491</v>
      </c>
      <c r="D2767" t="s">
        <v>493</v>
      </c>
      <c r="E2767">
        <v>2</v>
      </c>
      <c r="F2767">
        <v>6</v>
      </c>
      <c r="G2767">
        <v>240</v>
      </c>
      <c r="H2767">
        <v>12</v>
      </c>
      <c r="I2767">
        <v>10.1</v>
      </c>
      <c r="J2767">
        <v>13.5</v>
      </c>
      <c r="K2767">
        <v>14.6</v>
      </c>
      <c r="L2767">
        <v>12.4</v>
      </c>
      <c r="M2767">
        <v>64</v>
      </c>
    </row>
    <row r="2768" spans="1:13" x14ac:dyDescent="0.25">
      <c r="A2768" t="s">
        <v>344</v>
      </c>
      <c r="B2768" t="s">
        <v>495</v>
      </c>
      <c r="C2768" t="s">
        <v>491</v>
      </c>
      <c r="D2768" t="s">
        <v>493</v>
      </c>
      <c r="E2768">
        <v>2</v>
      </c>
      <c r="F2768">
        <v>6</v>
      </c>
      <c r="G2768">
        <v>260</v>
      </c>
      <c r="H2768">
        <v>12</v>
      </c>
      <c r="I2768">
        <v>10.1</v>
      </c>
      <c r="J2768">
        <v>13.5</v>
      </c>
      <c r="K2768">
        <v>14.6</v>
      </c>
      <c r="L2768">
        <v>12.4</v>
      </c>
      <c r="M2768">
        <v>64</v>
      </c>
    </row>
    <row r="2769" spans="1:13" x14ac:dyDescent="0.25">
      <c r="A2769" t="s">
        <v>344</v>
      </c>
      <c r="B2769" t="s">
        <v>495</v>
      </c>
      <c r="C2769" t="s">
        <v>491</v>
      </c>
      <c r="D2769" t="s">
        <v>493</v>
      </c>
      <c r="E2769">
        <v>2</v>
      </c>
      <c r="F2769">
        <v>6</v>
      </c>
      <c r="G2769">
        <v>280</v>
      </c>
      <c r="H2769">
        <v>12</v>
      </c>
      <c r="I2769">
        <v>10.1</v>
      </c>
      <c r="J2769">
        <v>13.5</v>
      </c>
      <c r="K2769">
        <v>14.6</v>
      </c>
      <c r="L2769">
        <v>12.4</v>
      </c>
      <c r="M2769">
        <v>64</v>
      </c>
    </row>
    <row r="2770" spans="1:13" x14ac:dyDescent="0.25">
      <c r="A2770" t="s">
        <v>344</v>
      </c>
      <c r="B2770" t="s">
        <v>495</v>
      </c>
      <c r="C2770" t="s">
        <v>491</v>
      </c>
      <c r="D2770" t="s">
        <v>493</v>
      </c>
      <c r="E2770">
        <v>2</v>
      </c>
      <c r="F2770">
        <v>6</v>
      </c>
      <c r="G2770">
        <v>300</v>
      </c>
      <c r="H2770">
        <v>12</v>
      </c>
      <c r="I2770">
        <v>10.1</v>
      </c>
      <c r="J2770">
        <v>13.5</v>
      </c>
      <c r="K2770">
        <v>14.6</v>
      </c>
      <c r="L2770">
        <v>12.4</v>
      </c>
      <c r="M2770">
        <v>64</v>
      </c>
    </row>
    <row r="2771" spans="1:13" x14ac:dyDescent="0.25">
      <c r="A2771" t="s">
        <v>344</v>
      </c>
      <c r="B2771" t="s">
        <v>495</v>
      </c>
      <c r="C2771" t="s">
        <v>491</v>
      </c>
      <c r="D2771" t="s">
        <v>493</v>
      </c>
      <c r="E2771">
        <v>2</v>
      </c>
      <c r="F2771">
        <v>8</v>
      </c>
      <c r="G2771">
        <v>80</v>
      </c>
      <c r="H2771">
        <v>15</v>
      </c>
      <c r="I2771">
        <v>21</v>
      </c>
      <c r="J2771">
        <v>13.1</v>
      </c>
      <c r="K2771">
        <v>12.4</v>
      </c>
      <c r="L2771">
        <v>22</v>
      </c>
      <c r="M2771">
        <v>54</v>
      </c>
    </row>
    <row r="2772" spans="1:13" x14ac:dyDescent="0.25">
      <c r="A2772" t="s">
        <v>344</v>
      </c>
      <c r="B2772" t="s">
        <v>495</v>
      </c>
      <c r="C2772" t="s">
        <v>491</v>
      </c>
      <c r="D2772" t="s">
        <v>493</v>
      </c>
      <c r="E2772">
        <v>2</v>
      </c>
      <c r="F2772">
        <v>8</v>
      </c>
      <c r="G2772">
        <v>100</v>
      </c>
      <c r="H2772">
        <v>15</v>
      </c>
      <c r="I2772">
        <v>21</v>
      </c>
      <c r="J2772">
        <v>13.1</v>
      </c>
      <c r="K2772">
        <v>12.4</v>
      </c>
      <c r="L2772">
        <v>22</v>
      </c>
      <c r="M2772">
        <v>54</v>
      </c>
    </row>
    <row r="2773" spans="1:13" x14ac:dyDescent="0.25">
      <c r="A2773" t="s">
        <v>344</v>
      </c>
      <c r="B2773" t="s">
        <v>495</v>
      </c>
      <c r="C2773" t="s">
        <v>491</v>
      </c>
      <c r="D2773" t="s">
        <v>493</v>
      </c>
      <c r="E2773">
        <v>2</v>
      </c>
      <c r="F2773">
        <v>8</v>
      </c>
      <c r="G2773">
        <v>120</v>
      </c>
      <c r="H2773">
        <v>15</v>
      </c>
      <c r="I2773">
        <v>21</v>
      </c>
      <c r="J2773">
        <v>13.1</v>
      </c>
      <c r="K2773">
        <v>12.4</v>
      </c>
      <c r="L2773">
        <v>22</v>
      </c>
      <c r="M2773">
        <v>54</v>
      </c>
    </row>
    <row r="2774" spans="1:13" x14ac:dyDescent="0.25">
      <c r="A2774" t="s">
        <v>344</v>
      </c>
      <c r="B2774" t="s">
        <v>495</v>
      </c>
      <c r="C2774" t="s">
        <v>491</v>
      </c>
      <c r="D2774" t="s">
        <v>493</v>
      </c>
      <c r="E2774">
        <v>2</v>
      </c>
      <c r="F2774">
        <v>8</v>
      </c>
      <c r="G2774">
        <v>140</v>
      </c>
      <c r="H2774">
        <v>15</v>
      </c>
      <c r="I2774">
        <v>21</v>
      </c>
      <c r="J2774">
        <v>13.1</v>
      </c>
      <c r="K2774">
        <v>12.4</v>
      </c>
      <c r="L2774">
        <v>22</v>
      </c>
      <c r="M2774">
        <v>84</v>
      </c>
    </row>
    <row r="2775" spans="1:13" x14ac:dyDescent="0.25">
      <c r="A2775" t="s">
        <v>344</v>
      </c>
      <c r="B2775" t="s">
        <v>495</v>
      </c>
      <c r="C2775" t="s">
        <v>491</v>
      </c>
      <c r="D2775" t="s">
        <v>493</v>
      </c>
      <c r="E2775">
        <v>2</v>
      </c>
      <c r="F2775">
        <v>8</v>
      </c>
      <c r="G2775">
        <v>160</v>
      </c>
      <c r="H2775">
        <v>15</v>
      </c>
      <c r="I2775">
        <v>21</v>
      </c>
      <c r="J2775">
        <v>13.1</v>
      </c>
      <c r="K2775">
        <v>12.4</v>
      </c>
      <c r="L2775">
        <v>22</v>
      </c>
      <c r="M2775">
        <v>84</v>
      </c>
    </row>
    <row r="2776" spans="1:13" x14ac:dyDescent="0.25">
      <c r="A2776" t="s">
        <v>344</v>
      </c>
      <c r="B2776" t="s">
        <v>495</v>
      </c>
      <c r="C2776" t="s">
        <v>491</v>
      </c>
      <c r="D2776" t="s">
        <v>493</v>
      </c>
      <c r="E2776">
        <v>2</v>
      </c>
      <c r="F2776">
        <v>8</v>
      </c>
      <c r="G2776">
        <v>180</v>
      </c>
      <c r="H2776">
        <v>15</v>
      </c>
      <c r="I2776">
        <v>21</v>
      </c>
      <c r="J2776">
        <v>13.1</v>
      </c>
      <c r="K2776">
        <v>12.4</v>
      </c>
      <c r="L2776">
        <v>22</v>
      </c>
      <c r="M2776">
        <v>100</v>
      </c>
    </row>
    <row r="2777" spans="1:13" x14ac:dyDescent="0.25">
      <c r="A2777" t="s">
        <v>344</v>
      </c>
      <c r="B2777" t="s">
        <v>495</v>
      </c>
      <c r="C2777" t="s">
        <v>491</v>
      </c>
      <c r="D2777" t="s">
        <v>493</v>
      </c>
      <c r="E2777">
        <v>2</v>
      </c>
      <c r="F2777">
        <v>8</v>
      </c>
      <c r="G2777">
        <v>200</v>
      </c>
      <c r="H2777">
        <v>15</v>
      </c>
      <c r="I2777">
        <v>21</v>
      </c>
      <c r="J2777">
        <v>13.1</v>
      </c>
      <c r="K2777">
        <v>12.4</v>
      </c>
      <c r="L2777">
        <v>22</v>
      </c>
      <c r="M2777">
        <v>100</v>
      </c>
    </row>
    <row r="2778" spans="1:13" x14ac:dyDescent="0.25">
      <c r="A2778" t="s">
        <v>344</v>
      </c>
      <c r="B2778" t="s">
        <v>495</v>
      </c>
      <c r="C2778" t="s">
        <v>491</v>
      </c>
      <c r="D2778" t="s">
        <v>493</v>
      </c>
      <c r="E2778">
        <v>2</v>
      </c>
      <c r="F2778">
        <v>8</v>
      </c>
      <c r="G2778">
        <v>220</v>
      </c>
      <c r="H2778">
        <v>15</v>
      </c>
      <c r="I2778">
        <v>21</v>
      </c>
      <c r="J2778">
        <v>13.1</v>
      </c>
      <c r="K2778">
        <v>12.4</v>
      </c>
      <c r="L2778">
        <v>22</v>
      </c>
      <c r="M2778">
        <v>100</v>
      </c>
    </row>
    <row r="2779" spans="1:13" x14ac:dyDescent="0.25">
      <c r="A2779" t="s">
        <v>344</v>
      </c>
      <c r="B2779" t="s">
        <v>495</v>
      </c>
      <c r="C2779" t="s">
        <v>491</v>
      </c>
      <c r="D2779" t="s">
        <v>493</v>
      </c>
      <c r="E2779">
        <v>2</v>
      </c>
      <c r="F2779">
        <v>8</v>
      </c>
      <c r="G2779">
        <v>240</v>
      </c>
      <c r="H2779">
        <v>15</v>
      </c>
      <c r="I2779">
        <v>21</v>
      </c>
      <c r="J2779">
        <v>13.1</v>
      </c>
      <c r="K2779">
        <v>12.4</v>
      </c>
      <c r="L2779">
        <v>22</v>
      </c>
      <c r="M2779">
        <v>100</v>
      </c>
    </row>
    <row r="2780" spans="1:13" x14ac:dyDescent="0.25">
      <c r="A2780" t="s">
        <v>344</v>
      </c>
      <c r="B2780" t="s">
        <v>495</v>
      </c>
      <c r="C2780" t="s">
        <v>491</v>
      </c>
      <c r="D2780" t="s">
        <v>493</v>
      </c>
      <c r="E2780">
        <v>2</v>
      </c>
      <c r="F2780">
        <v>8</v>
      </c>
      <c r="G2780">
        <v>260</v>
      </c>
      <c r="H2780">
        <v>15</v>
      </c>
      <c r="I2780">
        <v>21</v>
      </c>
      <c r="J2780">
        <v>13.1</v>
      </c>
      <c r="K2780">
        <v>12.4</v>
      </c>
      <c r="L2780">
        <v>22</v>
      </c>
      <c r="M2780">
        <v>100</v>
      </c>
    </row>
    <row r="2781" spans="1:13" x14ac:dyDescent="0.25">
      <c r="A2781" t="s">
        <v>344</v>
      </c>
      <c r="B2781" t="s">
        <v>495</v>
      </c>
      <c r="C2781" t="s">
        <v>491</v>
      </c>
      <c r="D2781" t="s">
        <v>493</v>
      </c>
      <c r="E2781">
        <v>2</v>
      </c>
      <c r="F2781">
        <v>8</v>
      </c>
      <c r="G2781">
        <v>280</v>
      </c>
      <c r="H2781">
        <v>15</v>
      </c>
      <c r="I2781">
        <v>21</v>
      </c>
      <c r="J2781">
        <v>13.1</v>
      </c>
      <c r="K2781">
        <v>12.4</v>
      </c>
      <c r="L2781">
        <v>22</v>
      </c>
      <c r="M2781">
        <v>100</v>
      </c>
    </row>
    <row r="2782" spans="1:13" x14ac:dyDescent="0.25">
      <c r="A2782" t="s">
        <v>344</v>
      </c>
      <c r="B2782" t="s">
        <v>495</v>
      </c>
      <c r="C2782" t="s">
        <v>491</v>
      </c>
      <c r="D2782" t="s">
        <v>493</v>
      </c>
      <c r="E2782">
        <v>2</v>
      </c>
      <c r="F2782">
        <v>8</v>
      </c>
      <c r="G2782">
        <v>300</v>
      </c>
      <c r="H2782">
        <v>15</v>
      </c>
      <c r="I2782">
        <v>21</v>
      </c>
      <c r="J2782">
        <v>13.1</v>
      </c>
      <c r="K2782">
        <v>12.4</v>
      </c>
      <c r="L2782">
        <v>22</v>
      </c>
      <c r="M2782">
        <v>100</v>
      </c>
    </row>
    <row r="2783" spans="1:13" x14ac:dyDescent="0.25">
      <c r="A2783" t="s">
        <v>344</v>
      </c>
      <c r="B2783" t="s">
        <v>495</v>
      </c>
      <c r="C2783" t="s">
        <v>491</v>
      </c>
      <c r="D2783" t="s">
        <v>493</v>
      </c>
      <c r="E2783">
        <v>2</v>
      </c>
      <c r="F2783">
        <v>8</v>
      </c>
      <c r="G2783">
        <v>320</v>
      </c>
      <c r="H2783">
        <v>15</v>
      </c>
      <c r="I2783">
        <v>21</v>
      </c>
      <c r="J2783">
        <v>13.1</v>
      </c>
      <c r="K2783">
        <v>12.4</v>
      </c>
      <c r="L2783">
        <v>22</v>
      </c>
      <c r="M2783">
        <v>100</v>
      </c>
    </row>
    <row r="2784" spans="1:13" x14ac:dyDescent="0.25">
      <c r="A2784" t="s">
        <v>344</v>
      </c>
      <c r="B2784" t="s">
        <v>495</v>
      </c>
      <c r="C2784" t="s">
        <v>491</v>
      </c>
      <c r="D2784" t="s">
        <v>493</v>
      </c>
      <c r="E2784">
        <v>2</v>
      </c>
      <c r="F2784">
        <v>8</v>
      </c>
      <c r="G2784">
        <v>340</v>
      </c>
      <c r="H2784">
        <v>15</v>
      </c>
      <c r="I2784">
        <v>21</v>
      </c>
      <c r="J2784">
        <v>13.1</v>
      </c>
      <c r="K2784">
        <v>12.4</v>
      </c>
      <c r="L2784">
        <v>22</v>
      </c>
      <c r="M2784">
        <v>100</v>
      </c>
    </row>
    <row r="2785" spans="1:13" x14ac:dyDescent="0.25">
      <c r="A2785" t="s">
        <v>344</v>
      </c>
      <c r="B2785" t="s">
        <v>495</v>
      </c>
      <c r="C2785" t="s">
        <v>491</v>
      </c>
      <c r="D2785" t="s">
        <v>493</v>
      </c>
      <c r="E2785">
        <v>2</v>
      </c>
      <c r="F2785">
        <v>8</v>
      </c>
      <c r="G2785">
        <v>360</v>
      </c>
      <c r="H2785">
        <v>15</v>
      </c>
      <c r="I2785">
        <v>21</v>
      </c>
      <c r="J2785">
        <v>13.1</v>
      </c>
      <c r="K2785">
        <v>12.4</v>
      </c>
      <c r="L2785">
        <v>22</v>
      </c>
      <c r="M2785">
        <v>100</v>
      </c>
    </row>
    <row r="2786" spans="1:13" x14ac:dyDescent="0.25">
      <c r="A2786" t="s">
        <v>344</v>
      </c>
      <c r="B2786" t="s">
        <v>495</v>
      </c>
      <c r="C2786" t="s">
        <v>491</v>
      </c>
      <c r="D2786" t="s">
        <v>493</v>
      </c>
      <c r="E2786">
        <v>2</v>
      </c>
      <c r="F2786">
        <v>8</v>
      </c>
      <c r="G2786">
        <v>380</v>
      </c>
      <c r="H2786">
        <v>15</v>
      </c>
      <c r="I2786">
        <v>21</v>
      </c>
      <c r="J2786">
        <v>13.1</v>
      </c>
      <c r="K2786">
        <v>12.4</v>
      </c>
      <c r="L2786">
        <v>22</v>
      </c>
      <c r="M2786">
        <v>100</v>
      </c>
    </row>
    <row r="2787" spans="1:13" x14ac:dyDescent="0.25">
      <c r="A2787" t="s">
        <v>344</v>
      </c>
      <c r="B2787" t="s">
        <v>495</v>
      </c>
      <c r="C2787" t="s">
        <v>491</v>
      </c>
      <c r="D2787" t="s">
        <v>493</v>
      </c>
      <c r="E2787">
        <v>2</v>
      </c>
      <c r="F2787">
        <v>8</v>
      </c>
      <c r="G2787">
        <v>400</v>
      </c>
      <c r="H2787">
        <v>15</v>
      </c>
      <c r="I2787">
        <v>21</v>
      </c>
      <c r="J2787">
        <v>13.1</v>
      </c>
      <c r="K2787">
        <v>12.4</v>
      </c>
      <c r="L2787">
        <v>22</v>
      </c>
      <c r="M2787">
        <v>100</v>
      </c>
    </row>
    <row r="2788" spans="1:13" x14ac:dyDescent="0.25">
      <c r="A2788" t="s">
        <v>344</v>
      </c>
      <c r="B2788" t="s">
        <v>495</v>
      </c>
      <c r="C2788" t="s">
        <v>491</v>
      </c>
      <c r="D2788" t="s">
        <v>493</v>
      </c>
      <c r="E2788">
        <v>2</v>
      </c>
      <c r="F2788">
        <v>10</v>
      </c>
      <c r="G2788">
        <v>80</v>
      </c>
      <c r="H2788">
        <v>18.5</v>
      </c>
      <c r="I2788">
        <v>33</v>
      </c>
      <c r="J2788">
        <v>12.5</v>
      </c>
      <c r="K2788">
        <v>12.2</v>
      </c>
      <c r="L2788">
        <v>32</v>
      </c>
      <c r="M2788">
        <v>60</v>
      </c>
    </row>
    <row r="2789" spans="1:13" x14ac:dyDescent="0.25">
      <c r="A2789" t="s">
        <v>344</v>
      </c>
      <c r="B2789" t="s">
        <v>495</v>
      </c>
      <c r="C2789" t="s">
        <v>491</v>
      </c>
      <c r="D2789" t="s">
        <v>493</v>
      </c>
      <c r="E2789">
        <v>2</v>
      </c>
      <c r="F2789">
        <v>10</v>
      </c>
      <c r="G2789">
        <v>100</v>
      </c>
      <c r="H2789">
        <v>18.5</v>
      </c>
      <c r="I2789">
        <v>33</v>
      </c>
      <c r="J2789">
        <v>12.5</v>
      </c>
      <c r="K2789">
        <v>12.2</v>
      </c>
      <c r="L2789">
        <v>32</v>
      </c>
      <c r="M2789">
        <v>60</v>
      </c>
    </row>
    <row r="2790" spans="1:13" x14ac:dyDescent="0.25">
      <c r="A2790" t="s">
        <v>344</v>
      </c>
      <c r="B2790" t="s">
        <v>495</v>
      </c>
      <c r="C2790" t="s">
        <v>491</v>
      </c>
      <c r="D2790" t="s">
        <v>493</v>
      </c>
      <c r="E2790">
        <v>2</v>
      </c>
      <c r="F2790">
        <v>10</v>
      </c>
      <c r="G2790">
        <v>120</v>
      </c>
      <c r="H2790">
        <v>18.5</v>
      </c>
      <c r="I2790">
        <v>33</v>
      </c>
      <c r="J2790">
        <v>12.5</v>
      </c>
      <c r="K2790">
        <v>12.2</v>
      </c>
      <c r="L2790">
        <v>32</v>
      </c>
      <c r="M2790">
        <v>60</v>
      </c>
    </row>
    <row r="2791" spans="1:13" x14ac:dyDescent="0.25">
      <c r="A2791" t="s">
        <v>344</v>
      </c>
      <c r="B2791" t="s">
        <v>495</v>
      </c>
      <c r="C2791" t="s">
        <v>491</v>
      </c>
      <c r="D2791" t="s">
        <v>493</v>
      </c>
      <c r="E2791">
        <v>2</v>
      </c>
      <c r="F2791">
        <v>10</v>
      </c>
      <c r="G2791">
        <v>140</v>
      </c>
      <c r="H2791">
        <v>18.5</v>
      </c>
      <c r="I2791">
        <v>33</v>
      </c>
      <c r="J2791">
        <v>12.5</v>
      </c>
      <c r="K2791">
        <v>12.2</v>
      </c>
      <c r="L2791">
        <v>32</v>
      </c>
      <c r="M2791">
        <v>60</v>
      </c>
    </row>
    <row r="2792" spans="1:13" x14ac:dyDescent="0.25">
      <c r="A2792" t="s">
        <v>344</v>
      </c>
      <c r="B2792" t="s">
        <v>495</v>
      </c>
      <c r="C2792" t="s">
        <v>491</v>
      </c>
      <c r="D2792" t="s">
        <v>493</v>
      </c>
      <c r="E2792">
        <v>2</v>
      </c>
      <c r="F2792">
        <v>10</v>
      </c>
      <c r="G2792">
        <v>160</v>
      </c>
      <c r="H2792">
        <v>18.5</v>
      </c>
      <c r="I2792">
        <v>33</v>
      </c>
      <c r="J2792">
        <v>12.5</v>
      </c>
      <c r="K2792">
        <v>12.2</v>
      </c>
      <c r="L2792">
        <v>32</v>
      </c>
      <c r="M2792">
        <v>100</v>
      </c>
    </row>
    <row r="2793" spans="1:13" x14ac:dyDescent="0.25">
      <c r="A2793" t="s">
        <v>344</v>
      </c>
      <c r="B2793" t="s">
        <v>495</v>
      </c>
      <c r="C2793" t="s">
        <v>491</v>
      </c>
      <c r="D2793" t="s">
        <v>493</v>
      </c>
      <c r="E2793">
        <v>2</v>
      </c>
      <c r="F2793">
        <v>10</v>
      </c>
      <c r="G2793">
        <v>180</v>
      </c>
      <c r="H2793">
        <v>18.5</v>
      </c>
      <c r="I2793">
        <v>33</v>
      </c>
      <c r="J2793">
        <v>12.5</v>
      </c>
      <c r="K2793">
        <v>12.2</v>
      </c>
      <c r="L2793">
        <v>32</v>
      </c>
      <c r="M2793">
        <v>100</v>
      </c>
    </row>
    <row r="2794" spans="1:13" x14ac:dyDescent="0.25">
      <c r="A2794" t="s">
        <v>344</v>
      </c>
      <c r="B2794" t="s">
        <v>495</v>
      </c>
      <c r="C2794" t="s">
        <v>491</v>
      </c>
      <c r="D2794" t="s">
        <v>493</v>
      </c>
      <c r="E2794">
        <v>2</v>
      </c>
      <c r="F2794">
        <v>10</v>
      </c>
      <c r="G2794">
        <v>200</v>
      </c>
      <c r="H2794">
        <v>18.5</v>
      </c>
      <c r="I2794">
        <v>33</v>
      </c>
      <c r="J2794">
        <v>12.5</v>
      </c>
      <c r="K2794">
        <v>12.2</v>
      </c>
      <c r="L2794">
        <v>32</v>
      </c>
      <c r="M2794">
        <v>100</v>
      </c>
    </row>
    <row r="2795" spans="1:13" x14ac:dyDescent="0.25">
      <c r="A2795" t="s">
        <v>344</v>
      </c>
      <c r="B2795" t="s">
        <v>495</v>
      </c>
      <c r="C2795" t="s">
        <v>491</v>
      </c>
      <c r="D2795" t="s">
        <v>493</v>
      </c>
      <c r="E2795">
        <v>2</v>
      </c>
      <c r="F2795">
        <v>10</v>
      </c>
      <c r="G2795">
        <v>220</v>
      </c>
      <c r="H2795">
        <v>18.5</v>
      </c>
      <c r="I2795">
        <v>33</v>
      </c>
      <c r="J2795">
        <v>12.5</v>
      </c>
      <c r="K2795">
        <v>12.2</v>
      </c>
      <c r="L2795">
        <v>32</v>
      </c>
      <c r="M2795">
        <v>100</v>
      </c>
    </row>
    <row r="2796" spans="1:13" x14ac:dyDescent="0.25">
      <c r="A2796" t="s">
        <v>344</v>
      </c>
      <c r="B2796" t="s">
        <v>495</v>
      </c>
      <c r="C2796" t="s">
        <v>491</v>
      </c>
      <c r="D2796" t="s">
        <v>493</v>
      </c>
      <c r="E2796">
        <v>2</v>
      </c>
      <c r="F2796">
        <v>10</v>
      </c>
      <c r="G2796">
        <v>240</v>
      </c>
      <c r="H2796">
        <v>18.5</v>
      </c>
      <c r="I2796">
        <v>33</v>
      </c>
      <c r="J2796">
        <v>12.5</v>
      </c>
      <c r="K2796">
        <v>12.2</v>
      </c>
      <c r="L2796">
        <v>32</v>
      </c>
      <c r="M2796">
        <v>100</v>
      </c>
    </row>
    <row r="2797" spans="1:13" x14ac:dyDescent="0.25">
      <c r="A2797" t="s">
        <v>344</v>
      </c>
      <c r="B2797" t="s">
        <v>495</v>
      </c>
      <c r="C2797" t="s">
        <v>491</v>
      </c>
      <c r="D2797" t="s">
        <v>493</v>
      </c>
      <c r="E2797">
        <v>2</v>
      </c>
      <c r="F2797">
        <v>10</v>
      </c>
      <c r="G2797">
        <v>260</v>
      </c>
      <c r="H2797">
        <v>18.5</v>
      </c>
      <c r="I2797">
        <v>33</v>
      </c>
      <c r="J2797">
        <v>12.5</v>
      </c>
      <c r="K2797">
        <v>12.2</v>
      </c>
      <c r="L2797">
        <v>32</v>
      </c>
      <c r="M2797">
        <v>100</v>
      </c>
    </row>
    <row r="2798" spans="1:13" x14ac:dyDescent="0.25">
      <c r="A2798" t="s">
        <v>344</v>
      </c>
      <c r="B2798" t="s">
        <v>495</v>
      </c>
      <c r="C2798" t="s">
        <v>491</v>
      </c>
      <c r="D2798" t="s">
        <v>493</v>
      </c>
      <c r="E2798">
        <v>2</v>
      </c>
      <c r="F2798">
        <v>10</v>
      </c>
      <c r="G2798">
        <v>280</v>
      </c>
      <c r="H2798">
        <v>18.5</v>
      </c>
      <c r="I2798">
        <v>33</v>
      </c>
      <c r="J2798">
        <v>12.5</v>
      </c>
      <c r="K2798">
        <v>12.2</v>
      </c>
      <c r="L2798">
        <v>32</v>
      </c>
      <c r="M2798">
        <v>100</v>
      </c>
    </row>
    <row r="2799" spans="1:13" x14ac:dyDescent="0.25">
      <c r="A2799" t="s">
        <v>344</v>
      </c>
      <c r="B2799" t="s">
        <v>495</v>
      </c>
      <c r="C2799" t="s">
        <v>491</v>
      </c>
      <c r="D2799" t="s">
        <v>493</v>
      </c>
      <c r="E2799">
        <v>2</v>
      </c>
      <c r="F2799">
        <v>10</v>
      </c>
      <c r="G2799">
        <v>300</v>
      </c>
      <c r="H2799">
        <v>18.5</v>
      </c>
      <c r="I2799">
        <v>33</v>
      </c>
      <c r="J2799">
        <v>12.5</v>
      </c>
      <c r="K2799">
        <v>12.2</v>
      </c>
      <c r="L2799">
        <v>32</v>
      </c>
      <c r="M2799">
        <v>100</v>
      </c>
    </row>
    <row r="2800" spans="1:13" x14ac:dyDescent="0.25">
      <c r="A2800" t="s">
        <v>344</v>
      </c>
      <c r="B2800" t="s">
        <v>495</v>
      </c>
      <c r="C2800" t="s">
        <v>491</v>
      </c>
      <c r="D2800" t="s">
        <v>493</v>
      </c>
      <c r="E2800">
        <v>2</v>
      </c>
      <c r="F2800">
        <v>10</v>
      </c>
      <c r="G2800">
        <v>320</v>
      </c>
      <c r="H2800">
        <v>18.5</v>
      </c>
      <c r="I2800">
        <v>33</v>
      </c>
      <c r="J2800">
        <v>12.5</v>
      </c>
      <c r="K2800">
        <v>12.2</v>
      </c>
      <c r="L2800">
        <v>32</v>
      </c>
      <c r="M2800">
        <v>100</v>
      </c>
    </row>
    <row r="2801" spans="1:13" x14ac:dyDescent="0.25">
      <c r="A2801" t="s">
        <v>344</v>
      </c>
      <c r="B2801" t="s">
        <v>495</v>
      </c>
      <c r="C2801" t="s">
        <v>491</v>
      </c>
      <c r="D2801" t="s">
        <v>493</v>
      </c>
      <c r="E2801">
        <v>2</v>
      </c>
      <c r="F2801">
        <v>10</v>
      </c>
      <c r="G2801">
        <v>340</v>
      </c>
      <c r="H2801">
        <v>18.5</v>
      </c>
      <c r="I2801">
        <v>33</v>
      </c>
      <c r="J2801">
        <v>12.5</v>
      </c>
      <c r="K2801">
        <v>12.2</v>
      </c>
      <c r="L2801">
        <v>32</v>
      </c>
      <c r="M2801">
        <v>100</v>
      </c>
    </row>
    <row r="2802" spans="1:13" x14ac:dyDescent="0.25">
      <c r="A2802" t="s">
        <v>344</v>
      </c>
      <c r="B2802" t="s">
        <v>495</v>
      </c>
      <c r="C2802" t="s">
        <v>491</v>
      </c>
      <c r="D2802" t="s">
        <v>493</v>
      </c>
      <c r="E2802">
        <v>2</v>
      </c>
      <c r="F2802">
        <v>10</v>
      </c>
      <c r="G2802">
        <v>360</v>
      </c>
      <c r="H2802">
        <v>18.5</v>
      </c>
      <c r="I2802">
        <v>33</v>
      </c>
      <c r="J2802">
        <v>12.5</v>
      </c>
      <c r="K2802">
        <v>12.2</v>
      </c>
      <c r="L2802">
        <v>32</v>
      </c>
      <c r="M2802">
        <v>100</v>
      </c>
    </row>
    <row r="2803" spans="1:13" x14ac:dyDescent="0.25">
      <c r="A2803" t="s">
        <v>344</v>
      </c>
      <c r="B2803" t="s">
        <v>495</v>
      </c>
      <c r="C2803" t="s">
        <v>491</v>
      </c>
      <c r="D2803" t="s">
        <v>493</v>
      </c>
      <c r="E2803">
        <v>2</v>
      </c>
      <c r="F2803">
        <v>10</v>
      </c>
      <c r="G2803">
        <v>380</v>
      </c>
      <c r="H2803">
        <v>18.5</v>
      </c>
      <c r="I2803">
        <v>33</v>
      </c>
      <c r="J2803">
        <v>12.5</v>
      </c>
      <c r="K2803">
        <v>12.2</v>
      </c>
      <c r="L2803">
        <v>32</v>
      </c>
      <c r="M2803">
        <v>100</v>
      </c>
    </row>
    <row r="2804" spans="1:13" x14ac:dyDescent="0.25">
      <c r="A2804" t="s">
        <v>344</v>
      </c>
      <c r="B2804" t="s">
        <v>495</v>
      </c>
      <c r="C2804" t="s">
        <v>491</v>
      </c>
      <c r="D2804" t="s">
        <v>493</v>
      </c>
      <c r="E2804">
        <v>2</v>
      </c>
      <c r="F2804">
        <v>10</v>
      </c>
      <c r="G2804">
        <v>400</v>
      </c>
      <c r="H2804">
        <v>18.5</v>
      </c>
      <c r="I2804">
        <v>33</v>
      </c>
      <c r="J2804">
        <v>12.5</v>
      </c>
      <c r="K2804">
        <v>12.2</v>
      </c>
      <c r="L2804">
        <v>32</v>
      </c>
      <c r="M2804">
        <v>100</v>
      </c>
    </row>
    <row r="2805" spans="1:13" x14ac:dyDescent="0.25">
      <c r="A2805" t="s">
        <v>344</v>
      </c>
      <c r="B2805" t="s">
        <v>495</v>
      </c>
      <c r="C2805" t="s">
        <v>492</v>
      </c>
      <c r="D2805" t="s">
        <v>494</v>
      </c>
      <c r="E2805">
        <v>2</v>
      </c>
      <c r="F2805">
        <v>6</v>
      </c>
      <c r="G2805">
        <v>60</v>
      </c>
      <c r="H2805">
        <v>14</v>
      </c>
      <c r="I2805">
        <v>10.1</v>
      </c>
      <c r="J2805">
        <v>13.5</v>
      </c>
      <c r="K2805">
        <v>16.7</v>
      </c>
      <c r="L2805">
        <v>12.4</v>
      </c>
      <c r="M2805">
        <v>36</v>
      </c>
    </row>
    <row r="2806" spans="1:13" x14ac:dyDescent="0.25">
      <c r="A2806" t="s">
        <v>344</v>
      </c>
      <c r="B2806" t="s">
        <v>495</v>
      </c>
      <c r="C2806" t="s">
        <v>492</v>
      </c>
      <c r="D2806" t="s">
        <v>494</v>
      </c>
      <c r="E2806">
        <v>2</v>
      </c>
      <c r="F2806">
        <v>6</v>
      </c>
      <c r="G2806">
        <v>80</v>
      </c>
      <c r="H2806">
        <v>14</v>
      </c>
      <c r="I2806">
        <v>10.1</v>
      </c>
      <c r="J2806">
        <v>13.5</v>
      </c>
      <c r="K2806">
        <v>16.7</v>
      </c>
      <c r="L2806">
        <v>12.4</v>
      </c>
      <c r="M2806">
        <v>48</v>
      </c>
    </row>
    <row r="2807" spans="1:13" x14ac:dyDescent="0.25">
      <c r="A2807" t="s">
        <v>344</v>
      </c>
      <c r="B2807" t="s">
        <v>495</v>
      </c>
      <c r="C2807" t="s">
        <v>492</v>
      </c>
      <c r="D2807" t="s">
        <v>494</v>
      </c>
      <c r="E2807">
        <v>2</v>
      </c>
      <c r="F2807">
        <v>6</v>
      </c>
      <c r="G2807">
        <v>100</v>
      </c>
      <c r="H2807">
        <v>14</v>
      </c>
      <c r="I2807">
        <v>10.1</v>
      </c>
      <c r="J2807">
        <v>13.5</v>
      </c>
      <c r="K2807">
        <v>16.7</v>
      </c>
      <c r="L2807">
        <v>12.4</v>
      </c>
      <c r="M2807">
        <v>48</v>
      </c>
    </row>
    <row r="2808" spans="1:13" x14ac:dyDescent="0.25">
      <c r="A2808" t="s">
        <v>344</v>
      </c>
      <c r="B2808" t="s">
        <v>495</v>
      </c>
      <c r="C2808" t="s">
        <v>492</v>
      </c>
      <c r="D2808" t="s">
        <v>494</v>
      </c>
      <c r="E2808">
        <v>2</v>
      </c>
      <c r="F2808">
        <v>6</v>
      </c>
      <c r="G2808">
        <v>120</v>
      </c>
      <c r="H2808">
        <v>14</v>
      </c>
      <c r="I2808">
        <v>10.1</v>
      </c>
      <c r="J2808">
        <v>13.5</v>
      </c>
      <c r="K2808">
        <v>16.7</v>
      </c>
      <c r="L2808">
        <v>12.4</v>
      </c>
      <c r="M2808">
        <v>64</v>
      </c>
    </row>
    <row r="2809" spans="1:13" x14ac:dyDescent="0.25">
      <c r="A2809" t="s">
        <v>344</v>
      </c>
      <c r="B2809" t="s">
        <v>495</v>
      </c>
      <c r="C2809" t="s">
        <v>492</v>
      </c>
      <c r="D2809" t="s">
        <v>494</v>
      </c>
      <c r="E2809">
        <v>2</v>
      </c>
      <c r="F2809">
        <v>6</v>
      </c>
      <c r="G2809">
        <v>140</v>
      </c>
      <c r="H2809">
        <v>14</v>
      </c>
      <c r="I2809">
        <v>10.1</v>
      </c>
      <c r="J2809">
        <v>13.5</v>
      </c>
      <c r="K2809">
        <v>16.7</v>
      </c>
      <c r="L2809">
        <v>12.4</v>
      </c>
      <c r="M2809">
        <v>64</v>
      </c>
    </row>
    <row r="2810" spans="1:13" x14ac:dyDescent="0.25">
      <c r="A2810" t="s">
        <v>344</v>
      </c>
      <c r="B2810" t="s">
        <v>495</v>
      </c>
      <c r="C2810" t="s">
        <v>492</v>
      </c>
      <c r="D2810" t="s">
        <v>494</v>
      </c>
      <c r="E2810">
        <v>2</v>
      </c>
      <c r="F2810">
        <v>6</v>
      </c>
      <c r="G2810">
        <v>160</v>
      </c>
      <c r="H2810">
        <v>14</v>
      </c>
      <c r="I2810">
        <v>10.1</v>
      </c>
      <c r="J2810">
        <v>13.5</v>
      </c>
      <c r="K2810">
        <v>16.7</v>
      </c>
      <c r="L2810">
        <v>12.4</v>
      </c>
      <c r="M2810">
        <v>64</v>
      </c>
    </row>
    <row r="2811" spans="1:13" x14ac:dyDescent="0.25">
      <c r="A2811" t="s">
        <v>344</v>
      </c>
      <c r="B2811" t="s">
        <v>495</v>
      </c>
      <c r="C2811" t="s">
        <v>492</v>
      </c>
      <c r="D2811" t="s">
        <v>494</v>
      </c>
      <c r="E2811">
        <v>2</v>
      </c>
      <c r="F2811">
        <v>6</v>
      </c>
      <c r="G2811">
        <v>180</v>
      </c>
      <c r="H2811">
        <v>14</v>
      </c>
      <c r="I2811">
        <v>10.1</v>
      </c>
      <c r="J2811">
        <v>13.5</v>
      </c>
      <c r="K2811">
        <v>16.7</v>
      </c>
      <c r="L2811">
        <v>12.4</v>
      </c>
      <c r="M2811">
        <v>64</v>
      </c>
    </row>
    <row r="2812" spans="1:13" x14ac:dyDescent="0.25">
      <c r="A2812" t="s">
        <v>344</v>
      </c>
      <c r="B2812" t="s">
        <v>495</v>
      </c>
      <c r="C2812" t="s">
        <v>492</v>
      </c>
      <c r="D2812" t="s">
        <v>494</v>
      </c>
      <c r="E2812">
        <v>2</v>
      </c>
      <c r="F2812">
        <v>6</v>
      </c>
      <c r="G2812">
        <v>200</v>
      </c>
      <c r="H2812">
        <v>14</v>
      </c>
      <c r="I2812">
        <v>10.1</v>
      </c>
      <c r="J2812">
        <v>13.5</v>
      </c>
      <c r="K2812">
        <v>16.7</v>
      </c>
      <c r="L2812">
        <v>12.4</v>
      </c>
      <c r="M2812">
        <v>64</v>
      </c>
    </row>
    <row r="2813" spans="1:13" x14ac:dyDescent="0.25">
      <c r="A2813" t="s">
        <v>344</v>
      </c>
      <c r="B2813" t="s">
        <v>495</v>
      </c>
      <c r="C2813" t="s">
        <v>492</v>
      </c>
      <c r="D2813" t="s">
        <v>494</v>
      </c>
      <c r="E2813">
        <v>2</v>
      </c>
      <c r="F2813">
        <v>8</v>
      </c>
      <c r="G2813">
        <v>80</v>
      </c>
      <c r="H2813">
        <v>20</v>
      </c>
      <c r="I2813">
        <v>21</v>
      </c>
      <c r="J2813">
        <v>13.1</v>
      </c>
      <c r="K2813">
        <v>17.600000000000001</v>
      </c>
      <c r="L2813">
        <v>22</v>
      </c>
      <c r="M2813">
        <v>54</v>
      </c>
    </row>
    <row r="2814" spans="1:13" x14ac:dyDescent="0.25">
      <c r="A2814" t="s">
        <v>344</v>
      </c>
      <c r="B2814" t="s">
        <v>495</v>
      </c>
      <c r="C2814" t="s">
        <v>492</v>
      </c>
      <c r="D2814" t="s">
        <v>494</v>
      </c>
      <c r="E2814">
        <v>2</v>
      </c>
      <c r="F2814">
        <v>8</v>
      </c>
      <c r="G2814">
        <v>100</v>
      </c>
      <c r="H2814">
        <v>20</v>
      </c>
      <c r="I2814">
        <v>21</v>
      </c>
      <c r="J2814">
        <v>13.1</v>
      </c>
      <c r="K2814">
        <v>17.600000000000001</v>
      </c>
      <c r="L2814">
        <v>22</v>
      </c>
      <c r="M2814">
        <v>54</v>
      </c>
    </row>
    <row r="2815" spans="1:13" x14ac:dyDescent="0.25">
      <c r="A2815" t="s">
        <v>344</v>
      </c>
      <c r="B2815" t="s">
        <v>495</v>
      </c>
      <c r="C2815" t="s">
        <v>492</v>
      </c>
      <c r="D2815" t="s">
        <v>494</v>
      </c>
      <c r="E2815">
        <v>2</v>
      </c>
      <c r="F2815">
        <v>8</v>
      </c>
      <c r="G2815">
        <v>120</v>
      </c>
      <c r="H2815">
        <v>20</v>
      </c>
      <c r="I2815">
        <v>21</v>
      </c>
      <c r="J2815">
        <v>13.1</v>
      </c>
      <c r="K2815">
        <v>17.600000000000001</v>
      </c>
      <c r="L2815">
        <v>22</v>
      </c>
      <c r="M2815">
        <v>54</v>
      </c>
    </row>
    <row r="2816" spans="1:13" x14ac:dyDescent="0.25">
      <c r="A2816" t="s">
        <v>344</v>
      </c>
      <c r="B2816" t="s">
        <v>495</v>
      </c>
      <c r="C2816" t="s">
        <v>492</v>
      </c>
      <c r="D2816" t="s">
        <v>494</v>
      </c>
      <c r="E2816">
        <v>2</v>
      </c>
      <c r="F2816">
        <v>8</v>
      </c>
      <c r="G2816">
        <v>140</v>
      </c>
      <c r="H2816">
        <v>20</v>
      </c>
      <c r="I2816">
        <v>21</v>
      </c>
      <c r="J2816">
        <v>13.1</v>
      </c>
      <c r="K2816">
        <v>17.600000000000001</v>
      </c>
      <c r="L2816">
        <v>22</v>
      </c>
      <c r="M2816">
        <v>84</v>
      </c>
    </row>
    <row r="2817" spans="1:13" x14ac:dyDescent="0.25">
      <c r="A2817" t="s">
        <v>344</v>
      </c>
      <c r="B2817" t="s">
        <v>495</v>
      </c>
      <c r="C2817" t="s">
        <v>492</v>
      </c>
      <c r="D2817" t="s">
        <v>494</v>
      </c>
      <c r="E2817">
        <v>2</v>
      </c>
      <c r="F2817">
        <v>8</v>
      </c>
      <c r="G2817">
        <v>160</v>
      </c>
      <c r="H2817">
        <v>20</v>
      </c>
      <c r="I2817">
        <v>21</v>
      </c>
      <c r="J2817">
        <v>13.1</v>
      </c>
      <c r="K2817">
        <v>17.600000000000001</v>
      </c>
      <c r="L2817">
        <v>22</v>
      </c>
      <c r="M2817">
        <v>84</v>
      </c>
    </row>
    <row r="2818" spans="1:13" x14ac:dyDescent="0.25">
      <c r="A2818" t="s">
        <v>344</v>
      </c>
      <c r="B2818" t="s">
        <v>495</v>
      </c>
      <c r="C2818" t="s">
        <v>492</v>
      </c>
      <c r="D2818" t="s">
        <v>494</v>
      </c>
      <c r="E2818">
        <v>2</v>
      </c>
      <c r="F2818">
        <v>8</v>
      </c>
      <c r="G2818">
        <v>180</v>
      </c>
      <c r="H2818">
        <v>20</v>
      </c>
      <c r="I2818">
        <v>21</v>
      </c>
      <c r="J2818">
        <v>13.1</v>
      </c>
      <c r="K2818">
        <v>17.600000000000001</v>
      </c>
      <c r="L2818">
        <v>22</v>
      </c>
      <c r="M2818">
        <v>100</v>
      </c>
    </row>
    <row r="2819" spans="1:13" x14ac:dyDescent="0.25">
      <c r="A2819" t="s">
        <v>344</v>
      </c>
      <c r="B2819" t="s">
        <v>495</v>
      </c>
      <c r="C2819" t="s">
        <v>492</v>
      </c>
      <c r="D2819" t="s">
        <v>494</v>
      </c>
      <c r="E2819">
        <v>2</v>
      </c>
      <c r="F2819">
        <v>8</v>
      </c>
      <c r="G2819">
        <v>200</v>
      </c>
      <c r="H2819">
        <v>20</v>
      </c>
      <c r="I2819">
        <v>21</v>
      </c>
      <c r="J2819">
        <v>13.1</v>
      </c>
      <c r="K2819">
        <v>17.600000000000001</v>
      </c>
      <c r="L2819">
        <v>22</v>
      </c>
      <c r="M2819">
        <v>100</v>
      </c>
    </row>
    <row r="2820" spans="1:13" x14ac:dyDescent="0.25">
      <c r="A2820" t="s">
        <v>344</v>
      </c>
      <c r="B2820" t="s">
        <v>495</v>
      </c>
      <c r="C2820" t="s">
        <v>492</v>
      </c>
      <c r="D2820" t="s">
        <v>494</v>
      </c>
      <c r="E2820">
        <v>2</v>
      </c>
      <c r="F2820">
        <v>8</v>
      </c>
      <c r="G2820">
        <v>220</v>
      </c>
      <c r="H2820">
        <v>20</v>
      </c>
      <c r="I2820">
        <v>21</v>
      </c>
      <c r="J2820">
        <v>13.1</v>
      </c>
      <c r="K2820">
        <v>17.600000000000001</v>
      </c>
      <c r="L2820">
        <v>22</v>
      </c>
      <c r="M2820">
        <v>100</v>
      </c>
    </row>
    <row r="2821" spans="1:13" x14ac:dyDescent="0.25">
      <c r="A2821" t="s">
        <v>344</v>
      </c>
      <c r="B2821" t="s">
        <v>495</v>
      </c>
      <c r="C2821" t="s">
        <v>492</v>
      </c>
      <c r="D2821" t="s">
        <v>494</v>
      </c>
      <c r="E2821">
        <v>2</v>
      </c>
      <c r="F2821">
        <v>8</v>
      </c>
      <c r="G2821">
        <v>240</v>
      </c>
      <c r="H2821">
        <v>20</v>
      </c>
      <c r="I2821">
        <v>21</v>
      </c>
      <c r="J2821">
        <v>13.1</v>
      </c>
      <c r="K2821">
        <v>17.600000000000001</v>
      </c>
      <c r="L2821">
        <v>22</v>
      </c>
      <c r="M2821">
        <v>100</v>
      </c>
    </row>
    <row r="2822" spans="1:13" x14ac:dyDescent="0.25">
      <c r="A2822" t="s">
        <v>344</v>
      </c>
      <c r="B2822" t="s">
        <v>495</v>
      </c>
      <c r="C2822" t="s">
        <v>492</v>
      </c>
      <c r="D2822" t="s">
        <v>494</v>
      </c>
      <c r="E2822">
        <v>2</v>
      </c>
      <c r="F2822">
        <v>8</v>
      </c>
      <c r="G2822">
        <v>260</v>
      </c>
      <c r="H2822">
        <v>20</v>
      </c>
      <c r="I2822">
        <v>21</v>
      </c>
      <c r="J2822">
        <v>13.1</v>
      </c>
      <c r="K2822">
        <v>17.600000000000001</v>
      </c>
      <c r="L2822">
        <v>22</v>
      </c>
      <c r="M2822">
        <v>100</v>
      </c>
    </row>
    <row r="2823" spans="1:13" x14ac:dyDescent="0.25">
      <c r="A2823" t="s">
        <v>344</v>
      </c>
      <c r="B2823" t="s">
        <v>495</v>
      </c>
      <c r="C2823" t="s">
        <v>492</v>
      </c>
      <c r="D2823" t="s">
        <v>494</v>
      </c>
      <c r="E2823">
        <v>2</v>
      </c>
      <c r="F2823">
        <v>8</v>
      </c>
      <c r="G2823">
        <v>280</v>
      </c>
      <c r="H2823">
        <v>20</v>
      </c>
      <c r="I2823">
        <v>21</v>
      </c>
      <c r="J2823">
        <v>13.1</v>
      </c>
      <c r="K2823">
        <v>17.600000000000001</v>
      </c>
      <c r="L2823">
        <v>22</v>
      </c>
      <c r="M2823">
        <v>100</v>
      </c>
    </row>
    <row r="2824" spans="1:13" x14ac:dyDescent="0.25">
      <c r="A2824" t="s">
        <v>344</v>
      </c>
      <c r="B2824" t="s">
        <v>495</v>
      </c>
      <c r="C2824" t="s">
        <v>492</v>
      </c>
      <c r="D2824" t="s">
        <v>494</v>
      </c>
      <c r="E2824">
        <v>2</v>
      </c>
      <c r="F2824">
        <v>8</v>
      </c>
      <c r="G2824">
        <v>300</v>
      </c>
      <c r="H2824">
        <v>20</v>
      </c>
      <c r="I2824">
        <v>21</v>
      </c>
      <c r="J2824">
        <v>13.1</v>
      </c>
      <c r="K2824">
        <v>17.600000000000001</v>
      </c>
      <c r="L2824">
        <v>22</v>
      </c>
      <c r="M2824">
        <v>100</v>
      </c>
    </row>
    <row r="2825" spans="1:13" x14ac:dyDescent="0.25">
      <c r="A2825" t="s">
        <v>344</v>
      </c>
      <c r="B2825" t="s">
        <v>495</v>
      </c>
      <c r="C2825" t="s">
        <v>492</v>
      </c>
      <c r="D2825" t="s">
        <v>494</v>
      </c>
      <c r="E2825">
        <v>2</v>
      </c>
      <c r="F2825">
        <v>8</v>
      </c>
      <c r="G2825">
        <v>320</v>
      </c>
      <c r="H2825">
        <v>20</v>
      </c>
      <c r="I2825">
        <v>21</v>
      </c>
      <c r="J2825">
        <v>13.1</v>
      </c>
      <c r="K2825">
        <v>17.600000000000001</v>
      </c>
      <c r="L2825">
        <v>22</v>
      </c>
      <c r="M2825">
        <v>100</v>
      </c>
    </row>
    <row r="2826" spans="1:13" x14ac:dyDescent="0.25">
      <c r="A2826" t="s">
        <v>344</v>
      </c>
      <c r="B2826" t="s">
        <v>495</v>
      </c>
      <c r="C2826" t="s">
        <v>492</v>
      </c>
      <c r="D2826" t="s">
        <v>494</v>
      </c>
      <c r="E2826">
        <v>2</v>
      </c>
      <c r="F2826">
        <v>8</v>
      </c>
      <c r="G2826">
        <v>340</v>
      </c>
      <c r="H2826">
        <v>20</v>
      </c>
      <c r="I2826">
        <v>21</v>
      </c>
      <c r="J2826">
        <v>13.1</v>
      </c>
      <c r="K2826">
        <v>17.600000000000001</v>
      </c>
      <c r="L2826">
        <v>22</v>
      </c>
      <c r="M2826">
        <v>100</v>
      </c>
    </row>
    <row r="2827" spans="1:13" x14ac:dyDescent="0.25">
      <c r="A2827" t="s">
        <v>344</v>
      </c>
      <c r="B2827" t="s">
        <v>495</v>
      </c>
      <c r="C2827" t="s">
        <v>492</v>
      </c>
      <c r="D2827" t="s">
        <v>494</v>
      </c>
      <c r="E2827">
        <v>2</v>
      </c>
      <c r="F2827">
        <v>8</v>
      </c>
      <c r="G2827">
        <v>360</v>
      </c>
      <c r="H2827">
        <v>20</v>
      </c>
      <c r="I2827">
        <v>21</v>
      </c>
      <c r="J2827">
        <v>13.1</v>
      </c>
      <c r="K2827">
        <v>17.600000000000001</v>
      </c>
      <c r="L2827">
        <v>22</v>
      </c>
      <c r="M2827">
        <v>100</v>
      </c>
    </row>
    <row r="2828" spans="1:13" x14ac:dyDescent="0.25">
      <c r="A2828" t="s">
        <v>344</v>
      </c>
      <c r="B2828" t="s">
        <v>495</v>
      </c>
      <c r="C2828" t="s">
        <v>492</v>
      </c>
      <c r="D2828" t="s">
        <v>494</v>
      </c>
      <c r="E2828">
        <v>2</v>
      </c>
      <c r="F2828">
        <v>8</v>
      </c>
      <c r="G2828">
        <v>380</v>
      </c>
      <c r="H2828">
        <v>20</v>
      </c>
      <c r="I2828">
        <v>21</v>
      </c>
      <c r="J2828">
        <v>13.1</v>
      </c>
      <c r="K2828">
        <v>17.600000000000001</v>
      </c>
      <c r="L2828">
        <v>22</v>
      </c>
      <c r="M2828">
        <v>100</v>
      </c>
    </row>
    <row r="2829" spans="1:13" x14ac:dyDescent="0.25">
      <c r="A2829" t="s">
        <v>344</v>
      </c>
      <c r="B2829" t="s">
        <v>495</v>
      </c>
      <c r="C2829" t="s">
        <v>492</v>
      </c>
      <c r="D2829" t="s">
        <v>494</v>
      </c>
      <c r="E2829">
        <v>2</v>
      </c>
      <c r="F2829">
        <v>8</v>
      </c>
      <c r="G2829">
        <v>400</v>
      </c>
      <c r="H2829">
        <v>20</v>
      </c>
      <c r="I2829">
        <v>21</v>
      </c>
      <c r="J2829">
        <v>13.1</v>
      </c>
      <c r="K2829">
        <v>17.600000000000001</v>
      </c>
      <c r="L2829">
        <v>22</v>
      </c>
      <c r="M2829">
        <v>100</v>
      </c>
    </row>
    <row r="2830" spans="1:13" x14ac:dyDescent="0.25">
      <c r="A2830" t="s">
        <v>344</v>
      </c>
      <c r="B2830" t="s">
        <v>495</v>
      </c>
      <c r="C2830" t="s">
        <v>492</v>
      </c>
      <c r="D2830" t="s">
        <v>494</v>
      </c>
      <c r="E2830">
        <v>2</v>
      </c>
      <c r="F2830">
        <v>10</v>
      </c>
      <c r="G2830">
        <v>100</v>
      </c>
      <c r="H2830">
        <v>25</v>
      </c>
      <c r="I2830">
        <v>33</v>
      </c>
      <c r="J2830">
        <v>12.5</v>
      </c>
      <c r="K2830">
        <v>15.2</v>
      </c>
      <c r="L2830">
        <v>32</v>
      </c>
      <c r="M2830">
        <v>60</v>
      </c>
    </row>
    <row r="2831" spans="1:13" x14ac:dyDescent="0.25">
      <c r="A2831" t="s">
        <v>344</v>
      </c>
      <c r="B2831" t="s">
        <v>495</v>
      </c>
      <c r="C2831" t="s">
        <v>492</v>
      </c>
      <c r="D2831" t="s">
        <v>494</v>
      </c>
      <c r="E2831">
        <v>2</v>
      </c>
      <c r="F2831">
        <v>10</v>
      </c>
      <c r="G2831">
        <v>120</v>
      </c>
      <c r="H2831">
        <v>25</v>
      </c>
      <c r="I2831">
        <v>33</v>
      </c>
      <c r="J2831">
        <v>12.5</v>
      </c>
      <c r="K2831">
        <v>15.2</v>
      </c>
      <c r="L2831">
        <v>32</v>
      </c>
      <c r="M2831">
        <v>60</v>
      </c>
    </row>
    <row r="2832" spans="1:13" x14ac:dyDescent="0.25">
      <c r="A2832" t="s">
        <v>344</v>
      </c>
      <c r="B2832" t="s">
        <v>495</v>
      </c>
      <c r="C2832" t="s">
        <v>492</v>
      </c>
      <c r="D2832" t="s">
        <v>494</v>
      </c>
      <c r="E2832">
        <v>2</v>
      </c>
      <c r="F2832">
        <v>10</v>
      </c>
      <c r="G2832">
        <v>140</v>
      </c>
      <c r="H2832">
        <v>25</v>
      </c>
      <c r="I2832">
        <v>33</v>
      </c>
      <c r="J2832">
        <v>12.5</v>
      </c>
      <c r="K2832">
        <v>15.2</v>
      </c>
      <c r="L2832">
        <v>32</v>
      </c>
      <c r="M2832">
        <v>60</v>
      </c>
    </row>
    <row r="2833" spans="1:13" x14ac:dyDescent="0.25">
      <c r="A2833" t="s">
        <v>344</v>
      </c>
      <c r="B2833" t="s">
        <v>495</v>
      </c>
      <c r="C2833" t="s">
        <v>492</v>
      </c>
      <c r="D2833" t="s">
        <v>494</v>
      </c>
      <c r="E2833">
        <v>2</v>
      </c>
      <c r="F2833">
        <v>10</v>
      </c>
      <c r="G2833">
        <v>160</v>
      </c>
      <c r="H2833">
        <v>25</v>
      </c>
      <c r="I2833">
        <v>33</v>
      </c>
      <c r="J2833">
        <v>12.5</v>
      </c>
      <c r="K2833">
        <v>15.2</v>
      </c>
      <c r="L2833">
        <v>32</v>
      </c>
      <c r="M2833">
        <v>100</v>
      </c>
    </row>
    <row r="2834" spans="1:13" x14ac:dyDescent="0.25">
      <c r="A2834" t="s">
        <v>344</v>
      </c>
      <c r="B2834" t="s">
        <v>495</v>
      </c>
      <c r="C2834" t="s">
        <v>492</v>
      </c>
      <c r="D2834" t="s">
        <v>494</v>
      </c>
      <c r="E2834">
        <v>2</v>
      </c>
      <c r="F2834">
        <v>10</v>
      </c>
      <c r="G2834">
        <v>180</v>
      </c>
      <c r="H2834">
        <v>25</v>
      </c>
      <c r="I2834">
        <v>33</v>
      </c>
      <c r="J2834">
        <v>12.5</v>
      </c>
      <c r="K2834">
        <v>15.2</v>
      </c>
      <c r="L2834">
        <v>32</v>
      </c>
      <c r="M2834">
        <v>100</v>
      </c>
    </row>
    <row r="2835" spans="1:13" x14ac:dyDescent="0.25">
      <c r="A2835" t="s">
        <v>344</v>
      </c>
      <c r="B2835" t="s">
        <v>495</v>
      </c>
      <c r="C2835" t="s">
        <v>492</v>
      </c>
      <c r="D2835" t="s">
        <v>494</v>
      </c>
      <c r="E2835">
        <v>2</v>
      </c>
      <c r="F2835">
        <v>10</v>
      </c>
      <c r="G2835">
        <v>200</v>
      </c>
      <c r="H2835">
        <v>25</v>
      </c>
      <c r="I2835">
        <v>33</v>
      </c>
      <c r="J2835">
        <v>12.5</v>
      </c>
      <c r="K2835">
        <v>15.2</v>
      </c>
      <c r="L2835">
        <v>32</v>
      </c>
      <c r="M2835">
        <v>100</v>
      </c>
    </row>
    <row r="2836" spans="1:13" x14ac:dyDescent="0.25">
      <c r="A2836" t="s">
        <v>344</v>
      </c>
      <c r="B2836" t="s">
        <v>495</v>
      </c>
      <c r="C2836" t="s">
        <v>492</v>
      </c>
      <c r="D2836" t="s">
        <v>494</v>
      </c>
      <c r="E2836">
        <v>2</v>
      </c>
      <c r="F2836">
        <v>10</v>
      </c>
      <c r="G2836">
        <v>220</v>
      </c>
      <c r="H2836">
        <v>25</v>
      </c>
      <c r="I2836">
        <v>33</v>
      </c>
      <c r="J2836">
        <v>12.5</v>
      </c>
      <c r="K2836">
        <v>15.2</v>
      </c>
      <c r="L2836">
        <v>32</v>
      </c>
      <c r="M2836">
        <v>100</v>
      </c>
    </row>
    <row r="2837" spans="1:13" x14ac:dyDescent="0.25">
      <c r="A2837" t="s">
        <v>344</v>
      </c>
      <c r="B2837" t="s">
        <v>495</v>
      </c>
      <c r="C2837" t="s">
        <v>492</v>
      </c>
      <c r="D2837" t="s">
        <v>494</v>
      </c>
      <c r="E2837">
        <v>2</v>
      </c>
      <c r="F2837">
        <v>10</v>
      </c>
      <c r="G2837">
        <v>240</v>
      </c>
      <c r="H2837">
        <v>25</v>
      </c>
      <c r="I2837">
        <v>33</v>
      </c>
      <c r="J2837">
        <v>12.5</v>
      </c>
      <c r="K2837">
        <v>15.2</v>
      </c>
      <c r="L2837">
        <v>32</v>
      </c>
      <c r="M2837">
        <v>100</v>
      </c>
    </row>
    <row r="2838" spans="1:13" x14ac:dyDescent="0.25">
      <c r="A2838" t="s">
        <v>344</v>
      </c>
      <c r="B2838" t="s">
        <v>495</v>
      </c>
      <c r="C2838" t="s">
        <v>492</v>
      </c>
      <c r="D2838" t="s">
        <v>494</v>
      </c>
      <c r="E2838">
        <v>2</v>
      </c>
      <c r="F2838">
        <v>10</v>
      </c>
      <c r="G2838">
        <v>260</v>
      </c>
      <c r="H2838">
        <v>25</v>
      </c>
      <c r="I2838">
        <v>33</v>
      </c>
      <c r="J2838">
        <v>12.5</v>
      </c>
      <c r="K2838">
        <v>15.2</v>
      </c>
      <c r="L2838">
        <v>32</v>
      </c>
      <c r="M2838">
        <v>100</v>
      </c>
    </row>
    <row r="2839" spans="1:13" x14ac:dyDescent="0.25">
      <c r="A2839" t="s">
        <v>344</v>
      </c>
      <c r="B2839" t="s">
        <v>495</v>
      </c>
      <c r="C2839" t="s">
        <v>492</v>
      </c>
      <c r="D2839" t="s">
        <v>494</v>
      </c>
      <c r="E2839">
        <v>2</v>
      </c>
      <c r="F2839">
        <v>10</v>
      </c>
      <c r="G2839">
        <v>280</v>
      </c>
      <c r="H2839">
        <v>25</v>
      </c>
      <c r="I2839">
        <v>33</v>
      </c>
      <c r="J2839">
        <v>12.5</v>
      </c>
      <c r="K2839">
        <v>15.2</v>
      </c>
      <c r="L2839">
        <v>32</v>
      </c>
      <c r="M2839">
        <v>100</v>
      </c>
    </row>
    <row r="2840" spans="1:13" x14ac:dyDescent="0.25">
      <c r="A2840" t="s">
        <v>344</v>
      </c>
      <c r="B2840" t="s">
        <v>495</v>
      </c>
      <c r="C2840" t="s">
        <v>492</v>
      </c>
      <c r="D2840" t="s">
        <v>494</v>
      </c>
      <c r="E2840">
        <v>2</v>
      </c>
      <c r="F2840">
        <v>10</v>
      </c>
      <c r="G2840">
        <v>300</v>
      </c>
      <c r="H2840">
        <v>25</v>
      </c>
      <c r="I2840">
        <v>33</v>
      </c>
      <c r="J2840">
        <v>12.5</v>
      </c>
      <c r="K2840">
        <v>15.2</v>
      </c>
      <c r="L2840">
        <v>32</v>
      </c>
      <c r="M2840">
        <v>100</v>
      </c>
    </row>
    <row r="2841" spans="1:13" x14ac:dyDescent="0.25">
      <c r="A2841" t="s">
        <v>344</v>
      </c>
      <c r="B2841" t="s">
        <v>495</v>
      </c>
      <c r="C2841" t="s">
        <v>492</v>
      </c>
      <c r="D2841" t="s">
        <v>494</v>
      </c>
      <c r="E2841">
        <v>2</v>
      </c>
      <c r="F2841">
        <v>10</v>
      </c>
      <c r="G2841">
        <v>320</v>
      </c>
      <c r="H2841">
        <v>25</v>
      </c>
      <c r="I2841">
        <v>33</v>
      </c>
      <c r="J2841">
        <v>12.5</v>
      </c>
      <c r="K2841">
        <v>15.2</v>
      </c>
      <c r="L2841">
        <v>32</v>
      </c>
      <c r="M2841">
        <v>100</v>
      </c>
    </row>
    <row r="2842" spans="1:13" x14ac:dyDescent="0.25">
      <c r="A2842" t="s">
        <v>344</v>
      </c>
      <c r="B2842" t="s">
        <v>495</v>
      </c>
      <c r="C2842" t="s">
        <v>492</v>
      </c>
      <c r="D2842" t="s">
        <v>494</v>
      </c>
      <c r="E2842">
        <v>2</v>
      </c>
      <c r="F2842">
        <v>10</v>
      </c>
      <c r="G2842">
        <v>340</v>
      </c>
      <c r="H2842">
        <v>25</v>
      </c>
      <c r="I2842">
        <v>33</v>
      </c>
      <c r="J2842">
        <v>12.5</v>
      </c>
      <c r="K2842">
        <v>15.2</v>
      </c>
      <c r="L2842">
        <v>32</v>
      </c>
      <c r="M2842">
        <v>100</v>
      </c>
    </row>
    <row r="2843" spans="1:13" x14ac:dyDescent="0.25">
      <c r="A2843" t="s">
        <v>344</v>
      </c>
      <c r="B2843" t="s">
        <v>495</v>
      </c>
      <c r="C2843" t="s">
        <v>492</v>
      </c>
      <c r="D2843" t="s">
        <v>494</v>
      </c>
      <c r="E2843">
        <v>2</v>
      </c>
      <c r="F2843">
        <v>10</v>
      </c>
      <c r="G2843">
        <v>360</v>
      </c>
      <c r="H2843">
        <v>25</v>
      </c>
      <c r="I2843">
        <v>33</v>
      </c>
      <c r="J2843">
        <v>12.5</v>
      </c>
      <c r="K2843">
        <v>15.2</v>
      </c>
      <c r="L2843">
        <v>32</v>
      </c>
      <c r="M2843">
        <v>100</v>
      </c>
    </row>
    <row r="2844" spans="1:13" x14ac:dyDescent="0.25">
      <c r="A2844" t="s">
        <v>344</v>
      </c>
      <c r="B2844" t="s">
        <v>495</v>
      </c>
      <c r="C2844" t="s">
        <v>492</v>
      </c>
      <c r="D2844" t="s">
        <v>494</v>
      </c>
      <c r="E2844">
        <v>2</v>
      </c>
      <c r="F2844">
        <v>10</v>
      </c>
      <c r="G2844">
        <v>380</v>
      </c>
      <c r="H2844">
        <v>25</v>
      </c>
      <c r="I2844">
        <v>33</v>
      </c>
      <c r="J2844">
        <v>12.5</v>
      </c>
      <c r="K2844">
        <v>15.2</v>
      </c>
      <c r="L2844">
        <v>32</v>
      </c>
      <c r="M2844">
        <v>100</v>
      </c>
    </row>
    <row r="2845" spans="1:13" x14ac:dyDescent="0.25">
      <c r="A2845" t="s">
        <v>344</v>
      </c>
      <c r="B2845" t="s">
        <v>495</v>
      </c>
      <c r="C2845" t="s">
        <v>492</v>
      </c>
      <c r="D2845" t="s">
        <v>494</v>
      </c>
      <c r="E2845">
        <v>2</v>
      </c>
      <c r="F2845">
        <v>10</v>
      </c>
      <c r="G2845">
        <v>400</v>
      </c>
      <c r="H2845">
        <v>25</v>
      </c>
      <c r="I2845">
        <v>33</v>
      </c>
      <c r="J2845">
        <v>12.5</v>
      </c>
      <c r="K2845">
        <v>15.2</v>
      </c>
      <c r="L2845">
        <v>32</v>
      </c>
      <c r="M2845">
        <v>100</v>
      </c>
    </row>
    <row r="2846" spans="1:13" x14ac:dyDescent="0.25">
      <c r="A2846" t="s">
        <v>344</v>
      </c>
      <c r="B2846" t="s">
        <v>495</v>
      </c>
      <c r="C2846" t="s">
        <v>511</v>
      </c>
      <c r="D2846" t="s">
        <v>512</v>
      </c>
      <c r="E2846">
        <v>2</v>
      </c>
      <c r="F2846">
        <v>8</v>
      </c>
      <c r="G2846">
        <v>40</v>
      </c>
      <c r="H2846">
        <v>20</v>
      </c>
      <c r="I2846">
        <v>21</v>
      </c>
      <c r="J2846">
        <v>13.1</v>
      </c>
      <c r="K2846">
        <v>17.600000000000001</v>
      </c>
      <c r="L2846">
        <v>22</v>
      </c>
      <c r="M2846">
        <v>32</v>
      </c>
    </row>
    <row r="2847" spans="1:13" x14ac:dyDescent="0.25">
      <c r="A2847" t="s">
        <v>344</v>
      </c>
      <c r="B2847" t="s">
        <v>495</v>
      </c>
      <c r="C2847" t="s">
        <v>511</v>
      </c>
      <c r="D2847" t="s">
        <v>512</v>
      </c>
      <c r="E2847">
        <v>2</v>
      </c>
      <c r="F2847">
        <v>8</v>
      </c>
      <c r="G2847">
        <v>50</v>
      </c>
      <c r="H2847">
        <v>20</v>
      </c>
      <c r="I2847">
        <v>21</v>
      </c>
      <c r="J2847">
        <v>13.1</v>
      </c>
      <c r="K2847">
        <v>17.600000000000001</v>
      </c>
      <c r="L2847">
        <v>22</v>
      </c>
      <c r="M2847">
        <v>42</v>
      </c>
    </row>
    <row r="2848" spans="1:13" x14ac:dyDescent="0.25">
      <c r="A2848" t="s">
        <v>344</v>
      </c>
      <c r="B2848" t="s">
        <v>495</v>
      </c>
      <c r="C2848" t="s">
        <v>511</v>
      </c>
      <c r="D2848" t="s">
        <v>512</v>
      </c>
      <c r="E2848">
        <v>2</v>
      </c>
      <c r="F2848">
        <v>8</v>
      </c>
      <c r="G2848">
        <v>60</v>
      </c>
      <c r="H2848">
        <v>20</v>
      </c>
      <c r="I2848">
        <v>21</v>
      </c>
      <c r="J2848">
        <v>13.1</v>
      </c>
      <c r="K2848">
        <v>17.600000000000001</v>
      </c>
      <c r="L2848">
        <v>22</v>
      </c>
      <c r="M2848">
        <v>52</v>
      </c>
    </row>
    <row r="2849" spans="1:13" x14ac:dyDescent="0.25">
      <c r="A2849" t="s">
        <v>344</v>
      </c>
      <c r="B2849" t="s">
        <v>495</v>
      </c>
      <c r="C2849" t="s">
        <v>513</v>
      </c>
      <c r="D2849" t="s">
        <v>514</v>
      </c>
      <c r="E2849">
        <v>2</v>
      </c>
      <c r="F2849">
        <v>6</v>
      </c>
      <c r="G2849">
        <v>80</v>
      </c>
      <c r="H2849">
        <v>8.1999999999999993</v>
      </c>
      <c r="I2849">
        <v>10</v>
      </c>
      <c r="J2849">
        <v>13.5</v>
      </c>
      <c r="K2849">
        <v>0</v>
      </c>
      <c r="L2849">
        <v>12.5</v>
      </c>
      <c r="M2849">
        <v>70</v>
      </c>
    </row>
    <row r="2850" spans="1:13" x14ac:dyDescent="0.25">
      <c r="A2850" t="s">
        <v>344</v>
      </c>
      <c r="B2850" t="s">
        <v>495</v>
      </c>
      <c r="C2850" t="s">
        <v>513</v>
      </c>
      <c r="D2850" t="s">
        <v>514</v>
      </c>
      <c r="E2850">
        <v>2</v>
      </c>
      <c r="F2850">
        <v>6</v>
      </c>
      <c r="G2850">
        <v>100</v>
      </c>
      <c r="H2850">
        <v>8.1999999999999993</v>
      </c>
      <c r="I2850">
        <v>10</v>
      </c>
      <c r="J2850">
        <v>13.5</v>
      </c>
      <c r="K2850">
        <v>0</v>
      </c>
      <c r="L2850">
        <v>12.5</v>
      </c>
      <c r="M2850">
        <v>90</v>
      </c>
    </row>
    <row r="2851" spans="1:13" x14ac:dyDescent="0.25">
      <c r="A2851" t="s">
        <v>344</v>
      </c>
      <c r="B2851" t="s">
        <v>495</v>
      </c>
      <c r="C2851" t="s">
        <v>513</v>
      </c>
      <c r="D2851" t="s">
        <v>514</v>
      </c>
      <c r="E2851">
        <v>2</v>
      </c>
      <c r="F2851">
        <v>6</v>
      </c>
      <c r="G2851">
        <v>120</v>
      </c>
      <c r="H2851">
        <v>8.1999999999999993</v>
      </c>
      <c r="I2851">
        <v>10</v>
      </c>
      <c r="J2851">
        <v>13.5</v>
      </c>
      <c r="K2851">
        <v>0</v>
      </c>
      <c r="L2851">
        <v>12.5</v>
      </c>
      <c r="M2851">
        <v>110</v>
      </c>
    </row>
    <row r="2852" spans="1:13" x14ac:dyDescent="0.25">
      <c r="A2852" t="s">
        <v>344</v>
      </c>
      <c r="B2852" t="s">
        <v>495</v>
      </c>
      <c r="C2852" t="s">
        <v>513</v>
      </c>
      <c r="D2852" t="s">
        <v>514</v>
      </c>
      <c r="E2852">
        <v>2</v>
      </c>
      <c r="F2852">
        <v>6</v>
      </c>
      <c r="G2852">
        <v>140</v>
      </c>
      <c r="H2852">
        <v>8.1999999999999993</v>
      </c>
      <c r="I2852">
        <v>10</v>
      </c>
      <c r="J2852">
        <v>13.5</v>
      </c>
      <c r="K2852">
        <v>0</v>
      </c>
      <c r="L2852">
        <v>12.5</v>
      </c>
      <c r="M2852">
        <v>130</v>
      </c>
    </row>
    <row r="2853" spans="1:13" x14ac:dyDescent="0.25">
      <c r="A2853" t="s">
        <v>344</v>
      </c>
      <c r="B2853" t="s">
        <v>495</v>
      </c>
      <c r="C2853" t="s">
        <v>513</v>
      </c>
      <c r="D2853" t="s">
        <v>514</v>
      </c>
      <c r="E2853">
        <v>2</v>
      </c>
      <c r="F2853">
        <v>6</v>
      </c>
      <c r="G2853">
        <v>160</v>
      </c>
      <c r="H2853">
        <v>8.1999999999999993</v>
      </c>
      <c r="I2853">
        <v>10</v>
      </c>
      <c r="J2853">
        <v>13.5</v>
      </c>
      <c r="K2853">
        <v>0</v>
      </c>
      <c r="L2853">
        <v>12.5</v>
      </c>
      <c r="M2853">
        <v>150</v>
      </c>
    </row>
    <row r="2854" spans="1:13" x14ac:dyDescent="0.25">
      <c r="A2854" t="s">
        <v>344</v>
      </c>
      <c r="B2854" t="s">
        <v>495</v>
      </c>
      <c r="C2854" t="s">
        <v>513</v>
      </c>
      <c r="D2854" t="s">
        <v>514</v>
      </c>
      <c r="E2854">
        <v>2</v>
      </c>
      <c r="F2854">
        <v>6</v>
      </c>
      <c r="G2854">
        <v>180</v>
      </c>
      <c r="H2854">
        <v>8.1999999999999993</v>
      </c>
      <c r="I2854">
        <v>10</v>
      </c>
      <c r="J2854">
        <v>13.5</v>
      </c>
      <c r="K2854">
        <v>0</v>
      </c>
      <c r="L2854">
        <v>12.5</v>
      </c>
      <c r="M2854">
        <v>170</v>
      </c>
    </row>
    <row r="2855" spans="1:13" x14ac:dyDescent="0.25">
      <c r="A2855" t="s">
        <v>344</v>
      </c>
      <c r="B2855" t="s">
        <v>495</v>
      </c>
      <c r="C2855" t="s">
        <v>513</v>
      </c>
      <c r="D2855" t="s">
        <v>514</v>
      </c>
      <c r="E2855">
        <v>2</v>
      </c>
      <c r="F2855">
        <v>6</v>
      </c>
      <c r="G2855">
        <v>200</v>
      </c>
      <c r="H2855">
        <v>8.1999999999999993</v>
      </c>
      <c r="I2855">
        <v>10</v>
      </c>
      <c r="J2855">
        <v>13.5</v>
      </c>
      <c r="K2855">
        <v>0</v>
      </c>
      <c r="L2855">
        <v>12.5</v>
      </c>
      <c r="M2855">
        <v>190</v>
      </c>
    </row>
    <row r="2856" spans="1:13" x14ac:dyDescent="0.25">
      <c r="A2856" t="s">
        <v>344</v>
      </c>
      <c r="B2856" t="s">
        <v>495</v>
      </c>
      <c r="C2856" t="s">
        <v>513</v>
      </c>
      <c r="D2856" t="s">
        <v>514</v>
      </c>
      <c r="E2856">
        <v>2</v>
      </c>
      <c r="F2856">
        <v>8</v>
      </c>
      <c r="G2856">
        <v>120</v>
      </c>
      <c r="H2856">
        <v>10.199999999999999</v>
      </c>
      <c r="I2856">
        <v>20.3</v>
      </c>
      <c r="J2856">
        <v>13.1</v>
      </c>
      <c r="K2856">
        <v>0</v>
      </c>
      <c r="L2856">
        <v>24.1</v>
      </c>
      <c r="M2856">
        <v>110</v>
      </c>
    </row>
    <row r="2857" spans="1:13" x14ac:dyDescent="0.25">
      <c r="A2857" t="s">
        <v>344</v>
      </c>
      <c r="B2857" t="s">
        <v>495</v>
      </c>
      <c r="C2857" t="s">
        <v>513</v>
      </c>
      <c r="D2857" t="s">
        <v>514</v>
      </c>
      <c r="E2857">
        <v>2</v>
      </c>
      <c r="F2857">
        <v>8</v>
      </c>
      <c r="G2857">
        <v>140</v>
      </c>
      <c r="H2857">
        <v>10.199999999999999</v>
      </c>
      <c r="I2857">
        <v>20.3</v>
      </c>
      <c r="J2857">
        <v>13.1</v>
      </c>
      <c r="K2857">
        <v>0</v>
      </c>
      <c r="L2857">
        <v>24.1</v>
      </c>
      <c r="M2857">
        <v>130</v>
      </c>
    </row>
    <row r="2858" spans="1:13" x14ac:dyDescent="0.25">
      <c r="A2858" t="s">
        <v>344</v>
      </c>
      <c r="B2858" t="s">
        <v>495</v>
      </c>
      <c r="C2858" t="s">
        <v>513</v>
      </c>
      <c r="D2858" t="s">
        <v>514</v>
      </c>
      <c r="E2858">
        <v>2</v>
      </c>
      <c r="F2858">
        <v>8</v>
      </c>
      <c r="G2858">
        <v>160</v>
      </c>
      <c r="H2858">
        <v>10.199999999999999</v>
      </c>
      <c r="I2858">
        <v>20.3</v>
      </c>
      <c r="J2858">
        <v>13.1</v>
      </c>
      <c r="K2858">
        <v>0</v>
      </c>
      <c r="L2858">
        <v>24.1</v>
      </c>
      <c r="M2858">
        <v>150</v>
      </c>
    </row>
    <row r="2859" spans="1:13" x14ac:dyDescent="0.25">
      <c r="A2859" t="s">
        <v>344</v>
      </c>
      <c r="B2859" t="s">
        <v>495</v>
      </c>
      <c r="C2859" t="s">
        <v>513</v>
      </c>
      <c r="D2859" t="s">
        <v>514</v>
      </c>
      <c r="E2859">
        <v>2</v>
      </c>
      <c r="F2859">
        <v>8</v>
      </c>
      <c r="G2859">
        <v>180</v>
      </c>
      <c r="H2859">
        <v>10.199999999999999</v>
      </c>
      <c r="I2859">
        <v>20.3</v>
      </c>
      <c r="J2859">
        <v>13.1</v>
      </c>
      <c r="K2859">
        <v>0</v>
      </c>
      <c r="L2859">
        <v>24.1</v>
      </c>
      <c r="M2859">
        <v>170</v>
      </c>
    </row>
    <row r="2860" spans="1:13" x14ac:dyDescent="0.25">
      <c r="A2860" t="s">
        <v>344</v>
      </c>
      <c r="B2860" t="s">
        <v>495</v>
      </c>
      <c r="C2860" t="s">
        <v>513</v>
      </c>
      <c r="D2860" t="s">
        <v>514</v>
      </c>
      <c r="E2860">
        <v>2</v>
      </c>
      <c r="F2860">
        <v>8</v>
      </c>
      <c r="G2860">
        <v>200</v>
      </c>
      <c r="H2860">
        <v>10.199999999999999</v>
      </c>
      <c r="I2860">
        <v>20.3</v>
      </c>
      <c r="J2860">
        <v>13.1</v>
      </c>
      <c r="K2860">
        <v>0</v>
      </c>
      <c r="L2860">
        <v>24.1</v>
      </c>
      <c r="M2860">
        <v>190</v>
      </c>
    </row>
    <row r="2861" spans="1:13" x14ac:dyDescent="0.25">
      <c r="A2861" t="s">
        <v>344</v>
      </c>
      <c r="B2861" t="s">
        <v>495</v>
      </c>
      <c r="C2861" t="s">
        <v>513</v>
      </c>
      <c r="D2861" t="s">
        <v>514</v>
      </c>
      <c r="E2861">
        <v>2</v>
      </c>
      <c r="F2861">
        <v>8</v>
      </c>
      <c r="G2861">
        <v>220</v>
      </c>
      <c r="H2861">
        <v>10.199999999999999</v>
      </c>
      <c r="I2861">
        <v>20.3</v>
      </c>
      <c r="J2861">
        <v>13.1</v>
      </c>
      <c r="K2861">
        <v>0</v>
      </c>
      <c r="L2861">
        <v>24.1</v>
      </c>
      <c r="M2861">
        <v>210</v>
      </c>
    </row>
    <row r="2862" spans="1:13" x14ac:dyDescent="0.25">
      <c r="A2862" t="s">
        <v>344</v>
      </c>
      <c r="B2862" t="s">
        <v>495</v>
      </c>
      <c r="C2862" t="s">
        <v>513</v>
      </c>
      <c r="D2862" t="s">
        <v>514</v>
      </c>
      <c r="E2862">
        <v>2</v>
      </c>
      <c r="F2862">
        <v>8</v>
      </c>
      <c r="G2862">
        <v>240</v>
      </c>
      <c r="H2862">
        <v>10.199999999999999</v>
      </c>
      <c r="I2862">
        <v>20.3</v>
      </c>
      <c r="J2862">
        <v>13.1</v>
      </c>
      <c r="K2862">
        <v>0</v>
      </c>
      <c r="L2862">
        <v>24.1</v>
      </c>
      <c r="M2862">
        <v>230</v>
      </c>
    </row>
    <row r="2863" spans="1:13" x14ac:dyDescent="0.25">
      <c r="A2863" t="s">
        <v>344</v>
      </c>
      <c r="B2863" t="s">
        <v>495</v>
      </c>
      <c r="C2863" t="s">
        <v>513</v>
      </c>
      <c r="D2863" t="s">
        <v>514</v>
      </c>
      <c r="E2863">
        <v>2</v>
      </c>
      <c r="F2863">
        <v>8</v>
      </c>
      <c r="G2863">
        <v>260</v>
      </c>
      <c r="H2863">
        <v>10.199999999999999</v>
      </c>
      <c r="I2863">
        <v>20.3</v>
      </c>
      <c r="J2863">
        <v>13.1</v>
      </c>
      <c r="K2863">
        <v>0</v>
      </c>
      <c r="L2863">
        <v>24.1</v>
      </c>
      <c r="M2863">
        <v>250</v>
      </c>
    </row>
    <row r="2864" spans="1:13" x14ac:dyDescent="0.25">
      <c r="A2864" t="s">
        <v>344</v>
      </c>
      <c r="B2864" t="s">
        <v>495</v>
      </c>
      <c r="C2864" t="s">
        <v>513</v>
      </c>
      <c r="D2864" t="s">
        <v>514</v>
      </c>
      <c r="E2864">
        <v>2</v>
      </c>
      <c r="F2864">
        <v>8</v>
      </c>
      <c r="G2864">
        <v>280</v>
      </c>
      <c r="H2864">
        <v>10.199999999999999</v>
      </c>
      <c r="I2864">
        <v>20.3</v>
      </c>
      <c r="J2864">
        <v>13.1</v>
      </c>
      <c r="K2864">
        <v>0</v>
      </c>
      <c r="L2864">
        <v>24.1</v>
      </c>
      <c r="M2864">
        <v>270</v>
      </c>
    </row>
    <row r="2865" spans="1:13" x14ac:dyDescent="0.25">
      <c r="A2865" t="s">
        <v>344</v>
      </c>
      <c r="B2865" t="s">
        <v>495</v>
      </c>
      <c r="C2865" t="s">
        <v>513</v>
      </c>
      <c r="D2865" t="s">
        <v>514</v>
      </c>
      <c r="E2865">
        <v>2</v>
      </c>
      <c r="F2865">
        <v>8</v>
      </c>
      <c r="G2865">
        <v>300</v>
      </c>
      <c r="H2865">
        <v>10.199999999999999</v>
      </c>
      <c r="I2865">
        <v>20.3</v>
      </c>
      <c r="J2865">
        <v>13.1</v>
      </c>
      <c r="K2865">
        <v>0</v>
      </c>
      <c r="L2865">
        <v>24.1</v>
      </c>
      <c r="M2865">
        <v>290</v>
      </c>
    </row>
    <row r="2866" spans="1:13" x14ac:dyDescent="0.25">
      <c r="A2866" t="s">
        <v>344</v>
      </c>
      <c r="B2866" t="s">
        <v>495</v>
      </c>
      <c r="C2866" t="s">
        <v>513</v>
      </c>
      <c r="D2866" t="s">
        <v>514</v>
      </c>
      <c r="E2866">
        <v>2</v>
      </c>
      <c r="F2866">
        <v>8</v>
      </c>
      <c r="G2866">
        <v>325</v>
      </c>
      <c r="H2866">
        <v>10.199999999999999</v>
      </c>
      <c r="I2866">
        <v>20.3</v>
      </c>
      <c r="J2866">
        <v>13.1</v>
      </c>
      <c r="K2866">
        <v>0</v>
      </c>
      <c r="L2866">
        <v>24.1</v>
      </c>
      <c r="M2866">
        <v>315</v>
      </c>
    </row>
    <row r="2867" spans="1:13" x14ac:dyDescent="0.25">
      <c r="A2867" t="s">
        <v>344</v>
      </c>
      <c r="B2867" t="s">
        <v>495</v>
      </c>
      <c r="C2867" t="s">
        <v>513</v>
      </c>
      <c r="D2867" t="s">
        <v>514</v>
      </c>
      <c r="E2867">
        <v>2</v>
      </c>
      <c r="F2867">
        <v>8</v>
      </c>
      <c r="G2867">
        <v>350</v>
      </c>
      <c r="H2867">
        <v>10.199999999999999</v>
      </c>
      <c r="I2867">
        <v>20.3</v>
      </c>
      <c r="J2867">
        <v>13.1</v>
      </c>
      <c r="K2867">
        <v>0</v>
      </c>
      <c r="L2867">
        <v>24.1</v>
      </c>
      <c r="M2867">
        <v>340</v>
      </c>
    </row>
    <row r="2868" spans="1:13" x14ac:dyDescent="0.25">
      <c r="A2868" t="s">
        <v>344</v>
      </c>
      <c r="B2868" t="s">
        <v>495</v>
      </c>
      <c r="C2868" t="s">
        <v>513</v>
      </c>
      <c r="D2868" t="s">
        <v>514</v>
      </c>
      <c r="E2868">
        <v>2</v>
      </c>
      <c r="F2868">
        <v>8</v>
      </c>
      <c r="G2868">
        <v>375</v>
      </c>
      <c r="H2868">
        <v>10.199999999999999</v>
      </c>
      <c r="I2868">
        <v>20.3</v>
      </c>
      <c r="J2868">
        <v>13.1</v>
      </c>
      <c r="K2868">
        <v>0</v>
      </c>
      <c r="L2868">
        <v>24.1</v>
      </c>
      <c r="M2868">
        <v>365</v>
      </c>
    </row>
    <row r="2869" spans="1:13" x14ac:dyDescent="0.25">
      <c r="A2869" t="s">
        <v>344</v>
      </c>
      <c r="B2869" t="s">
        <v>495</v>
      </c>
      <c r="C2869" t="s">
        <v>513</v>
      </c>
      <c r="D2869" t="s">
        <v>514</v>
      </c>
      <c r="E2869">
        <v>2</v>
      </c>
      <c r="F2869">
        <v>8</v>
      </c>
      <c r="G2869">
        <v>400</v>
      </c>
      <c r="H2869">
        <v>10.199999999999999</v>
      </c>
      <c r="I2869">
        <v>20.3</v>
      </c>
      <c r="J2869">
        <v>13.1</v>
      </c>
      <c r="K2869">
        <v>0</v>
      </c>
      <c r="L2869">
        <v>24.1</v>
      </c>
      <c r="M2869">
        <v>390</v>
      </c>
    </row>
    <row r="2870" spans="1:13" x14ac:dyDescent="0.25">
      <c r="A2870" t="s">
        <v>344</v>
      </c>
      <c r="B2870" t="s">
        <v>495</v>
      </c>
      <c r="C2870" t="s">
        <v>513</v>
      </c>
      <c r="D2870" t="s">
        <v>515</v>
      </c>
      <c r="E2870">
        <v>2</v>
      </c>
      <c r="F2870">
        <v>8</v>
      </c>
      <c r="G2870">
        <v>450</v>
      </c>
      <c r="H2870">
        <v>10.199999999999999</v>
      </c>
      <c r="I2870">
        <v>20.3</v>
      </c>
      <c r="J2870">
        <v>13.1</v>
      </c>
      <c r="K2870">
        <v>0</v>
      </c>
      <c r="L2870">
        <v>24.1</v>
      </c>
      <c r="M2870">
        <v>428</v>
      </c>
    </row>
    <row r="2871" spans="1:13" x14ac:dyDescent="0.25">
      <c r="A2871" t="s">
        <v>344</v>
      </c>
      <c r="B2871" t="s">
        <v>495</v>
      </c>
      <c r="C2871" t="s">
        <v>513</v>
      </c>
      <c r="D2871" t="s">
        <v>515</v>
      </c>
      <c r="E2871">
        <v>2</v>
      </c>
      <c r="F2871">
        <v>8</v>
      </c>
      <c r="G2871">
        <v>500</v>
      </c>
      <c r="H2871">
        <v>10.199999999999999</v>
      </c>
      <c r="I2871">
        <v>20.3</v>
      </c>
      <c r="J2871">
        <v>13.1</v>
      </c>
      <c r="K2871">
        <v>0</v>
      </c>
      <c r="L2871">
        <v>24.1</v>
      </c>
      <c r="M2871">
        <v>478</v>
      </c>
    </row>
    <row r="2872" spans="1:13" x14ac:dyDescent="0.25">
      <c r="A2872" t="s">
        <v>344</v>
      </c>
      <c r="B2872" t="s">
        <v>495</v>
      </c>
      <c r="C2872" t="s">
        <v>513</v>
      </c>
      <c r="D2872" t="s">
        <v>515</v>
      </c>
      <c r="E2872">
        <v>2</v>
      </c>
      <c r="F2872">
        <v>8</v>
      </c>
      <c r="G2872">
        <v>600</v>
      </c>
      <c r="H2872">
        <v>10.199999999999999</v>
      </c>
      <c r="I2872">
        <v>20.3</v>
      </c>
      <c r="J2872">
        <v>13.1</v>
      </c>
      <c r="K2872">
        <v>0</v>
      </c>
      <c r="L2872">
        <v>24.1</v>
      </c>
      <c r="M2872">
        <v>578</v>
      </c>
    </row>
    <row r="2873" spans="1:13" x14ac:dyDescent="0.25">
      <c r="A2873" t="s">
        <v>344</v>
      </c>
      <c r="B2873" t="s">
        <v>495</v>
      </c>
      <c r="C2873" t="s">
        <v>513</v>
      </c>
      <c r="D2873" t="s">
        <v>515</v>
      </c>
      <c r="E2873">
        <v>2</v>
      </c>
      <c r="F2873">
        <v>10</v>
      </c>
      <c r="G2873">
        <v>200</v>
      </c>
      <c r="H2873">
        <v>13.4</v>
      </c>
      <c r="I2873">
        <v>36.700000000000003</v>
      </c>
      <c r="J2873">
        <v>12.5</v>
      </c>
      <c r="K2873">
        <v>0</v>
      </c>
      <c r="L2873">
        <v>40</v>
      </c>
      <c r="M2873">
        <v>188</v>
      </c>
    </row>
    <row r="2874" spans="1:13" x14ac:dyDescent="0.25">
      <c r="A2874" t="s">
        <v>344</v>
      </c>
      <c r="B2874" t="s">
        <v>495</v>
      </c>
      <c r="C2874" t="s">
        <v>513</v>
      </c>
      <c r="D2874" t="s">
        <v>515</v>
      </c>
      <c r="E2874">
        <v>2</v>
      </c>
      <c r="F2874">
        <v>10</v>
      </c>
      <c r="G2874">
        <v>240</v>
      </c>
      <c r="H2874">
        <v>13.4</v>
      </c>
      <c r="I2874">
        <v>36.700000000000003</v>
      </c>
      <c r="J2874">
        <v>12.5</v>
      </c>
      <c r="K2874">
        <v>0</v>
      </c>
      <c r="L2874">
        <v>40</v>
      </c>
      <c r="M2874">
        <v>228</v>
      </c>
    </row>
    <row r="2875" spans="1:13" x14ac:dyDescent="0.25">
      <c r="A2875" t="s">
        <v>344</v>
      </c>
      <c r="B2875" t="s">
        <v>495</v>
      </c>
      <c r="C2875" t="s">
        <v>513</v>
      </c>
      <c r="D2875" t="s">
        <v>515</v>
      </c>
      <c r="E2875">
        <v>2</v>
      </c>
      <c r="F2875">
        <v>10</v>
      </c>
      <c r="G2875">
        <v>260</v>
      </c>
      <c r="H2875">
        <v>13.4</v>
      </c>
      <c r="I2875">
        <v>36.700000000000003</v>
      </c>
      <c r="J2875">
        <v>12.5</v>
      </c>
      <c r="K2875">
        <v>0</v>
      </c>
      <c r="L2875">
        <v>40</v>
      </c>
      <c r="M2875">
        <v>248</v>
      </c>
    </row>
    <row r="2876" spans="1:13" x14ac:dyDescent="0.25">
      <c r="A2876" t="s">
        <v>344</v>
      </c>
      <c r="B2876" t="s">
        <v>495</v>
      </c>
      <c r="C2876" t="s">
        <v>513</v>
      </c>
      <c r="D2876" t="s">
        <v>515</v>
      </c>
      <c r="E2876">
        <v>2</v>
      </c>
      <c r="F2876">
        <v>10</v>
      </c>
      <c r="G2876">
        <v>280</v>
      </c>
      <c r="H2876">
        <v>13.4</v>
      </c>
      <c r="I2876">
        <v>36.700000000000003</v>
      </c>
      <c r="J2876">
        <v>12.5</v>
      </c>
      <c r="K2876">
        <v>0</v>
      </c>
      <c r="L2876">
        <v>40</v>
      </c>
      <c r="M2876">
        <v>268</v>
      </c>
    </row>
    <row r="2877" spans="1:13" x14ac:dyDescent="0.25">
      <c r="A2877" t="s">
        <v>344</v>
      </c>
      <c r="B2877" t="s">
        <v>495</v>
      </c>
      <c r="C2877" t="s">
        <v>513</v>
      </c>
      <c r="D2877" t="s">
        <v>515</v>
      </c>
      <c r="E2877">
        <v>2</v>
      </c>
      <c r="F2877">
        <v>10</v>
      </c>
      <c r="G2877">
        <v>300</v>
      </c>
      <c r="H2877">
        <v>13.4</v>
      </c>
      <c r="I2877">
        <v>36.700000000000003</v>
      </c>
      <c r="J2877">
        <v>12.5</v>
      </c>
      <c r="K2877">
        <v>0</v>
      </c>
      <c r="L2877">
        <v>40</v>
      </c>
      <c r="M2877">
        <v>288</v>
      </c>
    </row>
    <row r="2878" spans="1:13" x14ac:dyDescent="0.25">
      <c r="A2878" t="s">
        <v>344</v>
      </c>
      <c r="B2878" t="s">
        <v>495</v>
      </c>
      <c r="C2878" t="s">
        <v>513</v>
      </c>
      <c r="D2878" t="s">
        <v>515</v>
      </c>
      <c r="E2878">
        <v>2</v>
      </c>
      <c r="F2878">
        <v>10</v>
      </c>
      <c r="G2878">
        <v>325</v>
      </c>
      <c r="H2878">
        <v>13.4</v>
      </c>
      <c r="I2878">
        <v>36.700000000000003</v>
      </c>
      <c r="J2878">
        <v>12.5</v>
      </c>
      <c r="K2878">
        <v>0</v>
      </c>
      <c r="L2878">
        <v>40</v>
      </c>
      <c r="M2878">
        <v>301</v>
      </c>
    </row>
    <row r="2879" spans="1:13" x14ac:dyDescent="0.25">
      <c r="A2879" t="s">
        <v>344</v>
      </c>
      <c r="B2879" t="s">
        <v>495</v>
      </c>
      <c r="C2879" t="s">
        <v>513</v>
      </c>
      <c r="D2879" t="s">
        <v>515</v>
      </c>
      <c r="E2879">
        <v>2</v>
      </c>
      <c r="F2879">
        <v>10</v>
      </c>
      <c r="G2879">
        <v>350</v>
      </c>
      <c r="H2879">
        <v>13.4</v>
      </c>
      <c r="I2879">
        <v>36.700000000000003</v>
      </c>
      <c r="J2879">
        <v>12.5</v>
      </c>
      <c r="K2879">
        <v>0</v>
      </c>
      <c r="L2879">
        <v>40</v>
      </c>
      <c r="M2879">
        <v>326</v>
      </c>
    </row>
    <row r="2880" spans="1:13" x14ac:dyDescent="0.25">
      <c r="A2880" t="s">
        <v>344</v>
      </c>
      <c r="B2880" t="s">
        <v>495</v>
      </c>
      <c r="C2880" t="s">
        <v>513</v>
      </c>
      <c r="D2880" t="s">
        <v>515</v>
      </c>
      <c r="E2880">
        <v>2</v>
      </c>
      <c r="F2880">
        <v>10</v>
      </c>
      <c r="G2880">
        <v>375</v>
      </c>
      <c r="H2880">
        <v>13.4</v>
      </c>
      <c r="I2880">
        <v>36.700000000000003</v>
      </c>
      <c r="J2880">
        <v>12.5</v>
      </c>
      <c r="K2880">
        <v>0</v>
      </c>
      <c r="L2880">
        <v>40</v>
      </c>
      <c r="M2880">
        <v>351</v>
      </c>
    </row>
    <row r="2881" spans="1:13" x14ac:dyDescent="0.25">
      <c r="A2881" t="s">
        <v>344</v>
      </c>
      <c r="B2881" t="s">
        <v>495</v>
      </c>
      <c r="C2881" t="s">
        <v>513</v>
      </c>
      <c r="D2881" t="s">
        <v>515</v>
      </c>
      <c r="E2881">
        <v>2</v>
      </c>
      <c r="F2881">
        <v>10</v>
      </c>
      <c r="G2881">
        <v>400</v>
      </c>
      <c r="H2881">
        <v>13.4</v>
      </c>
      <c r="I2881">
        <v>36.700000000000003</v>
      </c>
      <c r="J2881">
        <v>12.5</v>
      </c>
      <c r="K2881">
        <v>0</v>
      </c>
      <c r="L2881">
        <v>40</v>
      </c>
      <c r="M2881">
        <v>376</v>
      </c>
    </row>
    <row r="2882" spans="1:13" x14ac:dyDescent="0.25">
      <c r="A2882" t="s">
        <v>344</v>
      </c>
      <c r="B2882" t="s">
        <v>495</v>
      </c>
      <c r="C2882" t="s">
        <v>513</v>
      </c>
      <c r="D2882" t="s">
        <v>515</v>
      </c>
      <c r="E2882">
        <v>2</v>
      </c>
      <c r="F2882">
        <v>10</v>
      </c>
      <c r="G2882">
        <v>450</v>
      </c>
      <c r="H2882">
        <v>13.4</v>
      </c>
      <c r="I2882">
        <v>36.700000000000003</v>
      </c>
      <c r="J2882">
        <v>12.5</v>
      </c>
      <c r="K2882">
        <v>0</v>
      </c>
      <c r="L2882">
        <v>40</v>
      </c>
      <c r="M2882">
        <v>426</v>
      </c>
    </row>
    <row r="2883" spans="1:13" x14ac:dyDescent="0.25">
      <c r="A2883" t="s">
        <v>344</v>
      </c>
      <c r="B2883" t="s">
        <v>495</v>
      </c>
      <c r="C2883" t="s">
        <v>513</v>
      </c>
      <c r="D2883" t="s">
        <v>515</v>
      </c>
      <c r="E2883">
        <v>2</v>
      </c>
      <c r="F2883">
        <v>10</v>
      </c>
      <c r="G2883">
        <v>500</v>
      </c>
      <c r="H2883">
        <v>13.4</v>
      </c>
      <c r="I2883">
        <v>36.700000000000003</v>
      </c>
      <c r="J2883">
        <v>12.5</v>
      </c>
      <c r="K2883">
        <v>0</v>
      </c>
      <c r="L2883">
        <v>40</v>
      </c>
      <c r="M2883">
        <v>476</v>
      </c>
    </row>
    <row r="2884" spans="1:13" x14ac:dyDescent="0.25">
      <c r="A2884" t="s">
        <v>344</v>
      </c>
      <c r="B2884" t="s">
        <v>495</v>
      </c>
      <c r="C2884" t="s">
        <v>513</v>
      </c>
      <c r="D2884" t="s">
        <v>515</v>
      </c>
      <c r="E2884">
        <v>2</v>
      </c>
      <c r="F2884">
        <v>10</v>
      </c>
      <c r="G2884">
        <v>600</v>
      </c>
      <c r="H2884">
        <v>13.4</v>
      </c>
      <c r="I2884">
        <v>36.700000000000003</v>
      </c>
      <c r="J2884">
        <v>12.5</v>
      </c>
      <c r="K2884">
        <v>0</v>
      </c>
      <c r="L2884">
        <v>40</v>
      </c>
      <c r="M2884">
        <v>576</v>
      </c>
    </row>
    <row r="2885" spans="1:13" x14ac:dyDescent="0.25">
      <c r="A2885" t="s">
        <v>344</v>
      </c>
      <c r="B2885" t="s">
        <v>495</v>
      </c>
      <c r="C2885" t="s">
        <v>513</v>
      </c>
      <c r="D2885" t="s">
        <v>515</v>
      </c>
      <c r="E2885">
        <v>2</v>
      </c>
      <c r="F2885">
        <v>10</v>
      </c>
      <c r="G2885">
        <v>700</v>
      </c>
      <c r="H2885">
        <v>13.4</v>
      </c>
      <c r="I2885">
        <v>36.700000000000003</v>
      </c>
      <c r="J2885">
        <v>12.5</v>
      </c>
      <c r="K2885">
        <v>0</v>
      </c>
      <c r="L2885">
        <v>40</v>
      </c>
      <c r="M2885">
        <v>676</v>
      </c>
    </row>
    <row r="2886" spans="1:13" x14ac:dyDescent="0.25">
      <c r="A2886" t="s">
        <v>344</v>
      </c>
      <c r="B2886" t="s">
        <v>495</v>
      </c>
      <c r="C2886" t="s">
        <v>513</v>
      </c>
      <c r="D2886" t="s">
        <v>515</v>
      </c>
      <c r="E2886">
        <v>2</v>
      </c>
      <c r="F2886">
        <v>10</v>
      </c>
      <c r="G2886">
        <v>800</v>
      </c>
      <c r="H2886">
        <v>13.4</v>
      </c>
      <c r="I2886">
        <v>36.700000000000003</v>
      </c>
      <c r="J2886">
        <v>12.5</v>
      </c>
      <c r="K2886">
        <v>0</v>
      </c>
      <c r="L2886">
        <v>40</v>
      </c>
      <c r="M2886">
        <v>776</v>
      </c>
    </row>
    <row r="2887" spans="1:13" x14ac:dyDescent="0.25">
      <c r="A2887" t="s">
        <v>344</v>
      </c>
      <c r="B2887" t="s">
        <v>495</v>
      </c>
      <c r="C2887" t="s">
        <v>513</v>
      </c>
      <c r="D2887" t="s">
        <v>515</v>
      </c>
      <c r="E2887">
        <v>2</v>
      </c>
      <c r="F2887">
        <v>10</v>
      </c>
      <c r="G2887">
        <v>1000</v>
      </c>
      <c r="H2887">
        <v>13.4</v>
      </c>
      <c r="I2887">
        <v>36.700000000000003</v>
      </c>
      <c r="J2887">
        <v>12.5</v>
      </c>
      <c r="K2887">
        <v>0</v>
      </c>
      <c r="L2887">
        <v>40</v>
      </c>
      <c r="M2887">
        <v>976</v>
      </c>
    </row>
    <row r="2888" spans="1:13" x14ac:dyDescent="0.25">
      <c r="A2888" t="s">
        <v>344</v>
      </c>
      <c r="B2888" t="s">
        <v>495</v>
      </c>
      <c r="C2888" t="s">
        <v>516</v>
      </c>
      <c r="D2888" t="s">
        <v>517</v>
      </c>
      <c r="E2888">
        <v>2</v>
      </c>
      <c r="F2888">
        <v>8</v>
      </c>
      <c r="G2888">
        <v>120</v>
      </c>
      <c r="H2888">
        <v>15</v>
      </c>
      <c r="I2888">
        <v>20.3</v>
      </c>
      <c r="J2888">
        <v>13.1</v>
      </c>
      <c r="K2888">
        <v>12.4</v>
      </c>
      <c r="L2888">
        <v>24.1</v>
      </c>
      <c r="M2888">
        <v>110</v>
      </c>
    </row>
    <row r="2889" spans="1:13" x14ac:dyDescent="0.25">
      <c r="A2889" t="s">
        <v>344</v>
      </c>
      <c r="B2889" t="s">
        <v>495</v>
      </c>
      <c r="C2889" t="s">
        <v>516</v>
      </c>
      <c r="D2889" t="s">
        <v>517</v>
      </c>
      <c r="E2889">
        <v>2</v>
      </c>
      <c r="F2889">
        <v>8</v>
      </c>
      <c r="G2889">
        <v>140</v>
      </c>
      <c r="H2889">
        <v>15</v>
      </c>
      <c r="I2889">
        <v>20.3</v>
      </c>
      <c r="J2889">
        <v>13.1</v>
      </c>
      <c r="K2889">
        <v>12.4</v>
      </c>
      <c r="L2889">
        <v>24.1</v>
      </c>
      <c r="M2889">
        <v>130</v>
      </c>
    </row>
    <row r="2890" spans="1:13" x14ac:dyDescent="0.25">
      <c r="A2890" t="s">
        <v>344</v>
      </c>
      <c r="B2890" t="s">
        <v>495</v>
      </c>
      <c r="C2890" t="s">
        <v>516</v>
      </c>
      <c r="D2890" t="s">
        <v>517</v>
      </c>
      <c r="E2890">
        <v>2</v>
      </c>
      <c r="F2890">
        <v>8</v>
      </c>
      <c r="G2890">
        <v>160</v>
      </c>
      <c r="H2890">
        <v>15</v>
      </c>
      <c r="I2890">
        <v>20.3</v>
      </c>
      <c r="J2890">
        <v>13.1</v>
      </c>
      <c r="K2890">
        <v>12.4</v>
      </c>
      <c r="L2890">
        <v>24.1</v>
      </c>
      <c r="M2890">
        <v>150</v>
      </c>
    </row>
    <row r="2891" spans="1:13" x14ac:dyDescent="0.25">
      <c r="A2891" t="s">
        <v>344</v>
      </c>
      <c r="B2891" t="s">
        <v>495</v>
      </c>
      <c r="C2891" t="s">
        <v>516</v>
      </c>
      <c r="D2891" t="s">
        <v>517</v>
      </c>
      <c r="E2891">
        <v>2</v>
      </c>
      <c r="F2891">
        <v>8</v>
      </c>
      <c r="G2891">
        <v>180</v>
      </c>
      <c r="H2891">
        <v>15</v>
      </c>
      <c r="I2891">
        <v>20.3</v>
      </c>
      <c r="J2891">
        <v>13.1</v>
      </c>
      <c r="K2891">
        <v>12.4</v>
      </c>
      <c r="L2891">
        <v>24.1</v>
      </c>
      <c r="M2891">
        <v>170</v>
      </c>
    </row>
    <row r="2892" spans="1:13" x14ac:dyDescent="0.25">
      <c r="A2892" t="s">
        <v>344</v>
      </c>
      <c r="B2892" t="s">
        <v>495</v>
      </c>
      <c r="C2892" t="s">
        <v>516</v>
      </c>
      <c r="D2892" t="s">
        <v>517</v>
      </c>
      <c r="E2892">
        <v>2</v>
      </c>
      <c r="F2892">
        <v>8</v>
      </c>
      <c r="G2892">
        <v>200</v>
      </c>
      <c r="H2892">
        <v>15</v>
      </c>
      <c r="I2892">
        <v>20.3</v>
      </c>
      <c r="J2892">
        <v>13.1</v>
      </c>
      <c r="K2892">
        <v>12.4</v>
      </c>
      <c r="L2892">
        <v>24.1</v>
      </c>
      <c r="M2892">
        <v>190</v>
      </c>
    </row>
    <row r="2893" spans="1:13" x14ac:dyDescent="0.25">
      <c r="A2893" t="s">
        <v>344</v>
      </c>
      <c r="B2893" t="s">
        <v>495</v>
      </c>
      <c r="C2893" t="s">
        <v>516</v>
      </c>
      <c r="D2893" t="s">
        <v>517</v>
      </c>
      <c r="E2893">
        <v>2</v>
      </c>
      <c r="F2893">
        <v>8</v>
      </c>
      <c r="G2893">
        <v>220</v>
      </c>
      <c r="H2893">
        <v>15</v>
      </c>
      <c r="I2893">
        <v>20.3</v>
      </c>
      <c r="J2893">
        <v>13.1</v>
      </c>
      <c r="K2893">
        <v>12.4</v>
      </c>
      <c r="L2893">
        <v>24.1</v>
      </c>
      <c r="M2893">
        <v>210</v>
      </c>
    </row>
    <row r="2894" spans="1:13" x14ac:dyDescent="0.25">
      <c r="A2894" t="s">
        <v>344</v>
      </c>
      <c r="B2894" t="s">
        <v>495</v>
      </c>
      <c r="C2894" t="s">
        <v>516</v>
      </c>
      <c r="D2894" t="s">
        <v>517</v>
      </c>
      <c r="E2894">
        <v>2</v>
      </c>
      <c r="F2894">
        <v>8</v>
      </c>
      <c r="G2894">
        <v>240</v>
      </c>
      <c r="H2894">
        <v>15</v>
      </c>
      <c r="I2894">
        <v>20.3</v>
      </c>
      <c r="J2894">
        <v>13.1</v>
      </c>
      <c r="K2894">
        <v>12.4</v>
      </c>
      <c r="L2894">
        <v>24.1</v>
      </c>
      <c r="M2894">
        <v>230</v>
      </c>
    </row>
    <row r="2895" spans="1:13" x14ac:dyDescent="0.25">
      <c r="A2895" t="s">
        <v>344</v>
      </c>
      <c r="B2895" t="s">
        <v>495</v>
      </c>
      <c r="C2895" t="s">
        <v>516</v>
      </c>
      <c r="D2895" t="s">
        <v>517</v>
      </c>
      <c r="E2895">
        <v>2</v>
      </c>
      <c r="F2895">
        <v>8</v>
      </c>
      <c r="G2895">
        <v>260</v>
      </c>
      <c r="H2895">
        <v>15</v>
      </c>
      <c r="I2895">
        <v>20.3</v>
      </c>
      <c r="J2895">
        <v>13.1</v>
      </c>
      <c r="K2895">
        <v>12.4</v>
      </c>
      <c r="L2895">
        <v>24.1</v>
      </c>
      <c r="M2895">
        <v>250</v>
      </c>
    </row>
    <row r="2896" spans="1:13" x14ac:dyDescent="0.25">
      <c r="A2896" t="s">
        <v>344</v>
      </c>
      <c r="B2896" t="s">
        <v>495</v>
      </c>
      <c r="C2896" t="s">
        <v>516</v>
      </c>
      <c r="D2896" t="s">
        <v>517</v>
      </c>
      <c r="E2896">
        <v>2</v>
      </c>
      <c r="F2896">
        <v>8</v>
      </c>
      <c r="G2896">
        <v>280</v>
      </c>
      <c r="H2896">
        <v>15</v>
      </c>
      <c r="I2896">
        <v>20.3</v>
      </c>
      <c r="J2896">
        <v>13.1</v>
      </c>
      <c r="K2896">
        <v>12.4</v>
      </c>
      <c r="L2896">
        <v>24.1</v>
      </c>
      <c r="M2896">
        <v>270</v>
      </c>
    </row>
    <row r="2897" spans="1:13" x14ac:dyDescent="0.25">
      <c r="A2897" t="s">
        <v>344</v>
      </c>
      <c r="B2897" t="s">
        <v>495</v>
      </c>
      <c r="C2897" t="s">
        <v>516</v>
      </c>
      <c r="D2897" t="s">
        <v>517</v>
      </c>
      <c r="E2897">
        <v>2</v>
      </c>
      <c r="F2897">
        <v>8</v>
      </c>
      <c r="G2897">
        <v>300</v>
      </c>
      <c r="H2897">
        <v>15</v>
      </c>
      <c r="I2897">
        <v>20.3</v>
      </c>
      <c r="J2897">
        <v>13.1</v>
      </c>
      <c r="K2897">
        <v>12.4</v>
      </c>
      <c r="L2897">
        <v>24.1</v>
      </c>
      <c r="M2897">
        <v>290</v>
      </c>
    </row>
    <row r="2898" spans="1:13" x14ac:dyDescent="0.25">
      <c r="A2898" t="s">
        <v>344</v>
      </c>
      <c r="B2898" t="s">
        <v>495</v>
      </c>
      <c r="C2898" t="s">
        <v>516</v>
      </c>
      <c r="D2898" t="s">
        <v>517</v>
      </c>
      <c r="E2898">
        <v>2</v>
      </c>
      <c r="F2898">
        <v>8</v>
      </c>
      <c r="G2898">
        <v>325</v>
      </c>
      <c r="H2898">
        <v>15</v>
      </c>
      <c r="I2898">
        <v>20.3</v>
      </c>
      <c r="J2898">
        <v>13.1</v>
      </c>
      <c r="K2898">
        <v>12.4</v>
      </c>
      <c r="L2898">
        <v>24.1</v>
      </c>
      <c r="M2898">
        <v>315</v>
      </c>
    </row>
    <row r="2899" spans="1:13" x14ac:dyDescent="0.25">
      <c r="A2899" t="s">
        <v>344</v>
      </c>
      <c r="B2899" t="s">
        <v>495</v>
      </c>
      <c r="C2899" t="s">
        <v>516</v>
      </c>
      <c r="D2899" t="s">
        <v>517</v>
      </c>
      <c r="E2899">
        <v>2</v>
      </c>
      <c r="F2899">
        <v>8</v>
      </c>
      <c r="G2899">
        <v>350</v>
      </c>
      <c r="H2899">
        <v>15</v>
      </c>
      <c r="I2899">
        <v>20.3</v>
      </c>
      <c r="J2899">
        <v>13.1</v>
      </c>
      <c r="K2899">
        <v>12.4</v>
      </c>
      <c r="L2899">
        <v>24.1</v>
      </c>
      <c r="M2899">
        <v>340</v>
      </c>
    </row>
    <row r="2900" spans="1:13" x14ac:dyDescent="0.25">
      <c r="A2900" t="s">
        <v>344</v>
      </c>
      <c r="B2900" t="s">
        <v>495</v>
      </c>
      <c r="C2900" t="s">
        <v>516</v>
      </c>
      <c r="D2900" t="s">
        <v>517</v>
      </c>
      <c r="E2900">
        <v>2</v>
      </c>
      <c r="F2900">
        <v>8</v>
      </c>
      <c r="G2900">
        <v>375</v>
      </c>
      <c r="H2900">
        <v>15</v>
      </c>
      <c r="I2900">
        <v>20.3</v>
      </c>
      <c r="J2900">
        <v>13.1</v>
      </c>
      <c r="K2900">
        <v>12.4</v>
      </c>
      <c r="L2900">
        <v>24.1</v>
      </c>
      <c r="M2900">
        <v>365</v>
      </c>
    </row>
    <row r="2901" spans="1:13" x14ac:dyDescent="0.25">
      <c r="A2901" t="s">
        <v>344</v>
      </c>
      <c r="B2901" t="s">
        <v>495</v>
      </c>
      <c r="C2901" t="s">
        <v>516</v>
      </c>
      <c r="D2901" t="s">
        <v>517</v>
      </c>
      <c r="E2901">
        <v>2</v>
      </c>
      <c r="F2901">
        <v>8</v>
      </c>
      <c r="G2901">
        <v>400</v>
      </c>
      <c r="H2901">
        <v>15</v>
      </c>
      <c r="I2901">
        <v>20.3</v>
      </c>
      <c r="J2901">
        <v>13.1</v>
      </c>
      <c r="K2901">
        <v>12.4</v>
      </c>
      <c r="L2901">
        <v>24.1</v>
      </c>
      <c r="M2901">
        <v>390</v>
      </c>
    </row>
    <row r="2902" spans="1:13" x14ac:dyDescent="0.25">
      <c r="A2902" t="s">
        <v>344</v>
      </c>
      <c r="B2902" t="s">
        <v>495</v>
      </c>
      <c r="C2902" t="s">
        <v>516</v>
      </c>
      <c r="D2902" t="s">
        <v>517</v>
      </c>
      <c r="E2902">
        <v>2</v>
      </c>
      <c r="F2902">
        <v>8</v>
      </c>
      <c r="G2902">
        <v>450</v>
      </c>
      <c r="H2902">
        <v>15</v>
      </c>
      <c r="I2902">
        <v>20.3</v>
      </c>
      <c r="J2902">
        <v>13.1</v>
      </c>
      <c r="K2902">
        <v>12.4</v>
      </c>
      <c r="L2902">
        <v>24.1</v>
      </c>
      <c r="M2902">
        <v>428</v>
      </c>
    </row>
    <row r="2903" spans="1:13" x14ac:dyDescent="0.25">
      <c r="A2903" t="s">
        <v>344</v>
      </c>
      <c r="B2903" t="s">
        <v>495</v>
      </c>
      <c r="C2903" t="s">
        <v>516</v>
      </c>
      <c r="D2903" t="s">
        <v>517</v>
      </c>
      <c r="E2903">
        <v>2</v>
      </c>
      <c r="F2903">
        <v>8</v>
      </c>
      <c r="G2903">
        <v>500</v>
      </c>
      <c r="H2903">
        <v>15</v>
      </c>
      <c r="I2903">
        <v>20.3</v>
      </c>
      <c r="J2903">
        <v>13.1</v>
      </c>
      <c r="K2903">
        <v>12.4</v>
      </c>
      <c r="L2903">
        <v>24.1</v>
      </c>
      <c r="M2903">
        <v>478</v>
      </c>
    </row>
    <row r="2904" spans="1:13" x14ac:dyDescent="0.25">
      <c r="A2904" t="s">
        <v>344</v>
      </c>
      <c r="B2904" t="s">
        <v>495</v>
      </c>
      <c r="C2904" t="s">
        <v>516</v>
      </c>
      <c r="D2904" t="s">
        <v>517</v>
      </c>
      <c r="E2904">
        <v>2</v>
      </c>
      <c r="F2904">
        <v>8</v>
      </c>
      <c r="G2904">
        <v>600</v>
      </c>
      <c r="H2904">
        <v>15</v>
      </c>
      <c r="I2904">
        <v>20.3</v>
      </c>
      <c r="J2904">
        <v>13.1</v>
      </c>
      <c r="K2904">
        <v>12.4</v>
      </c>
      <c r="L2904">
        <v>24.1</v>
      </c>
      <c r="M2904">
        <v>578</v>
      </c>
    </row>
    <row r="2905" spans="1:13" x14ac:dyDescent="0.25">
      <c r="A2905" t="s">
        <v>344</v>
      </c>
      <c r="B2905" t="s">
        <v>495</v>
      </c>
      <c r="C2905" t="s">
        <v>516</v>
      </c>
      <c r="D2905" t="s">
        <v>517</v>
      </c>
      <c r="E2905">
        <v>2</v>
      </c>
      <c r="F2905">
        <v>10</v>
      </c>
      <c r="G2905">
        <v>120</v>
      </c>
      <c r="H2905">
        <v>18.5</v>
      </c>
      <c r="I2905">
        <v>36.700000000000003</v>
      </c>
      <c r="J2905">
        <v>12.5</v>
      </c>
      <c r="K2905">
        <v>12.2</v>
      </c>
      <c r="L2905">
        <v>40</v>
      </c>
      <c r="M2905">
        <v>108</v>
      </c>
    </row>
    <row r="2906" spans="1:13" x14ac:dyDescent="0.25">
      <c r="A2906" t="s">
        <v>344</v>
      </c>
      <c r="B2906" t="s">
        <v>495</v>
      </c>
      <c r="C2906" t="s">
        <v>516</v>
      </c>
      <c r="D2906" t="s">
        <v>517</v>
      </c>
      <c r="E2906">
        <v>2</v>
      </c>
      <c r="F2906">
        <v>10</v>
      </c>
      <c r="G2906">
        <v>160</v>
      </c>
      <c r="H2906">
        <v>18.5</v>
      </c>
      <c r="I2906">
        <v>36.700000000000003</v>
      </c>
      <c r="J2906">
        <v>12.5</v>
      </c>
      <c r="K2906">
        <v>12.2</v>
      </c>
      <c r="L2906">
        <v>40</v>
      </c>
      <c r="M2906">
        <v>148</v>
      </c>
    </row>
    <row r="2907" spans="1:13" x14ac:dyDescent="0.25">
      <c r="A2907" t="s">
        <v>344</v>
      </c>
      <c r="B2907" t="s">
        <v>495</v>
      </c>
      <c r="C2907" t="s">
        <v>516</v>
      </c>
      <c r="D2907" t="s">
        <v>517</v>
      </c>
      <c r="E2907">
        <v>2</v>
      </c>
      <c r="F2907">
        <v>10</v>
      </c>
      <c r="G2907">
        <v>180</v>
      </c>
      <c r="H2907">
        <v>18.5</v>
      </c>
      <c r="I2907">
        <v>36.700000000000003</v>
      </c>
      <c r="J2907">
        <v>12.5</v>
      </c>
      <c r="K2907">
        <v>12.2</v>
      </c>
      <c r="L2907">
        <v>40</v>
      </c>
      <c r="M2907">
        <v>168</v>
      </c>
    </row>
    <row r="2908" spans="1:13" x14ac:dyDescent="0.25">
      <c r="A2908" t="s">
        <v>344</v>
      </c>
      <c r="B2908" t="s">
        <v>495</v>
      </c>
      <c r="C2908" t="s">
        <v>516</v>
      </c>
      <c r="D2908" t="s">
        <v>517</v>
      </c>
      <c r="E2908">
        <v>2</v>
      </c>
      <c r="F2908">
        <v>10</v>
      </c>
      <c r="G2908">
        <v>200</v>
      </c>
      <c r="H2908">
        <v>18.5</v>
      </c>
      <c r="I2908">
        <v>36.700000000000003</v>
      </c>
      <c r="J2908">
        <v>12.5</v>
      </c>
      <c r="K2908">
        <v>12.2</v>
      </c>
      <c r="L2908">
        <v>40</v>
      </c>
      <c r="M2908">
        <v>188</v>
      </c>
    </row>
    <row r="2909" spans="1:13" x14ac:dyDescent="0.25">
      <c r="A2909" t="s">
        <v>344</v>
      </c>
      <c r="B2909" t="s">
        <v>495</v>
      </c>
      <c r="C2909" t="s">
        <v>516</v>
      </c>
      <c r="D2909" t="s">
        <v>517</v>
      </c>
      <c r="E2909">
        <v>2</v>
      </c>
      <c r="F2909">
        <v>10</v>
      </c>
      <c r="G2909">
        <v>220</v>
      </c>
      <c r="H2909">
        <v>18.5</v>
      </c>
      <c r="I2909">
        <v>36.700000000000003</v>
      </c>
      <c r="J2909">
        <v>12.5</v>
      </c>
      <c r="K2909">
        <v>12.2</v>
      </c>
      <c r="L2909">
        <v>40</v>
      </c>
      <c r="M2909">
        <v>208</v>
      </c>
    </row>
    <row r="2910" spans="1:13" x14ac:dyDescent="0.25">
      <c r="A2910" t="s">
        <v>344</v>
      </c>
      <c r="B2910" t="s">
        <v>495</v>
      </c>
      <c r="C2910" t="s">
        <v>516</v>
      </c>
      <c r="D2910" t="s">
        <v>517</v>
      </c>
      <c r="E2910">
        <v>2</v>
      </c>
      <c r="F2910">
        <v>10</v>
      </c>
      <c r="G2910">
        <v>240</v>
      </c>
      <c r="H2910">
        <v>18.5</v>
      </c>
      <c r="I2910">
        <v>36.700000000000003</v>
      </c>
      <c r="J2910">
        <v>12.5</v>
      </c>
      <c r="K2910">
        <v>12.2</v>
      </c>
      <c r="L2910">
        <v>40</v>
      </c>
      <c r="M2910">
        <v>228</v>
      </c>
    </row>
    <row r="2911" spans="1:13" x14ac:dyDescent="0.25">
      <c r="A2911" t="s">
        <v>344</v>
      </c>
      <c r="B2911" t="s">
        <v>495</v>
      </c>
      <c r="C2911" t="s">
        <v>516</v>
      </c>
      <c r="D2911" t="s">
        <v>517</v>
      </c>
      <c r="E2911">
        <v>2</v>
      </c>
      <c r="F2911">
        <v>10</v>
      </c>
      <c r="G2911">
        <v>260</v>
      </c>
      <c r="H2911">
        <v>18.5</v>
      </c>
      <c r="I2911">
        <v>36.700000000000003</v>
      </c>
      <c r="J2911">
        <v>12.5</v>
      </c>
      <c r="K2911">
        <v>12.2</v>
      </c>
      <c r="L2911">
        <v>40</v>
      </c>
      <c r="M2911">
        <v>248</v>
      </c>
    </row>
    <row r="2912" spans="1:13" x14ac:dyDescent="0.25">
      <c r="A2912" t="s">
        <v>344</v>
      </c>
      <c r="B2912" t="s">
        <v>495</v>
      </c>
      <c r="C2912" t="s">
        <v>516</v>
      </c>
      <c r="D2912" t="s">
        <v>517</v>
      </c>
      <c r="E2912">
        <v>2</v>
      </c>
      <c r="F2912">
        <v>10</v>
      </c>
      <c r="G2912">
        <v>280</v>
      </c>
      <c r="H2912">
        <v>18.5</v>
      </c>
      <c r="I2912">
        <v>36.700000000000003</v>
      </c>
      <c r="J2912">
        <v>12.5</v>
      </c>
      <c r="K2912">
        <v>12.2</v>
      </c>
      <c r="L2912">
        <v>40</v>
      </c>
      <c r="M2912">
        <v>268</v>
      </c>
    </row>
    <row r="2913" spans="1:13" x14ac:dyDescent="0.25">
      <c r="A2913" t="s">
        <v>344</v>
      </c>
      <c r="B2913" t="s">
        <v>495</v>
      </c>
      <c r="C2913" t="s">
        <v>516</v>
      </c>
      <c r="D2913" t="s">
        <v>517</v>
      </c>
      <c r="E2913">
        <v>2</v>
      </c>
      <c r="F2913">
        <v>10</v>
      </c>
      <c r="G2913">
        <v>300</v>
      </c>
      <c r="H2913">
        <v>18.5</v>
      </c>
      <c r="I2913">
        <v>36.700000000000003</v>
      </c>
      <c r="J2913">
        <v>12.5</v>
      </c>
      <c r="K2913">
        <v>12.2</v>
      </c>
      <c r="L2913">
        <v>40</v>
      </c>
      <c r="M2913">
        <v>288</v>
      </c>
    </row>
    <row r="2914" spans="1:13" x14ac:dyDescent="0.25">
      <c r="A2914" t="s">
        <v>344</v>
      </c>
      <c r="B2914" t="s">
        <v>495</v>
      </c>
      <c r="C2914" t="s">
        <v>516</v>
      </c>
      <c r="D2914" t="s">
        <v>517</v>
      </c>
      <c r="E2914">
        <v>2</v>
      </c>
      <c r="F2914">
        <v>10</v>
      </c>
      <c r="G2914">
        <v>325</v>
      </c>
      <c r="H2914">
        <v>18.5</v>
      </c>
      <c r="I2914">
        <v>36.700000000000003</v>
      </c>
      <c r="J2914">
        <v>12.5</v>
      </c>
      <c r="K2914">
        <v>12.2</v>
      </c>
      <c r="L2914">
        <v>40</v>
      </c>
      <c r="M2914">
        <v>301</v>
      </c>
    </row>
    <row r="2915" spans="1:13" x14ac:dyDescent="0.25">
      <c r="A2915" t="s">
        <v>344</v>
      </c>
      <c r="B2915" t="s">
        <v>495</v>
      </c>
      <c r="C2915" t="s">
        <v>516</v>
      </c>
      <c r="D2915" t="s">
        <v>517</v>
      </c>
      <c r="E2915">
        <v>2</v>
      </c>
      <c r="F2915">
        <v>10</v>
      </c>
      <c r="G2915">
        <v>350</v>
      </c>
      <c r="H2915">
        <v>18.5</v>
      </c>
      <c r="I2915">
        <v>36.700000000000003</v>
      </c>
      <c r="J2915">
        <v>12.5</v>
      </c>
      <c r="K2915">
        <v>12.2</v>
      </c>
      <c r="L2915">
        <v>40</v>
      </c>
      <c r="M2915">
        <v>326</v>
      </c>
    </row>
    <row r="2916" spans="1:13" x14ac:dyDescent="0.25">
      <c r="A2916" t="s">
        <v>344</v>
      </c>
      <c r="B2916" t="s">
        <v>495</v>
      </c>
      <c r="C2916" t="s">
        <v>516</v>
      </c>
      <c r="D2916" t="s">
        <v>517</v>
      </c>
      <c r="E2916">
        <v>2</v>
      </c>
      <c r="F2916">
        <v>10</v>
      </c>
      <c r="G2916">
        <v>375</v>
      </c>
      <c r="H2916">
        <v>18.5</v>
      </c>
      <c r="I2916">
        <v>36.700000000000003</v>
      </c>
      <c r="J2916">
        <v>12.5</v>
      </c>
      <c r="K2916">
        <v>12.2</v>
      </c>
      <c r="L2916">
        <v>40</v>
      </c>
      <c r="M2916">
        <v>351</v>
      </c>
    </row>
    <row r="2917" spans="1:13" x14ac:dyDescent="0.25">
      <c r="A2917" t="s">
        <v>344</v>
      </c>
      <c r="B2917" t="s">
        <v>495</v>
      </c>
      <c r="C2917" t="s">
        <v>516</v>
      </c>
      <c r="D2917" t="s">
        <v>517</v>
      </c>
      <c r="E2917">
        <v>2</v>
      </c>
      <c r="F2917">
        <v>10</v>
      </c>
      <c r="G2917">
        <v>400</v>
      </c>
      <c r="H2917">
        <v>18.5</v>
      </c>
      <c r="I2917">
        <v>36.700000000000003</v>
      </c>
      <c r="J2917">
        <v>12.5</v>
      </c>
      <c r="K2917">
        <v>12.2</v>
      </c>
      <c r="L2917">
        <v>40</v>
      </c>
      <c r="M2917">
        <v>376</v>
      </c>
    </row>
    <row r="2918" spans="1:13" x14ac:dyDescent="0.25">
      <c r="A2918" t="s">
        <v>344</v>
      </c>
      <c r="B2918" t="s">
        <v>495</v>
      </c>
      <c r="C2918" t="s">
        <v>516</v>
      </c>
      <c r="D2918" t="s">
        <v>517</v>
      </c>
      <c r="E2918">
        <v>2</v>
      </c>
      <c r="F2918">
        <v>10</v>
      </c>
      <c r="G2918">
        <v>450</v>
      </c>
      <c r="H2918">
        <v>18.5</v>
      </c>
      <c r="I2918">
        <v>36.700000000000003</v>
      </c>
      <c r="J2918">
        <v>12.5</v>
      </c>
      <c r="K2918">
        <v>12.2</v>
      </c>
      <c r="L2918">
        <v>40</v>
      </c>
      <c r="M2918">
        <v>426</v>
      </c>
    </row>
    <row r="2919" spans="1:13" x14ac:dyDescent="0.25">
      <c r="A2919" t="s">
        <v>344</v>
      </c>
      <c r="B2919" t="s">
        <v>495</v>
      </c>
      <c r="C2919" t="s">
        <v>516</v>
      </c>
      <c r="D2919" t="s">
        <v>517</v>
      </c>
      <c r="E2919">
        <v>2</v>
      </c>
      <c r="F2919">
        <v>10</v>
      </c>
      <c r="G2919">
        <v>500</v>
      </c>
      <c r="H2919">
        <v>18.5</v>
      </c>
      <c r="I2919">
        <v>36.700000000000003</v>
      </c>
      <c r="J2919">
        <v>12.5</v>
      </c>
      <c r="K2919">
        <v>12.2</v>
      </c>
      <c r="L2919">
        <v>40</v>
      </c>
      <c r="M2919">
        <v>476</v>
      </c>
    </row>
    <row r="2920" spans="1:13" x14ac:dyDescent="0.25">
      <c r="A2920" t="s">
        <v>344</v>
      </c>
      <c r="B2920" t="s">
        <v>495</v>
      </c>
      <c r="C2920" t="s">
        <v>516</v>
      </c>
      <c r="D2920" t="s">
        <v>517</v>
      </c>
      <c r="E2920">
        <v>2</v>
      </c>
      <c r="F2920">
        <v>10</v>
      </c>
      <c r="G2920">
        <v>600</v>
      </c>
      <c r="H2920">
        <v>18.5</v>
      </c>
      <c r="I2920">
        <v>36.700000000000003</v>
      </c>
      <c r="J2920">
        <v>12.5</v>
      </c>
      <c r="K2920">
        <v>12.2</v>
      </c>
      <c r="L2920">
        <v>40</v>
      </c>
      <c r="M2920">
        <v>576</v>
      </c>
    </row>
    <row r="2921" spans="1:13" x14ac:dyDescent="0.25">
      <c r="A2921" t="s">
        <v>344</v>
      </c>
      <c r="B2921" t="s">
        <v>495</v>
      </c>
      <c r="C2921" t="s">
        <v>516</v>
      </c>
      <c r="D2921" t="s">
        <v>517</v>
      </c>
      <c r="E2921">
        <v>2</v>
      </c>
      <c r="F2921">
        <v>10</v>
      </c>
      <c r="G2921">
        <v>700</v>
      </c>
      <c r="H2921">
        <v>18.5</v>
      </c>
      <c r="I2921">
        <v>36.700000000000003</v>
      </c>
      <c r="J2921">
        <v>12.5</v>
      </c>
      <c r="K2921">
        <v>12.2</v>
      </c>
      <c r="L2921">
        <v>40</v>
      </c>
      <c r="M2921">
        <v>676</v>
      </c>
    </row>
    <row r="2922" spans="1:13" x14ac:dyDescent="0.25">
      <c r="A2922" t="s">
        <v>344</v>
      </c>
      <c r="B2922" t="s">
        <v>495</v>
      </c>
      <c r="C2922" t="s">
        <v>516</v>
      </c>
      <c r="D2922" t="s">
        <v>517</v>
      </c>
      <c r="E2922">
        <v>2</v>
      </c>
      <c r="F2922">
        <v>10</v>
      </c>
      <c r="G2922">
        <v>800</v>
      </c>
      <c r="H2922">
        <v>18.5</v>
      </c>
      <c r="I2922">
        <v>36.700000000000003</v>
      </c>
      <c r="J2922">
        <v>12.5</v>
      </c>
      <c r="K2922">
        <v>12.2</v>
      </c>
      <c r="L2922">
        <v>40</v>
      </c>
      <c r="M2922">
        <v>776</v>
      </c>
    </row>
    <row r="2923" spans="1:13" x14ac:dyDescent="0.25">
      <c r="A2923" t="s">
        <v>344</v>
      </c>
      <c r="B2923" t="s">
        <v>495</v>
      </c>
      <c r="C2923" t="s">
        <v>516</v>
      </c>
      <c r="D2923" t="s">
        <v>517</v>
      </c>
      <c r="E2923">
        <v>2</v>
      </c>
      <c r="F2923">
        <v>10</v>
      </c>
      <c r="G2923">
        <v>1000</v>
      </c>
      <c r="H2923">
        <v>18.5</v>
      </c>
      <c r="I2923">
        <v>36.700000000000003</v>
      </c>
      <c r="J2923">
        <v>12.5</v>
      </c>
      <c r="K2923">
        <v>12.2</v>
      </c>
      <c r="L2923">
        <v>40</v>
      </c>
      <c r="M2923">
        <v>976</v>
      </c>
    </row>
    <row r="2924" spans="1:13" x14ac:dyDescent="0.25">
      <c r="A2924" t="s">
        <v>344</v>
      </c>
      <c r="B2924" t="s">
        <v>495</v>
      </c>
      <c r="C2924" t="s">
        <v>516</v>
      </c>
      <c r="D2924" t="s">
        <v>517</v>
      </c>
      <c r="E2924">
        <v>2</v>
      </c>
      <c r="F2924">
        <v>12</v>
      </c>
      <c r="G2924">
        <v>200</v>
      </c>
      <c r="H2924">
        <v>21</v>
      </c>
      <c r="I2924">
        <v>48.5</v>
      </c>
      <c r="J2924">
        <v>11.2</v>
      </c>
      <c r="K2924">
        <v>10.3</v>
      </c>
      <c r="L2924">
        <v>46.7</v>
      </c>
      <c r="M2924">
        <v>180</v>
      </c>
    </row>
    <row r="2925" spans="1:13" x14ac:dyDescent="0.25">
      <c r="A2925" t="s">
        <v>344</v>
      </c>
      <c r="B2925" t="s">
        <v>495</v>
      </c>
      <c r="C2925" t="s">
        <v>516</v>
      </c>
      <c r="D2925" t="s">
        <v>517</v>
      </c>
      <c r="E2925">
        <v>2</v>
      </c>
      <c r="F2925">
        <v>12</v>
      </c>
      <c r="G2925">
        <v>220</v>
      </c>
      <c r="H2925">
        <v>21</v>
      </c>
      <c r="I2925">
        <v>48.5</v>
      </c>
      <c r="J2925">
        <v>11.2</v>
      </c>
      <c r="K2925">
        <v>10.3</v>
      </c>
      <c r="L2925">
        <v>46.7</v>
      </c>
      <c r="M2925">
        <v>200</v>
      </c>
    </row>
    <row r="2926" spans="1:13" x14ac:dyDescent="0.25">
      <c r="A2926" t="s">
        <v>344</v>
      </c>
      <c r="B2926" t="s">
        <v>495</v>
      </c>
      <c r="C2926" t="s">
        <v>516</v>
      </c>
      <c r="D2926" t="s">
        <v>517</v>
      </c>
      <c r="E2926">
        <v>2</v>
      </c>
      <c r="F2926">
        <v>12</v>
      </c>
      <c r="G2926">
        <v>240</v>
      </c>
      <c r="H2926">
        <v>21</v>
      </c>
      <c r="I2926">
        <v>48.5</v>
      </c>
      <c r="J2926">
        <v>11.2</v>
      </c>
      <c r="K2926">
        <v>10.3</v>
      </c>
      <c r="L2926">
        <v>46.7</v>
      </c>
      <c r="M2926">
        <v>220</v>
      </c>
    </row>
    <row r="2927" spans="1:13" x14ac:dyDescent="0.25">
      <c r="A2927" t="s">
        <v>344</v>
      </c>
      <c r="B2927" t="s">
        <v>495</v>
      </c>
      <c r="C2927" t="s">
        <v>516</v>
      </c>
      <c r="D2927" t="s">
        <v>517</v>
      </c>
      <c r="E2927">
        <v>2</v>
      </c>
      <c r="F2927">
        <v>12</v>
      </c>
      <c r="G2927">
        <v>260</v>
      </c>
      <c r="H2927">
        <v>21</v>
      </c>
      <c r="I2927">
        <v>48.5</v>
      </c>
      <c r="J2927">
        <v>11.2</v>
      </c>
      <c r="K2927">
        <v>10.3</v>
      </c>
      <c r="L2927">
        <v>46.7</v>
      </c>
      <c r="M2927">
        <v>240</v>
      </c>
    </row>
    <row r="2928" spans="1:13" x14ac:dyDescent="0.25">
      <c r="A2928" t="s">
        <v>344</v>
      </c>
      <c r="B2928" t="s">
        <v>495</v>
      </c>
      <c r="C2928" t="s">
        <v>516</v>
      </c>
      <c r="D2928" t="s">
        <v>517</v>
      </c>
      <c r="E2928">
        <v>2</v>
      </c>
      <c r="F2928">
        <v>12</v>
      </c>
      <c r="G2928">
        <v>280</v>
      </c>
      <c r="H2928">
        <v>21</v>
      </c>
      <c r="I2928">
        <v>48.5</v>
      </c>
      <c r="J2928">
        <v>11.2</v>
      </c>
      <c r="K2928">
        <v>10.3</v>
      </c>
      <c r="L2928">
        <v>46.7</v>
      </c>
      <c r="M2928">
        <v>260</v>
      </c>
    </row>
    <row r="2929" spans="1:13" x14ac:dyDescent="0.25">
      <c r="A2929" t="s">
        <v>344</v>
      </c>
      <c r="B2929" t="s">
        <v>495</v>
      </c>
      <c r="C2929" t="s">
        <v>516</v>
      </c>
      <c r="D2929" t="s">
        <v>517</v>
      </c>
      <c r="E2929">
        <v>2</v>
      </c>
      <c r="F2929">
        <v>12</v>
      </c>
      <c r="G2929">
        <v>300</v>
      </c>
      <c r="H2929">
        <v>21</v>
      </c>
      <c r="I2929">
        <v>48.5</v>
      </c>
      <c r="J2929">
        <v>11.2</v>
      </c>
      <c r="K2929">
        <v>10.3</v>
      </c>
      <c r="L2929">
        <v>46.7</v>
      </c>
      <c r="M2929">
        <v>280</v>
      </c>
    </row>
    <row r="2930" spans="1:13" x14ac:dyDescent="0.25">
      <c r="A2930" t="s">
        <v>344</v>
      </c>
      <c r="B2930" t="s">
        <v>495</v>
      </c>
      <c r="C2930" t="s">
        <v>516</v>
      </c>
      <c r="D2930" t="s">
        <v>517</v>
      </c>
      <c r="E2930">
        <v>2</v>
      </c>
      <c r="F2930">
        <v>12</v>
      </c>
      <c r="G2930">
        <v>350</v>
      </c>
      <c r="H2930">
        <v>21</v>
      </c>
      <c r="I2930">
        <v>48.5</v>
      </c>
      <c r="J2930">
        <v>11.2</v>
      </c>
      <c r="K2930">
        <v>10.3</v>
      </c>
      <c r="L2930">
        <v>46.7</v>
      </c>
      <c r="M2930">
        <v>330</v>
      </c>
    </row>
    <row r="2931" spans="1:13" x14ac:dyDescent="0.25">
      <c r="A2931" t="s">
        <v>344</v>
      </c>
      <c r="B2931" t="s">
        <v>495</v>
      </c>
      <c r="C2931" t="s">
        <v>516</v>
      </c>
      <c r="D2931" t="s">
        <v>517</v>
      </c>
      <c r="E2931">
        <v>2</v>
      </c>
      <c r="F2931">
        <v>12</v>
      </c>
      <c r="G2931">
        <v>400</v>
      </c>
      <c r="H2931">
        <v>21</v>
      </c>
      <c r="I2931">
        <v>48.5</v>
      </c>
      <c r="J2931">
        <v>11.2</v>
      </c>
      <c r="K2931">
        <v>10.3</v>
      </c>
      <c r="L2931">
        <v>46.7</v>
      </c>
      <c r="M2931">
        <v>380</v>
      </c>
    </row>
    <row r="2932" spans="1:13" x14ac:dyDescent="0.25">
      <c r="A2932" t="s">
        <v>344</v>
      </c>
      <c r="B2932" t="s">
        <v>495</v>
      </c>
      <c r="C2932" t="s">
        <v>516</v>
      </c>
      <c r="D2932" t="s">
        <v>517</v>
      </c>
      <c r="E2932">
        <v>2</v>
      </c>
      <c r="F2932">
        <v>12</v>
      </c>
      <c r="G2932">
        <v>500</v>
      </c>
      <c r="H2932">
        <v>21</v>
      </c>
      <c r="I2932">
        <v>48.5</v>
      </c>
      <c r="J2932">
        <v>11.2</v>
      </c>
      <c r="K2932">
        <v>10.3</v>
      </c>
      <c r="L2932">
        <v>46.7</v>
      </c>
      <c r="M2932">
        <v>480</v>
      </c>
    </row>
    <row r="2933" spans="1:13" x14ac:dyDescent="0.25">
      <c r="A2933" t="s">
        <v>344</v>
      </c>
      <c r="B2933" t="s">
        <v>495</v>
      </c>
      <c r="C2933" t="s">
        <v>516</v>
      </c>
      <c r="D2933" t="s">
        <v>517</v>
      </c>
      <c r="E2933">
        <v>2</v>
      </c>
      <c r="F2933">
        <v>12</v>
      </c>
      <c r="G2933">
        <v>600</v>
      </c>
      <c r="H2933">
        <v>21</v>
      </c>
      <c r="I2933">
        <v>48.5</v>
      </c>
      <c r="J2933">
        <v>11.2</v>
      </c>
      <c r="K2933">
        <v>10.3</v>
      </c>
      <c r="L2933">
        <v>46.7</v>
      </c>
      <c r="M2933">
        <v>580</v>
      </c>
    </row>
    <row r="2934" spans="1:13" x14ac:dyDescent="0.25">
      <c r="A2934" t="s">
        <v>344</v>
      </c>
      <c r="B2934" t="s">
        <v>495</v>
      </c>
      <c r="C2934" t="s">
        <v>516</v>
      </c>
      <c r="D2934" t="s">
        <v>517</v>
      </c>
      <c r="E2934">
        <v>2</v>
      </c>
      <c r="F2934">
        <v>12</v>
      </c>
      <c r="G2934">
        <v>700</v>
      </c>
      <c r="H2934">
        <v>21</v>
      </c>
      <c r="I2934">
        <v>48.5</v>
      </c>
      <c r="J2934">
        <v>11.2</v>
      </c>
      <c r="K2934">
        <v>10.3</v>
      </c>
      <c r="L2934">
        <v>46.7</v>
      </c>
      <c r="M2934">
        <v>680</v>
      </c>
    </row>
    <row r="2935" spans="1:13" x14ac:dyDescent="0.25">
      <c r="A2935" t="s">
        <v>344</v>
      </c>
      <c r="B2935" t="s">
        <v>495</v>
      </c>
      <c r="C2935" t="s">
        <v>516</v>
      </c>
      <c r="D2935" t="s">
        <v>517</v>
      </c>
      <c r="E2935">
        <v>2</v>
      </c>
      <c r="F2935">
        <v>12</v>
      </c>
      <c r="G2935">
        <v>800</v>
      </c>
      <c r="H2935">
        <v>21</v>
      </c>
      <c r="I2935">
        <v>48.5</v>
      </c>
      <c r="J2935">
        <v>11.2</v>
      </c>
      <c r="K2935">
        <v>10.3</v>
      </c>
      <c r="L2935">
        <v>46.7</v>
      </c>
      <c r="M2935">
        <v>780</v>
      </c>
    </row>
    <row r="2936" spans="1:13" x14ac:dyDescent="0.25">
      <c r="A2936" t="s">
        <v>344</v>
      </c>
      <c r="B2936" t="s">
        <v>495</v>
      </c>
      <c r="C2936" t="s">
        <v>516</v>
      </c>
      <c r="D2936" t="s">
        <v>517</v>
      </c>
      <c r="E2936">
        <v>2</v>
      </c>
      <c r="F2936">
        <v>12</v>
      </c>
      <c r="G2936">
        <v>1000</v>
      </c>
      <c r="H2936">
        <v>21</v>
      </c>
      <c r="I2936">
        <v>48.5</v>
      </c>
      <c r="J2936">
        <v>11.2</v>
      </c>
      <c r="K2936">
        <v>10.3</v>
      </c>
      <c r="L2936">
        <v>46.7</v>
      </c>
      <c r="M2936">
        <v>980</v>
      </c>
    </row>
    <row r="2937" spans="1:13" x14ac:dyDescent="0.25">
      <c r="A2937" t="s">
        <v>344</v>
      </c>
      <c r="B2937" t="s">
        <v>495</v>
      </c>
      <c r="C2937" t="s">
        <v>518</v>
      </c>
      <c r="D2937" t="s">
        <v>519</v>
      </c>
      <c r="E2937">
        <v>2</v>
      </c>
      <c r="F2937">
        <v>12</v>
      </c>
      <c r="G2937">
        <v>60</v>
      </c>
      <c r="H2937">
        <v>17</v>
      </c>
      <c r="I2937">
        <v>48.5</v>
      </c>
      <c r="J2937">
        <v>11.2</v>
      </c>
      <c r="K2937">
        <v>17.100000000000001</v>
      </c>
      <c r="L2937">
        <v>45</v>
      </c>
      <c r="M2937">
        <v>48</v>
      </c>
    </row>
    <row r="2938" spans="1:13" x14ac:dyDescent="0.25">
      <c r="A2938" t="s">
        <v>344</v>
      </c>
      <c r="B2938" t="s">
        <v>495</v>
      </c>
      <c r="C2938" t="s">
        <v>518</v>
      </c>
      <c r="D2938" t="s">
        <v>519</v>
      </c>
      <c r="E2938">
        <v>2</v>
      </c>
      <c r="F2938">
        <v>12</v>
      </c>
      <c r="G2938">
        <v>80</v>
      </c>
      <c r="H2938">
        <v>17</v>
      </c>
      <c r="I2938">
        <v>48.5</v>
      </c>
      <c r="J2938">
        <v>11.2</v>
      </c>
      <c r="K2938">
        <v>17.100000000000001</v>
      </c>
      <c r="L2938">
        <v>45</v>
      </c>
      <c r="M2938">
        <v>68</v>
      </c>
    </row>
    <row r="2939" spans="1:13" x14ac:dyDescent="0.25">
      <c r="A2939" t="s">
        <v>344</v>
      </c>
      <c r="B2939" t="s">
        <v>495</v>
      </c>
      <c r="C2939" t="s">
        <v>518</v>
      </c>
      <c r="D2939" t="s">
        <v>519</v>
      </c>
      <c r="E2939">
        <v>2</v>
      </c>
      <c r="F2939">
        <v>12</v>
      </c>
      <c r="G2939">
        <v>100</v>
      </c>
      <c r="H2939">
        <v>17</v>
      </c>
      <c r="I2939">
        <v>48.5</v>
      </c>
      <c r="J2939">
        <v>11.2</v>
      </c>
      <c r="K2939">
        <v>17.100000000000001</v>
      </c>
      <c r="L2939">
        <v>45</v>
      </c>
      <c r="M2939">
        <v>85</v>
      </c>
    </row>
    <row r="2940" spans="1:13" x14ac:dyDescent="0.25">
      <c r="A2940" t="s">
        <v>344</v>
      </c>
      <c r="B2940" t="s">
        <v>495</v>
      </c>
      <c r="C2940" t="s">
        <v>518</v>
      </c>
      <c r="D2940" t="s">
        <v>519</v>
      </c>
      <c r="E2940">
        <v>2</v>
      </c>
      <c r="F2940">
        <v>12</v>
      </c>
      <c r="G2940">
        <v>120</v>
      </c>
      <c r="H2940">
        <v>17</v>
      </c>
      <c r="I2940">
        <v>48.5</v>
      </c>
      <c r="J2940">
        <v>11.2</v>
      </c>
      <c r="K2940">
        <v>17.100000000000001</v>
      </c>
      <c r="L2940">
        <v>45</v>
      </c>
      <c r="M2940">
        <v>105</v>
      </c>
    </row>
    <row r="2941" spans="1:13" x14ac:dyDescent="0.25">
      <c r="A2941" t="s">
        <v>344</v>
      </c>
      <c r="B2941" t="s">
        <v>495</v>
      </c>
      <c r="C2941" t="s">
        <v>518</v>
      </c>
      <c r="D2941" t="s">
        <v>519</v>
      </c>
      <c r="E2941">
        <v>2</v>
      </c>
      <c r="F2941">
        <v>12</v>
      </c>
      <c r="G2941">
        <v>140</v>
      </c>
      <c r="H2941">
        <v>17</v>
      </c>
      <c r="I2941">
        <v>48.5</v>
      </c>
      <c r="J2941">
        <v>11.2</v>
      </c>
      <c r="K2941">
        <v>17.100000000000001</v>
      </c>
      <c r="L2941">
        <v>45</v>
      </c>
      <c r="M2941">
        <v>125</v>
      </c>
    </row>
    <row r="2942" spans="1:13" x14ac:dyDescent="0.25">
      <c r="A2942" t="s">
        <v>344</v>
      </c>
      <c r="B2942" t="s">
        <v>495</v>
      </c>
      <c r="C2942" t="s">
        <v>518</v>
      </c>
      <c r="D2942" t="s">
        <v>519</v>
      </c>
      <c r="E2942">
        <v>2</v>
      </c>
      <c r="F2942">
        <v>12</v>
      </c>
      <c r="G2942">
        <v>160</v>
      </c>
      <c r="H2942">
        <v>17</v>
      </c>
      <c r="I2942">
        <v>48.5</v>
      </c>
      <c r="J2942">
        <v>11.2</v>
      </c>
      <c r="K2942">
        <v>17.100000000000001</v>
      </c>
      <c r="L2942">
        <v>45</v>
      </c>
      <c r="M2942">
        <v>145</v>
      </c>
    </row>
    <row r="2943" spans="1:13" x14ac:dyDescent="0.25">
      <c r="A2943" t="s">
        <v>344</v>
      </c>
      <c r="B2943" t="s">
        <v>495</v>
      </c>
      <c r="C2943" t="s">
        <v>518</v>
      </c>
      <c r="D2943" t="s">
        <v>519</v>
      </c>
      <c r="E2943">
        <v>2</v>
      </c>
      <c r="F2943">
        <v>12</v>
      </c>
      <c r="G2943">
        <v>180</v>
      </c>
      <c r="H2943">
        <v>17</v>
      </c>
      <c r="I2943">
        <v>48.5</v>
      </c>
      <c r="J2943">
        <v>11.2</v>
      </c>
      <c r="K2943">
        <v>17.100000000000001</v>
      </c>
      <c r="L2943">
        <v>45</v>
      </c>
      <c r="M2943">
        <v>165</v>
      </c>
    </row>
    <row r="2944" spans="1:13" x14ac:dyDescent="0.25">
      <c r="A2944" t="s">
        <v>344</v>
      </c>
      <c r="B2944" t="s">
        <v>495</v>
      </c>
      <c r="C2944" t="s">
        <v>518</v>
      </c>
      <c r="D2944" t="s">
        <v>519</v>
      </c>
      <c r="E2944">
        <v>2</v>
      </c>
      <c r="F2944">
        <v>12</v>
      </c>
      <c r="G2944">
        <v>220</v>
      </c>
      <c r="H2944">
        <v>17</v>
      </c>
      <c r="I2944">
        <v>48.5</v>
      </c>
      <c r="J2944">
        <v>11.2</v>
      </c>
      <c r="K2944">
        <v>17.100000000000001</v>
      </c>
      <c r="L2944">
        <v>45</v>
      </c>
      <c r="M2944">
        <v>205</v>
      </c>
    </row>
    <row r="2945" spans="1:13" x14ac:dyDescent="0.25">
      <c r="A2945" t="s">
        <v>344</v>
      </c>
      <c r="B2945" t="s">
        <v>495</v>
      </c>
      <c r="C2945" t="s">
        <v>518</v>
      </c>
      <c r="D2945" t="s">
        <v>519</v>
      </c>
      <c r="E2945">
        <v>2</v>
      </c>
      <c r="F2945">
        <v>12</v>
      </c>
      <c r="G2945">
        <v>300</v>
      </c>
      <c r="H2945">
        <v>17</v>
      </c>
      <c r="I2945">
        <v>48.5</v>
      </c>
      <c r="J2945">
        <v>11.2</v>
      </c>
      <c r="K2945">
        <v>17.100000000000001</v>
      </c>
      <c r="L2945">
        <v>45</v>
      </c>
      <c r="M2945">
        <v>285</v>
      </c>
    </row>
    <row r="2946" spans="1:13" x14ac:dyDescent="0.25">
      <c r="A2946" t="s">
        <v>344</v>
      </c>
      <c r="B2946" t="s">
        <v>495</v>
      </c>
      <c r="C2946" t="s">
        <v>518</v>
      </c>
      <c r="D2946" t="s">
        <v>519</v>
      </c>
      <c r="E2946">
        <v>2</v>
      </c>
      <c r="F2946">
        <v>12</v>
      </c>
      <c r="G2946">
        <v>380</v>
      </c>
      <c r="H2946">
        <v>17</v>
      </c>
      <c r="I2946">
        <v>48.5</v>
      </c>
      <c r="J2946">
        <v>11.2</v>
      </c>
      <c r="K2946">
        <v>17.100000000000001</v>
      </c>
      <c r="L2946">
        <v>45</v>
      </c>
      <c r="M2946">
        <v>365</v>
      </c>
    </row>
    <row r="2947" spans="1:13" x14ac:dyDescent="0.25">
      <c r="A2947" t="s">
        <v>344</v>
      </c>
      <c r="B2947" t="s">
        <v>495</v>
      </c>
      <c r="C2947" t="s">
        <v>518</v>
      </c>
      <c r="D2947" t="s">
        <v>519</v>
      </c>
      <c r="E2947">
        <v>2</v>
      </c>
      <c r="F2947">
        <v>16</v>
      </c>
      <c r="G2947">
        <v>180</v>
      </c>
      <c r="H2947">
        <v>24</v>
      </c>
      <c r="I2947">
        <v>112.9</v>
      </c>
      <c r="J2947">
        <v>11</v>
      </c>
      <c r="K2947">
        <v>20.399999999999999</v>
      </c>
      <c r="L2947">
        <v>88.6</v>
      </c>
      <c r="M2947">
        <v>155</v>
      </c>
    </row>
    <row r="2948" spans="1:13" x14ac:dyDescent="0.25">
      <c r="A2948" t="s">
        <v>344</v>
      </c>
      <c r="B2948" t="s">
        <v>495</v>
      </c>
      <c r="C2948" t="s">
        <v>518</v>
      </c>
      <c r="D2948" t="s">
        <v>519</v>
      </c>
      <c r="E2948">
        <v>2</v>
      </c>
      <c r="F2948">
        <v>16</v>
      </c>
      <c r="G2948">
        <v>240</v>
      </c>
      <c r="H2948">
        <v>24</v>
      </c>
      <c r="I2948">
        <v>112.9</v>
      </c>
      <c r="J2948">
        <v>11.1</v>
      </c>
      <c r="K2948">
        <v>20.399999999999999</v>
      </c>
      <c r="L2948">
        <v>88.6</v>
      </c>
      <c r="M2948">
        <v>215</v>
      </c>
    </row>
    <row r="2949" spans="1:13" x14ac:dyDescent="0.25">
      <c r="A2949" t="s">
        <v>344</v>
      </c>
      <c r="B2949" t="s">
        <v>495</v>
      </c>
      <c r="C2949" t="s">
        <v>518</v>
      </c>
      <c r="D2949" t="s">
        <v>519</v>
      </c>
      <c r="E2949">
        <v>2</v>
      </c>
      <c r="F2949">
        <v>16</v>
      </c>
      <c r="G2949">
        <v>280</v>
      </c>
      <c r="H2949">
        <v>24</v>
      </c>
      <c r="I2949">
        <v>112.9</v>
      </c>
      <c r="J2949">
        <v>11.2</v>
      </c>
      <c r="K2949">
        <v>20.399999999999999</v>
      </c>
      <c r="L2949">
        <v>88.6</v>
      </c>
      <c r="M2949">
        <v>255</v>
      </c>
    </row>
    <row r="2950" spans="1:13" x14ac:dyDescent="0.25">
      <c r="A2950" t="s">
        <v>344</v>
      </c>
      <c r="B2950" t="s">
        <v>495</v>
      </c>
      <c r="C2950" t="s">
        <v>518</v>
      </c>
      <c r="D2950" t="s">
        <v>519</v>
      </c>
      <c r="E2950">
        <v>2</v>
      </c>
      <c r="F2950">
        <v>16</v>
      </c>
      <c r="G2950">
        <v>320</v>
      </c>
      <c r="H2950">
        <v>24</v>
      </c>
      <c r="I2950">
        <v>112.9</v>
      </c>
      <c r="J2950">
        <v>11.3</v>
      </c>
      <c r="K2950">
        <v>20.399999999999999</v>
      </c>
      <c r="L2950">
        <v>88.6</v>
      </c>
      <c r="M2950">
        <v>295</v>
      </c>
    </row>
    <row r="2951" spans="1:13" x14ac:dyDescent="0.25">
      <c r="A2951" t="s">
        <v>344</v>
      </c>
      <c r="B2951" t="s">
        <v>495</v>
      </c>
      <c r="C2951" t="s">
        <v>518</v>
      </c>
      <c r="D2951" t="s">
        <v>519</v>
      </c>
      <c r="E2951">
        <v>2</v>
      </c>
      <c r="F2951">
        <v>16</v>
      </c>
      <c r="G2951">
        <v>400</v>
      </c>
      <c r="H2951">
        <v>24</v>
      </c>
      <c r="I2951">
        <v>112.9</v>
      </c>
      <c r="J2951">
        <v>11.4</v>
      </c>
      <c r="K2951">
        <v>20.399999999999999</v>
      </c>
      <c r="L2951">
        <v>88.6</v>
      </c>
      <c r="M2951">
        <v>375</v>
      </c>
    </row>
    <row r="2952" spans="1:13" x14ac:dyDescent="0.25">
      <c r="A2952" t="s">
        <v>344</v>
      </c>
      <c r="B2952" t="s">
        <v>495</v>
      </c>
      <c r="C2952" t="s">
        <v>518</v>
      </c>
      <c r="D2952" t="s">
        <v>519</v>
      </c>
      <c r="E2952">
        <v>2</v>
      </c>
      <c r="F2952">
        <v>16</v>
      </c>
      <c r="G2952">
        <v>600</v>
      </c>
      <c r="H2952">
        <v>24</v>
      </c>
      <c r="I2952">
        <v>112.9</v>
      </c>
      <c r="J2952">
        <v>11.5</v>
      </c>
      <c r="K2952">
        <v>20.399999999999999</v>
      </c>
      <c r="L2952">
        <v>88.6</v>
      </c>
      <c r="M2952">
        <v>575</v>
      </c>
    </row>
    <row r="2953" spans="1:13" x14ac:dyDescent="0.25">
      <c r="A2953" t="s">
        <v>344</v>
      </c>
      <c r="B2953" t="s">
        <v>495</v>
      </c>
      <c r="C2953" t="s">
        <v>520</v>
      </c>
      <c r="D2953" t="s">
        <v>494</v>
      </c>
      <c r="E2953">
        <v>2</v>
      </c>
      <c r="F2953">
        <v>8</v>
      </c>
      <c r="G2953">
        <v>160</v>
      </c>
      <c r="H2953">
        <v>22</v>
      </c>
      <c r="I2953">
        <v>42.8</v>
      </c>
      <c r="J2953">
        <v>13.1</v>
      </c>
      <c r="K2953">
        <v>20.399999999999999</v>
      </c>
      <c r="L2953">
        <v>32.799999999999997</v>
      </c>
      <c r="M2953">
        <v>100</v>
      </c>
    </row>
    <row r="2954" spans="1:13" x14ac:dyDescent="0.25">
      <c r="A2954" t="s">
        <v>344</v>
      </c>
      <c r="B2954" t="s">
        <v>495</v>
      </c>
      <c r="C2954" t="s">
        <v>521</v>
      </c>
      <c r="D2954" t="s">
        <v>493</v>
      </c>
      <c r="E2954">
        <v>2</v>
      </c>
      <c r="F2954">
        <v>8</v>
      </c>
      <c r="G2954">
        <v>80</v>
      </c>
      <c r="H2954">
        <v>15</v>
      </c>
      <c r="I2954">
        <v>42.8</v>
      </c>
      <c r="J2954">
        <v>13.1</v>
      </c>
      <c r="K2954">
        <v>12.4</v>
      </c>
      <c r="L2954">
        <v>32.799999999999997</v>
      </c>
      <c r="M2954">
        <v>60</v>
      </c>
    </row>
    <row r="2955" spans="1:13" x14ac:dyDescent="0.25">
      <c r="A2955" t="s">
        <v>344</v>
      </c>
      <c r="B2955" t="s">
        <v>495</v>
      </c>
      <c r="C2955" t="s">
        <v>521</v>
      </c>
      <c r="D2955" t="s">
        <v>493</v>
      </c>
      <c r="E2955">
        <v>2</v>
      </c>
      <c r="F2955">
        <v>8</v>
      </c>
      <c r="G2955">
        <v>120</v>
      </c>
      <c r="H2955">
        <v>15</v>
      </c>
      <c r="I2955">
        <v>42.8</v>
      </c>
      <c r="J2955">
        <v>13.1</v>
      </c>
      <c r="K2955">
        <v>12.4</v>
      </c>
      <c r="L2955">
        <v>32.799999999999997</v>
      </c>
      <c r="M2955">
        <v>100</v>
      </c>
    </row>
    <row r="2956" spans="1:13" x14ac:dyDescent="0.25">
      <c r="A2956" t="s">
        <v>344</v>
      </c>
      <c r="B2956" t="s">
        <v>495</v>
      </c>
      <c r="C2956" t="s">
        <v>521</v>
      </c>
      <c r="D2956" t="s">
        <v>493</v>
      </c>
      <c r="E2956">
        <v>2</v>
      </c>
      <c r="F2956">
        <v>8</v>
      </c>
      <c r="G2956">
        <v>160</v>
      </c>
      <c r="H2956">
        <v>15</v>
      </c>
      <c r="I2956">
        <v>42.8</v>
      </c>
      <c r="J2956">
        <v>13.1</v>
      </c>
      <c r="K2956">
        <v>12.4</v>
      </c>
      <c r="L2956">
        <v>32.799999999999997</v>
      </c>
      <c r="M2956">
        <v>100</v>
      </c>
    </row>
    <row r="2957" spans="1:13" x14ac:dyDescent="0.25">
      <c r="A2957" t="s">
        <v>344</v>
      </c>
      <c r="B2957" t="s">
        <v>495</v>
      </c>
      <c r="C2957" t="s">
        <v>521</v>
      </c>
      <c r="D2957" t="s">
        <v>493</v>
      </c>
      <c r="E2957">
        <v>2</v>
      </c>
      <c r="F2957">
        <v>8</v>
      </c>
      <c r="G2957">
        <v>200</v>
      </c>
      <c r="H2957">
        <v>15</v>
      </c>
      <c r="I2957">
        <v>42.8</v>
      </c>
      <c r="J2957">
        <v>13.1</v>
      </c>
      <c r="K2957">
        <v>12.4</v>
      </c>
      <c r="L2957">
        <v>32.799999999999997</v>
      </c>
      <c r="M2957">
        <v>100</v>
      </c>
    </row>
    <row r="2958" spans="1:13" x14ac:dyDescent="0.25">
      <c r="A2958" t="s">
        <v>344</v>
      </c>
      <c r="B2958" t="s">
        <v>495</v>
      </c>
      <c r="C2958" t="s">
        <v>521</v>
      </c>
      <c r="D2958" t="s">
        <v>493</v>
      </c>
      <c r="E2958">
        <v>2</v>
      </c>
      <c r="F2958">
        <v>8</v>
      </c>
      <c r="G2958">
        <v>240</v>
      </c>
      <c r="H2958">
        <v>15</v>
      </c>
      <c r="I2958">
        <v>42.8</v>
      </c>
      <c r="J2958">
        <v>13.1</v>
      </c>
      <c r="K2958">
        <v>12.4</v>
      </c>
      <c r="L2958">
        <v>32.799999999999997</v>
      </c>
      <c r="M2958">
        <v>100</v>
      </c>
    </row>
    <row r="2959" spans="1:13" x14ac:dyDescent="0.25">
      <c r="A2959" t="s">
        <v>344</v>
      </c>
      <c r="B2959" t="s">
        <v>495</v>
      </c>
      <c r="C2959" t="s">
        <v>521</v>
      </c>
      <c r="D2959" t="s">
        <v>493</v>
      </c>
      <c r="E2959">
        <v>2</v>
      </c>
      <c r="F2959">
        <v>8</v>
      </c>
      <c r="G2959">
        <v>280</v>
      </c>
      <c r="H2959">
        <v>15</v>
      </c>
      <c r="I2959">
        <v>42.8</v>
      </c>
      <c r="J2959">
        <v>13.1</v>
      </c>
      <c r="K2959">
        <v>12.4</v>
      </c>
      <c r="L2959">
        <v>32.799999999999997</v>
      </c>
      <c r="M2959">
        <v>100</v>
      </c>
    </row>
    <row r="2960" spans="1:13" x14ac:dyDescent="0.25">
      <c r="A2960" t="s">
        <v>344</v>
      </c>
      <c r="B2960" t="s">
        <v>495</v>
      </c>
      <c r="C2960" t="s">
        <v>521</v>
      </c>
      <c r="D2960" t="s">
        <v>493</v>
      </c>
      <c r="E2960">
        <v>2</v>
      </c>
      <c r="F2960">
        <v>8</v>
      </c>
      <c r="G2960">
        <v>320</v>
      </c>
      <c r="H2960">
        <v>15</v>
      </c>
      <c r="I2960">
        <v>42.8</v>
      </c>
      <c r="J2960">
        <v>13.1</v>
      </c>
      <c r="K2960">
        <v>12.4</v>
      </c>
      <c r="L2960">
        <v>32.799999999999997</v>
      </c>
      <c r="M2960">
        <v>100</v>
      </c>
    </row>
    <row r="2961" spans="1:14" x14ac:dyDescent="0.25">
      <c r="A2961" t="s">
        <v>344</v>
      </c>
      <c r="B2961" t="s">
        <v>495</v>
      </c>
      <c r="C2961" t="s">
        <v>521</v>
      </c>
      <c r="D2961" t="s">
        <v>493</v>
      </c>
      <c r="E2961">
        <v>2</v>
      </c>
      <c r="F2961">
        <v>8</v>
      </c>
      <c r="G2961">
        <v>440</v>
      </c>
      <c r="H2961">
        <v>15</v>
      </c>
      <c r="I2961">
        <v>42.8</v>
      </c>
      <c r="J2961">
        <v>13.1</v>
      </c>
      <c r="K2961">
        <v>12.4</v>
      </c>
      <c r="L2961">
        <v>32.799999999999997</v>
      </c>
      <c r="M2961">
        <v>100</v>
      </c>
    </row>
    <row r="2962" spans="1:14" x14ac:dyDescent="0.25">
      <c r="A2962" t="s">
        <v>344</v>
      </c>
      <c r="B2962" t="s">
        <v>495</v>
      </c>
      <c r="C2962" t="s">
        <v>522</v>
      </c>
      <c r="D2962" t="s">
        <v>523</v>
      </c>
      <c r="E2962">
        <v>2</v>
      </c>
      <c r="F2962">
        <v>8</v>
      </c>
      <c r="G2962">
        <v>240</v>
      </c>
      <c r="H2962">
        <v>10.199999999999999</v>
      </c>
      <c r="I2962">
        <v>21</v>
      </c>
      <c r="J2962">
        <v>13.1</v>
      </c>
      <c r="K2962">
        <v>0</v>
      </c>
      <c r="L2962">
        <v>22</v>
      </c>
      <c r="M2962">
        <v>80</v>
      </c>
      <c r="N2962">
        <v>80</v>
      </c>
    </row>
    <row r="2963" spans="1:14" x14ac:dyDescent="0.25">
      <c r="A2963" t="s">
        <v>344</v>
      </c>
      <c r="B2963" t="s">
        <v>495</v>
      </c>
      <c r="C2963" t="s">
        <v>522</v>
      </c>
      <c r="D2963" t="s">
        <v>523</v>
      </c>
      <c r="E2963">
        <v>2</v>
      </c>
      <c r="F2963">
        <v>8</v>
      </c>
      <c r="G2963">
        <v>260</v>
      </c>
      <c r="H2963">
        <v>10.199999999999999</v>
      </c>
      <c r="I2963">
        <v>21</v>
      </c>
      <c r="J2963">
        <v>13.1</v>
      </c>
      <c r="K2963">
        <v>0</v>
      </c>
      <c r="L2963">
        <v>22</v>
      </c>
      <c r="M2963">
        <v>100</v>
      </c>
      <c r="N2963">
        <v>80</v>
      </c>
    </row>
    <row r="2964" spans="1:14" x14ac:dyDescent="0.25">
      <c r="A2964" t="s">
        <v>344</v>
      </c>
      <c r="B2964" t="s">
        <v>495</v>
      </c>
      <c r="C2964" t="s">
        <v>522</v>
      </c>
      <c r="D2964" t="s">
        <v>523</v>
      </c>
      <c r="E2964">
        <v>2</v>
      </c>
      <c r="F2964">
        <v>8</v>
      </c>
      <c r="G2964">
        <v>280</v>
      </c>
      <c r="H2964">
        <v>10.199999999999999</v>
      </c>
      <c r="I2964">
        <v>21</v>
      </c>
      <c r="J2964">
        <v>13.1</v>
      </c>
      <c r="K2964">
        <v>0</v>
      </c>
      <c r="L2964">
        <v>22</v>
      </c>
      <c r="M2964">
        <v>100</v>
      </c>
      <c r="N2964">
        <v>80</v>
      </c>
    </row>
    <row r="2965" spans="1:14" x14ac:dyDescent="0.25">
      <c r="A2965" t="s">
        <v>344</v>
      </c>
      <c r="B2965" t="s">
        <v>495</v>
      </c>
      <c r="C2965" t="s">
        <v>522</v>
      </c>
      <c r="D2965" t="s">
        <v>523</v>
      </c>
      <c r="E2965">
        <v>2</v>
      </c>
      <c r="F2965">
        <v>8</v>
      </c>
      <c r="G2965">
        <v>300</v>
      </c>
      <c r="H2965">
        <v>10.199999999999999</v>
      </c>
      <c r="I2965">
        <v>21</v>
      </c>
      <c r="J2965">
        <v>13.1</v>
      </c>
      <c r="K2965">
        <v>0</v>
      </c>
      <c r="L2965">
        <v>22</v>
      </c>
      <c r="M2965">
        <v>100</v>
      </c>
      <c r="N2965">
        <v>80</v>
      </c>
    </row>
    <row r="2966" spans="1:14" x14ac:dyDescent="0.25">
      <c r="A2966" t="s">
        <v>344</v>
      </c>
      <c r="B2966" t="s">
        <v>495</v>
      </c>
      <c r="C2966" t="s">
        <v>522</v>
      </c>
      <c r="D2966" t="s">
        <v>523</v>
      </c>
      <c r="E2966">
        <v>2</v>
      </c>
      <c r="F2966">
        <v>8</v>
      </c>
      <c r="G2966">
        <v>320</v>
      </c>
      <c r="H2966">
        <v>10.199999999999999</v>
      </c>
      <c r="I2966">
        <v>21</v>
      </c>
      <c r="J2966">
        <v>13.1</v>
      </c>
      <c r="K2966">
        <v>0</v>
      </c>
      <c r="L2966">
        <v>22</v>
      </c>
      <c r="M2966">
        <v>100</v>
      </c>
      <c r="N2966">
        <v>80</v>
      </c>
    </row>
    <row r="2967" spans="1:14" x14ac:dyDescent="0.25">
      <c r="A2967" t="s">
        <v>344</v>
      </c>
      <c r="B2967" t="s">
        <v>495</v>
      </c>
      <c r="C2967" t="s">
        <v>522</v>
      </c>
      <c r="D2967" t="s">
        <v>523</v>
      </c>
      <c r="E2967">
        <v>2</v>
      </c>
      <c r="F2967">
        <v>8</v>
      </c>
      <c r="G2967">
        <v>340</v>
      </c>
      <c r="H2967">
        <v>10.199999999999999</v>
      </c>
      <c r="I2967">
        <v>21</v>
      </c>
      <c r="J2967">
        <v>13.1</v>
      </c>
      <c r="K2967">
        <v>0</v>
      </c>
      <c r="L2967">
        <v>22</v>
      </c>
      <c r="M2967">
        <v>100</v>
      </c>
      <c r="N2967">
        <v>80</v>
      </c>
    </row>
    <row r="2968" spans="1:14" x14ac:dyDescent="0.25">
      <c r="A2968" t="s">
        <v>344</v>
      </c>
      <c r="B2968" t="s">
        <v>495</v>
      </c>
      <c r="C2968" t="s">
        <v>522</v>
      </c>
      <c r="D2968" t="s">
        <v>523</v>
      </c>
      <c r="E2968">
        <v>2</v>
      </c>
      <c r="F2968">
        <v>8</v>
      </c>
      <c r="G2968">
        <v>360</v>
      </c>
      <c r="H2968">
        <v>10.199999999999999</v>
      </c>
      <c r="I2968">
        <v>21</v>
      </c>
      <c r="J2968">
        <v>13.1</v>
      </c>
      <c r="K2968">
        <v>0</v>
      </c>
      <c r="L2968">
        <v>22</v>
      </c>
      <c r="M2968">
        <v>100</v>
      </c>
      <c r="N2968">
        <v>80</v>
      </c>
    </row>
    <row r="2969" spans="1:14" x14ac:dyDescent="0.25">
      <c r="A2969" t="s">
        <v>344</v>
      </c>
      <c r="B2969" t="s">
        <v>495</v>
      </c>
      <c r="C2969" t="s">
        <v>522</v>
      </c>
      <c r="D2969" t="s">
        <v>523</v>
      </c>
      <c r="E2969">
        <v>2</v>
      </c>
      <c r="F2969">
        <v>8</v>
      </c>
      <c r="G2969">
        <v>400</v>
      </c>
      <c r="H2969">
        <v>10.199999999999999</v>
      </c>
      <c r="I2969">
        <v>21</v>
      </c>
      <c r="J2969">
        <v>13.1</v>
      </c>
      <c r="K2969">
        <v>0</v>
      </c>
      <c r="L2969">
        <v>22</v>
      </c>
      <c r="M2969">
        <v>100</v>
      </c>
      <c r="N2969">
        <v>80</v>
      </c>
    </row>
    <row r="2970" spans="1:14" x14ac:dyDescent="0.25">
      <c r="A2970" t="s">
        <v>344</v>
      </c>
      <c r="B2970" t="s">
        <v>495</v>
      </c>
      <c r="C2970" t="s">
        <v>522</v>
      </c>
      <c r="D2970" t="s">
        <v>523</v>
      </c>
      <c r="E2970">
        <v>2</v>
      </c>
      <c r="F2970">
        <v>8</v>
      </c>
      <c r="G2970">
        <v>450</v>
      </c>
      <c r="H2970">
        <v>10.199999999999999</v>
      </c>
      <c r="I2970">
        <v>21</v>
      </c>
      <c r="J2970">
        <v>13.1</v>
      </c>
      <c r="K2970">
        <v>0</v>
      </c>
      <c r="L2970">
        <v>22</v>
      </c>
      <c r="M2970">
        <v>100</v>
      </c>
      <c r="N2970">
        <v>80</v>
      </c>
    </row>
    <row r="2971" spans="1:14" x14ac:dyDescent="0.25">
      <c r="A2971" t="s">
        <v>344</v>
      </c>
      <c r="B2971" t="s">
        <v>495</v>
      </c>
      <c r="C2971" t="s">
        <v>522</v>
      </c>
      <c r="D2971" t="s">
        <v>523</v>
      </c>
      <c r="E2971">
        <v>2</v>
      </c>
      <c r="F2971">
        <v>8</v>
      </c>
      <c r="G2971">
        <v>480</v>
      </c>
      <c r="H2971">
        <v>10.199999999999999</v>
      </c>
      <c r="I2971">
        <v>21</v>
      </c>
      <c r="J2971">
        <v>13.1</v>
      </c>
      <c r="K2971">
        <v>0</v>
      </c>
      <c r="L2971">
        <v>22</v>
      </c>
      <c r="M2971">
        <v>100</v>
      </c>
      <c r="N2971">
        <v>80</v>
      </c>
    </row>
    <row r="2972" spans="1:14" x14ac:dyDescent="0.25">
      <c r="A2972" t="s">
        <v>344</v>
      </c>
      <c r="B2972" t="s">
        <v>495</v>
      </c>
      <c r="C2972" t="s">
        <v>522</v>
      </c>
      <c r="D2972" t="s">
        <v>523</v>
      </c>
      <c r="E2972">
        <v>2</v>
      </c>
      <c r="F2972">
        <v>8</v>
      </c>
      <c r="G2972">
        <v>520</v>
      </c>
      <c r="H2972">
        <v>10.199999999999999</v>
      </c>
      <c r="I2972">
        <v>21</v>
      </c>
      <c r="J2972">
        <v>13.1</v>
      </c>
      <c r="K2972">
        <v>0</v>
      </c>
      <c r="L2972">
        <v>22</v>
      </c>
      <c r="M2972">
        <v>100</v>
      </c>
      <c r="N2972">
        <v>80</v>
      </c>
    </row>
    <row r="2973" spans="1:14" x14ac:dyDescent="0.25">
      <c r="A2973" t="s">
        <v>344</v>
      </c>
      <c r="B2973" t="s">
        <v>495</v>
      </c>
      <c r="C2973" t="s">
        <v>524</v>
      </c>
      <c r="D2973" t="s">
        <v>239</v>
      </c>
      <c r="E2973">
        <v>2</v>
      </c>
      <c r="F2973">
        <v>8</v>
      </c>
      <c r="G2973">
        <v>155</v>
      </c>
      <c r="H2973">
        <v>12</v>
      </c>
      <c r="I2973">
        <v>22.6</v>
      </c>
      <c r="J2973">
        <v>10.7</v>
      </c>
      <c r="K2973" t="s">
        <v>525</v>
      </c>
      <c r="L2973">
        <v>22.7</v>
      </c>
      <c r="M2973">
        <v>100</v>
      </c>
    </row>
    <row r="2974" spans="1:14" x14ac:dyDescent="0.25">
      <c r="A2974" t="s">
        <v>344</v>
      </c>
      <c r="B2974" t="s">
        <v>495</v>
      </c>
      <c r="C2974" t="s">
        <v>524</v>
      </c>
      <c r="D2974" t="s">
        <v>239</v>
      </c>
      <c r="E2974">
        <v>2</v>
      </c>
      <c r="F2974">
        <v>8</v>
      </c>
      <c r="G2974">
        <v>205</v>
      </c>
      <c r="H2974">
        <v>12</v>
      </c>
      <c r="I2974">
        <v>22.6</v>
      </c>
      <c r="J2974">
        <v>10.7</v>
      </c>
      <c r="K2974" t="s">
        <v>525</v>
      </c>
      <c r="L2974">
        <v>22.7</v>
      </c>
      <c r="M2974">
        <v>130</v>
      </c>
    </row>
  </sheetData>
  <autoFilter ref="A1:N2974" xr:uid="{00000000-0001-0000-0000-000000000000}"/>
  <conditionalFormatting sqref="A1:A692 A693:B859 A860:C868 A869:B869 B870:B881 A870:A2388 A2975:A1048576">
    <cfRule type="cellIs" dxfId="3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B2AF-29A0-4537-BFDA-C004FE10CBE1}">
  <sheetPr>
    <tabColor rgb="FF92D050"/>
  </sheetPr>
  <dimension ref="A1:G34"/>
  <sheetViews>
    <sheetView tabSelected="1" workbookViewId="0">
      <selection activeCell="G38" sqref="G38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424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  <row r="31" spans="1:7" x14ac:dyDescent="0.25">
      <c r="A31" t="s">
        <v>495</v>
      </c>
      <c r="B31" t="s">
        <v>526</v>
      </c>
      <c r="C31" t="s">
        <v>196</v>
      </c>
      <c r="D31">
        <v>6</v>
      </c>
      <c r="E31">
        <v>7.5</v>
      </c>
      <c r="F31">
        <v>20</v>
      </c>
      <c r="G31">
        <v>4</v>
      </c>
    </row>
    <row r="32" spans="1:7" x14ac:dyDescent="0.25">
      <c r="A32" t="s">
        <v>495</v>
      </c>
      <c r="B32" t="s">
        <v>526</v>
      </c>
      <c r="C32" t="s">
        <v>196</v>
      </c>
      <c r="D32">
        <v>8</v>
      </c>
      <c r="E32">
        <v>8.5</v>
      </c>
      <c r="F32">
        <v>25</v>
      </c>
      <c r="G32">
        <v>5</v>
      </c>
    </row>
    <row r="33" spans="1:7" x14ac:dyDescent="0.25">
      <c r="A33" t="s">
        <v>495</v>
      </c>
      <c r="B33" t="s">
        <v>526</v>
      </c>
      <c r="C33" t="s">
        <v>196</v>
      </c>
      <c r="D33">
        <v>10</v>
      </c>
      <c r="E33">
        <v>11</v>
      </c>
      <c r="F33">
        <v>32</v>
      </c>
      <c r="G33">
        <v>6</v>
      </c>
    </row>
    <row r="34" spans="1:7" x14ac:dyDescent="0.25">
      <c r="A34" t="s">
        <v>495</v>
      </c>
      <c r="B34" t="s">
        <v>526</v>
      </c>
      <c r="C34" t="s">
        <v>196</v>
      </c>
      <c r="D34">
        <v>12</v>
      </c>
      <c r="E34">
        <v>14</v>
      </c>
      <c r="F34">
        <v>37</v>
      </c>
      <c r="G34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F35" sqref="F35"/>
    </sheetView>
  </sheetViews>
  <sheetFormatPr baseColWidth="10" defaultRowHeight="15" x14ac:dyDescent="0.25"/>
  <sheetData>
    <row r="1" spans="1:13" x14ac:dyDescent="0.25">
      <c r="A1" s="60" t="s">
        <v>380</v>
      </c>
      <c r="B1" s="60" t="s">
        <v>381</v>
      </c>
      <c r="C1" s="61" t="s">
        <v>382</v>
      </c>
      <c r="D1" s="61" t="s">
        <v>383</v>
      </c>
      <c r="E1" s="61" t="s">
        <v>384</v>
      </c>
      <c r="F1" s="61" t="s">
        <v>385</v>
      </c>
      <c r="G1" s="61" t="s">
        <v>386</v>
      </c>
      <c r="H1" s="61" t="s">
        <v>387</v>
      </c>
      <c r="I1" s="61" t="s">
        <v>388</v>
      </c>
      <c r="J1" s="61" t="s">
        <v>389</v>
      </c>
      <c r="K1" s="61" t="s">
        <v>390</v>
      </c>
      <c r="L1" s="61" t="s">
        <v>391</v>
      </c>
      <c r="M1" s="61" t="s">
        <v>392</v>
      </c>
    </row>
    <row r="2" spans="1:13" x14ac:dyDescent="0.25">
      <c r="A2" s="62" t="s">
        <v>393</v>
      </c>
      <c r="C2" s="63">
        <v>400</v>
      </c>
      <c r="D2" s="63">
        <v>400</v>
      </c>
      <c r="E2" s="63">
        <v>500</v>
      </c>
      <c r="F2" s="63">
        <v>500</v>
      </c>
      <c r="G2" s="63">
        <v>600</v>
      </c>
      <c r="H2" s="63">
        <v>800</v>
      </c>
      <c r="I2" s="63">
        <v>1000</v>
      </c>
      <c r="J2" s="64">
        <v>500</v>
      </c>
      <c r="K2" s="64">
        <v>600</v>
      </c>
      <c r="L2" s="64">
        <v>800</v>
      </c>
      <c r="M2" s="65">
        <v>1000</v>
      </c>
    </row>
    <row r="3" spans="1:13" x14ac:dyDescent="0.25">
      <c r="A3" s="62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6">
        <v>500</v>
      </c>
      <c r="K3" s="66">
        <v>700</v>
      </c>
      <c r="L3" s="66">
        <v>800</v>
      </c>
      <c r="M3" s="66">
        <v>1000</v>
      </c>
    </row>
    <row r="4" spans="1:13" x14ac:dyDescent="0.25">
      <c r="A4" s="62" t="s">
        <v>419</v>
      </c>
      <c r="B4" s="67">
        <v>14.2</v>
      </c>
      <c r="C4" s="70">
        <f>$B$4*C3/1000</f>
        <v>5.68</v>
      </c>
      <c r="D4" s="70">
        <f t="shared" ref="D4:M4" si="0">$B$4*D3/1000</f>
        <v>5.9640000000000004</v>
      </c>
      <c r="E4" s="70">
        <f t="shared" si="0"/>
        <v>7.1</v>
      </c>
      <c r="F4" s="70">
        <f t="shared" si="0"/>
        <v>7.3840000000000003</v>
      </c>
      <c r="G4" s="70">
        <f t="shared" si="0"/>
        <v>8.52</v>
      </c>
      <c r="H4" s="70">
        <f t="shared" si="0"/>
        <v>11.786</v>
      </c>
      <c r="I4" s="70">
        <f t="shared" si="0"/>
        <v>14.768000000000001</v>
      </c>
      <c r="J4" s="70">
        <f t="shared" si="0"/>
        <v>7.1</v>
      </c>
      <c r="K4" s="70">
        <f t="shared" si="0"/>
        <v>9.94</v>
      </c>
      <c r="L4" s="70">
        <f t="shared" si="0"/>
        <v>11.36</v>
      </c>
      <c r="M4" s="70">
        <f t="shared" si="0"/>
        <v>14.2</v>
      </c>
    </row>
    <row r="5" spans="1:13" x14ac:dyDescent="0.25">
      <c r="A5" s="62" t="s">
        <v>418</v>
      </c>
      <c r="B5" s="67">
        <v>20.100000000000001</v>
      </c>
      <c r="C5" s="70">
        <f>$B$5*C3/1000</f>
        <v>8.0400000000000009</v>
      </c>
      <c r="D5" s="70">
        <f t="shared" ref="D5:M5" si="1">$B$5*D3/1000</f>
        <v>8.4420000000000002</v>
      </c>
      <c r="E5" s="70">
        <f t="shared" si="1"/>
        <v>10.050000000000001</v>
      </c>
      <c r="F5" s="70">
        <f t="shared" si="1"/>
        <v>10.452</v>
      </c>
      <c r="G5" s="70">
        <f t="shared" si="1"/>
        <v>12.06</v>
      </c>
      <c r="H5" s="70">
        <f t="shared" si="1"/>
        <v>16.683</v>
      </c>
      <c r="I5" s="70">
        <f t="shared" si="1"/>
        <v>20.904</v>
      </c>
      <c r="J5" s="70">
        <f t="shared" si="1"/>
        <v>10.050000000000001</v>
      </c>
      <c r="K5" s="70">
        <f t="shared" si="1"/>
        <v>14.070000000000002</v>
      </c>
      <c r="L5" s="70">
        <f t="shared" si="1"/>
        <v>16.080000000000002</v>
      </c>
      <c r="M5" s="70">
        <f t="shared" si="1"/>
        <v>20.100000000000001</v>
      </c>
    </row>
    <row r="6" spans="1:13" x14ac:dyDescent="0.25">
      <c r="A6" s="62" t="s">
        <v>417</v>
      </c>
      <c r="B6" s="67">
        <v>28.9</v>
      </c>
      <c r="C6" s="70">
        <f>$B$6*C3/1000</f>
        <v>11.56</v>
      </c>
      <c r="D6" s="70">
        <f t="shared" ref="D6:M6" si="2">$B$6*D3/1000</f>
        <v>12.138</v>
      </c>
      <c r="E6" s="70">
        <f t="shared" si="2"/>
        <v>14.45</v>
      </c>
      <c r="F6" s="70">
        <f t="shared" si="2"/>
        <v>15.028</v>
      </c>
      <c r="G6" s="70">
        <f t="shared" si="2"/>
        <v>17.34</v>
      </c>
      <c r="H6" s="70">
        <f t="shared" si="2"/>
        <v>23.986999999999998</v>
      </c>
      <c r="I6" s="70">
        <f t="shared" si="2"/>
        <v>30.056000000000001</v>
      </c>
      <c r="J6" s="70">
        <f t="shared" si="2"/>
        <v>14.45</v>
      </c>
      <c r="K6" s="70">
        <f t="shared" si="2"/>
        <v>20.23</v>
      </c>
      <c r="L6" s="70">
        <f t="shared" si="2"/>
        <v>23.12</v>
      </c>
      <c r="M6" s="70">
        <f t="shared" si="2"/>
        <v>28.9</v>
      </c>
    </row>
    <row r="7" spans="1:13" x14ac:dyDescent="0.25">
      <c r="A7" s="62" t="s">
        <v>416</v>
      </c>
      <c r="B7" s="67">
        <v>36.6</v>
      </c>
      <c r="C7" s="70">
        <f>$B$7*C3/1000</f>
        <v>14.64</v>
      </c>
      <c r="D7" s="70">
        <f t="shared" ref="D7:M7" si="3">$B$7*D3/1000</f>
        <v>15.372</v>
      </c>
      <c r="E7" s="70">
        <f t="shared" si="3"/>
        <v>18.3</v>
      </c>
      <c r="F7" s="70">
        <f t="shared" si="3"/>
        <v>19.032</v>
      </c>
      <c r="G7" s="70">
        <f t="shared" si="3"/>
        <v>21.96</v>
      </c>
      <c r="H7" s="70">
        <f t="shared" si="3"/>
        <v>30.378</v>
      </c>
      <c r="I7" s="70">
        <f t="shared" si="3"/>
        <v>38.064</v>
      </c>
      <c r="J7" s="70">
        <f t="shared" si="3"/>
        <v>18.3</v>
      </c>
      <c r="K7" s="70">
        <f t="shared" si="3"/>
        <v>25.62</v>
      </c>
      <c r="L7" s="70">
        <f t="shared" si="3"/>
        <v>29.28</v>
      </c>
      <c r="M7" s="70">
        <f t="shared" si="3"/>
        <v>36.6</v>
      </c>
    </row>
    <row r="8" spans="1:13" x14ac:dyDescent="0.25">
      <c r="A8" s="62" t="s">
        <v>415</v>
      </c>
      <c r="B8" s="67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2" t="s">
        <v>395</v>
      </c>
      <c r="B9" s="67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2" t="s">
        <v>396</v>
      </c>
      <c r="B10" s="67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2" t="s">
        <v>397</v>
      </c>
      <c r="B11" s="67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2" t="s">
        <v>398</v>
      </c>
      <c r="B12" s="67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2" t="s">
        <v>399</v>
      </c>
      <c r="B13" s="67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2" t="s">
        <v>400</v>
      </c>
      <c r="B14" s="67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2" t="s">
        <v>401</v>
      </c>
      <c r="B15" s="67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2" t="s">
        <v>402</v>
      </c>
      <c r="B16" s="67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2" t="s">
        <v>403</v>
      </c>
      <c r="B17" s="67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2" t="s">
        <v>404</v>
      </c>
      <c r="B18" s="67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2" t="s">
        <v>405</v>
      </c>
      <c r="B19" s="67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sheetPr>
    <tabColor theme="7" tint="0.79998168889431442"/>
  </sheetPr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6" customFormat="1" ht="39" customHeight="1" x14ac:dyDescent="0.25">
      <c r="A1" s="76" t="s">
        <v>424</v>
      </c>
      <c r="B1" s="76" t="s">
        <v>468</v>
      </c>
      <c r="C1" s="76" t="s">
        <v>470</v>
      </c>
      <c r="D1" s="76" t="s">
        <v>232</v>
      </c>
      <c r="E1" s="76" t="s">
        <v>18</v>
      </c>
      <c r="F1" s="76" t="s">
        <v>20</v>
      </c>
      <c r="G1" s="76" t="s">
        <v>22</v>
      </c>
      <c r="H1" s="76" t="s">
        <v>215</v>
      </c>
      <c r="I1" s="76" t="s">
        <v>214</v>
      </c>
      <c r="J1" s="76" t="s">
        <v>171</v>
      </c>
      <c r="K1" s="76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4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4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4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4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4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4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4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4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4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4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4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4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4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4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4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4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4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4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4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4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4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4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4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4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4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4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4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4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4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4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4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4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4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4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4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4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4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4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4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4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4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4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4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4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4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4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4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4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4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4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4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4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4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4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4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4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4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4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4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4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4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4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4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4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4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4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4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4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4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4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4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4">
        <v>137.80000000000001</v>
      </c>
    </row>
    <row r="156" spans="1:24" x14ac:dyDescent="0.25">
      <c r="J156" s="74"/>
      <c r="K156" s="74"/>
      <c r="L156" s="74"/>
      <c r="M156" s="75"/>
      <c r="N156" s="75"/>
      <c r="O156" s="74"/>
      <c r="P156" s="74"/>
      <c r="Q156" s="74"/>
      <c r="R156" s="75"/>
      <c r="S156" s="75"/>
      <c r="T156" s="75"/>
      <c r="U156" s="75"/>
      <c r="V156" s="74"/>
      <c r="W156" s="74"/>
      <c r="X156" s="74"/>
    </row>
  </sheetData>
  <autoFilter ref="A1:H1" xr:uid="{00000000-0001-0000-0900-000000000000}"/>
  <phoneticPr fontId="4" type="noConversion"/>
  <conditionalFormatting sqref="J156">
    <cfRule type="cellIs" dxfId="2" priority="1" operator="equal">
      <formula>"Spiker"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285"/>
  <sheetViews>
    <sheetView workbookViewId="0">
      <pane ySplit="1" topLeftCell="A104" activePane="bottomLeft" state="frozen"/>
      <selection pane="bottomLeft" activeCell="L285" sqref="A126:L28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4" t="s">
        <v>424</v>
      </c>
      <c r="B1" s="74" t="s">
        <v>468</v>
      </c>
      <c r="C1" s="75" t="s">
        <v>469</v>
      </c>
      <c r="D1" s="75" t="s">
        <v>232</v>
      </c>
      <c r="E1" s="74" t="s">
        <v>18</v>
      </c>
      <c r="F1" s="74" t="s">
        <v>20</v>
      </c>
      <c r="G1" s="74" t="s">
        <v>22</v>
      </c>
      <c r="H1" s="75" t="s">
        <v>215</v>
      </c>
      <c r="I1" s="75" t="s">
        <v>214</v>
      </c>
      <c r="J1" s="75" t="s">
        <v>171</v>
      </c>
      <c r="K1" s="75" t="s">
        <v>172</v>
      </c>
      <c r="L1" s="74" t="s">
        <v>325</v>
      </c>
      <c r="M1" s="74" t="s">
        <v>326</v>
      </c>
      <c r="N1" s="74" t="s">
        <v>414</v>
      </c>
      <c r="O1" s="74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7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5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8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2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78" t="s">
        <v>485</v>
      </c>
      <c r="C52" s="78" t="s">
        <v>479</v>
      </c>
      <c r="D52" s="78">
        <v>2</v>
      </c>
      <c r="E52" s="78">
        <v>10</v>
      </c>
      <c r="F52" s="78">
        <v>600</v>
      </c>
      <c r="G52" s="78">
        <v>17.8</v>
      </c>
      <c r="H52" s="78">
        <v>40</v>
      </c>
      <c r="I52" s="78">
        <v>10.8</v>
      </c>
      <c r="J52" s="78">
        <v>12</v>
      </c>
      <c r="K52" s="78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78" t="s">
        <v>486</v>
      </c>
      <c r="C67" s="78" t="s">
        <v>479</v>
      </c>
      <c r="D67" s="78">
        <v>2</v>
      </c>
      <c r="E67" s="78">
        <v>11.3</v>
      </c>
      <c r="F67" s="78">
        <v>1000</v>
      </c>
      <c r="G67" s="78">
        <v>13</v>
      </c>
      <c r="H67" s="78">
        <v>70</v>
      </c>
      <c r="I67" s="78">
        <v>10.8</v>
      </c>
      <c r="J67" s="78">
        <v>12</v>
      </c>
      <c r="K67" s="78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2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78" t="s">
        <v>472</v>
      </c>
      <c r="D82" s="78">
        <v>3</v>
      </c>
      <c r="E82" s="78">
        <v>10</v>
      </c>
      <c r="F82" s="78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5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4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  <row r="126" spans="1:13" x14ac:dyDescent="0.25">
      <c r="A126" t="s">
        <v>482</v>
      </c>
      <c r="B126" t="s">
        <v>488</v>
      </c>
      <c r="C126" t="s">
        <v>487</v>
      </c>
      <c r="D126">
        <v>2</v>
      </c>
      <c r="E126">
        <v>3.5</v>
      </c>
      <c r="F126">
        <v>30</v>
      </c>
      <c r="G126">
        <v>7</v>
      </c>
      <c r="H126">
        <v>2.2999999999999998</v>
      </c>
      <c r="I126">
        <v>13.3</v>
      </c>
      <c r="J126">
        <v>12</v>
      </c>
      <c r="K126">
        <v>3.8</v>
      </c>
      <c r="L126">
        <v>18</v>
      </c>
    </row>
    <row r="127" spans="1:13" x14ac:dyDescent="0.25">
      <c r="A127" t="s">
        <v>482</v>
      </c>
      <c r="B127" t="s">
        <v>488</v>
      </c>
      <c r="C127" t="s">
        <v>487</v>
      </c>
      <c r="D127">
        <v>2</v>
      </c>
      <c r="E127">
        <v>3.5</v>
      </c>
      <c r="F127">
        <v>35</v>
      </c>
      <c r="G127">
        <v>7</v>
      </c>
      <c r="H127">
        <v>2.2999999999999998</v>
      </c>
      <c r="I127">
        <v>13.3</v>
      </c>
      <c r="J127">
        <v>12</v>
      </c>
      <c r="K127">
        <v>3.8</v>
      </c>
      <c r="L127">
        <v>21</v>
      </c>
    </row>
    <row r="128" spans="1:13" x14ac:dyDescent="0.25">
      <c r="A128" t="s">
        <v>482</v>
      </c>
      <c r="B128" t="s">
        <v>488</v>
      </c>
      <c r="C128" t="s">
        <v>487</v>
      </c>
      <c r="D128">
        <v>2</v>
      </c>
      <c r="E128">
        <v>3.5</v>
      </c>
      <c r="F128">
        <v>40</v>
      </c>
      <c r="G128">
        <v>7</v>
      </c>
      <c r="H128">
        <v>2.2999999999999998</v>
      </c>
      <c r="I128">
        <v>13.3</v>
      </c>
      <c r="J128">
        <v>12</v>
      </c>
      <c r="K128">
        <v>3.8</v>
      </c>
      <c r="L128">
        <v>24</v>
      </c>
    </row>
    <row r="129" spans="1:12" x14ac:dyDescent="0.25">
      <c r="A129" t="s">
        <v>482</v>
      </c>
      <c r="B129" t="s">
        <v>488</v>
      </c>
      <c r="C129" t="s">
        <v>487</v>
      </c>
      <c r="D129">
        <v>2</v>
      </c>
      <c r="E129">
        <v>3.5</v>
      </c>
      <c r="F129">
        <v>45</v>
      </c>
      <c r="G129">
        <v>7</v>
      </c>
      <c r="H129">
        <v>2.2999999999999998</v>
      </c>
      <c r="I129">
        <v>13.3</v>
      </c>
      <c r="J129">
        <v>12</v>
      </c>
      <c r="K129">
        <v>3.8</v>
      </c>
      <c r="L129">
        <v>27</v>
      </c>
    </row>
    <row r="130" spans="1:12" x14ac:dyDescent="0.25">
      <c r="A130" t="s">
        <v>482</v>
      </c>
      <c r="B130" t="s">
        <v>488</v>
      </c>
      <c r="C130" t="s">
        <v>487</v>
      </c>
      <c r="D130">
        <v>2</v>
      </c>
      <c r="E130">
        <v>3.5</v>
      </c>
      <c r="F130">
        <v>50</v>
      </c>
      <c r="G130">
        <v>7</v>
      </c>
      <c r="H130">
        <v>2.2999999999999998</v>
      </c>
      <c r="I130">
        <v>13.3</v>
      </c>
      <c r="J130">
        <v>12</v>
      </c>
      <c r="K130">
        <v>3.8</v>
      </c>
      <c r="L130">
        <v>30</v>
      </c>
    </row>
    <row r="131" spans="1:12" x14ac:dyDescent="0.25">
      <c r="A131" t="s">
        <v>482</v>
      </c>
      <c r="B131" t="s">
        <v>488</v>
      </c>
      <c r="C131" t="s">
        <v>487</v>
      </c>
      <c r="D131">
        <v>2</v>
      </c>
      <c r="E131">
        <v>4</v>
      </c>
      <c r="F131">
        <v>30</v>
      </c>
      <c r="G131">
        <v>8</v>
      </c>
      <c r="H131">
        <v>3.3</v>
      </c>
      <c r="I131">
        <v>12.9</v>
      </c>
      <c r="J131">
        <v>12</v>
      </c>
      <c r="K131">
        <v>5</v>
      </c>
      <c r="L131">
        <v>18</v>
      </c>
    </row>
    <row r="132" spans="1:12" x14ac:dyDescent="0.25">
      <c r="A132" t="s">
        <v>482</v>
      </c>
      <c r="B132" t="s">
        <v>488</v>
      </c>
      <c r="C132" t="s">
        <v>487</v>
      </c>
      <c r="D132">
        <v>2</v>
      </c>
      <c r="E132">
        <v>4</v>
      </c>
      <c r="F132">
        <v>35</v>
      </c>
      <c r="G132">
        <v>8</v>
      </c>
      <c r="H132">
        <v>3.3</v>
      </c>
      <c r="I132">
        <v>12.9</v>
      </c>
      <c r="J132">
        <v>12</v>
      </c>
      <c r="K132">
        <v>5</v>
      </c>
      <c r="L132">
        <v>21</v>
      </c>
    </row>
    <row r="133" spans="1:12" x14ac:dyDescent="0.25">
      <c r="A133" t="s">
        <v>482</v>
      </c>
      <c r="B133" t="s">
        <v>488</v>
      </c>
      <c r="C133" t="s">
        <v>487</v>
      </c>
      <c r="D133">
        <v>2</v>
      </c>
      <c r="E133">
        <v>4</v>
      </c>
      <c r="F133">
        <v>40</v>
      </c>
      <c r="G133">
        <v>8</v>
      </c>
      <c r="H133">
        <v>3.3</v>
      </c>
      <c r="I133">
        <v>12.9</v>
      </c>
      <c r="J133">
        <v>12</v>
      </c>
      <c r="K133">
        <v>5</v>
      </c>
      <c r="L133">
        <v>24</v>
      </c>
    </row>
    <row r="134" spans="1:12" x14ac:dyDescent="0.25">
      <c r="A134" t="s">
        <v>482</v>
      </c>
      <c r="B134" t="s">
        <v>488</v>
      </c>
      <c r="C134" t="s">
        <v>487</v>
      </c>
      <c r="D134">
        <v>2</v>
      </c>
      <c r="E134">
        <v>4</v>
      </c>
      <c r="F134">
        <v>45</v>
      </c>
      <c r="G134">
        <v>8</v>
      </c>
      <c r="H134">
        <v>3.3</v>
      </c>
      <c r="I134">
        <v>12.9</v>
      </c>
      <c r="J134">
        <v>12</v>
      </c>
      <c r="K134">
        <v>5</v>
      </c>
      <c r="L134">
        <v>27</v>
      </c>
    </row>
    <row r="135" spans="1:12" x14ac:dyDescent="0.25">
      <c r="A135" t="s">
        <v>482</v>
      </c>
      <c r="B135" t="s">
        <v>488</v>
      </c>
      <c r="C135" t="s">
        <v>487</v>
      </c>
      <c r="D135">
        <v>2</v>
      </c>
      <c r="E135">
        <v>4</v>
      </c>
      <c r="F135">
        <v>50</v>
      </c>
      <c r="G135">
        <v>8</v>
      </c>
      <c r="H135">
        <v>3.3</v>
      </c>
      <c r="I135">
        <v>12.9</v>
      </c>
      <c r="J135">
        <v>12</v>
      </c>
      <c r="K135">
        <v>5</v>
      </c>
      <c r="L135">
        <v>30</v>
      </c>
    </row>
    <row r="136" spans="1:12" x14ac:dyDescent="0.25">
      <c r="A136" t="s">
        <v>482</v>
      </c>
      <c r="B136" t="s">
        <v>488</v>
      </c>
      <c r="C136" t="s">
        <v>487</v>
      </c>
      <c r="D136">
        <v>2</v>
      </c>
      <c r="E136">
        <v>4</v>
      </c>
      <c r="F136">
        <v>60</v>
      </c>
      <c r="G136">
        <v>8</v>
      </c>
      <c r="H136">
        <v>3.3</v>
      </c>
      <c r="I136">
        <v>12.9</v>
      </c>
      <c r="J136">
        <v>12</v>
      </c>
      <c r="K136">
        <v>5</v>
      </c>
      <c r="L136">
        <v>36</v>
      </c>
    </row>
    <row r="137" spans="1:12" x14ac:dyDescent="0.25">
      <c r="A137" t="s">
        <v>482</v>
      </c>
      <c r="B137" t="s">
        <v>488</v>
      </c>
      <c r="C137" t="s">
        <v>487</v>
      </c>
      <c r="D137">
        <v>2</v>
      </c>
      <c r="E137">
        <v>4</v>
      </c>
      <c r="F137">
        <v>70</v>
      </c>
      <c r="G137">
        <v>8</v>
      </c>
      <c r="H137">
        <v>3.3</v>
      </c>
      <c r="I137">
        <v>12.9</v>
      </c>
      <c r="J137">
        <v>12</v>
      </c>
      <c r="K137">
        <v>5</v>
      </c>
      <c r="L137">
        <v>42</v>
      </c>
    </row>
    <row r="138" spans="1:12" x14ac:dyDescent="0.25">
      <c r="A138" t="s">
        <v>482</v>
      </c>
      <c r="B138" t="s">
        <v>488</v>
      </c>
      <c r="C138" t="s">
        <v>487</v>
      </c>
      <c r="D138">
        <v>2</v>
      </c>
      <c r="E138">
        <v>4</v>
      </c>
      <c r="F138">
        <v>80</v>
      </c>
      <c r="G138">
        <v>8</v>
      </c>
      <c r="H138">
        <v>3.3</v>
      </c>
      <c r="I138">
        <v>12.9</v>
      </c>
      <c r="J138">
        <v>12</v>
      </c>
      <c r="K138">
        <v>5</v>
      </c>
      <c r="L138">
        <v>48</v>
      </c>
    </row>
    <row r="139" spans="1:12" x14ac:dyDescent="0.25">
      <c r="A139" t="s">
        <v>482</v>
      </c>
      <c r="B139" t="s">
        <v>488</v>
      </c>
      <c r="C139" t="s">
        <v>487</v>
      </c>
      <c r="D139">
        <v>2</v>
      </c>
      <c r="E139">
        <v>4.5</v>
      </c>
      <c r="F139">
        <v>40</v>
      </c>
      <c r="G139">
        <v>9</v>
      </c>
      <c r="H139">
        <v>4.5</v>
      </c>
      <c r="I139">
        <v>12.5</v>
      </c>
      <c r="J139">
        <v>12</v>
      </c>
      <c r="K139">
        <v>6.4</v>
      </c>
      <c r="L139">
        <v>24</v>
      </c>
    </row>
    <row r="140" spans="1:12" x14ac:dyDescent="0.25">
      <c r="A140" t="s">
        <v>482</v>
      </c>
      <c r="B140" t="s">
        <v>488</v>
      </c>
      <c r="C140" t="s">
        <v>487</v>
      </c>
      <c r="D140">
        <v>2</v>
      </c>
      <c r="E140">
        <v>4.5</v>
      </c>
      <c r="F140">
        <v>45</v>
      </c>
      <c r="G140">
        <v>9</v>
      </c>
      <c r="H140">
        <v>4.5</v>
      </c>
      <c r="I140">
        <v>12.5</v>
      </c>
      <c r="J140">
        <v>12</v>
      </c>
      <c r="K140">
        <v>6.4</v>
      </c>
      <c r="L140">
        <v>27</v>
      </c>
    </row>
    <row r="141" spans="1:12" x14ac:dyDescent="0.25">
      <c r="A141" t="s">
        <v>482</v>
      </c>
      <c r="B141" t="s">
        <v>488</v>
      </c>
      <c r="C141" t="s">
        <v>487</v>
      </c>
      <c r="D141">
        <v>2</v>
      </c>
      <c r="E141">
        <v>4.5</v>
      </c>
      <c r="F141">
        <v>50</v>
      </c>
      <c r="G141">
        <v>9</v>
      </c>
      <c r="H141">
        <v>4.5</v>
      </c>
      <c r="I141">
        <v>12.5</v>
      </c>
      <c r="J141">
        <v>12</v>
      </c>
      <c r="K141">
        <v>6.4</v>
      </c>
      <c r="L141">
        <v>30</v>
      </c>
    </row>
    <row r="142" spans="1:12" x14ac:dyDescent="0.25">
      <c r="A142" t="s">
        <v>482</v>
      </c>
      <c r="B142" t="s">
        <v>488</v>
      </c>
      <c r="C142" t="s">
        <v>487</v>
      </c>
      <c r="D142">
        <v>2</v>
      </c>
      <c r="E142">
        <v>4.5</v>
      </c>
      <c r="F142">
        <v>60</v>
      </c>
      <c r="G142">
        <v>9</v>
      </c>
      <c r="H142">
        <v>4.5</v>
      </c>
      <c r="I142">
        <v>12.5</v>
      </c>
      <c r="J142">
        <v>12</v>
      </c>
      <c r="K142">
        <v>6.4</v>
      </c>
      <c r="L142">
        <v>36</v>
      </c>
    </row>
    <row r="143" spans="1:12" x14ac:dyDescent="0.25">
      <c r="A143" t="s">
        <v>482</v>
      </c>
      <c r="B143" t="s">
        <v>488</v>
      </c>
      <c r="C143" t="s">
        <v>487</v>
      </c>
      <c r="D143">
        <v>2</v>
      </c>
      <c r="E143">
        <v>4.5</v>
      </c>
      <c r="F143">
        <v>70</v>
      </c>
      <c r="G143">
        <v>9</v>
      </c>
      <c r="H143">
        <v>4.5</v>
      </c>
      <c r="I143">
        <v>12.5</v>
      </c>
      <c r="J143">
        <v>12</v>
      </c>
      <c r="K143">
        <v>6.4</v>
      </c>
      <c r="L143">
        <v>42</v>
      </c>
    </row>
    <row r="144" spans="1:12" x14ac:dyDescent="0.25">
      <c r="A144" t="s">
        <v>482</v>
      </c>
      <c r="B144" t="s">
        <v>488</v>
      </c>
      <c r="C144" t="s">
        <v>487</v>
      </c>
      <c r="D144">
        <v>2</v>
      </c>
      <c r="E144">
        <v>4.5</v>
      </c>
      <c r="F144">
        <v>80</v>
      </c>
      <c r="G144">
        <v>9</v>
      </c>
      <c r="H144">
        <v>4.5</v>
      </c>
      <c r="I144">
        <v>12.5</v>
      </c>
      <c r="J144">
        <v>12</v>
      </c>
      <c r="K144">
        <v>6.4</v>
      </c>
      <c r="L144">
        <v>48</v>
      </c>
    </row>
    <row r="145" spans="1:12" x14ac:dyDescent="0.25">
      <c r="A145" t="s">
        <v>482</v>
      </c>
      <c r="B145" t="s">
        <v>488</v>
      </c>
      <c r="C145" t="s">
        <v>487</v>
      </c>
      <c r="D145">
        <v>2</v>
      </c>
      <c r="E145">
        <v>5</v>
      </c>
      <c r="F145">
        <v>40</v>
      </c>
      <c r="G145">
        <v>10</v>
      </c>
      <c r="H145">
        <v>5.9</v>
      </c>
      <c r="I145">
        <v>12.1</v>
      </c>
      <c r="J145">
        <v>12</v>
      </c>
      <c r="K145">
        <v>7.9</v>
      </c>
      <c r="L145">
        <v>24</v>
      </c>
    </row>
    <row r="146" spans="1:12" x14ac:dyDescent="0.25">
      <c r="A146" t="s">
        <v>482</v>
      </c>
      <c r="B146" t="s">
        <v>488</v>
      </c>
      <c r="C146" t="s">
        <v>487</v>
      </c>
      <c r="D146">
        <v>2</v>
      </c>
      <c r="E146">
        <v>5</v>
      </c>
      <c r="F146">
        <v>45</v>
      </c>
      <c r="G146">
        <v>10</v>
      </c>
      <c r="H146">
        <v>5.9</v>
      </c>
      <c r="I146">
        <v>12.1</v>
      </c>
      <c r="J146">
        <v>12</v>
      </c>
      <c r="K146">
        <v>7.9</v>
      </c>
      <c r="L146">
        <v>27</v>
      </c>
    </row>
    <row r="147" spans="1:12" x14ac:dyDescent="0.25">
      <c r="A147" t="s">
        <v>482</v>
      </c>
      <c r="B147" t="s">
        <v>488</v>
      </c>
      <c r="C147" t="s">
        <v>487</v>
      </c>
      <c r="D147">
        <v>2</v>
      </c>
      <c r="E147">
        <v>5</v>
      </c>
      <c r="F147">
        <v>50</v>
      </c>
      <c r="G147">
        <v>10</v>
      </c>
      <c r="H147">
        <v>5.9</v>
      </c>
      <c r="I147">
        <v>12.1</v>
      </c>
      <c r="J147">
        <v>12</v>
      </c>
      <c r="K147">
        <v>7.9</v>
      </c>
      <c r="L147">
        <v>30</v>
      </c>
    </row>
    <row r="148" spans="1:12" x14ac:dyDescent="0.25">
      <c r="A148" t="s">
        <v>482</v>
      </c>
      <c r="B148" t="s">
        <v>488</v>
      </c>
      <c r="C148" t="s">
        <v>487</v>
      </c>
      <c r="D148">
        <v>2</v>
      </c>
      <c r="E148">
        <v>5</v>
      </c>
      <c r="F148">
        <v>60</v>
      </c>
      <c r="G148">
        <v>10</v>
      </c>
      <c r="H148">
        <v>5.9</v>
      </c>
      <c r="I148">
        <v>12.1</v>
      </c>
      <c r="J148">
        <v>12</v>
      </c>
      <c r="K148">
        <v>7.9</v>
      </c>
      <c r="L148">
        <v>36</v>
      </c>
    </row>
    <row r="149" spans="1:12" x14ac:dyDescent="0.25">
      <c r="A149" t="s">
        <v>482</v>
      </c>
      <c r="B149" t="s">
        <v>488</v>
      </c>
      <c r="C149" t="s">
        <v>487</v>
      </c>
      <c r="D149">
        <v>2</v>
      </c>
      <c r="E149">
        <v>5</v>
      </c>
      <c r="F149">
        <v>70</v>
      </c>
      <c r="G149">
        <v>10</v>
      </c>
      <c r="H149">
        <v>5.9</v>
      </c>
      <c r="I149">
        <v>12.1</v>
      </c>
      <c r="J149">
        <v>12</v>
      </c>
      <c r="K149">
        <v>7.9</v>
      </c>
      <c r="L149">
        <v>42</v>
      </c>
    </row>
    <row r="150" spans="1:12" x14ac:dyDescent="0.25">
      <c r="A150" t="s">
        <v>482</v>
      </c>
      <c r="B150" t="s">
        <v>488</v>
      </c>
      <c r="C150" t="s">
        <v>487</v>
      </c>
      <c r="D150">
        <v>2</v>
      </c>
      <c r="E150">
        <v>5</v>
      </c>
      <c r="F150">
        <v>80</v>
      </c>
      <c r="G150">
        <v>10</v>
      </c>
      <c r="H150">
        <v>5.9</v>
      </c>
      <c r="I150">
        <v>12.1</v>
      </c>
      <c r="J150">
        <v>12</v>
      </c>
      <c r="K150">
        <v>7.9</v>
      </c>
      <c r="L150">
        <v>48</v>
      </c>
    </row>
    <row r="151" spans="1:12" x14ac:dyDescent="0.25">
      <c r="A151" t="s">
        <v>482</v>
      </c>
      <c r="B151" t="s">
        <v>488</v>
      </c>
      <c r="C151" t="s">
        <v>487</v>
      </c>
      <c r="D151">
        <v>2</v>
      </c>
      <c r="E151">
        <v>5</v>
      </c>
      <c r="F151">
        <v>90</v>
      </c>
      <c r="G151">
        <v>10</v>
      </c>
      <c r="H151">
        <v>5.9</v>
      </c>
      <c r="I151">
        <v>12.1</v>
      </c>
      <c r="J151">
        <v>12</v>
      </c>
      <c r="K151">
        <v>7.9</v>
      </c>
      <c r="L151">
        <v>54</v>
      </c>
    </row>
    <row r="152" spans="1:12" x14ac:dyDescent="0.25">
      <c r="A152" t="s">
        <v>482</v>
      </c>
      <c r="B152" t="s">
        <v>488</v>
      </c>
      <c r="C152" t="s">
        <v>487</v>
      </c>
      <c r="D152">
        <v>2</v>
      </c>
      <c r="E152">
        <v>5</v>
      </c>
      <c r="F152">
        <v>100</v>
      </c>
      <c r="G152">
        <v>10</v>
      </c>
      <c r="H152">
        <v>5.9</v>
      </c>
      <c r="I152">
        <v>12.1</v>
      </c>
      <c r="J152">
        <v>12</v>
      </c>
      <c r="K152">
        <v>7.9</v>
      </c>
      <c r="L152">
        <v>60</v>
      </c>
    </row>
    <row r="153" spans="1:12" x14ac:dyDescent="0.25">
      <c r="A153" t="s">
        <v>482</v>
      </c>
      <c r="B153" t="s">
        <v>488</v>
      </c>
      <c r="C153" t="s">
        <v>487</v>
      </c>
      <c r="D153">
        <v>2</v>
      </c>
      <c r="E153">
        <v>5</v>
      </c>
      <c r="F153">
        <v>120</v>
      </c>
      <c r="G153">
        <v>10</v>
      </c>
      <c r="H153">
        <v>5.9</v>
      </c>
      <c r="I153">
        <v>12.1</v>
      </c>
      <c r="J153">
        <v>12</v>
      </c>
      <c r="K153">
        <v>7.9</v>
      </c>
      <c r="L153">
        <v>70</v>
      </c>
    </row>
    <row r="154" spans="1:12" x14ac:dyDescent="0.25">
      <c r="A154" t="s">
        <v>482</v>
      </c>
      <c r="B154" t="s">
        <v>488</v>
      </c>
      <c r="C154" t="s">
        <v>487</v>
      </c>
      <c r="D154">
        <v>2</v>
      </c>
      <c r="E154">
        <v>6</v>
      </c>
      <c r="F154">
        <v>60</v>
      </c>
      <c r="G154">
        <v>12</v>
      </c>
      <c r="H154">
        <v>9.5</v>
      </c>
      <c r="I154">
        <v>11.4</v>
      </c>
      <c r="J154">
        <v>12</v>
      </c>
      <c r="K154">
        <v>11</v>
      </c>
      <c r="L154">
        <v>36</v>
      </c>
    </row>
    <row r="155" spans="1:12" x14ac:dyDescent="0.25">
      <c r="A155" t="s">
        <v>482</v>
      </c>
      <c r="B155" t="s">
        <v>488</v>
      </c>
      <c r="C155" t="s">
        <v>487</v>
      </c>
      <c r="D155">
        <v>2</v>
      </c>
      <c r="E155">
        <v>6</v>
      </c>
      <c r="F155">
        <v>70</v>
      </c>
      <c r="G155">
        <v>12</v>
      </c>
      <c r="H155">
        <v>9.5</v>
      </c>
      <c r="I155">
        <v>11.4</v>
      </c>
      <c r="J155">
        <v>12</v>
      </c>
      <c r="K155">
        <v>11</v>
      </c>
      <c r="L155">
        <v>42</v>
      </c>
    </row>
    <row r="156" spans="1:12" x14ac:dyDescent="0.25">
      <c r="A156" t="s">
        <v>482</v>
      </c>
      <c r="B156" t="s">
        <v>488</v>
      </c>
      <c r="C156" t="s">
        <v>487</v>
      </c>
      <c r="D156">
        <v>2</v>
      </c>
      <c r="E156">
        <v>6</v>
      </c>
      <c r="F156">
        <v>80</v>
      </c>
      <c r="G156">
        <v>12</v>
      </c>
      <c r="H156">
        <v>9.5</v>
      </c>
      <c r="I156">
        <v>11.4</v>
      </c>
      <c r="J156">
        <v>12</v>
      </c>
      <c r="K156">
        <v>11</v>
      </c>
      <c r="L156">
        <v>48</v>
      </c>
    </row>
    <row r="157" spans="1:12" x14ac:dyDescent="0.25">
      <c r="A157" t="s">
        <v>482</v>
      </c>
      <c r="B157" t="s">
        <v>488</v>
      </c>
      <c r="C157" t="s">
        <v>487</v>
      </c>
      <c r="D157">
        <v>2</v>
      </c>
      <c r="E157">
        <v>6</v>
      </c>
      <c r="F157">
        <v>90</v>
      </c>
      <c r="G157">
        <v>12</v>
      </c>
      <c r="H157">
        <v>9.5</v>
      </c>
      <c r="I157">
        <v>11.4</v>
      </c>
      <c r="J157">
        <v>12</v>
      </c>
      <c r="K157">
        <v>11</v>
      </c>
      <c r="L157">
        <v>54</v>
      </c>
    </row>
    <row r="158" spans="1:12" x14ac:dyDescent="0.25">
      <c r="A158" t="s">
        <v>482</v>
      </c>
      <c r="B158" t="s">
        <v>488</v>
      </c>
      <c r="C158" t="s">
        <v>487</v>
      </c>
      <c r="D158">
        <v>2</v>
      </c>
      <c r="E158">
        <v>6</v>
      </c>
      <c r="F158">
        <v>100</v>
      </c>
      <c r="G158">
        <v>12</v>
      </c>
      <c r="H158">
        <v>9.5</v>
      </c>
      <c r="I158">
        <v>11.4</v>
      </c>
      <c r="J158">
        <v>12</v>
      </c>
      <c r="K158">
        <v>11</v>
      </c>
      <c r="L158">
        <v>60</v>
      </c>
    </row>
    <row r="159" spans="1:12" x14ac:dyDescent="0.25">
      <c r="A159" t="s">
        <v>482</v>
      </c>
      <c r="B159" t="s">
        <v>488</v>
      </c>
      <c r="C159" t="s">
        <v>487</v>
      </c>
      <c r="D159">
        <v>2</v>
      </c>
      <c r="E159">
        <v>6</v>
      </c>
      <c r="F159">
        <v>110</v>
      </c>
      <c r="G159">
        <v>12</v>
      </c>
      <c r="H159">
        <v>9.5</v>
      </c>
      <c r="I159">
        <v>11.4</v>
      </c>
      <c r="J159">
        <v>12</v>
      </c>
      <c r="K159">
        <v>11</v>
      </c>
      <c r="L159">
        <v>70</v>
      </c>
    </row>
    <row r="160" spans="1:12" x14ac:dyDescent="0.25">
      <c r="A160" t="s">
        <v>482</v>
      </c>
      <c r="B160" t="s">
        <v>488</v>
      </c>
      <c r="C160" t="s">
        <v>487</v>
      </c>
      <c r="D160">
        <v>2</v>
      </c>
      <c r="E160">
        <v>6</v>
      </c>
      <c r="F160">
        <v>120</v>
      </c>
      <c r="G160">
        <v>12</v>
      </c>
      <c r="H160">
        <v>9.5</v>
      </c>
      <c r="I160">
        <v>11.4</v>
      </c>
      <c r="J160">
        <v>12</v>
      </c>
      <c r="K160">
        <v>11</v>
      </c>
      <c r="L160">
        <v>70</v>
      </c>
    </row>
    <row r="161" spans="1:12" x14ac:dyDescent="0.25">
      <c r="A161" t="s">
        <v>482</v>
      </c>
      <c r="B161" t="s">
        <v>488</v>
      </c>
      <c r="C161" t="s">
        <v>487</v>
      </c>
      <c r="D161">
        <v>2</v>
      </c>
      <c r="E161">
        <v>6</v>
      </c>
      <c r="F161">
        <v>130</v>
      </c>
      <c r="G161">
        <v>12</v>
      </c>
      <c r="H161">
        <v>9.5</v>
      </c>
      <c r="I161">
        <v>11.4</v>
      </c>
      <c r="J161">
        <v>12</v>
      </c>
      <c r="K161">
        <v>11</v>
      </c>
      <c r="L161">
        <v>70</v>
      </c>
    </row>
    <row r="162" spans="1:12" x14ac:dyDescent="0.25">
      <c r="A162" t="s">
        <v>482</v>
      </c>
      <c r="B162" t="s">
        <v>488</v>
      </c>
      <c r="C162" t="s">
        <v>487</v>
      </c>
      <c r="D162">
        <v>2</v>
      </c>
      <c r="E162">
        <v>6</v>
      </c>
      <c r="F162">
        <v>140</v>
      </c>
      <c r="G162">
        <v>12</v>
      </c>
      <c r="H162">
        <v>9.5</v>
      </c>
      <c r="I162">
        <v>11.4</v>
      </c>
      <c r="J162">
        <v>12</v>
      </c>
      <c r="K162">
        <v>11</v>
      </c>
      <c r="L162">
        <v>70</v>
      </c>
    </row>
    <row r="163" spans="1:12" x14ac:dyDescent="0.25">
      <c r="A163" t="s">
        <v>482</v>
      </c>
      <c r="B163" t="s">
        <v>488</v>
      </c>
      <c r="C163" t="s">
        <v>487</v>
      </c>
      <c r="D163">
        <v>2</v>
      </c>
      <c r="E163">
        <v>6</v>
      </c>
      <c r="F163">
        <v>150</v>
      </c>
      <c r="G163">
        <v>12</v>
      </c>
      <c r="H163">
        <v>9.5</v>
      </c>
      <c r="I163">
        <v>11.4</v>
      </c>
      <c r="J163">
        <v>12</v>
      </c>
      <c r="K163">
        <v>11</v>
      </c>
      <c r="L163">
        <v>70</v>
      </c>
    </row>
    <row r="164" spans="1:12" x14ac:dyDescent="0.25">
      <c r="A164" t="s">
        <v>482</v>
      </c>
      <c r="B164" t="s">
        <v>488</v>
      </c>
      <c r="C164" t="s">
        <v>487</v>
      </c>
      <c r="D164">
        <v>2</v>
      </c>
      <c r="E164">
        <v>6</v>
      </c>
      <c r="F164">
        <v>160</v>
      </c>
      <c r="G164">
        <v>12</v>
      </c>
      <c r="H164">
        <v>9.5</v>
      </c>
      <c r="I164">
        <v>11.4</v>
      </c>
      <c r="J164">
        <v>12</v>
      </c>
      <c r="K164">
        <v>11</v>
      </c>
      <c r="L164">
        <v>70</v>
      </c>
    </row>
    <row r="165" spans="1:12" x14ac:dyDescent="0.25">
      <c r="A165" t="s">
        <v>482</v>
      </c>
      <c r="B165" t="s">
        <v>488</v>
      </c>
      <c r="C165" t="s">
        <v>487</v>
      </c>
      <c r="D165">
        <v>2</v>
      </c>
      <c r="E165">
        <v>6</v>
      </c>
      <c r="F165">
        <v>180</v>
      </c>
      <c r="G165">
        <v>12</v>
      </c>
      <c r="H165">
        <v>9.5</v>
      </c>
      <c r="I165">
        <v>11.4</v>
      </c>
      <c r="J165">
        <v>12</v>
      </c>
      <c r="K165">
        <v>11</v>
      </c>
      <c r="L165">
        <v>70</v>
      </c>
    </row>
    <row r="166" spans="1:12" x14ac:dyDescent="0.25">
      <c r="A166" t="s">
        <v>482</v>
      </c>
      <c r="B166" t="s">
        <v>488</v>
      </c>
      <c r="C166" t="s">
        <v>487</v>
      </c>
      <c r="D166">
        <v>2</v>
      </c>
      <c r="E166">
        <v>6</v>
      </c>
      <c r="F166">
        <v>200</v>
      </c>
      <c r="G166">
        <v>12</v>
      </c>
      <c r="H166">
        <v>9.5</v>
      </c>
      <c r="I166">
        <v>11.4</v>
      </c>
      <c r="J166">
        <v>12</v>
      </c>
      <c r="K166">
        <v>11</v>
      </c>
      <c r="L166">
        <v>70</v>
      </c>
    </row>
    <row r="167" spans="1:12" x14ac:dyDescent="0.25">
      <c r="A167" t="s">
        <v>482</v>
      </c>
      <c r="B167" t="s">
        <v>488</v>
      </c>
      <c r="C167" t="s">
        <v>487</v>
      </c>
      <c r="D167">
        <v>2</v>
      </c>
      <c r="E167">
        <v>6</v>
      </c>
      <c r="F167">
        <v>220</v>
      </c>
      <c r="G167">
        <v>12</v>
      </c>
      <c r="H167">
        <v>9.5</v>
      </c>
      <c r="I167">
        <v>11.4</v>
      </c>
      <c r="J167">
        <v>12</v>
      </c>
      <c r="K167">
        <v>11</v>
      </c>
      <c r="L167">
        <v>70</v>
      </c>
    </row>
    <row r="168" spans="1:12" x14ac:dyDescent="0.25">
      <c r="A168" t="s">
        <v>482</v>
      </c>
      <c r="B168" t="s">
        <v>488</v>
      </c>
      <c r="C168" t="s">
        <v>487</v>
      </c>
      <c r="D168">
        <v>2</v>
      </c>
      <c r="E168">
        <v>6</v>
      </c>
      <c r="F168">
        <v>240</v>
      </c>
      <c r="G168">
        <v>12</v>
      </c>
      <c r="H168">
        <v>9.5</v>
      </c>
      <c r="I168">
        <v>11.4</v>
      </c>
      <c r="J168">
        <v>12</v>
      </c>
      <c r="K168">
        <v>11</v>
      </c>
      <c r="L168">
        <v>70</v>
      </c>
    </row>
    <row r="169" spans="1:12" x14ac:dyDescent="0.25">
      <c r="A169" t="s">
        <v>482</v>
      </c>
      <c r="B169" t="s">
        <v>488</v>
      </c>
      <c r="C169" t="s">
        <v>487</v>
      </c>
      <c r="D169">
        <v>2</v>
      </c>
      <c r="E169">
        <v>6</v>
      </c>
      <c r="F169">
        <v>260</v>
      </c>
      <c r="G169">
        <v>12</v>
      </c>
      <c r="H169">
        <v>9.5</v>
      </c>
      <c r="I169">
        <v>11.4</v>
      </c>
      <c r="J169">
        <v>12</v>
      </c>
      <c r="K169">
        <v>11</v>
      </c>
      <c r="L169">
        <v>70</v>
      </c>
    </row>
    <row r="170" spans="1:12" x14ac:dyDescent="0.25">
      <c r="A170" t="s">
        <v>482</v>
      </c>
      <c r="B170" t="s">
        <v>488</v>
      </c>
      <c r="C170" t="s">
        <v>487</v>
      </c>
      <c r="D170">
        <v>2</v>
      </c>
      <c r="E170">
        <v>6</v>
      </c>
      <c r="F170">
        <v>280</v>
      </c>
      <c r="G170">
        <v>12</v>
      </c>
      <c r="H170">
        <v>9.5</v>
      </c>
      <c r="I170">
        <v>11.4</v>
      </c>
      <c r="J170">
        <v>12</v>
      </c>
      <c r="K170">
        <v>11</v>
      </c>
      <c r="L170">
        <v>70</v>
      </c>
    </row>
    <row r="171" spans="1:12" x14ac:dyDescent="0.25">
      <c r="A171" t="s">
        <v>482</v>
      </c>
      <c r="B171" t="s">
        <v>488</v>
      </c>
      <c r="C171" t="s">
        <v>487</v>
      </c>
      <c r="D171">
        <v>2</v>
      </c>
      <c r="E171">
        <v>6</v>
      </c>
      <c r="F171">
        <v>300</v>
      </c>
      <c r="G171">
        <v>12</v>
      </c>
      <c r="H171">
        <v>9.5</v>
      </c>
      <c r="I171">
        <v>11.4</v>
      </c>
      <c r="J171">
        <v>12</v>
      </c>
      <c r="K171">
        <v>11</v>
      </c>
      <c r="L171">
        <v>70</v>
      </c>
    </row>
    <row r="172" spans="1:12" x14ac:dyDescent="0.25">
      <c r="A172" t="s">
        <v>482</v>
      </c>
      <c r="B172" t="s">
        <v>488</v>
      </c>
      <c r="C172" t="s">
        <v>487</v>
      </c>
      <c r="D172">
        <v>2</v>
      </c>
      <c r="E172">
        <v>8</v>
      </c>
      <c r="F172">
        <v>80</v>
      </c>
      <c r="G172">
        <v>14.5</v>
      </c>
      <c r="H172">
        <v>20</v>
      </c>
      <c r="I172">
        <v>11.1</v>
      </c>
      <c r="J172">
        <v>12</v>
      </c>
      <c r="K172">
        <v>20</v>
      </c>
      <c r="L172">
        <v>48</v>
      </c>
    </row>
    <row r="173" spans="1:12" x14ac:dyDescent="0.25">
      <c r="A173" t="s">
        <v>482</v>
      </c>
      <c r="B173" t="s">
        <v>488</v>
      </c>
      <c r="C173" t="s">
        <v>487</v>
      </c>
      <c r="D173">
        <v>2</v>
      </c>
      <c r="E173">
        <v>8</v>
      </c>
      <c r="F173">
        <v>100</v>
      </c>
      <c r="G173">
        <v>14.5</v>
      </c>
      <c r="H173">
        <v>20</v>
      </c>
      <c r="I173">
        <v>11.1</v>
      </c>
      <c r="J173">
        <v>12</v>
      </c>
      <c r="K173">
        <v>20</v>
      </c>
      <c r="L173">
        <v>60</v>
      </c>
    </row>
    <row r="174" spans="1:12" x14ac:dyDescent="0.25">
      <c r="A174" t="s">
        <v>482</v>
      </c>
      <c r="B174" t="s">
        <v>488</v>
      </c>
      <c r="C174" t="s">
        <v>487</v>
      </c>
      <c r="D174">
        <v>2</v>
      </c>
      <c r="E174">
        <v>8</v>
      </c>
      <c r="F174">
        <v>120</v>
      </c>
      <c r="G174">
        <v>14.5</v>
      </c>
      <c r="H174">
        <v>20</v>
      </c>
      <c r="I174">
        <v>11.1</v>
      </c>
      <c r="J174">
        <v>12</v>
      </c>
      <c r="K174">
        <v>20</v>
      </c>
      <c r="L174">
        <v>66</v>
      </c>
    </row>
    <row r="175" spans="1:12" x14ac:dyDescent="0.25">
      <c r="A175" t="s">
        <v>482</v>
      </c>
      <c r="B175" t="s">
        <v>488</v>
      </c>
      <c r="C175" t="s">
        <v>487</v>
      </c>
      <c r="D175">
        <v>2</v>
      </c>
      <c r="E175">
        <v>8</v>
      </c>
      <c r="F175">
        <v>140</v>
      </c>
      <c r="G175">
        <v>14.5</v>
      </c>
      <c r="H175">
        <v>20</v>
      </c>
      <c r="I175">
        <v>11.1</v>
      </c>
      <c r="J175">
        <v>12</v>
      </c>
      <c r="K175">
        <v>20</v>
      </c>
      <c r="L175">
        <v>95</v>
      </c>
    </row>
    <row r="176" spans="1:12" x14ac:dyDescent="0.25">
      <c r="A176" t="s">
        <v>482</v>
      </c>
      <c r="B176" t="s">
        <v>488</v>
      </c>
      <c r="C176" t="s">
        <v>487</v>
      </c>
      <c r="D176">
        <v>2</v>
      </c>
      <c r="E176">
        <v>8</v>
      </c>
      <c r="F176">
        <v>160</v>
      </c>
      <c r="G176">
        <v>14.5</v>
      </c>
      <c r="H176">
        <v>20</v>
      </c>
      <c r="I176">
        <v>11.1</v>
      </c>
      <c r="J176">
        <v>12</v>
      </c>
      <c r="K176">
        <v>20</v>
      </c>
      <c r="L176">
        <v>95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8</v>
      </c>
      <c r="F177">
        <v>180</v>
      </c>
      <c r="G177">
        <v>14.5</v>
      </c>
      <c r="H177">
        <v>20</v>
      </c>
      <c r="I177">
        <v>11.1</v>
      </c>
      <c r="J177">
        <v>12</v>
      </c>
      <c r="K177">
        <v>20</v>
      </c>
      <c r="L177">
        <v>95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8</v>
      </c>
      <c r="F178">
        <v>200</v>
      </c>
      <c r="G178">
        <v>14.5</v>
      </c>
      <c r="H178">
        <v>20</v>
      </c>
      <c r="I178">
        <v>11.1</v>
      </c>
      <c r="J178">
        <v>12</v>
      </c>
      <c r="K178">
        <v>20</v>
      </c>
      <c r="L178">
        <v>95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8</v>
      </c>
      <c r="F179">
        <v>220</v>
      </c>
      <c r="G179">
        <v>14.5</v>
      </c>
      <c r="H179">
        <v>20</v>
      </c>
      <c r="I179">
        <v>11.1</v>
      </c>
      <c r="J179">
        <v>12</v>
      </c>
      <c r="K179">
        <v>20</v>
      </c>
      <c r="L179">
        <v>95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8</v>
      </c>
      <c r="F180">
        <v>240</v>
      </c>
      <c r="G180">
        <v>14.5</v>
      </c>
      <c r="H180">
        <v>20</v>
      </c>
      <c r="I180">
        <v>11.1</v>
      </c>
      <c r="J180">
        <v>12</v>
      </c>
      <c r="K180">
        <v>20</v>
      </c>
      <c r="L180">
        <v>95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8</v>
      </c>
      <c r="F181">
        <v>260</v>
      </c>
      <c r="G181">
        <v>14.5</v>
      </c>
      <c r="H181">
        <v>20</v>
      </c>
      <c r="I181">
        <v>11.1</v>
      </c>
      <c r="J181">
        <v>12</v>
      </c>
      <c r="K181">
        <v>20</v>
      </c>
      <c r="L181">
        <v>95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8</v>
      </c>
      <c r="F182">
        <v>280</v>
      </c>
      <c r="G182">
        <v>14.5</v>
      </c>
      <c r="H182">
        <v>20</v>
      </c>
      <c r="I182">
        <v>11.1</v>
      </c>
      <c r="J182">
        <v>12</v>
      </c>
      <c r="K182">
        <v>20</v>
      </c>
      <c r="L182">
        <v>95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8</v>
      </c>
      <c r="F183">
        <v>300</v>
      </c>
      <c r="G183">
        <v>14.5</v>
      </c>
      <c r="H183">
        <v>20</v>
      </c>
      <c r="I183">
        <v>11.1</v>
      </c>
      <c r="J183">
        <v>12</v>
      </c>
      <c r="K183">
        <v>20</v>
      </c>
      <c r="L183">
        <v>95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8</v>
      </c>
      <c r="F184">
        <v>320</v>
      </c>
      <c r="G184">
        <v>14.5</v>
      </c>
      <c r="H184">
        <v>20</v>
      </c>
      <c r="I184">
        <v>11.1</v>
      </c>
      <c r="J184">
        <v>12</v>
      </c>
      <c r="K184">
        <v>20</v>
      </c>
      <c r="L184">
        <v>95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8</v>
      </c>
      <c r="F185">
        <v>340</v>
      </c>
      <c r="G185">
        <v>14.5</v>
      </c>
      <c r="H185">
        <v>20</v>
      </c>
      <c r="I185">
        <v>11.1</v>
      </c>
      <c r="J185">
        <v>12</v>
      </c>
      <c r="K185">
        <v>20</v>
      </c>
      <c r="L185">
        <v>95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8</v>
      </c>
      <c r="F186">
        <v>360</v>
      </c>
      <c r="G186">
        <v>14.5</v>
      </c>
      <c r="H186">
        <v>20</v>
      </c>
      <c r="I186">
        <v>11.1</v>
      </c>
      <c r="J186">
        <v>12</v>
      </c>
      <c r="K186">
        <v>20</v>
      </c>
      <c r="L186">
        <v>95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8</v>
      </c>
      <c r="F187">
        <v>380</v>
      </c>
      <c r="G187">
        <v>14.5</v>
      </c>
      <c r="H187">
        <v>20</v>
      </c>
      <c r="I187">
        <v>11.1</v>
      </c>
      <c r="J187">
        <v>12</v>
      </c>
      <c r="K187">
        <v>20</v>
      </c>
      <c r="L187">
        <v>95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8</v>
      </c>
      <c r="F188">
        <v>400</v>
      </c>
      <c r="G188">
        <v>14.5</v>
      </c>
      <c r="H188">
        <v>20</v>
      </c>
      <c r="I188">
        <v>11.1</v>
      </c>
      <c r="J188">
        <v>12</v>
      </c>
      <c r="K188">
        <v>20</v>
      </c>
      <c r="L188">
        <v>95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8</v>
      </c>
      <c r="F189">
        <v>420</v>
      </c>
      <c r="G189">
        <v>14.5</v>
      </c>
      <c r="H189">
        <v>20</v>
      </c>
      <c r="I189">
        <v>11.1</v>
      </c>
      <c r="J189">
        <v>12</v>
      </c>
      <c r="K189">
        <v>20</v>
      </c>
      <c r="L189">
        <v>95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8</v>
      </c>
      <c r="F190">
        <v>440</v>
      </c>
      <c r="G190">
        <v>14.5</v>
      </c>
      <c r="H190">
        <v>20</v>
      </c>
      <c r="I190">
        <v>11.1</v>
      </c>
      <c r="J190">
        <v>12</v>
      </c>
      <c r="K190">
        <v>20</v>
      </c>
      <c r="L190">
        <v>95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8</v>
      </c>
      <c r="F191">
        <v>460</v>
      </c>
      <c r="G191">
        <v>14.5</v>
      </c>
      <c r="H191">
        <v>20</v>
      </c>
      <c r="I191">
        <v>11.1</v>
      </c>
      <c r="J191">
        <v>12</v>
      </c>
      <c r="K191">
        <v>20</v>
      </c>
      <c r="L191">
        <v>95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8</v>
      </c>
      <c r="F192">
        <v>480</v>
      </c>
      <c r="G192">
        <v>14.5</v>
      </c>
      <c r="H192">
        <v>20</v>
      </c>
      <c r="I192">
        <v>11.1</v>
      </c>
      <c r="J192">
        <v>12</v>
      </c>
      <c r="K192">
        <v>20</v>
      </c>
      <c r="L192">
        <v>95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8</v>
      </c>
      <c r="F193">
        <v>500</v>
      </c>
      <c r="G193">
        <v>14.5</v>
      </c>
      <c r="H193">
        <v>20</v>
      </c>
      <c r="I193">
        <v>11.1</v>
      </c>
      <c r="J193">
        <v>12</v>
      </c>
      <c r="K193">
        <v>20</v>
      </c>
      <c r="L193">
        <v>95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8</v>
      </c>
      <c r="F194">
        <v>550</v>
      </c>
      <c r="G194">
        <v>14.5</v>
      </c>
      <c r="H194">
        <v>20</v>
      </c>
      <c r="I194">
        <v>11.1</v>
      </c>
      <c r="J194">
        <v>12</v>
      </c>
      <c r="K194">
        <v>20</v>
      </c>
      <c r="L194">
        <v>95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8</v>
      </c>
      <c r="F195">
        <v>600</v>
      </c>
      <c r="G195">
        <v>14.5</v>
      </c>
      <c r="H195">
        <v>20</v>
      </c>
      <c r="I195">
        <v>11.1</v>
      </c>
      <c r="J195">
        <v>12</v>
      </c>
      <c r="K195">
        <v>20</v>
      </c>
      <c r="L195">
        <v>95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10</v>
      </c>
      <c r="F196">
        <v>100</v>
      </c>
      <c r="G196">
        <v>17.8</v>
      </c>
      <c r="H196">
        <v>35.799999999999997</v>
      </c>
      <c r="I196">
        <v>10.8</v>
      </c>
      <c r="J196">
        <v>12</v>
      </c>
      <c r="K196">
        <v>28</v>
      </c>
      <c r="L196">
        <v>60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10</v>
      </c>
      <c r="F197">
        <v>120</v>
      </c>
      <c r="G197">
        <v>17.8</v>
      </c>
      <c r="H197">
        <v>35.799999999999997</v>
      </c>
      <c r="I197">
        <v>10.8</v>
      </c>
      <c r="J197">
        <v>12</v>
      </c>
      <c r="K197">
        <v>28</v>
      </c>
      <c r="L197">
        <v>70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10</v>
      </c>
      <c r="F198">
        <v>140</v>
      </c>
      <c r="G198">
        <v>17.8</v>
      </c>
      <c r="H198">
        <v>35.799999999999997</v>
      </c>
      <c r="I198">
        <v>10.8</v>
      </c>
      <c r="J198">
        <v>12</v>
      </c>
      <c r="K198">
        <v>28</v>
      </c>
      <c r="L198">
        <v>100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10</v>
      </c>
      <c r="F199">
        <v>160</v>
      </c>
      <c r="G199">
        <v>17.8</v>
      </c>
      <c r="H199">
        <v>35.799999999999997</v>
      </c>
      <c r="I199">
        <v>10.8</v>
      </c>
      <c r="J199">
        <v>12</v>
      </c>
      <c r="K199">
        <v>28</v>
      </c>
      <c r="L199">
        <v>100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10</v>
      </c>
      <c r="F200">
        <v>180</v>
      </c>
      <c r="G200">
        <v>17.8</v>
      </c>
      <c r="H200">
        <v>35.799999999999997</v>
      </c>
      <c r="I200">
        <v>10.8</v>
      </c>
      <c r="J200">
        <v>12</v>
      </c>
      <c r="K200">
        <v>28</v>
      </c>
      <c r="L200">
        <v>100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10</v>
      </c>
      <c r="F201">
        <v>200</v>
      </c>
      <c r="G201">
        <v>17.8</v>
      </c>
      <c r="H201">
        <v>35.799999999999997</v>
      </c>
      <c r="I201">
        <v>10.8</v>
      </c>
      <c r="J201">
        <v>12</v>
      </c>
      <c r="K201">
        <v>28</v>
      </c>
      <c r="L201">
        <v>100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10</v>
      </c>
      <c r="F202">
        <v>220</v>
      </c>
      <c r="G202">
        <v>17.8</v>
      </c>
      <c r="H202">
        <v>35.799999999999997</v>
      </c>
      <c r="I202">
        <v>10.8</v>
      </c>
      <c r="J202">
        <v>12</v>
      </c>
      <c r="K202">
        <v>28</v>
      </c>
      <c r="L202">
        <v>100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10</v>
      </c>
      <c r="F203">
        <v>240</v>
      </c>
      <c r="G203">
        <v>17.8</v>
      </c>
      <c r="H203">
        <v>35.799999999999997</v>
      </c>
      <c r="I203">
        <v>10.8</v>
      </c>
      <c r="J203">
        <v>12</v>
      </c>
      <c r="K203">
        <v>28</v>
      </c>
      <c r="L203">
        <v>100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10</v>
      </c>
      <c r="F204">
        <v>260</v>
      </c>
      <c r="G204">
        <v>17.8</v>
      </c>
      <c r="H204">
        <v>35.799999999999997</v>
      </c>
      <c r="I204">
        <v>10.8</v>
      </c>
      <c r="J204">
        <v>12</v>
      </c>
      <c r="K204">
        <v>28</v>
      </c>
      <c r="L204">
        <v>100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10</v>
      </c>
      <c r="F205">
        <v>280</v>
      </c>
      <c r="G205">
        <v>17.8</v>
      </c>
      <c r="H205">
        <v>35.799999999999997</v>
      </c>
      <c r="I205">
        <v>10.8</v>
      </c>
      <c r="J205">
        <v>12</v>
      </c>
      <c r="K205">
        <v>28</v>
      </c>
      <c r="L205">
        <v>100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10</v>
      </c>
      <c r="F206">
        <v>300</v>
      </c>
      <c r="G206">
        <v>17.8</v>
      </c>
      <c r="H206">
        <v>35.799999999999997</v>
      </c>
      <c r="I206">
        <v>10.8</v>
      </c>
      <c r="J206">
        <v>12</v>
      </c>
      <c r="K206">
        <v>28</v>
      </c>
      <c r="L206">
        <v>100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10</v>
      </c>
      <c r="F207">
        <v>320</v>
      </c>
      <c r="G207">
        <v>17.8</v>
      </c>
      <c r="H207">
        <v>35.799999999999997</v>
      </c>
      <c r="I207">
        <v>10.8</v>
      </c>
      <c r="J207">
        <v>12</v>
      </c>
      <c r="K207">
        <v>28</v>
      </c>
      <c r="L207">
        <v>100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10</v>
      </c>
      <c r="F208">
        <v>340</v>
      </c>
      <c r="G208">
        <v>17.8</v>
      </c>
      <c r="H208">
        <v>35.799999999999997</v>
      </c>
      <c r="I208">
        <v>10.8</v>
      </c>
      <c r="J208">
        <v>12</v>
      </c>
      <c r="K208">
        <v>28</v>
      </c>
      <c r="L208">
        <v>100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10</v>
      </c>
      <c r="F209">
        <v>360</v>
      </c>
      <c r="G209">
        <v>17.8</v>
      </c>
      <c r="H209">
        <v>35.799999999999997</v>
      </c>
      <c r="I209">
        <v>10.8</v>
      </c>
      <c r="J209">
        <v>12</v>
      </c>
      <c r="K209">
        <v>28</v>
      </c>
      <c r="L209">
        <v>100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10</v>
      </c>
      <c r="F210">
        <v>380</v>
      </c>
      <c r="G210">
        <v>17.8</v>
      </c>
      <c r="H210">
        <v>35.799999999999997</v>
      </c>
      <c r="I210">
        <v>10.8</v>
      </c>
      <c r="J210">
        <v>12</v>
      </c>
      <c r="K210">
        <v>28</v>
      </c>
      <c r="L210">
        <v>100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10</v>
      </c>
      <c r="F211">
        <v>400</v>
      </c>
      <c r="G211">
        <v>17.8</v>
      </c>
      <c r="H211">
        <v>35.799999999999997</v>
      </c>
      <c r="I211">
        <v>10.8</v>
      </c>
      <c r="J211">
        <v>12</v>
      </c>
      <c r="K211">
        <v>28</v>
      </c>
      <c r="L211">
        <v>100</v>
      </c>
    </row>
    <row r="212" spans="1:12" x14ac:dyDescent="0.25">
      <c r="A212" t="s">
        <v>482</v>
      </c>
      <c r="B212" t="s">
        <v>489</v>
      </c>
      <c r="C212" t="s">
        <v>490</v>
      </c>
      <c r="D212">
        <v>2</v>
      </c>
      <c r="E212">
        <v>4</v>
      </c>
      <c r="F212">
        <v>40</v>
      </c>
      <c r="G212">
        <v>10</v>
      </c>
      <c r="H212">
        <v>3.3</v>
      </c>
      <c r="I212">
        <v>12.9</v>
      </c>
      <c r="J212">
        <v>12</v>
      </c>
      <c r="K212">
        <v>5</v>
      </c>
      <c r="L212">
        <v>24</v>
      </c>
    </row>
    <row r="213" spans="1:12" x14ac:dyDescent="0.25">
      <c r="A213" t="s">
        <v>482</v>
      </c>
      <c r="B213" t="s">
        <v>489</v>
      </c>
      <c r="C213" t="s">
        <v>490</v>
      </c>
      <c r="D213">
        <v>2</v>
      </c>
      <c r="E213">
        <v>4</v>
      </c>
      <c r="F213">
        <v>50</v>
      </c>
      <c r="G213">
        <v>10</v>
      </c>
      <c r="H213">
        <v>3.3</v>
      </c>
      <c r="I213">
        <v>12.9</v>
      </c>
      <c r="J213">
        <v>12</v>
      </c>
      <c r="K213">
        <v>5</v>
      </c>
      <c r="L213">
        <v>30</v>
      </c>
    </row>
    <row r="214" spans="1:12" x14ac:dyDescent="0.25">
      <c r="A214" t="s">
        <v>482</v>
      </c>
      <c r="B214" t="s">
        <v>489</v>
      </c>
      <c r="C214" t="s">
        <v>490</v>
      </c>
      <c r="D214">
        <v>2</v>
      </c>
      <c r="E214">
        <v>4</v>
      </c>
      <c r="F214">
        <v>60</v>
      </c>
      <c r="G214">
        <v>10</v>
      </c>
      <c r="H214">
        <v>3.3</v>
      </c>
      <c r="I214">
        <v>12.9</v>
      </c>
      <c r="J214">
        <v>12</v>
      </c>
      <c r="K214">
        <v>5</v>
      </c>
      <c r="L214">
        <v>36</v>
      </c>
    </row>
    <row r="215" spans="1:12" x14ac:dyDescent="0.25">
      <c r="A215" t="s">
        <v>482</v>
      </c>
      <c r="B215" t="s">
        <v>489</v>
      </c>
      <c r="C215" t="s">
        <v>490</v>
      </c>
      <c r="D215">
        <v>2</v>
      </c>
      <c r="E215">
        <v>4.5</v>
      </c>
      <c r="F215">
        <v>50</v>
      </c>
      <c r="G215">
        <v>11</v>
      </c>
      <c r="H215">
        <v>4.5</v>
      </c>
      <c r="I215">
        <v>12.5</v>
      </c>
      <c r="J215">
        <v>12</v>
      </c>
      <c r="K215">
        <v>6.4</v>
      </c>
      <c r="L215">
        <v>30</v>
      </c>
    </row>
    <row r="216" spans="1:12" x14ac:dyDescent="0.25">
      <c r="A216" t="s">
        <v>482</v>
      </c>
      <c r="B216" t="s">
        <v>489</v>
      </c>
      <c r="C216" t="s">
        <v>490</v>
      </c>
      <c r="D216">
        <v>2</v>
      </c>
      <c r="E216">
        <v>4.5</v>
      </c>
      <c r="F216">
        <v>60</v>
      </c>
      <c r="G216">
        <v>11</v>
      </c>
      <c r="H216">
        <v>4.5</v>
      </c>
      <c r="I216">
        <v>12.5</v>
      </c>
      <c r="J216">
        <v>12</v>
      </c>
      <c r="K216">
        <v>6.4</v>
      </c>
      <c r="L216">
        <v>36</v>
      </c>
    </row>
    <row r="217" spans="1:12" x14ac:dyDescent="0.25">
      <c r="A217" t="s">
        <v>482</v>
      </c>
      <c r="B217" t="s">
        <v>489</v>
      </c>
      <c r="C217" t="s">
        <v>490</v>
      </c>
      <c r="D217">
        <v>2</v>
      </c>
      <c r="E217">
        <v>4.5</v>
      </c>
      <c r="F217">
        <v>70</v>
      </c>
      <c r="G217">
        <v>11</v>
      </c>
      <c r="H217">
        <v>4.5</v>
      </c>
      <c r="I217">
        <v>12.5</v>
      </c>
      <c r="J217">
        <v>12</v>
      </c>
      <c r="K217">
        <v>6.4</v>
      </c>
      <c r="L217">
        <v>42</v>
      </c>
    </row>
    <row r="218" spans="1:12" x14ac:dyDescent="0.25">
      <c r="A218" t="s">
        <v>482</v>
      </c>
      <c r="B218" t="s">
        <v>489</v>
      </c>
      <c r="C218" t="s">
        <v>490</v>
      </c>
      <c r="D218">
        <v>2</v>
      </c>
      <c r="E218">
        <v>5</v>
      </c>
      <c r="F218">
        <v>50</v>
      </c>
      <c r="G218">
        <v>12</v>
      </c>
      <c r="H218">
        <v>5.9</v>
      </c>
      <c r="I218">
        <v>12.1</v>
      </c>
      <c r="J218">
        <v>12</v>
      </c>
      <c r="K218">
        <v>7.9</v>
      </c>
      <c r="L218">
        <v>30</v>
      </c>
    </row>
    <row r="219" spans="1:12" x14ac:dyDescent="0.25">
      <c r="A219" t="s">
        <v>482</v>
      </c>
      <c r="B219" t="s">
        <v>489</v>
      </c>
      <c r="C219" t="s">
        <v>490</v>
      </c>
      <c r="D219">
        <v>2</v>
      </c>
      <c r="E219">
        <v>5</v>
      </c>
      <c r="F219">
        <v>60</v>
      </c>
      <c r="G219">
        <v>12</v>
      </c>
      <c r="H219">
        <v>5.9</v>
      </c>
      <c r="I219">
        <v>12.1</v>
      </c>
      <c r="J219">
        <v>12</v>
      </c>
      <c r="K219">
        <v>7.9</v>
      </c>
      <c r="L219">
        <v>36</v>
      </c>
    </row>
    <row r="220" spans="1:12" x14ac:dyDescent="0.25">
      <c r="A220" t="s">
        <v>482</v>
      </c>
      <c r="B220" t="s">
        <v>489</v>
      </c>
      <c r="C220" t="s">
        <v>490</v>
      </c>
      <c r="D220">
        <v>2</v>
      </c>
      <c r="E220">
        <v>5</v>
      </c>
      <c r="F220">
        <v>70</v>
      </c>
      <c r="G220">
        <v>12</v>
      </c>
      <c r="H220">
        <v>5.9</v>
      </c>
      <c r="I220">
        <v>12.1</v>
      </c>
      <c r="J220">
        <v>12</v>
      </c>
      <c r="K220">
        <v>7.9</v>
      </c>
      <c r="L220">
        <v>42</v>
      </c>
    </row>
    <row r="221" spans="1:12" x14ac:dyDescent="0.25">
      <c r="A221" t="s">
        <v>482</v>
      </c>
      <c r="B221" t="s">
        <v>489</v>
      </c>
      <c r="C221" t="s">
        <v>490</v>
      </c>
      <c r="D221">
        <v>2</v>
      </c>
      <c r="E221">
        <v>5</v>
      </c>
      <c r="F221">
        <v>80</v>
      </c>
      <c r="G221">
        <v>12</v>
      </c>
      <c r="H221">
        <v>5.9</v>
      </c>
      <c r="I221">
        <v>12.1</v>
      </c>
      <c r="J221">
        <v>12</v>
      </c>
      <c r="K221">
        <v>7.9</v>
      </c>
      <c r="L221">
        <v>48</v>
      </c>
    </row>
    <row r="222" spans="1:12" x14ac:dyDescent="0.25">
      <c r="A222" t="s">
        <v>482</v>
      </c>
      <c r="B222" t="s">
        <v>489</v>
      </c>
      <c r="C222" t="s">
        <v>490</v>
      </c>
      <c r="D222">
        <v>2</v>
      </c>
      <c r="E222">
        <v>5</v>
      </c>
      <c r="F222">
        <v>100</v>
      </c>
      <c r="G222">
        <v>12</v>
      </c>
      <c r="H222">
        <v>5.9</v>
      </c>
      <c r="I222">
        <v>12.1</v>
      </c>
      <c r="J222">
        <v>12</v>
      </c>
      <c r="K222">
        <v>7.9</v>
      </c>
      <c r="L222">
        <v>60</v>
      </c>
    </row>
    <row r="223" spans="1:12" x14ac:dyDescent="0.25">
      <c r="A223" t="s">
        <v>482</v>
      </c>
      <c r="B223" t="s">
        <v>489</v>
      </c>
      <c r="C223" t="s">
        <v>490</v>
      </c>
      <c r="D223">
        <v>2</v>
      </c>
      <c r="E223">
        <v>6</v>
      </c>
      <c r="F223">
        <v>30</v>
      </c>
      <c r="G223">
        <v>14</v>
      </c>
      <c r="H223">
        <v>9.5</v>
      </c>
      <c r="I223">
        <v>11.4</v>
      </c>
      <c r="J223">
        <v>12</v>
      </c>
      <c r="K223">
        <v>11</v>
      </c>
      <c r="L223">
        <v>30</v>
      </c>
    </row>
    <row r="224" spans="1:12" x14ac:dyDescent="0.25">
      <c r="A224" t="s">
        <v>482</v>
      </c>
      <c r="B224" t="s">
        <v>489</v>
      </c>
      <c r="C224" t="s">
        <v>490</v>
      </c>
      <c r="D224">
        <v>2</v>
      </c>
      <c r="E224">
        <v>6</v>
      </c>
      <c r="F224">
        <v>40</v>
      </c>
      <c r="G224">
        <v>14</v>
      </c>
      <c r="H224">
        <v>9.5</v>
      </c>
      <c r="I224">
        <v>11.4</v>
      </c>
      <c r="J224">
        <v>12</v>
      </c>
      <c r="K224">
        <v>11</v>
      </c>
      <c r="L224">
        <v>40</v>
      </c>
    </row>
    <row r="225" spans="1:12" x14ac:dyDescent="0.25">
      <c r="A225" t="s">
        <v>482</v>
      </c>
      <c r="B225" t="s">
        <v>489</v>
      </c>
      <c r="C225" t="s">
        <v>490</v>
      </c>
      <c r="D225">
        <v>2</v>
      </c>
      <c r="E225">
        <v>6</v>
      </c>
      <c r="F225">
        <v>50</v>
      </c>
      <c r="G225">
        <v>14</v>
      </c>
      <c r="H225">
        <v>9.5</v>
      </c>
      <c r="I225">
        <v>11.4</v>
      </c>
      <c r="J225">
        <v>12</v>
      </c>
      <c r="K225">
        <v>11</v>
      </c>
      <c r="L225">
        <v>30</v>
      </c>
    </row>
    <row r="226" spans="1:12" x14ac:dyDescent="0.25">
      <c r="A226" t="s">
        <v>482</v>
      </c>
      <c r="B226" t="s">
        <v>489</v>
      </c>
      <c r="C226" t="s">
        <v>490</v>
      </c>
      <c r="D226">
        <v>2</v>
      </c>
      <c r="E226">
        <v>6</v>
      </c>
      <c r="F226">
        <v>60</v>
      </c>
      <c r="G226">
        <v>14</v>
      </c>
      <c r="H226">
        <v>9.5</v>
      </c>
      <c r="I226">
        <v>11.4</v>
      </c>
      <c r="J226">
        <v>12</v>
      </c>
      <c r="K226">
        <v>11</v>
      </c>
      <c r="L226">
        <v>36</v>
      </c>
    </row>
    <row r="227" spans="1:12" x14ac:dyDescent="0.25">
      <c r="A227" t="s">
        <v>482</v>
      </c>
      <c r="B227" t="s">
        <v>489</v>
      </c>
      <c r="C227" t="s">
        <v>490</v>
      </c>
      <c r="D227">
        <v>2</v>
      </c>
      <c r="E227">
        <v>6</v>
      </c>
      <c r="F227">
        <v>70</v>
      </c>
      <c r="G227">
        <v>14</v>
      </c>
      <c r="H227">
        <v>9.5</v>
      </c>
      <c r="I227">
        <v>11.4</v>
      </c>
      <c r="J227">
        <v>12</v>
      </c>
      <c r="K227">
        <v>11</v>
      </c>
      <c r="L227">
        <v>42</v>
      </c>
    </row>
    <row r="228" spans="1:12" x14ac:dyDescent="0.25">
      <c r="A228" t="s">
        <v>482</v>
      </c>
      <c r="B228" t="s">
        <v>489</v>
      </c>
      <c r="C228" t="s">
        <v>490</v>
      </c>
      <c r="D228">
        <v>2</v>
      </c>
      <c r="E228">
        <v>6</v>
      </c>
      <c r="F228">
        <v>80</v>
      </c>
      <c r="G228">
        <v>14</v>
      </c>
      <c r="H228">
        <v>9.5</v>
      </c>
      <c r="I228">
        <v>11.4</v>
      </c>
      <c r="J228">
        <v>12</v>
      </c>
      <c r="K228">
        <v>11</v>
      </c>
      <c r="L228">
        <v>48</v>
      </c>
    </row>
    <row r="229" spans="1:12" x14ac:dyDescent="0.25">
      <c r="A229" t="s">
        <v>482</v>
      </c>
      <c r="B229" t="s">
        <v>489</v>
      </c>
      <c r="C229" t="s">
        <v>490</v>
      </c>
      <c r="D229">
        <v>2</v>
      </c>
      <c r="E229">
        <v>6</v>
      </c>
      <c r="F229">
        <v>90</v>
      </c>
      <c r="G229">
        <v>14</v>
      </c>
      <c r="H229">
        <v>9.5</v>
      </c>
      <c r="I229">
        <v>11.4</v>
      </c>
      <c r="J229">
        <v>12</v>
      </c>
      <c r="K229">
        <v>11</v>
      </c>
      <c r="L229">
        <v>54</v>
      </c>
    </row>
    <row r="230" spans="1:12" x14ac:dyDescent="0.25">
      <c r="A230" t="s">
        <v>482</v>
      </c>
      <c r="B230" t="s">
        <v>489</v>
      </c>
      <c r="C230" t="s">
        <v>490</v>
      </c>
      <c r="D230">
        <v>2</v>
      </c>
      <c r="E230">
        <v>6</v>
      </c>
      <c r="F230">
        <v>100</v>
      </c>
      <c r="G230">
        <v>14</v>
      </c>
      <c r="H230">
        <v>9.5</v>
      </c>
      <c r="I230">
        <v>11.4</v>
      </c>
      <c r="J230">
        <v>12</v>
      </c>
      <c r="K230">
        <v>11</v>
      </c>
      <c r="L230">
        <v>60</v>
      </c>
    </row>
    <row r="231" spans="1:12" x14ac:dyDescent="0.25">
      <c r="A231" t="s">
        <v>482</v>
      </c>
      <c r="B231" t="s">
        <v>489</v>
      </c>
      <c r="C231" t="s">
        <v>490</v>
      </c>
      <c r="D231">
        <v>2</v>
      </c>
      <c r="E231">
        <v>6</v>
      </c>
      <c r="F231">
        <v>110</v>
      </c>
      <c r="G231">
        <v>14</v>
      </c>
      <c r="H231">
        <v>9.5</v>
      </c>
      <c r="I231">
        <v>11.4</v>
      </c>
      <c r="J231">
        <v>12</v>
      </c>
      <c r="K231">
        <v>11</v>
      </c>
      <c r="L231">
        <v>70</v>
      </c>
    </row>
    <row r="232" spans="1:12" x14ac:dyDescent="0.25">
      <c r="A232" t="s">
        <v>482</v>
      </c>
      <c r="B232" t="s">
        <v>489</v>
      </c>
      <c r="C232" t="s">
        <v>490</v>
      </c>
      <c r="D232">
        <v>2</v>
      </c>
      <c r="E232">
        <v>6</v>
      </c>
      <c r="F232">
        <v>120</v>
      </c>
      <c r="G232">
        <v>14</v>
      </c>
      <c r="H232">
        <v>9.5</v>
      </c>
      <c r="I232">
        <v>11.4</v>
      </c>
      <c r="J232">
        <v>12</v>
      </c>
      <c r="K232">
        <v>11</v>
      </c>
      <c r="L232">
        <v>70</v>
      </c>
    </row>
    <row r="233" spans="1:12" x14ac:dyDescent="0.25">
      <c r="A233" t="s">
        <v>482</v>
      </c>
      <c r="B233" t="s">
        <v>489</v>
      </c>
      <c r="C233" t="s">
        <v>490</v>
      </c>
      <c r="D233">
        <v>2</v>
      </c>
      <c r="E233">
        <v>6</v>
      </c>
      <c r="F233">
        <v>130</v>
      </c>
      <c r="G233">
        <v>14</v>
      </c>
      <c r="H233">
        <v>9.5</v>
      </c>
      <c r="I233">
        <v>11.4</v>
      </c>
      <c r="J233">
        <v>12</v>
      </c>
      <c r="K233">
        <v>11</v>
      </c>
      <c r="L233">
        <v>70</v>
      </c>
    </row>
    <row r="234" spans="1:12" x14ac:dyDescent="0.25">
      <c r="A234" t="s">
        <v>482</v>
      </c>
      <c r="B234" t="s">
        <v>489</v>
      </c>
      <c r="C234" t="s">
        <v>490</v>
      </c>
      <c r="D234">
        <v>2</v>
      </c>
      <c r="E234">
        <v>6</v>
      </c>
      <c r="F234">
        <v>140</v>
      </c>
      <c r="G234">
        <v>14</v>
      </c>
      <c r="H234">
        <v>9.5</v>
      </c>
      <c r="I234">
        <v>11.4</v>
      </c>
      <c r="J234">
        <v>12</v>
      </c>
      <c r="K234">
        <v>11</v>
      </c>
      <c r="L234">
        <v>70</v>
      </c>
    </row>
    <row r="235" spans="1:12" x14ac:dyDescent="0.25">
      <c r="A235" t="s">
        <v>482</v>
      </c>
      <c r="B235" t="s">
        <v>489</v>
      </c>
      <c r="C235" t="s">
        <v>490</v>
      </c>
      <c r="D235">
        <v>2</v>
      </c>
      <c r="E235">
        <v>6</v>
      </c>
      <c r="F235">
        <v>150</v>
      </c>
      <c r="G235">
        <v>14</v>
      </c>
      <c r="H235">
        <v>9.5</v>
      </c>
      <c r="I235">
        <v>11.4</v>
      </c>
      <c r="J235">
        <v>12</v>
      </c>
      <c r="K235">
        <v>11</v>
      </c>
      <c r="L235">
        <v>70</v>
      </c>
    </row>
    <row r="236" spans="1:12" x14ac:dyDescent="0.25">
      <c r="A236" t="s">
        <v>482</v>
      </c>
      <c r="B236" t="s">
        <v>489</v>
      </c>
      <c r="C236" t="s">
        <v>490</v>
      </c>
      <c r="D236">
        <v>2</v>
      </c>
      <c r="E236">
        <v>6</v>
      </c>
      <c r="F236">
        <v>160</v>
      </c>
      <c r="G236">
        <v>14</v>
      </c>
      <c r="H236">
        <v>9.5</v>
      </c>
      <c r="I236">
        <v>11.4</v>
      </c>
      <c r="J236">
        <v>12</v>
      </c>
      <c r="K236">
        <v>11</v>
      </c>
      <c r="L236">
        <v>70</v>
      </c>
    </row>
    <row r="237" spans="1:12" x14ac:dyDescent="0.25">
      <c r="A237" t="s">
        <v>482</v>
      </c>
      <c r="B237" t="s">
        <v>489</v>
      </c>
      <c r="C237" t="s">
        <v>490</v>
      </c>
      <c r="D237">
        <v>2</v>
      </c>
      <c r="E237">
        <v>6</v>
      </c>
      <c r="F237">
        <v>180</v>
      </c>
      <c r="G237">
        <v>14</v>
      </c>
      <c r="H237">
        <v>9.5</v>
      </c>
      <c r="I237">
        <v>11.4</v>
      </c>
      <c r="J237">
        <v>12</v>
      </c>
      <c r="K237">
        <v>11</v>
      </c>
      <c r="L237">
        <v>70</v>
      </c>
    </row>
    <row r="238" spans="1:12" x14ac:dyDescent="0.25">
      <c r="A238" t="s">
        <v>482</v>
      </c>
      <c r="B238" t="s">
        <v>489</v>
      </c>
      <c r="C238" t="s">
        <v>490</v>
      </c>
      <c r="D238">
        <v>2</v>
      </c>
      <c r="E238">
        <v>6</v>
      </c>
      <c r="F238">
        <v>200</v>
      </c>
      <c r="G238">
        <v>14</v>
      </c>
      <c r="H238">
        <v>9.5</v>
      </c>
      <c r="I238">
        <v>11.4</v>
      </c>
      <c r="J238">
        <v>12</v>
      </c>
      <c r="K238">
        <v>11</v>
      </c>
      <c r="L238">
        <v>70</v>
      </c>
    </row>
    <row r="239" spans="1:12" x14ac:dyDescent="0.25">
      <c r="A239" t="s">
        <v>482</v>
      </c>
      <c r="B239" t="s">
        <v>489</v>
      </c>
      <c r="C239" t="s">
        <v>490</v>
      </c>
      <c r="D239">
        <v>2</v>
      </c>
      <c r="E239">
        <v>6</v>
      </c>
      <c r="F239">
        <v>220</v>
      </c>
      <c r="G239">
        <v>14</v>
      </c>
      <c r="H239">
        <v>9.5</v>
      </c>
      <c r="I239">
        <v>11.4</v>
      </c>
      <c r="J239">
        <v>12</v>
      </c>
      <c r="K239">
        <v>11</v>
      </c>
      <c r="L239">
        <v>70</v>
      </c>
    </row>
    <row r="240" spans="1:12" x14ac:dyDescent="0.25">
      <c r="A240" t="s">
        <v>482</v>
      </c>
      <c r="B240" t="s">
        <v>489</v>
      </c>
      <c r="C240" t="s">
        <v>490</v>
      </c>
      <c r="D240">
        <v>2</v>
      </c>
      <c r="E240">
        <v>6</v>
      </c>
      <c r="F240">
        <v>240</v>
      </c>
      <c r="G240">
        <v>14</v>
      </c>
      <c r="H240">
        <v>9.5</v>
      </c>
      <c r="I240">
        <v>11.4</v>
      </c>
      <c r="J240">
        <v>12</v>
      </c>
      <c r="K240">
        <v>11</v>
      </c>
      <c r="L240">
        <v>70</v>
      </c>
    </row>
    <row r="241" spans="1:12" x14ac:dyDescent="0.25">
      <c r="A241" t="s">
        <v>482</v>
      </c>
      <c r="B241" t="s">
        <v>489</v>
      </c>
      <c r="C241" t="s">
        <v>490</v>
      </c>
      <c r="D241">
        <v>2</v>
      </c>
      <c r="E241">
        <v>6</v>
      </c>
      <c r="F241">
        <v>260</v>
      </c>
      <c r="G241">
        <v>14</v>
      </c>
      <c r="H241">
        <v>9.5</v>
      </c>
      <c r="I241">
        <v>11.4</v>
      </c>
      <c r="J241">
        <v>12</v>
      </c>
      <c r="K241">
        <v>11</v>
      </c>
      <c r="L241">
        <v>70</v>
      </c>
    </row>
    <row r="242" spans="1:12" x14ac:dyDescent="0.25">
      <c r="A242" t="s">
        <v>482</v>
      </c>
      <c r="B242" t="s">
        <v>489</v>
      </c>
      <c r="C242" t="s">
        <v>490</v>
      </c>
      <c r="D242">
        <v>2</v>
      </c>
      <c r="E242">
        <v>6</v>
      </c>
      <c r="F242">
        <v>280</v>
      </c>
      <c r="G242">
        <v>14</v>
      </c>
      <c r="H242">
        <v>9.5</v>
      </c>
      <c r="I242">
        <v>11.4</v>
      </c>
      <c r="J242">
        <v>12</v>
      </c>
      <c r="K242">
        <v>11</v>
      </c>
      <c r="L242">
        <v>70</v>
      </c>
    </row>
    <row r="243" spans="1:12" x14ac:dyDescent="0.25">
      <c r="A243" t="s">
        <v>482</v>
      </c>
      <c r="B243" t="s">
        <v>489</v>
      </c>
      <c r="C243" t="s">
        <v>490</v>
      </c>
      <c r="D243">
        <v>2</v>
      </c>
      <c r="E243">
        <v>6</v>
      </c>
      <c r="F243">
        <v>300</v>
      </c>
      <c r="G243">
        <v>14</v>
      </c>
      <c r="H243">
        <v>9.5</v>
      </c>
      <c r="I243">
        <v>11.4</v>
      </c>
      <c r="J243">
        <v>12</v>
      </c>
      <c r="K243">
        <v>11</v>
      </c>
      <c r="L243">
        <v>70</v>
      </c>
    </row>
    <row r="244" spans="1:12" x14ac:dyDescent="0.25">
      <c r="A244" t="s">
        <v>482</v>
      </c>
      <c r="B244" t="s">
        <v>489</v>
      </c>
      <c r="C244" t="s">
        <v>490</v>
      </c>
      <c r="D244">
        <v>2</v>
      </c>
      <c r="E244">
        <v>8</v>
      </c>
      <c r="F244">
        <v>60</v>
      </c>
      <c r="G244">
        <v>22</v>
      </c>
      <c r="H244">
        <v>20</v>
      </c>
      <c r="I244">
        <v>11.1</v>
      </c>
      <c r="J244">
        <v>12</v>
      </c>
      <c r="K244">
        <v>20</v>
      </c>
      <c r="L244">
        <v>48</v>
      </c>
    </row>
    <row r="245" spans="1:12" x14ac:dyDescent="0.25">
      <c r="A245" t="s">
        <v>482</v>
      </c>
      <c r="B245" t="s">
        <v>489</v>
      </c>
      <c r="C245" t="s">
        <v>490</v>
      </c>
      <c r="D245">
        <v>2</v>
      </c>
      <c r="E245">
        <v>8</v>
      </c>
      <c r="F245">
        <v>80</v>
      </c>
      <c r="G245">
        <v>22</v>
      </c>
      <c r="H245">
        <v>20</v>
      </c>
      <c r="I245">
        <v>11.1</v>
      </c>
      <c r="J245">
        <v>12</v>
      </c>
      <c r="K245">
        <v>20</v>
      </c>
      <c r="L245">
        <v>48</v>
      </c>
    </row>
    <row r="246" spans="1:12" x14ac:dyDescent="0.25">
      <c r="A246" t="s">
        <v>482</v>
      </c>
      <c r="B246" t="s">
        <v>489</v>
      </c>
      <c r="C246" t="s">
        <v>490</v>
      </c>
      <c r="D246">
        <v>2</v>
      </c>
      <c r="E246">
        <v>8</v>
      </c>
      <c r="F246">
        <v>100</v>
      </c>
      <c r="G246">
        <v>22</v>
      </c>
      <c r="H246">
        <v>20</v>
      </c>
      <c r="I246">
        <v>11.1</v>
      </c>
      <c r="J246">
        <v>12</v>
      </c>
      <c r="K246">
        <v>20</v>
      </c>
      <c r="L246">
        <v>60</v>
      </c>
    </row>
    <row r="247" spans="1:12" x14ac:dyDescent="0.25">
      <c r="A247" t="s">
        <v>482</v>
      </c>
      <c r="B247" t="s">
        <v>489</v>
      </c>
      <c r="C247" t="s">
        <v>490</v>
      </c>
      <c r="D247">
        <v>2</v>
      </c>
      <c r="E247">
        <v>8</v>
      </c>
      <c r="F247">
        <v>120</v>
      </c>
      <c r="G247">
        <v>22</v>
      </c>
      <c r="H247">
        <v>20</v>
      </c>
      <c r="I247">
        <v>11.1</v>
      </c>
      <c r="J247">
        <v>12</v>
      </c>
      <c r="K247">
        <v>20</v>
      </c>
      <c r="L247">
        <v>66</v>
      </c>
    </row>
    <row r="248" spans="1:12" x14ac:dyDescent="0.25">
      <c r="A248" t="s">
        <v>482</v>
      </c>
      <c r="B248" t="s">
        <v>489</v>
      </c>
      <c r="C248" t="s">
        <v>490</v>
      </c>
      <c r="D248">
        <v>2</v>
      </c>
      <c r="E248">
        <v>8</v>
      </c>
      <c r="F248">
        <v>140</v>
      </c>
      <c r="G248">
        <v>22</v>
      </c>
      <c r="H248">
        <v>20</v>
      </c>
      <c r="I248">
        <v>11.1</v>
      </c>
      <c r="J248">
        <v>12</v>
      </c>
      <c r="K248">
        <v>20</v>
      </c>
      <c r="L248">
        <v>95</v>
      </c>
    </row>
    <row r="249" spans="1:12" x14ac:dyDescent="0.25">
      <c r="A249" t="s">
        <v>482</v>
      </c>
      <c r="B249" t="s">
        <v>489</v>
      </c>
      <c r="C249" t="s">
        <v>490</v>
      </c>
      <c r="D249">
        <v>2</v>
      </c>
      <c r="E249">
        <v>8</v>
      </c>
      <c r="F249">
        <v>160</v>
      </c>
      <c r="G249">
        <v>22</v>
      </c>
      <c r="H249">
        <v>20</v>
      </c>
      <c r="I249">
        <v>11.1</v>
      </c>
      <c r="J249">
        <v>12</v>
      </c>
      <c r="K249">
        <v>20</v>
      </c>
      <c r="L249">
        <v>95</v>
      </c>
    </row>
    <row r="250" spans="1:12" x14ac:dyDescent="0.25">
      <c r="A250" t="s">
        <v>482</v>
      </c>
      <c r="B250" t="s">
        <v>489</v>
      </c>
      <c r="C250" t="s">
        <v>490</v>
      </c>
      <c r="D250">
        <v>2</v>
      </c>
      <c r="E250">
        <v>8</v>
      </c>
      <c r="F250">
        <v>180</v>
      </c>
      <c r="G250">
        <v>22</v>
      </c>
      <c r="H250">
        <v>20</v>
      </c>
      <c r="I250">
        <v>11.1</v>
      </c>
      <c r="J250">
        <v>12</v>
      </c>
      <c r="K250">
        <v>20</v>
      </c>
      <c r="L250">
        <v>95</v>
      </c>
    </row>
    <row r="251" spans="1:12" x14ac:dyDescent="0.25">
      <c r="A251" t="s">
        <v>482</v>
      </c>
      <c r="B251" t="s">
        <v>489</v>
      </c>
      <c r="C251" t="s">
        <v>490</v>
      </c>
      <c r="D251">
        <v>2</v>
      </c>
      <c r="E251">
        <v>8</v>
      </c>
      <c r="F251">
        <v>200</v>
      </c>
      <c r="G251">
        <v>22</v>
      </c>
      <c r="H251">
        <v>20</v>
      </c>
      <c r="I251">
        <v>11.1</v>
      </c>
      <c r="J251">
        <v>12</v>
      </c>
      <c r="K251">
        <v>20</v>
      </c>
      <c r="L251">
        <v>95</v>
      </c>
    </row>
    <row r="252" spans="1:12" x14ac:dyDescent="0.25">
      <c r="A252" t="s">
        <v>482</v>
      </c>
      <c r="B252" t="s">
        <v>489</v>
      </c>
      <c r="C252" t="s">
        <v>490</v>
      </c>
      <c r="D252">
        <v>2</v>
      </c>
      <c r="E252">
        <v>8</v>
      </c>
      <c r="F252">
        <v>220</v>
      </c>
      <c r="G252">
        <v>22</v>
      </c>
      <c r="H252">
        <v>20</v>
      </c>
      <c r="I252">
        <v>11.1</v>
      </c>
      <c r="J252">
        <v>12</v>
      </c>
      <c r="K252">
        <v>20</v>
      </c>
      <c r="L252">
        <v>95</v>
      </c>
    </row>
    <row r="253" spans="1:12" x14ac:dyDescent="0.25">
      <c r="A253" t="s">
        <v>482</v>
      </c>
      <c r="B253" t="s">
        <v>489</v>
      </c>
      <c r="C253" t="s">
        <v>490</v>
      </c>
      <c r="D253">
        <v>2</v>
      </c>
      <c r="E253">
        <v>8</v>
      </c>
      <c r="F253">
        <v>240</v>
      </c>
      <c r="G253">
        <v>22</v>
      </c>
      <c r="H253">
        <v>20</v>
      </c>
      <c r="I253">
        <v>11.1</v>
      </c>
      <c r="J253">
        <v>12</v>
      </c>
      <c r="K253">
        <v>20</v>
      </c>
      <c r="L253">
        <v>95</v>
      </c>
    </row>
    <row r="254" spans="1:12" x14ac:dyDescent="0.25">
      <c r="A254" t="s">
        <v>482</v>
      </c>
      <c r="B254" t="s">
        <v>489</v>
      </c>
      <c r="C254" t="s">
        <v>490</v>
      </c>
      <c r="D254">
        <v>2</v>
      </c>
      <c r="E254">
        <v>8</v>
      </c>
      <c r="F254">
        <v>260</v>
      </c>
      <c r="G254">
        <v>22</v>
      </c>
      <c r="H254">
        <v>20</v>
      </c>
      <c r="I254">
        <v>11.1</v>
      </c>
      <c r="J254">
        <v>12</v>
      </c>
      <c r="K254">
        <v>20</v>
      </c>
      <c r="L254">
        <v>95</v>
      </c>
    </row>
    <row r="255" spans="1:12" x14ac:dyDescent="0.25">
      <c r="A255" t="s">
        <v>482</v>
      </c>
      <c r="B255" t="s">
        <v>489</v>
      </c>
      <c r="C255" t="s">
        <v>490</v>
      </c>
      <c r="D255">
        <v>2</v>
      </c>
      <c r="E255">
        <v>8</v>
      </c>
      <c r="F255">
        <v>280</v>
      </c>
      <c r="G255">
        <v>22</v>
      </c>
      <c r="H255">
        <v>20</v>
      </c>
      <c r="I255">
        <v>11.1</v>
      </c>
      <c r="J255">
        <v>12</v>
      </c>
      <c r="K255">
        <v>20</v>
      </c>
      <c r="L255">
        <v>95</v>
      </c>
    </row>
    <row r="256" spans="1:12" x14ac:dyDescent="0.25">
      <c r="A256" t="s">
        <v>482</v>
      </c>
      <c r="B256" t="s">
        <v>489</v>
      </c>
      <c r="C256" t="s">
        <v>490</v>
      </c>
      <c r="D256">
        <v>2</v>
      </c>
      <c r="E256">
        <v>8</v>
      </c>
      <c r="F256">
        <v>300</v>
      </c>
      <c r="G256">
        <v>22</v>
      </c>
      <c r="H256">
        <v>20</v>
      </c>
      <c r="I256">
        <v>11.1</v>
      </c>
      <c r="J256">
        <v>12</v>
      </c>
      <c r="K256">
        <v>20</v>
      </c>
      <c r="L256">
        <v>95</v>
      </c>
    </row>
    <row r="257" spans="1:12" x14ac:dyDescent="0.25">
      <c r="A257" t="s">
        <v>482</v>
      </c>
      <c r="B257" t="s">
        <v>489</v>
      </c>
      <c r="C257" t="s">
        <v>490</v>
      </c>
      <c r="D257">
        <v>2</v>
      </c>
      <c r="E257">
        <v>8</v>
      </c>
      <c r="F257">
        <v>320</v>
      </c>
      <c r="G257">
        <v>22</v>
      </c>
      <c r="H257">
        <v>20</v>
      </c>
      <c r="I257">
        <v>11.1</v>
      </c>
      <c r="J257">
        <v>12</v>
      </c>
      <c r="K257">
        <v>20</v>
      </c>
      <c r="L257">
        <v>95</v>
      </c>
    </row>
    <row r="258" spans="1:12" x14ac:dyDescent="0.25">
      <c r="A258" t="s">
        <v>482</v>
      </c>
      <c r="B258" t="s">
        <v>489</v>
      </c>
      <c r="C258" t="s">
        <v>490</v>
      </c>
      <c r="D258">
        <v>2</v>
      </c>
      <c r="E258">
        <v>8</v>
      </c>
      <c r="F258">
        <v>340</v>
      </c>
      <c r="G258">
        <v>22</v>
      </c>
      <c r="H258">
        <v>20</v>
      </c>
      <c r="I258">
        <v>11.1</v>
      </c>
      <c r="J258">
        <v>12</v>
      </c>
      <c r="K258">
        <v>20</v>
      </c>
      <c r="L258">
        <v>95</v>
      </c>
    </row>
    <row r="259" spans="1:12" x14ac:dyDescent="0.25">
      <c r="A259" t="s">
        <v>482</v>
      </c>
      <c r="B259" t="s">
        <v>489</v>
      </c>
      <c r="C259" t="s">
        <v>490</v>
      </c>
      <c r="D259">
        <v>2</v>
      </c>
      <c r="E259">
        <v>8</v>
      </c>
      <c r="F259">
        <v>360</v>
      </c>
      <c r="G259">
        <v>22</v>
      </c>
      <c r="H259">
        <v>20</v>
      </c>
      <c r="I259">
        <v>11.1</v>
      </c>
      <c r="J259">
        <v>12</v>
      </c>
      <c r="K259">
        <v>20</v>
      </c>
      <c r="L259">
        <v>95</v>
      </c>
    </row>
    <row r="260" spans="1:12" x14ac:dyDescent="0.25">
      <c r="A260" t="s">
        <v>482</v>
      </c>
      <c r="B260" t="s">
        <v>489</v>
      </c>
      <c r="C260" t="s">
        <v>490</v>
      </c>
      <c r="D260">
        <v>2</v>
      </c>
      <c r="E260">
        <v>8</v>
      </c>
      <c r="F260">
        <v>380</v>
      </c>
      <c r="G260">
        <v>22</v>
      </c>
      <c r="H260">
        <v>20</v>
      </c>
      <c r="I260">
        <v>11.1</v>
      </c>
      <c r="J260">
        <v>12</v>
      </c>
      <c r="K260">
        <v>20</v>
      </c>
      <c r="L260">
        <v>95</v>
      </c>
    </row>
    <row r="261" spans="1:12" x14ac:dyDescent="0.25">
      <c r="A261" t="s">
        <v>482</v>
      </c>
      <c r="B261" t="s">
        <v>489</v>
      </c>
      <c r="C261" t="s">
        <v>490</v>
      </c>
      <c r="D261">
        <v>2</v>
      </c>
      <c r="E261">
        <v>8</v>
      </c>
      <c r="F261">
        <v>400</v>
      </c>
      <c r="G261">
        <v>22</v>
      </c>
      <c r="H261">
        <v>20</v>
      </c>
      <c r="I261">
        <v>11.1</v>
      </c>
      <c r="J261">
        <v>12</v>
      </c>
      <c r="K261">
        <v>20</v>
      </c>
      <c r="L261">
        <v>95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8</v>
      </c>
      <c r="F262">
        <v>420</v>
      </c>
      <c r="G262">
        <v>22</v>
      </c>
      <c r="H262">
        <v>20</v>
      </c>
      <c r="I262">
        <v>11.1</v>
      </c>
      <c r="J262">
        <v>12</v>
      </c>
      <c r="K262">
        <v>20</v>
      </c>
      <c r="L262">
        <v>95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8</v>
      </c>
      <c r="F263">
        <v>440</v>
      </c>
      <c r="G263">
        <v>22</v>
      </c>
      <c r="H263">
        <v>20</v>
      </c>
      <c r="I263">
        <v>11.1</v>
      </c>
      <c r="J263">
        <v>12</v>
      </c>
      <c r="K263">
        <v>20</v>
      </c>
      <c r="L263">
        <v>95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8</v>
      </c>
      <c r="F264">
        <v>460</v>
      </c>
      <c r="G264">
        <v>22</v>
      </c>
      <c r="H264">
        <v>20</v>
      </c>
      <c r="I264">
        <v>11.1</v>
      </c>
      <c r="J264">
        <v>12</v>
      </c>
      <c r="K264">
        <v>20</v>
      </c>
      <c r="L264">
        <v>95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8</v>
      </c>
      <c r="F265">
        <v>480</v>
      </c>
      <c r="G265">
        <v>22</v>
      </c>
      <c r="H265">
        <v>20</v>
      </c>
      <c r="I265">
        <v>11.1</v>
      </c>
      <c r="J265">
        <v>12</v>
      </c>
      <c r="K265">
        <v>20</v>
      </c>
      <c r="L265">
        <v>95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8</v>
      </c>
      <c r="F266">
        <v>500</v>
      </c>
      <c r="G266">
        <v>22</v>
      </c>
      <c r="H266">
        <v>20</v>
      </c>
      <c r="I266">
        <v>11.1</v>
      </c>
      <c r="J266">
        <v>12</v>
      </c>
      <c r="K266">
        <v>20</v>
      </c>
      <c r="L266">
        <v>95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8</v>
      </c>
      <c r="F267">
        <v>550</v>
      </c>
      <c r="G267">
        <v>22</v>
      </c>
      <c r="H267">
        <v>20</v>
      </c>
      <c r="I267">
        <v>11.1</v>
      </c>
      <c r="J267">
        <v>12</v>
      </c>
      <c r="K267">
        <v>20</v>
      </c>
      <c r="L267">
        <v>95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8</v>
      </c>
      <c r="F268">
        <v>600</v>
      </c>
      <c r="G268">
        <v>22</v>
      </c>
      <c r="H268">
        <v>20</v>
      </c>
      <c r="I268">
        <v>11.1</v>
      </c>
      <c r="J268">
        <v>12</v>
      </c>
      <c r="K268">
        <v>20</v>
      </c>
      <c r="L268">
        <v>95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10</v>
      </c>
      <c r="F269">
        <v>80</v>
      </c>
      <c r="G269">
        <v>25</v>
      </c>
      <c r="H269">
        <v>35.799999999999997</v>
      </c>
      <c r="I269">
        <v>10.8</v>
      </c>
      <c r="J269">
        <v>12</v>
      </c>
      <c r="K269">
        <v>20</v>
      </c>
      <c r="L269">
        <v>50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10</v>
      </c>
      <c r="F270">
        <v>100</v>
      </c>
      <c r="G270">
        <v>25</v>
      </c>
      <c r="H270">
        <v>35.799999999999997</v>
      </c>
      <c r="I270">
        <v>10.8</v>
      </c>
      <c r="J270">
        <v>12</v>
      </c>
      <c r="K270">
        <v>20</v>
      </c>
      <c r="L270">
        <v>60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10</v>
      </c>
      <c r="F271">
        <v>120</v>
      </c>
      <c r="G271">
        <v>25</v>
      </c>
      <c r="H271">
        <v>35.799999999999997</v>
      </c>
      <c r="I271">
        <v>10.8</v>
      </c>
      <c r="J271">
        <v>12</v>
      </c>
      <c r="K271">
        <v>20</v>
      </c>
      <c r="L271">
        <v>70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10</v>
      </c>
      <c r="F272">
        <v>140</v>
      </c>
      <c r="G272">
        <v>25</v>
      </c>
      <c r="H272">
        <v>35.799999999999997</v>
      </c>
      <c r="I272">
        <v>10.8</v>
      </c>
      <c r="J272">
        <v>12</v>
      </c>
      <c r="K272">
        <v>20</v>
      </c>
      <c r="L272">
        <v>100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10</v>
      </c>
      <c r="F273">
        <v>160</v>
      </c>
      <c r="G273">
        <v>25</v>
      </c>
      <c r="H273">
        <v>35.799999999999997</v>
      </c>
      <c r="I273">
        <v>10.8</v>
      </c>
      <c r="J273">
        <v>12</v>
      </c>
      <c r="K273">
        <v>20</v>
      </c>
      <c r="L273">
        <v>90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10</v>
      </c>
      <c r="F274">
        <v>180</v>
      </c>
      <c r="G274">
        <v>25</v>
      </c>
      <c r="H274">
        <v>35.799999999999997</v>
      </c>
      <c r="I274">
        <v>10.8</v>
      </c>
      <c r="J274">
        <v>12</v>
      </c>
      <c r="K274">
        <v>20</v>
      </c>
      <c r="L274">
        <v>100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10</v>
      </c>
      <c r="F275">
        <v>200</v>
      </c>
      <c r="G275">
        <v>25</v>
      </c>
      <c r="H275">
        <v>35.799999999999997</v>
      </c>
      <c r="I275">
        <v>10.8</v>
      </c>
      <c r="J275">
        <v>12</v>
      </c>
      <c r="K275">
        <v>20</v>
      </c>
      <c r="L275">
        <v>100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10</v>
      </c>
      <c r="F276">
        <v>220</v>
      </c>
      <c r="G276">
        <v>25</v>
      </c>
      <c r="H276">
        <v>35.799999999999997</v>
      </c>
      <c r="I276">
        <v>10.8</v>
      </c>
      <c r="J276">
        <v>12</v>
      </c>
      <c r="K276">
        <v>20</v>
      </c>
      <c r="L276">
        <v>100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10</v>
      </c>
      <c r="F277">
        <v>240</v>
      </c>
      <c r="G277">
        <v>25</v>
      </c>
      <c r="H277">
        <v>35.799999999999997</v>
      </c>
      <c r="I277">
        <v>10.8</v>
      </c>
      <c r="J277">
        <v>12</v>
      </c>
      <c r="K277">
        <v>20</v>
      </c>
      <c r="L277">
        <v>100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10</v>
      </c>
      <c r="F278">
        <v>260</v>
      </c>
      <c r="G278">
        <v>25</v>
      </c>
      <c r="H278">
        <v>35.799999999999997</v>
      </c>
      <c r="I278">
        <v>10.8</v>
      </c>
      <c r="J278">
        <v>12</v>
      </c>
      <c r="K278">
        <v>20</v>
      </c>
      <c r="L278">
        <v>100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10</v>
      </c>
      <c r="F279">
        <v>280</v>
      </c>
      <c r="G279">
        <v>25</v>
      </c>
      <c r="H279">
        <v>35.799999999999997</v>
      </c>
      <c r="I279">
        <v>10.8</v>
      </c>
      <c r="J279">
        <v>12</v>
      </c>
      <c r="K279">
        <v>20</v>
      </c>
      <c r="L279">
        <v>100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10</v>
      </c>
      <c r="F280">
        <v>300</v>
      </c>
      <c r="G280">
        <v>25</v>
      </c>
      <c r="H280">
        <v>35.799999999999997</v>
      </c>
      <c r="I280">
        <v>10.8</v>
      </c>
      <c r="J280">
        <v>12</v>
      </c>
      <c r="K280">
        <v>20</v>
      </c>
      <c r="L280">
        <v>100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10</v>
      </c>
      <c r="F281">
        <v>320</v>
      </c>
      <c r="G281">
        <v>25</v>
      </c>
      <c r="H281">
        <v>35.799999999999997</v>
      </c>
      <c r="I281">
        <v>10.8</v>
      </c>
      <c r="J281">
        <v>12</v>
      </c>
      <c r="K281">
        <v>20</v>
      </c>
      <c r="L281">
        <v>100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10</v>
      </c>
      <c r="F282">
        <v>340</v>
      </c>
      <c r="G282">
        <v>25</v>
      </c>
      <c r="H282">
        <v>35.799999999999997</v>
      </c>
      <c r="I282">
        <v>10.8</v>
      </c>
      <c r="J282">
        <v>12</v>
      </c>
      <c r="K282">
        <v>20</v>
      </c>
      <c r="L282">
        <v>100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10</v>
      </c>
      <c r="F283">
        <v>360</v>
      </c>
      <c r="G283">
        <v>25</v>
      </c>
      <c r="H283">
        <v>35.799999999999997</v>
      </c>
      <c r="I283">
        <v>10.8</v>
      </c>
      <c r="J283">
        <v>12</v>
      </c>
      <c r="K283">
        <v>20</v>
      </c>
      <c r="L283">
        <v>100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10</v>
      </c>
      <c r="F284">
        <v>380</v>
      </c>
      <c r="G284">
        <v>25</v>
      </c>
      <c r="H284">
        <v>35.799999999999997</v>
      </c>
      <c r="I284">
        <v>10.8</v>
      </c>
      <c r="J284">
        <v>12</v>
      </c>
      <c r="K284">
        <v>20</v>
      </c>
      <c r="L284">
        <v>100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10</v>
      </c>
      <c r="F285">
        <v>400</v>
      </c>
      <c r="G285">
        <v>25</v>
      </c>
      <c r="H285">
        <v>35.799999999999997</v>
      </c>
      <c r="I285">
        <v>10.8</v>
      </c>
      <c r="J285">
        <v>12</v>
      </c>
      <c r="K285">
        <v>20</v>
      </c>
      <c r="L285">
        <v>100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sheetPr>
    <tabColor theme="9" tint="-0.249977111117893"/>
  </sheetPr>
  <dimension ref="A1:Y665"/>
  <sheetViews>
    <sheetView workbookViewId="0">
      <pane ySplit="600" topLeftCell="A191" activePane="bottomLeft"/>
      <selection activeCell="M1" sqref="M1"/>
      <selection pane="bottomLeft" activeCell="P26" sqref="P2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7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7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7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7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7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7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7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7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7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7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7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7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7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7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7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7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7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7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7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7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sheetPr>
    <tabColor theme="5" tint="0.59999389629810485"/>
  </sheetPr>
  <dimension ref="A1:Y275"/>
  <sheetViews>
    <sheetView workbookViewId="0">
      <pane ySplit="600" activePane="bottomLeft"/>
      <selection activeCell="M1" sqref="M1"/>
      <selection pane="bottomLeft" activeCell="D42" sqref="D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24"/>
  <sheetViews>
    <sheetView workbookViewId="0">
      <pane ySplit="1" topLeftCell="A2" activePane="bottomLeft" state="frozen"/>
      <selection activeCell="J36" sqref="J36"/>
      <selection pane="bottomLeft" activeCell="A2" sqref="A2:K10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6.68</v>
      </c>
      <c r="I2">
        <v>6.43</v>
      </c>
      <c r="K2">
        <v>6.5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6.68</v>
      </c>
      <c r="I3">
        <v>6.43</v>
      </c>
      <c r="K3">
        <v>6.5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6.68</v>
      </c>
      <c r="I4">
        <v>6.43</v>
      </c>
      <c r="K4">
        <v>6.5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6.68</v>
      </c>
      <c r="I5">
        <v>6.43</v>
      </c>
      <c r="K5">
        <v>6.5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6.68</v>
      </c>
      <c r="I6">
        <v>6.43</v>
      </c>
      <c r="K6">
        <v>6.5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20.2</v>
      </c>
      <c r="I7">
        <v>6.43</v>
      </c>
      <c r="K7">
        <v>17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20.2</v>
      </c>
      <c r="I8">
        <v>6.43</v>
      </c>
      <c r="K8">
        <v>17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20.2</v>
      </c>
      <c r="I9">
        <v>6.43</v>
      </c>
      <c r="K9">
        <v>17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7.18</v>
      </c>
      <c r="I10">
        <v>6.43</v>
      </c>
      <c r="K10">
        <v>6.5</v>
      </c>
    </row>
    <row r="13" spans="1:16" x14ac:dyDescent="0.25">
      <c r="G13" s="80"/>
      <c r="H13" s="80"/>
      <c r="I13" s="80"/>
      <c r="J13" s="80"/>
      <c r="K13" s="80"/>
    </row>
    <row r="14" spans="1:16" x14ac:dyDescent="0.25">
      <c r="G14" s="80"/>
      <c r="H14" s="80"/>
      <c r="I14" s="80"/>
      <c r="J14" s="80"/>
      <c r="K14" s="80"/>
    </row>
    <row r="15" spans="1:16" x14ac:dyDescent="0.25">
      <c r="G15" s="80"/>
      <c r="H15" s="80"/>
      <c r="I15" s="80"/>
      <c r="J15" s="80"/>
      <c r="K15" s="80"/>
    </row>
    <row r="16" spans="1:16" x14ac:dyDescent="0.25">
      <c r="G16" s="80"/>
      <c r="H16" s="80"/>
      <c r="I16" s="80"/>
      <c r="J16" s="80"/>
      <c r="K16" s="80"/>
    </row>
    <row r="17" spans="7:11" x14ac:dyDescent="0.25">
      <c r="G17" s="80"/>
      <c r="H17" s="80"/>
      <c r="I17" s="80"/>
      <c r="J17" s="80"/>
      <c r="K17" s="80"/>
    </row>
    <row r="18" spans="7:11" x14ac:dyDescent="0.25">
      <c r="G18" s="80"/>
      <c r="H18" s="80"/>
      <c r="I18" s="80"/>
      <c r="J18" s="80"/>
      <c r="K18" s="80"/>
    </row>
    <row r="19" spans="7:11" x14ac:dyDescent="0.25">
      <c r="G19" s="80"/>
      <c r="H19" s="80"/>
      <c r="I19" s="80"/>
      <c r="J19" s="80"/>
      <c r="K19" s="80"/>
    </row>
    <row r="20" spans="7:11" x14ac:dyDescent="0.25">
      <c r="G20" s="80"/>
      <c r="H20" s="80"/>
      <c r="I20" s="80"/>
      <c r="J20" s="80"/>
      <c r="K20" s="80"/>
    </row>
    <row r="21" spans="7:11" x14ac:dyDescent="0.25">
      <c r="G21" s="80"/>
      <c r="H21" s="80"/>
      <c r="I21" s="80"/>
      <c r="J21" s="80"/>
      <c r="K21" s="80"/>
    </row>
    <row r="22" spans="7:11" x14ac:dyDescent="0.25">
      <c r="G22" s="80"/>
      <c r="H22" s="80"/>
      <c r="I22" s="80"/>
      <c r="J22" s="80"/>
      <c r="K22" s="80"/>
    </row>
    <row r="23" spans="7:11" x14ac:dyDescent="0.25">
      <c r="G23" s="80"/>
      <c r="H23" s="80"/>
      <c r="I23" s="80"/>
      <c r="J23" s="80"/>
      <c r="K23" s="80"/>
    </row>
    <row r="24" spans="7:11" x14ac:dyDescent="0.25">
      <c r="G24" s="80"/>
      <c r="H24" s="80"/>
      <c r="I24" s="80"/>
      <c r="J24" s="80"/>
      <c r="K24" s="8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zoomScale="110" zoomScaleNormal="110" workbookViewId="0">
      <pane ySplit="1" topLeftCell="A2" activePane="bottomLeft" state="frozen"/>
      <selection activeCell="J36" sqref="J36"/>
      <selection pane="bottomLeft" activeCell="A6" sqref="A6:L40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13.5</v>
      </c>
      <c r="H6">
        <v>33.4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13.5</v>
      </c>
      <c r="H7">
        <v>33.4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13.5</v>
      </c>
      <c r="H8">
        <v>33.4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13.5</v>
      </c>
      <c r="H9">
        <v>33.4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13.5</v>
      </c>
      <c r="H10">
        <v>33.4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16.5</v>
      </c>
      <c r="H11">
        <v>45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16.5</v>
      </c>
      <c r="H12">
        <v>45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16.5</v>
      </c>
      <c r="H13">
        <v>45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16.5</v>
      </c>
      <c r="H14">
        <v>45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16.5</v>
      </c>
      <c r="H15">
        <v>45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18.5</v>
      </c>
      <c r="H16">
        <v>65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18.5</v>
      </c>
      <c r="H17">
        <v>65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18.5</v>
      </c>
      <c r="H18">
        <v>65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18.5</v>
      </c>
      <c r="H19">
        <v>65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18.5</v>
      </c>
      <c r="H20">
        <v>65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16.5</v>
      </c>
      <c r="H21">
        <v>45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16.5</v>
      </c>
      <c r="H22">
        <v>45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16.5</v>
      </c>
      <c r="H23">
        <v>45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16.5</v>
      </c>
      <c r="H24">
        <v>45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16.5</v>
      </c>
      <c r="H25">
        <v>45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16.5</v>
      </c>
      <c r="H26">
        <v>45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16.5</v>
      </c>
      <c r="H27">
        <v>45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13.5</v>
      </c>
      <c r="H28">
        <v>33.4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13.5</v>
      </c>
      <c r="H29">
        <v>33.4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13.5</v>
      </c>
      <c r="H30">
        <v>33.4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13.5</v>
      </c>
      <c r="H31">
        <v>33.4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13.5</v>
      </c>
      <c r="H32">
        <v>33.4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13.5</v>
      </c>
      <c r="H33">
        <v>33.4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 s="1">
        <v>3</v>
      </c>
      <c r="E34">
        <v>8</v>
      </c>
      <c r="F34">
        <v>40</v>
      </c>
      <c r="G34">
        <v>13.5</v>
      </c>
      <c r="H34">
        <v>33.4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4">
        <f t="shared" ref="O2:O7" si="2">N2^2*PI()/4</f>
        <v>324.29278662239852</v>
      </c>
      <c r="P2" s="54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4">
        <f t="shared" si="2"/>
        <v>324.29278662239852</v>
      </c>
      <c r="P3" s="54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4">
        <f t="shared" si="2"/>
        <v>324.29278662239852</v>
      </c>
      <c r="P4" s="54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4">
        <f t="shared" si="2"/>
        <v>324.29278662239852</v>
      </c>
      <c r="P5" s="54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4">
        <f t="shared" si="2"/>
        <v>324.29278662239852</v>
      </c>
      <c r="P6" s="54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4">
        <f t="shared" si="2"/>
        <v>324.29278662239852</v>
      </c>
      <c r="P7" s="54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4">
        <f t="shared" ref="O8" si="5">N8^2*PI()/4</f>
        <v>324.29278662239852</v>
      </c>
      <c r="P8" s="54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4">
        <f t="shared" ref="O9:O13" si="8">N9^2*PI()/4</f>
        <v>225.11467004397724</v>
      </c>
      <c r="P9" s="54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4">
        <f t="shared" si="8"/>
        <v>225.11467004397724</v>
      </c>
      <c r="P10" s="54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4">
        <f t="shared" si="8"/>
        <v>225.11467004397724</v>
      </c>
      <c r="P11" s="54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4">
        <f t="shared" si="8"/>
        <v>225.11467004397724</v>
      </c>
      <c r="P12" s="54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4">
        <f t="shared" si="8"/>
        <v>225.11467004397724</v>
      </c>
      <c r="P13" s="54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4">
        <f t="shared" ref="O14" si="11">N14^2*PI()/4</f>
        <v>225.11467004397724</v>
      </c>
      <c r="P14" s="54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4">
        <f>N147^2*PI()/4</f>
        <v>32.87747397816424</v>
      </c>
      <c r="P147" s="54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4">
        <f t="shared" ref="O148:O168" si="19">N148^2*PI()/4</f>
        <v>52.296207948717132</v>
      </c>
      <c r="P148" s="54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4">
        <f t="shared" si="19"/>
        <v>76.201293308228927</v>
      </c>
      <c r="P149" s="54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4">
        <f t="shared" si="19"/>
        <v>104.77407849262809</v>
      </c>
      <c r="P150" s="54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4">
        <f t="shared" si="19"/>
        <v>144.20106629518003</v>
      </c>
      <c r="P151" s="54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4">
        <f t="shared" si="19"/>
        <v>175.06909907229186</v>
      </c>
      <c r="P152" s="54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4">
        <f t="shared" si="19"/>
        <v>225.11467004397724</v>
      </c>
      <c r="P153" s="54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4">
        <f t="shared" si="19"/>
        <v>281.44342632284224</v>
      </c>
      <c r="P154" s="54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4">
        <f t="shared" si="19"/>
        <v>324.29278662239852</v>
      </c>
      <c r="P155" s="54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4">
        <f t="shared" si="19"/>
        <v>427.1171141743925</v>
      </c>
      <c r="P156" s="54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4">
        <f t="shared" si="19"/>
        <v>519.15140613818323</v>
      </c>
      <c r="P157" s="54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4">
        <f t="shared" si="19"/>
        <v>32.87747397816424</v>
      </c>
      <c r="P158" s="54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4">
        <f t="shared" si="19"/>
        <v>52.296207948717132</v>
      </c>
      <c r="P159" s="54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4">
        <f t="shared" si="19"/>
        <v>76.201293308228927</v>
      </c>
      <c r="P160" s="54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4">
        <f t="shared" si="19"/>
        <v>104.77407849262809</v>
      </c>
      <c r="P161" s="54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4">
        <f t="shared" si="19"/>
        <v>144.20106629518003</v>
      </c>
      <c r="P162" s="54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4">
        <f t="shared" si="19"/>
        <v>175.06909907229186</v>
      </c>
      <c r="P163" s="54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4">
        <f t="shared" si="19"/>
        <v>225.11467004397724</v>
      </c>
      <c r="P164" s="54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4">
        <f t="shared" si="19"/>
        <v>281.44342632284224</v>
      </c>
      <c r="P165" s="54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4">
        <f t="shared" si="19"/>
        <v>324.29278662239852</v>
      </c>
      <c r="P166" s="54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4">
        <f t="shared" si="19"/>
        <v>427.1171141743925</v>
      </c>
      <c r="P167" s="54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4">
        <f t="shared" si="19"/>
        <v>519.15140613818323</v>
      </c>
      <c r="P168" s="54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3" sqref="J33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s="79" t="s">
        <v>308</v>
      </c>
      <c r="I1" s="79" t="s">
        <v>316</v>
      </c>
      <c r="J1" s="79" t="s">
        <v>317</v>
      </c>
      <c r="K1" s="79"/>
      <c r="L1" s="79"/>
      <c r="M1" s="79" t="s">
        <v>309</v>
      </c>
      <c r="N1" s="79" t="s">
        <v>310</v>
      </c>
      <c r="O1" s="79"/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82">
        <f>7.5*I2/1000</f>
        <v>2.9772873578070471</v>
      </c>
      <c r="I2" s="83">
        <f>(F2^2-E2^2)*PI()/4</f>
        <v>396.97164770760628</v>
      </c>
      <c r="J2" s="81">
        <f>H2/I2*1000</f>
        <v>7.5</v>
      </c>
      <c r="K2" s="79"/>
      <c r="L2" s="79"/>
      <c r="M2" s="79">
        <f t="shared" ref="M2:M30" si="0">12*G2</f>
        <v>24</v>
      </c>
      <c r="N2" s="79">
        <f t="shared" ref="N2:N30" si="1">4*D2</f>
        <v>32</v>
      </c>
      <c r="O2" s="79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 s="79">
        <v>4.6500000000000004</v>
      </c>
      <c r="I3" s="83">
        <f t="shared" ref="I3:I30" si="2">(F3^2-E3^2)*PI()/4</f>
        <v>620.26819954313476</v>
      </c>
      <c r="J3" s="81">
        <f t="shared" ref="J3:J30" si="3">H3/I3*1000</f>
        <v>7.4967570535213772</v>
      </c>
      <c r="K3" s="79"/>
      <c r="L3" s="79"/>
      <c r="M3" s="79">
        <f t="shared" si="0"/>
        <v>30</v>
      </c>
      <c r="N3" s="79">
        <f t="shared" si="1"/>
        <v>40</v>
      </c>
      <c r="O3" s="79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 s="79">
        <v>7.07</v>
      </c>
      <c r="I4" s="83">
        <f t="shared" si="2"/>
        <v>942.47779607693792</v>
      </c>
      <c r="J4" s="81">
        <f t="shared" si="3"/>
        <v>7.5015029843980008</v>
      </c>
      <c r="K4" s="79"/>
      <c r="L4" s="79"/>
      <c r="M4" s="79">
        <f t="shared" si="0"/>
        <v>36</v>
      </c>
      <c r="N4" s="79">
        <f t="shared" si="1"/>
        <v>48</v>
      </c>
      <c r="O4" s="79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82">
        <f>7.5*I5/1000</f>
        <v>10.078621931797754</v>
      </c>
      <c r="I5" s="83">
        <f t="shared" si="2"/>
        <v>1343.8162575730339</v>
      </c>
      <c r="J5" s="81">
        <f t="shared" si="3"/>
        <v>7.5</v>
      </c>
      <c r="K5" s="79"/>
      <c r="L5" s="79"/>
      <c r="M5" s="79">
        <f t="shared" si="0"/>
        <v>36</v>
      </c>
      <c r="N5" s="79">
        <f t="shared" si="1"/>
        <v>56</v>
      </c>
      <c r="O5" s="79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 s="79">
        <v>13.02</v>
      </c>
      <c r="I6" s="83">
        <f t="shared" si="2"/>
        <v>1736.5153392717582</v>
      </c>
      <c r="J6" s="81">
        <f t="shared" si="3"/>
        <v>7.4977742525788411</v>
      </c>
      <c r="K6" s="79"/>
      <c r="L6" s="79"/>
      <c r="M6" s="79">
        <f t="shared" si="0"/>
        <v>36</v>
      </c>
      <c r="N6" s="79">
        <f t="shared" si="1"/>
        <v>64</v>
      </c>
      <c r="O6" s="79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82">
        <f>7.5*I7/1000</f>
        <v>16.116370312915638</v>
      </c>
      <c r="I7" s="83">
        <f t="shared" si="2"/>
        <v>2148.8493750554185</v>
      </c>
      <c r="J7" s="81">
        <f t="shared" si="3"/>
        <v>7.5</v>
      </c>
      <c r="K7" s="79"/>
      <c r="L7" s="79"/>
      <c r="M7" s="79">
        <f t="shared" si="0"/>
        <v>48</v>
      </c>
      <c r="N7" s="79">
        <f t="shared" si="1"/>
        <v>72</v>
      </c>
      <c r="O7" s="79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 s="79">
        <v>18.350000000000001</v>
      </c>
      <c r="I8" s="83">
        <f t="shared" si="2"/>
        <v>2447.3006771464488</v>
      </c>
      <c r="J8" s="81">
        <f t="shared" si="3"/>
        <v>7.4980570108761997</v>
      </c>
      <c r="K8" s="79"/>
      <c r="L8" s="79"/>
      <c r="M8" s="79">
        <f t="shared" si="0"/>
        <v>48</v>
      </c>
      <c r="N8" s="79">
        <f t="shared" si="1"/>
        <v>80</v>
      </c>
      <c r="O8" s="79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 s="79">
        <v>6.1</v>
      </c>
      <c r="I9" s="83">
        <f t="shared" si="2"/>
        <v>812.88709911635897</v>
      </c>
      <c r="J9" s="81">
        <f t="shared" si="3"/>
        <v>7.5041171235598965</v>
      </c>
      <c r="K9" s="79"/>
      <c r="L9" s="79"/>
      <c r="M9" s="79">
        <f t="shared" si="0"/>
        <v>36</v>
      </c>
      <c r="N9" s="79">
        <f t="shared" si="1"/>
        <v>40</v>
      </c>
      <c r="O9" s="7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 s="79">
        <v>10.33</v>
      </c>
      <c r="I10" s="83">
        <f t="shared" si="2"/>
        <v>1377.3920290582748</v>
      </c>
      <c r="J10" s="81">
        <f t="shared" si="3"/>
        <v>7.4996803974992057</v>
      </c>
      <c r="K10" s="79"/>
      <c r="L10" s="79"/>
      <c r="M10" s="79">
        <f t="shared" si="0"/>
        <v>48</v>
      </c>
      <c r="N10" s="79">
        <f t="shared" si="1"/>
        <v>48</v>
      </c>
      <c r="O10" s="79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 s="79">
        <v>16.670000000000002</v>
      </c>
      <c r="I11" s="83">
        <f t="shared" si="2"/>
        <v>2222.4804528739292</v>
      </c>
      <c r="J11" s="81">
        <f t="shared" si="3"/>
        <v>7.500628398528197</v>
      </c>
      <c r="K11" s="79"/>
      <c r="L11" s="79"/>
      <c r="M11" s="79">
        <f t="shared" si="0"/>
        <v>60</v>
      </c>
      <c r="N11" s="79">
        <f t="shared" si="1"/>
        <v>64</v>
      </c>
      <c r="O11" s="79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 s="79">
        <v>27.69</v>
      </c>
      <c r="I12" s="83">
        <f t="shared" si="2"/>
        <v>3691.3713679680068</v>
      </c>
      <c r="J12" s="81">
        <f t="shared" si="3"/>
        <v>7.5012772327056725</v>
      </c>
      <c r="K12" s="79"/>
      <c r="L12" s="79"/>
      <c r="M12" s="79">
        <f t="shared" si="0"/>
        <v>72</v>
      </c>
      <c r="N12" s="79">
        <f t="shared" si="1"/>
        <v>80</v>
      </c>
      <c r="O12" s="79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 s="79">
        <v>34.31</v>
      </c>
      <c r="I13" s="83">
        <f t="shared" si="2"/>
        <v>4574.1589036267387</v>
      </c>
      <c r="J13" s="81">
        <f t="shared" si="3"/>
        <v>7.50083255148754</v>
      </c>
      <c r="K13" s="79"/>
      <c r="L13" s="79"/>
      <c r="M13" s="79">
        <f t="shared" si="0"/>
        <v>72</v>
      </c>
      <c r="N13" s="79">
        <f t="shared" si="1"/>
        <v>88</v>
      </c>
      <c r="O13" s="79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 s="79">
        <v>18.66</v>
      </c>
      <c r="I14" s="83">
        <f t="shared" si="2"/>
        <v>2488.1413816431163</v>
      </c>
      <c r="J14" s="81">
        <f t="shared" si="3"/>
        <v>7.4995738335726436</v>
      </c>
      <c r="K14" s="79"/>
      <c r="L14" s="79"/>
      <c r="M14" s="79">
        <f t="shared" si="0"/>
        <v>72</v>
      </c>
      <c r="N14" s="79">
        <f t="shared" si="1"/>
        <v>48</v>
      </c>
      <c r="O14" s="79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 s="79">
        <v>25.33</v>
      </c>
      <c r="I15" s="83">
        <f t="shared" si="2"/>
        <v>3377.2121026090276</v>
      </c>
      <c r="J15" s="81">
        <f t="shared" si="3"/>
        <v>7.5002692251492249</v>
      </c>
      <c r="K15" s="79"/>
      <c r="L15" s="79"/>
      <c r="M15" s="79">
        <f t="shared" si="0"/>
        <v>72</v>
      </c>
      <c r="N15" s="79">
        <f t="shared" si="1"/>
        <v>64</v>
      </c>
      <c r="O15" s="79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 s="79">
        <v>34.85</v>
      </c>
      <c r="I16" s="83">
        <f t="shared" si="2"/>
        <v>4646.4155346593043</v>
      </c>
      <c r="J16" s="81">
        <f t="shared" si="3"/>
        <v>7.5004053641008142</v>
      </c>
      <c r="K16" s="79"/>
      <c r="L16" s="79"/>
      <c r="M16" s="79">
        <f t="shared" si="0"/>
        <v>96</v>
      </c>
      <c r="N16" s="79">
        <f t="shared" si="1"/>
        <v>80</v>
      </c>
      <c r="O16" s="79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82">
        <f>7.5*I17/1000</f>
        <v>46.175521521544482</v>
      </c>
      <c r="I17" s="83">
        <f t="shared" si="2"/>
        <v>6156.7362028725975</v>
      </c>
      <c r="J17" s="81">
        <f t="shared" si="3"/>
        <v>7.5000000000000009</v>
      </c>
      <c r="K17" s="79"/>
      <c r="L17" s="79"/>
      <c r="M17" s="79">
        <f t="shared" si="0"/>
        <v>96</v>
      </c>
      <c r="N17" s="79">
        <f t="shared" si="1"/>
        <v>88</v>
      </c>
      <c r="O17" s="79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 s="79">
        <v>60.65</v>
      </c>
      <c r="I18" s="83">
        <f t="shared" si="2"/>
        <v>8086.4594903401276</v>
      </c>
      <c r="J18" s="81">
        <f t="shared" si="3"/>
        <v>7.5001921511448737</v>
      </c>
      <c r="K18" s="79"/>
      <c r="L18" s="79"/>
      <c r="M18" s="79">
        <f t="shared" si="0"/>
        <v>96</v>
      </c>
      <c r="N18" s="79">
        <f t="shared" si="1"/>
        <v>96</v>
      </c>
      <c r="O18" s="79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82">
        <f>7.5*I19/1000</f>
        <v>1.092331765653171</v>
      </c>
      <c r="I19" s="83">
        <f t="shared" si="2"/>
        <v>145.6442354204228</v>
      </c>
      <c r="J19" s="81">
        <f t="shared" si="3"/>
        <v>7.5</v>
      </c>
      <c r="K19" s="79"/>
      <c r="L19" s="79"/>
      <c r="M19" s="79">
        <f t="shared" si="0"/>
        <v>19.200000000000003</v>
      </c>
      <c r="N19" s="79">
        <f t="shared" si="1"/>
        <v>32</v>
      </c>
      <c r="O19" s="7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 s="79">
        <v>1.71</v>
      </c>
      <c r="I20" s="83">
        <f t="shared" si="2"/>
        <v>227.56911784441064</v>
      </c>
      <c r="J20" s="81">
        <f t="shared" si="3"/>
        <v>7.5142005918796491</v>
      </c>
      <c r="K20" s="79"/>
      <c r="L20" s="79"/>
      <c r="M20" s="79">
        <f t="shared" si="0"/>
        <v>24</v>
      </c>
      <c r="N20" s="79">
        <f t="shared" si="1"/>
        <v>40</v>
      </c>
      <c r="O20" s="79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 s="79">
        <v>2.4</v>
      </c>
      <c r="I21" s="83">
        <f t="shared" si="2"/>
        <v>319.65705250276147</v>
      </c>
      <c r="J21" s="81">
        <f t="shared" si="3"/>
        <v>7.5080464554407627</v>
      </c>
      <c r="K21" s="79"/>
      <c r="L21" s="79"/>
      <c r="M21" s="79">
        <f t="shared" si="0"/>
        <v>30</v>
      </c>
      <c r="N21" s="79">
        <f t="shared" si="1"/>
        <v>48</v>
      </c>
      <c r="O21" s="79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 s="79">
        <v>3.6</v>
      </c>
      <c r="I22" s="83">
        <f t="shared" si="2"/>
        <v>479.87827783584089</v>
      </c>
      <c r="J22" s="81">
        <f t="shared" si="3"/>
        <v>7.501902391238275</v>
      </c>
      <c r="K22" s="79"/>
      <c r="L22" s="79"/>
      <c r="M22" s="79">
        <f t="shared" si="0"/>
        <v>36</v>
      </c>
      <c r="N22" s="79">
        <f t="shared" si="1"/>
        <v>64</v>
      </c>
      <c r="O22" s="79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 s="79">
        <v>5.47</v>
      </c>
      <c r="I23" s="83">
        <f t="shared" si="2"/>
        <v>728.84949563283203</v>
      </c>
      <c r="J23" s="81">
        <f t="shared" si="3"/>
        <v>7.5049787820057539</v>
      </c>
      <c r="K23" s="79"/>
      <c r="L23" s="79"/>
      <c r="M23" s="79">
        <f t="shared" si="0"/>
        <v>36</v>
      </c>
      <c r="N23" s="79">
        <f t="shared" si="1"/>
        <v>80</v>
      </c>
      <c r="O23" s="79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 s="79">
        <v>7.72</v>
      </c>
      <c r="I24" s="83">
        <f t="shared" si="2"/>
        <v>1029.6569922140548</v>
      </c>
      <c r="J24" s="81">
        <f t="shared" si="3"/>
        <v>7.4976424754808964</v>
      </c>
      <c r="K24" s="79"/>
      <c r="L24" s="79"/>
      <c r="M24" s="79">
        <f t="shared" si="0"/>
        <v>48</v>
      </c>
      <c r="N24" s="79">
        <f t="shared" si="1"/>
        <v>96</v>
      </c>
      <c r="O24" s="79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82">
        <f t="shared" ref="H25:H30" si="5">7.5*I25/1000</f>
        <v>10.108074362925159</v>
      </c>
      <c r="I25" s="83">
        <f t="shared" si="2"/>
        <v>1347.7432483900213</v>
      </c>
      <c r="J25" s="81">
        <f t="shared" si="3"/>
        <v>7.4999999999999991</v>
      </c>
      <c r="K25" s="79"/>
      <c r="L25" s="79"/>
      <c r="M25" s="79">
        <f t="shared" si="0"/>
        <v>48</v>
      </c>
      <c r="N25" s="79">
        <f t="shared" si="1"/>
        <v>108</v>
      </c>
      <c r="O25" s="79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82">
        <f t="shared" si="5"/>
        <v>12.811807540420876</v>
      </c>
      <c r="I26" s="83">
        <f t="shared" si="2"/>
        <v>1708.24100538945</v>
      </c>
      <c r="J26" s="81">
        <f t="shared" si="3"/>
        <v>7.5000000000000009</v>
      </c>
      <c r="K26" s="79"/>
      <c r="L26" s="79"/>
      <c r="M26" s="79">
        <f t="shared" si="0"/>
        <v>48</v>
      </c>
      <c r="N26" s="79">
        <f t="shared" si="1"/>
        <v>120</v>
      </c>
      <c r="O26" s="79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82">
        <f t="shared" si="5"/>
        <v>2.0248546400090461</v>
      </c>
      <c r="I27" s="83">
        <f t="shared" si="2"/>
        <v>269.98061866787282</v>
      </c>
      <c r="J27" s="81">
        <f t="shared" si="3"/>
        <v>7.5</v>
      </c>
      <c r="K27" s="79"/>
      <c r="L27" s="79"/>
      <c r="M27" s="79">
        <f t="shared" si="0"/>
        <v>48</v>
      </c>
      <c r="N27" s="79">
        <f t="shared" si="1"/>
        <v>24</v>
      </c>
      <c r="O27" s="79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82">
        <f t="shared" si="5"/>
        <v>3.2559662611345468</v>
      </c>
      <c r="I28" s="83">
        <f t="shared" si="2"/>
        <v>434.12883481793955</v>
      </c>
      <c r="J28" s="81">
        <f t="shared" si="3"/>
        <v>7.5000000000000009</v>
      </c>
      <c r="K28" s="79"/>
      <c r="L28" s="79"/>
      <c r="M28" s="79">
        <f t="shared" si="0"/>
        <v>60</v>
      </c>
      <c r="N28" s="79">
        <f t="shared" si="1"/>
        <v>32</v>
      </c>
      <c r="O28" s="79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82">
        <f t="shared" si="5"/>
        <v>5.3191090616092191</v>
      </c>
      <c r="I29" s="83">
        <f t="shared" si="2"/>
        <v>709.21454154789581</v>
      </c>
      <c r="J29" s="81">
        <f t="shared" si="3"/>
        <v>7.5000000000000009</v>
      </c>
      <c r="K29" s="79"/>
      <c r="L29" s="79"/>
      <c r="M29" s="79">
        <f t="shared" si="0"/>
        <v>72</v>
      </c>
      <c r="N29" s="79">
        <f t="shared" si="1"/>
        <v>40</v>
      </c>
      <c r="O29" s="7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82">
        <f t="shared" si="5"/>
        <v>6.909540342489052</v>
      </c>
      <c r="I30" s="83">
        <f t="shared" si="2"/>
        <v>921.27204566520686</v>
      </c>
      <c r="J30" s="81">
        <f t="shared" si="3"/>
        <v>7.5000000000000009</v>
      </c>
      <c r="K30" s="79"/>
      <c r="L30" s="79"/>
      <c r="M30" s="79">
        <f t="shared" si="0"/>
        <v>90</v>
      </c>
      <c r="N30" s="79">
        <f t="shared" si="1"/>
        <v>48</v>
      </c>
      <c r="O30" s="79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sheetPr>
    <tabColor theme="6" tint="-0.249977111117893"/>
  </sheetPr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58" t="s">
        <v>424</v>
      </c>
      <c r="B1" s="58" t="s">
        <v>1</v>
      </c>
      <c r="C1" s="58" t="s">
        <v>433</v>
      </c>
      <c r="D1" s="58" t="s">
        <v>232</v>
      </c>
      <c r="E1" s="58" t="s">
        <v>425</v>
      </c>
      <c r="F1" s="58" t="s">
        <v>427</v>
      </c>
      <c r="G1" s="58" t="s">
        <v>428</v>
      </c>
      <c r="H1" s="58" t="s">
        <v>464</v>
      </c>
      <c r="I1" s="58" t="s">
        <v>431</v>
      </c>
      <c r="J1" s="58" t="s">
        <v>432</v>
      </c>
      <c r="K1" s="58" t="s">
        <v>438</v>
      </c>
      <c r="L1" s="58" t="s">
        <v>439</v>
      </c>
      <c r="M1" s="58" t="s">
        <v>440</v>
      </c>
      <c r="N1" s="58" t="s">
        <v>441</v>
      </c>
    </row>
    <row r="2" spans="1:14" x14ac:dyDescent="0.25">
      <c r="A2" s="58"/>
      <c r="B2" s="58"/>
      <c r="C2" s="58"/>
      <c r="D2" s="58"/>
      <c r="E2" s="58" t="s">
        <v>447</v>
      </c>
      <c r="F2" s="58" t="s">
        <v>450</v>
      </c>
      <c r="G2" s="58" t="s">
        <v>451</v>
      </c>
      <c r="H2" s="58" t="s">
        <v>465</v>
      </c>
      <c r="I2" s="58"/>
      <c r="J2" s="58"/>
      <c r="K2" s="58"/>
      <c r="L2" s="58"/>
      <c r="M2" s="58"/>
      <c r="N2" s="58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N1048575"/>
  <sheetViews>
    <sheetView zoomScale="115" zoomScaleNormal="115" workbookViewId="0">
      <pane ySplit="1" topLeftCell="A2" activePane="bottomLeft" state="frozen"/>
      <selection activeCell="L15" sqref="L15"/>
      <selection pane="bottomLeft" activeCell="B33" sqref="B33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2" t="s">
        <v>174</v>
      </c>
      <c r="B3" s="72" t="s">
        <v>177</v>
      </c>
      <c r="C3" s="72" t="s">
        <v>253</v>
      </c>
      <c r="D3" s="72">
        <v>3</v>
      </c>
      <c r="E3" s="72">
        <v>2</v>
      </c>
      <c r="F3" s="72">
        <v>50</v>
      </c>
      <c r="G3" s="72">
        <v>5</v>
      </c>
      <c r="H3" s="72">
        <v>19.63</v>
      </c>
      <c r="I3" s="72">
        <v>0.7</v>
      </c>
      <c r="J3" s="73"/>
      <c r="K3" s="73"/>
      <c r="L3" s="73"/>
      <c r="M3" s="73"/>
      <c r="N3" s="72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2" t="s">
        <v>174</v>
      </c>
      <c r="B6" s="72" t="s">
        <v>179</v>
      </c>
      <c r="C6" s="72" t="s">
        <v>255</v>
      </c>
      <c r="D6" s="72">
        <v>3</v>
      </c>
      <c r="E6" s="72">
        <v>1.4</v>
      </c>
      <c r="F6" s="72">
        <v>25</v>
      </c>
      <c r="G6" s="72">
        <v>4</v>
      </c>
      <c r="H6" s="72"/>
      <c r="I6" s="72"/>
      <c r="J6" s="72"/>
      <c r="K6" s="72"/>
      <c r="L6" s="72"/>
      <c r="M6" s="72"/>
      <c r="N6" s="72" t="s">
        <v>180</v>
      </c>
    </row>
    <row r="7" spans="1:14" x14ac:dyDescent="0.25">
      <c r="A7" s="72" t="s">
        <v>174</v>
      </c>
      <c r="B7" s="72" t="s">
        <v>179</v>
      </c>
      <c r="C7" s="72" t="s">
        <v>255</v>
      </c>
      <c r="D7" s="72">
        <v>3</v>
      </c>
      <c r="E7" s="72">
        <v>1.7</v>
      </c>
      <c r="F7" s="72">
        <v>30</v>
      </c>
      <c r="G7" s="72">
        <v>4.2</v>
      </c>
      <c r="H7" s="72"/>
      <c r="I7" s="72"/>
      <c r="J7" s="72"/>
      <c r="K7" s="72"/>
      <c r="L7" s="72"/>
      <c r="M7" s="72"/>
      <c r="N7" s="72"/>
    </row>
    <row r="8" spans="1:14" x14ac:dyDescent="0.25">
      <c r="A8" s="72" t="s">
        <v>174</v>
      </c>
      <c r="B8" s="72" t="s">
        <v>179</v>
      </c>
      <c r="C8" s="72" t="s">
        <v>255</v>
      </c>
      <c r="D8" s="72">
        <v>3</v>
      </c>
      <c r="E8" s="72">
        <v>1.7</v>
      </c>
      <c r="F8" s="72">
        <v>35</v>
      </c>
      <c r="G8" s="72">
        <v>4.2</v>
      </c>
      <c r="H8" s="72"/>
      <c r="I8" s="72"/>
      <c r="J8" s="72"/>
      <c r="K8" s="72"/>
      <c r="L8" s="72"/>
      <c r="M8" s="72"/>
      <c r="N8" s="72"/>
    </row>
    <row r="9" spans="1:14" x14ac:dyDescent="0.25">
      <c r="A9" s="72" t="s">
        <v>174</v>
      </c>
      <c r="B9" s="72" t="s">
        <v>179</v>
      </c>
      <c r="C9" s="72" t="s">
        <v>255</v>
      </c>
      <c r="D9" s="72">
        <v>3</v>
      </c>
      <c r="E9" s="72">
        <v>1.7</v>
      </c>
      <c r="F9" s="72">
        <v>40</v>
      </c>
      <c r="G9" s="72">
        <v>4.2</v>
      </c>
      <c r="H9" s="72"/>
      <c r="I9" s="72"/>
      <c r="J9" s="72"/>
      <c r="K9" s="72"/>
      <c r="L9" s="72"/>
      <c r="M9" s="72"/>
      <c r="N9" s="72"/>
    </row>
    <row r="10" spans="1:14" x14ac:dyDescent="0.25">
      <c r="A10" s="72" t="s">
        <v>174</v>
      </c>
      <c r="B10" s="72" t="s">
        <v>179</v>
      </c>
      <c r="C10" s="72" t="s">
        <v>255</v>
      </c>
      <c r="D10" s="72">
        <v>3</v>
      </c>
      <c r="E10" s="72">
        <v>2</v>
      </c>
      <c r="F10" s="72">
        <v>40</v>
      </c>
      <c r="G10" s="72">
        <v>4.9000000000000004</v>
      </c>
      <c r="H10" s="72"/>
      <c r="I10" s="72"/>
      <c r="J10" s="72"/>
      <c r="K10" s="72"/>
      <c r="L10" s="72"/>
      <c r="M10" s="72"/>
      <c r="N10" s="72"/>
    </row>
    <row r="11" spans="1:14" x14ac:dyDescent="0.25">
      <c r="A11" s="72" t="s">
        <v>174</v>
      </c>
      <c r="B11" s="72" t="s">
        <v>179</v>
      </c>
      <c r="C11" s="72" t="s">
        <v>255</v>
      </c>
      <c r="D11" s="72">
        <v>3</v>
      </c>
      <c r="E11" s="72">
        <v>2</v>
      </c>
      <c r="F11" s="72">
        <v>50</v>
      </c>
      <c r="G11" s="72">
        <v>4.9000000000000004</v>
      </c>
      <c r="H11" s="72"/>
      <c r="I11" s="72"/>
      <c r="J11" s="72"/>
      <c r="K11" s="72"/>
      <c r="L11" s="72"/>
      <c r="M11" s="72"/>
      <c r="N11" s="72"/>
    </row>
    <row r="12" spans="1:14" x14ac:dyDescent="0.25">
      <c r="A12" s="72" t="s">
        <v>174</v>
      </c>
      <c r="B12" s="72" t="s">
        <v>179</v>
      </c>
      <c r="C12" s="72" t="s">
        <v>255</v>
      </c>
      <c r="D12" s="72">
        <v>3</v>
      </c>
      <c r="E12" s="72">
        <v>2.2000000000000002</v>
      </c>
      <c r="F12" s="72">
        <v>55</v>
      </c>
      <c r="G12" s="72">
        <v>5.3</v>
      </c>
      <c r="H12" s="72"/>
      <c r="I12" s="72"/>
      <c r="J12" s="72"/>
      <c r="K12" s="72"/>
      <c r="L12" s="72"/>
      <c r="M12" s="72"/>
      <c r="N12" s="72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2" t="s">
        <v>174</v>
      </c>
      <c r="B23" s="72" t="s">
        <v>181</v>
      </c>
      <c r="C23" s="72" t="s">
        <v>255</v>
      </c>
      <c r="D23" s="72">
        <v>1</v>
      </c>
      <c r="E23" s="72">
        <v>2</v>
      </c>
      <c r="F23" s="72">
        <v>50</v>
      </c>
      <c r="G23" s="72">
        <v>11.5</v>
      </c>
      <c r="H23" s="72"/>
      <c r="I23" s="72"/>
      <c r="J23" s="72"/>
      <c r="K23" s="72"/>
      <c r="L23" s="72"/>
      <c r="M23" s="72"/>
      <c r="N23" s="72"/>
    </row>
    <row r="24" spans="1:14" x14ac:dyDescent="0.25">
      <c r="A24" s="72" t="s">
        <v>174</v>
      </c>
      <c r="B24" s="72" t="s">
        <v>181</v>
      </c>
      <c r="C24" s="72" t="s">
        <v>255</v>
      </c>
      <c r="D24" s="72">
        <v>1</v>
      </c>
      <c r="E24" s="72">
        <v>2.2000000000000002</v>
      </c>
      <c r="F24" s="72">
        <v>55</v>
      </c>
      <c r="G24" s="72">
        <v>11.5</v>
      </c>
      <c r="H24" s="72"/>
      <c r="I24" s="72"/>
      <c r="J24" s="72"/>
      <c r="K24" s="72"/>
      <c r="L24" s="72"/>
      <c r="M24" s="72"/>
      <c r="N24" s="72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2" t="s">
        <v>174</v>
      </c>
      <c r="B28" s="72" t="s">
        <v>182</v>
      </c>
      <c r="C28" s="72" t="s">
        <v>256</v>
      </c>
      <c r="D28" s="72">
        <v>1</v>
      </c>
      <c r="E28" s="72">
        <v>3</v>
      </c>
      <c r="F28" s="72">
        <v>30</v>
      </c>
      <c r="G28" s="72">
        <v>6</v>
      </c>
      <c r="H28" s="72"/>
      <c r="I28" s="72"/>
      <c r="J28" s="72"/>
      <c r="K28" s="72"/>
      <c r="L28" s="72"/>
      <c r="M28" s="72"/>
      <c r="N28" s="72" t="s">
        <v>183</v>
      </c>
    </row>
    <row r="29" spans="1:14" x14ac:dyDescent="0.25">
      <c r="A29" s="72" t="s">
        <v>174</v>
      </c>
      <c r="B29" s="72" t="s">
        <v>182</v>
      </c>
      <c r="C29" s="72" t="s">
        <v>256</v>
      </c>
      <c r="D29" s="72">
        <v>1</v>
      </c>
      <c r="E29" s="72">
        <v>3</v>
      </c>
      <c r="F29" s="72">
        <v>40</v>
      </c>
      <c r="G29" s="72">
        <v>6</v>
      </c>
      <c r="H29" s="72"/>
      <c r="I29" s="72"/>
      <c r="J29" s="72"/>
      <c r="K29" s="72"/>
      <c r="L29" s="72"/>
      <c r="M29" s="72"/>
      <c r="N29" s="72"/>
    </row>
    <row r="30" spans="1:14" x14ac:dyDescent="0.25">
      <c r="A30" s="72" t="s">
        <v>174</v>
      </c>
      <c r="B30" s="72" t="s">
        <v>182</v>
      </c>
      <c r="C30" s="72" t="s">
        <v>256</v>
      </c>
      <c r="D30" s="72">
        <v>1</v>
      </c>
      <c r="E30" s="72">
        <v>3</v>
      </c>
      <c r="F30" s="72">
        <v>50</v>
      </c>
      <c r="G30" s="72">
        <v>6</v>
      </c>
      <c r="H30" s="72"/>
      <c r="I30" s="72"/>
      <c r="J30" s="72"/>
      <c r="K30" s="72"/>
      <c r="L30" s="72"/>
      <c r="M30" s="72"/>
      <c r="N30" s="72"/>
    </row>
    <row r="31" spans="1:14" x14ac:dyDescent="0.25">
      <c r="A31" s="72" t="s">
        <v>174</v>
      </c>
      <c r="B31" s="72" t="s">
        <v>182</v>
      </c>
      <c r="C31" s="72" t="s">
        <v>256</v>
      </c>
      <c r="D31" s="72">
        <v>1</v>
      </c>
      <c r="E31" s="72">
        <v>3</v>
      </c>
      <c r="F31" s="72">
        <v>60</v>
      </c>
      <c r="G31" s="72">
        <v>6</v>
      </c>
      <c r="H31" s="72"/>
      <c r="I31" s="72"/>
      <c r="J31" s="72"/>
      <c r="K31" s="72"/>
      <c r="L31" s="72"/>
      <c r="M31" s="72"/>
      <c r="N31" s="72"/>
    </row>
    <row r="32" spans="1:14" x14ac:dyDescent="0.25">
      <c r="A32" s="72" t="s">
        <v>174</v>
      </c>
      <c r="B32" s="72" t="s">
        <v>182</v>
      </c>
      <c r="C32" s="72" t="s">
        <v>256</v>
      </c>
      <c r="D32" s="72">
        <v>1</v>
      </c>
      <c r="E32" s="72">
        <v>3</v>
      </c>
      <c r="F32" s="72">
        <v>70</v>
      </c>
      <c r="G32" s="72">
        <v>6</v>
      </c>
      <c r="H32" s="72"/>
      <c r="I32" s="72"/>
      <c r="J32" s="72"/>
      <c r="K32" s="72"/>
      <c r="L32" s="72"/>
      <c r="M32" s="72"/>
      <c r="N32" s="72"/>
    </row>
    <row r="33" spans="1:14" x14ac:dyDescent="0.25">
      <c r="A33" t="s">
        <v>174</v>
      </c>
      <c r="B33" s="72" t="s">
        <v>184</v>
      </c>
      <c r="C33" s="72" t="s">
        <v>257</v>
      </c>
      <c r="D33" s="72">
        <v>3</v>
      </c>
      <c r="E33" s="72">
        <v>4</v>
      </c>
      <c r="F33" s="72">
        <v>75</v>
      </c>
      <c r="G33" s="72">
        <v>7.5</v>
      </c>
      <c r="H33" s="72"/>
      <c r="I33" s="72"/>
      <c r="J33" s="72"/>
      <c r="K33" s="72"/>
      <c r="L33" s="72"/>
      <c r="M33" s="72"/>
      <c r="N33" s="72" t="s">
        <v>185</v>
      </c>
    </row>
    <row r="34" spans="1:14" x14ac:dyDescent="0.25">
      <c r="A34" t="s">
        <v>174</v>
      </c>
      <c r="B34" s="72" t="s">
        <v>184</v>
      </c>
      <c r="C34" s="72" t="s">
        <v>257</v>
      </c>
      <c r="D34" s="72">
        <v>3</v>
      </c>
      <c r="E34" s="72">
        <v>5</v>
      </c>
      <c r="F34" s="72">
        <v>100</v>
      </c>
      <c r="G34" s="72">
        <v>8.5</v>
      </c>
      <c r="H34" s="72"/>
      <c r="I34" s="72"/>
      <c r="J34" s="72"/>
      <c r="K34" s="72"/>
      <c r="L34" s="72"/>
      <c r="M34" s="72"/>
      <c r="N34" s="72"/>
    </row>
    <row r="35" spans="1:14" x14ac:dyDescent="0.25">
      <c r="A35" t="s">
        <v>174</v>
      </c>
      <c r="B35" s="72" t="s">
        <v>184</v>
      </c>
      <c r="C35" s="72" t="s">
        <v>257</v>
      </c>
      <c r="D35" s="72">
        <v>3</v>
      </c>
      <c r="E35" s="72">
        <v>8</v>
      </c>
      <c r="F35" s="72">
        <v>150</v>
      </c>
      <c r="G35" s="72">
        <v>9</v>
      </c>
      <c r="H35" s="72"/>
      <c r="I35" s="72"/>
      <c r="J35" s="72"/>
      <c r="K35" s="72"/>
      <c r="L35" s="72"/>
      <c r="M35" s="72"/>
      <c r="N35" s="72"/>
    </row>
    <row r="36" spans="1:14" x14ac:dyDescent="0.25">
      <c r="A36" t="s">
        <v>174</v>
      </c>
      <c r="B36" s="72" t="s">
        <v>184</v>
      </c>
      <c r="C36" s="72" t="s">
        <v>257</v>
      </c>
      <c r="D36" s="72">
        <v>3</v>
      </c>
      <c r="E36" s="72">
        <v>6</v>
      </c>
      <c r="F36" s="72">
        <v>125</v>
      </c>
      <c r="G36" s="72">
        <v>9</v>
      </c>
      <c r="H36" s="72"/>
      <c r="I36" s="72"/>
      <c r="J36" s="72"/>
      <c r="K36" s="72"/>
      <c r="L36" s="72"/>
      <c r="M36" s="72"/>
      <c r="N36" s="72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R244"/>
  <sheetViews>
    <sheetView workbookViewId="0">
      <pane ySplit="885" activePane="bottomLeft"/>
      <selection activeCell="L15" sqref="L15"/>
      <selection pane="bottomLeft" activeCell="L15" sqref="L1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74"/>
  <sheetViews>
    <sheetView workbookViewId="0">
      <pane ySplit="600" activePane="bottomLeft"/>
      <selection activeCell="L15" sqref="L15"/>
      <selection pane="bottomLeft" activeCell="L15" sqref="L15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48E9-F0D8-4AF1-A3DF-7D01E47A7E30}">
  <sheetPr>
    <tabColor theme="6" tint="-0.499984740745262"/>
  </sheetPr>
  <dimension ref="A1:P488"/>
  <sheetViews>
    <sheetView workbookViewId="0">
      <pane ySplit="1" topLeftCell="A482" activePane="bottomLeft" state="frozen"/>
      <selection pane="bottomLeft" activeCell="A2" sqref="A2:P488"/>
    </sheetView>
  </sheetViews>
  <sheetFormatPr baseColWidth="10" defaultRowHeight="15" x14ac:dyDescent="0.25"/>
  <cols>
    <col min="3" max="3" width="22.85546875" bestFit="1" customWidth="1"/>
    <col min="4" max="4" width="37.140625" customWidth="1"/>
  </cols>
  <sheetData>
    <row r="1" spans="1:16" ht="45" x14ac:dyDescent="0.25">
      <c r="A1" s="7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74" t="s">
        <v>18</v>
      </c>
      <c r="G1" s="74" t="s">
        <v>20</v>
      </c>
      <c r="H1" s="7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x14ac:dyDescent="0.25">
      <c r="A2" t="s">
        <v>344</v>
      </c>
      <c r="B2" t="s">
        <v>495</v>
      </c>
      <c r="C2" t="s">
        <v>501</v>
      </c>
      <c r="D2" t="s">
        <v>493</v>
      </c>
      <c r="E2">
        <v>1</v>
      </c>
      <c r="F2">
        <v>4</v>
      </c>
      <c r="G2">
        <v>30</v>
      </c>
      <c r="H2">
        <v>8</v>
      </c>
      <c r="I2">
        <v>3.1</v>
      </c>
      <c r="J2">
        <v>14.3</v>
      </c>
      <c r="K2">
        <v>17.100000000000001</v>
      </c>
      <c r="L2">
        <v>5</v>
      </c>
      <c r="M2">
        <v>20</v>
      </c>
    </row>
    <row r="3" spans="1:16" x14ac:dyDescent="0.25">
      <c r="A3" t="s">
        <v>344</v>
      </c>
      <c r="B3" t="s">
        <v>495</v>
      </c>
      <c r="C3" t="s">
        <v>501</v>
      </c>
      <c r="D3" t="s">
        <v>493</v>
      </c>
      <c r="E3">
        <v>1</v>
      </c>
      <c r="F3">
        <v>4</v>
      </c>
      <c r="G3">
        <v>35</v>
      </c>
      <c r="H3">
        <v>8</v>
      </c>
      <c r="I3">
        <v>3.1</v>
      </c>
      <c r="J3">
        <v>14.3</v>
      </c>
      <c r="K3">
        <v>17.100000000000001</v>
      </c>
      <c r="L3">
        <v>5</v>
      </c>
      <c r="M3">
        <v>20</v>
      </c>
    </row>
    <row r="4" spans="1:16" x14ac:dyDescent="0.25">
      <c r="A4" t="s">
        <v>344</v>
      </c>
      <c r="B4" t="s">
        <v>495</v>
      </c>
      <c r="C4" t="s">
        <v>501</v>
      </c>
      <c r="D4" t="s">
        <v>493</v>
      </c>
      <c r="E4">
        <v>1</v>
      </c>
      <c r="F4">
        <v>4</v>
      </c>
      <c r="G4">
        <v>40</v>
      </c>
      <c r="H4">
        <v>8</v>
      </c>
      <c r="I4">
        <v>3.1</v>
      </c>
      <c r="J4">
        <v>14.3</v>
      </c>
      <c r="K4">
        <v>17.100000000000001</v>
      </c>
      <c r="L4">
        <v>5</v>
      </c>
      <c r="M4">
        <v>25</v>
      </c>
    </row>
    <row r="5" spans="1:16" x14ac:dyDescent="0.25">
      <c r="A5" t="s">
        <v>344</v>
      </c>
      <c r="B5" t="s">
        <v>495</v>
      </c>
      <c r="C5" t="s">
        <v>501</v>
      </c>
      <c r="D5" t="s">
        <v>493</v>
      </c>
      <c r="E5">
        <v>1</v>
      </c>
      <c r="F5">
        <v>4</v>
      </c>
      <c r="G5">
        <v>45</v>
      </c>
      <c r="H5">
        <v>8</v>
      </c>
      <c r="I5">
        <v>3.1</v>
      </c>
      <c r="J5">
        <v>14.3</v>
      </c>
      <c r="K5">
        <v>17.100000000000001</v>
      </c>
      <c r="L5">
        <v>5</v>
      </c>
      <c r="M5">
        <v>25</v>
      </c>
    </row>
    <row r="6" spans="1:16" x14ac:dyDescent="0.25">
      <c r="A6" t="s">
        <v>344</v>
      </c>
      <c r="B6" t="s">
        <v>495</v>
      </c>
      <c r="C6" t="s">
        <v>501</v>
      </c>
      <c r="D6" t="s">
        <v>493</v>
      </c>
      <c r="E6">
        <v>1</v>
      </c>
      <c r="F6">
        <v>4</v>
      </c>
      <c r="G6">
        <v>50</v>
      </c>
      <c r="H6">
        <v>8</v>
      </c>
      <c r="I6">
        <v>3.1</v>
      </c>
      <c r="J6">
        <v>14.3</v>
      </c>
      <c r="K6">
        <v>17.100000000000001</v>
      </c>
      <c r="L6">
        <v>5</v>
      </c>
      <c r="M6">
        <v>30</v>
      </c>
    </row>
    <row r="7" spans="1:16" x14ac:dyDescent="0.25">
      <c r="A7" t="s">
        <v>344</v>
      </c>
      <c r="B7" t="s">
        <v>495</v>
      </c>
      <c r="C7" t="s">
        <v>501</v>
      </c>
      <c r="D7" t="s">
        <v>493</v>
      </c>
      <c r="E7">
        <v>1</v>
      </c>
      <c r="F7">
        <v>4</v>
      </c>
      <c r="G7">
        <v>60</v>
      </c>
      <c r="H7">
        <v>8</v>
      </c>
      <c r="I7">
        <v>3.1</v>
      </c>
      <c r="J7">
        <v>14.3</v>
      </c>
      <c r="K7">
        <v>17.100000000000001</v>
      </c>
      <c r="L7">
        <v>5</v>
      </c>
      <c r="M7">
        <v>35</v>
      </c>
    </row>
    <row r="8" spans="1:16" x14ac:dyDescent="0.25">
      <c r="A8" t="s">
        <v>344</v>
      </c>
      <c r="B8" t="s">
        <v>495</v>
      </c>
      <c r="C8" t="s">
        <v>501</v>
      </c>
      <c r="D8" t="s">
        <v>493</v>
      </c>
      <c r="E8">
        <v>1</v>
      </c>
      <c r="F8">
        <v>4</v>
      </c>
      <c r="G8">
        <v>70</v>
      </c>
      <c r="H8">
        <v>8</v>
      </c>
      <c r="I8">
        <v>3.1</v>
      </c>
      <c r="J8">
        <v>14.3</v>
      </c>
      <c r="K8">
        <v>17.100000000000001</v>
      </c>
      <c r="L8">
        <v>5</v>
      </c>
      <c r="M8">
        <v>35</v>
      </c>
    </row>
    <row r="9" spans="1:16" x14ac:dyDescent="0.25">
      <c r="A9" t="s">
        <v>344</v>
      </c>
      <c r="B9" t="s">
        <v>495</v>
      </c>
      <c r="C9" t="s">
        <v>501</v>
      </c>
      <c r="D9" t="s">
        <v>493</v>
      </c>
      <c r="E9">
        <v>2</v>
      </c>
      <c r="F9">
        <v>4.5</v>
      </c>
      <c r="G9">
        <v>30</v>
      </c>
      <c r="H9">
        <v>9</v>
      </c>
      <c r="I9">
        <v>4.2</v>
      </c>
      <c r="J9">
        <v>13.3</v>
      </c>
      <c r="K9">
        <v>17.600000000000001</v>
      </c>
      <c r="L9">
        <v>7</v>
      </c>
      <c r="M9">
        <v>20</v>
      </c>
    </row>
    <row r="10" spans="1:16" x14ac:dyDescent="0.25">
      <c r="A10" t="s">
        <v>344</v>
      </c>
      <c r="B10" t="s">
        <v>495</v>
      </c>
      <c r="C10" t="s">
        <v>501</v>
      </c>
      <c r="D10" t="s">
        <v>493</v>
      </c>
      <c r="E10">
        <v>2</v>
      </c>
      <c r="F10">
        <v>4.5</v>
      </c>
      <c r="G10">
        <v>35</v>
      </c>
      <c r="H10">
        <v>9</v>
      </c>
      <c r="I10">
        <v>4.2</v>
      </c>
      <c r="J10">
        <v>13.3</v>
      </c>
      <c r="K10">
        <v>17.600000000000001</v>
      </c>
      <c r="L10">
        <v>7</v>
      </c>
      <c r="M10">
        <v>20</v>
      </c>
    </row>
    <row r="11" spans="1:16" x14ac:dyDescent="0.25">
      <c r="A11" t="s">
        <v>344</v>
      </c>
      <c r="B11" t="s">
        <v>495</v>
      </c>
      <c r="C11" t="s">
        <v>501</v>
      </c>
      <c r="D11" t="s">
        <v>493</v>
      </c>
      <c r="E11">
        <v>2</v>
      </c>
      <c r="F11">
        <v>4.5</v>
      </c>
      <c r="G11">
        <v>40</v>
      </c>
      <c r="H11">
        <v>9</v>
      </c>
      <c r="I11">
        <v>4.2</v>
      </c>
      <c r="J11">
        <v>13.3</v>
      </c>
      <c r="K11">
        <v>17.600000000000001</v>
      </c>
      <c r="L11">
        <v>7</v>
      </c>
      <c r="M11">
        <v>25</v>
      </c>
    </row>
    <row r="12" spans="1:16" x14ac:dyDescent="0.25">
      <c r="A12" t="s">
        <v>344</v>
      </c>
      <c r="B12" t="s">
        <v>495</v>
      </c>
      <c r="C12" t="s">
        <v>501</v>
      </c>
      <c r="D12" t="s">
        <v>493</v>
      </c>
      <c r="E12">
        <v>2</v>
      </c>
      <c r="F12">
        <v>4.5</v>
      </c>
      <c r="G12">
        <v>45</v>
      </c>
      <c r="H12">
        <v>9</v>
      </c>
      <c r="I12">
        <v>4.2</v>
      </c>
      <c r="J12">
        <v>13.3</v>
      </c>
      <c r="K12">
        <v>17.600000000000001</v>
      </c>
      <c r="L12">
        <v>7</v>
      </c>
      <c r="M12">
        <v>25</v>
      </c>
    </row>
    <row r="13" spans="1:16" x14ac:dyDescent="0.25">
      <c r="A13" t="s">
        <v>344</v>
      </c>
      <c r="B13" t="s">
        <v>495</v>
      </c>
      <c r="C13" t="s">
        <v>501</v>
      </c>
      <c r="D13" t="s">
        <v>493</v>
      </c>
      <c r="E13">
        <v>2</v>
      </c>
      <c r="F13">
        <v>4.5</v>
      </c>
      <c r="G13">
        <v>50</v>
      </c>
      <c r="H13">
        <v>9</v>
      </c>
      <c r="I13">
        <v>4.2</v>
      </c>
      <c r="J13">
        <v>13.3</v>
      </c>
      <c r="K13">
        <v>17.600000000000001</v>
      </c>
      <c r="L13">
        <v>7</v>
      </c>
      <c r="M13">
        <v>30</v>
      </c>
    </row>
    <row r="14" spans="1:16" x14ac:dyDescent="0.25">
      <c r="A14" t="s">
        <v>344</v>
      </c>
      <c r="B14" t="s">
        <v>495</v>
      </c>
      <c r="C14" t="s">
        <v>501</v>
      </c>
      <c r="D14" t="s">
        <v>493</v>
      </c>
      <c r="E14">
        <v>2</v>
      </c>
      <c r="F14">
        <v>4.5</v>
      </c>
      <c r="G14">
        <v>60</v>
      </c>
      <c r="H14">
        <v>9</v>
      </c>
      <c r="I14">
        <v>4.2</v>
      </c>
      <c r="J14">
        <v>13.3</v>
      </c>
      <c r="K14">
        <v>17.600000000000001</v>
      </c>
      <c r="L14">
        <v>7</v>
      </c>
      <c r="M14">
        <v>40</v>
      </c>
    </row>
    <row r="15" spans="1:16" x14ac:dyDescent="0.25">
      <c r="A15" t="s">
        <v>344</v>
      </c>
      <c r="B15" t="s">
        <v>495</v>
      </c>
      <c r="C15" t="s">
        <v>501</v>
      </c>
      <c r="D15" t="s">
        <v>493</v>
      </c>
      <c r="E15">
        <v>2</v>
      </c>
      <c r="F15">
        <v>4.5</v>
      </c>
      <c r="G15">
        <v>70</v>
      </c>
      <c r="H15">
        <v>9</v>
      </c>
      <c r="I15">
        <v>4.2</v>
      </c>
      <c r="J15">
        <v>13.3</v>
      </c>
      <c r="K15">
        <v>17.600000000000001</v>
      </c>
      <c r="L15">
        <v>7</v>
      </c>
      <c r="M15">
        <v>40</v>
      </c>
    </row>
    <row r="16" spans="1:16" x14ac:dyDescent="0.25">
      <c r="A16" t="s">
        <v>344</v>
      </c>
      <c r="B16" t="s">
        <v>495</v>
      </c>
      <c r="C16" t="s">
        <v>501</v>
      </c>
      <c r="D16" t="s">
        <v>493</v>
      </c>
      <c r="E16">
        <v>2</v>
      </c>
      <c r="F16">
        <v>4.5</v>
      </c>
      <c r="G16">
        <v>80</v>
      </c>
      <c r="H16">
        <v>9</v>
      </c>
      <c r="I16">
        <v>4.2</v>
      </c>
      <c r="J16">
        <v>13.3</v>
      </c>
      <c r="K16">
        <v>17.600000000000001</v>
      </c>
      <c r="L16">
        <v>7</v>
      </c>
      <c r="M16">
        <v>40</v>
      </c>
    </row>
    <row r="17" spans="1:13" x14ac:dyDescent="0.25">
      <c r="A17" t="s">
        <v>344</v>
      </c>
      <c r="B17" t="s">
        <v>495</v>
      </c>
      <c r="C17" t="s">
        <v>501</v>
      </c>
      <c r="D17" t="s">
        <v>493</v>
      </c>
      <c r="E17">
        <v>2</v>
      </c>
      <c r="F17">
        <v>5</v>
      </c>
      <c r="G17">
        <v>30</v>
      </c>
      <c r="H17">
        <v>10</v>
      </c>
      <c r="I17">
        <v>5.9</v>
      </c>
      <c r="J17">
        <v>13.6</v>
      </c>
      <c r="K17">
        <v>14.6</v>
      </c>
      <c r="L17">
        <v>8.8000000000000007</v>
      </c>
      <c r="M17">
        <v>20</v>
      </c>
    </row>
    <row r="18" spans="1:13" x14ac:dyDescent="0.25">
      <c r="A18" t="s">
        <v>344</v>
      </c>
      <c r="B18" t="s">
        <v>495</v>
      </c>
      <c r="C18" t="s">
        <v>501</v>
      </c>
      <c r="D18" t="s">
        <v>493</v>
      </c>
      <c r="E18">
        <v>2</v>
      </c>
      <c r="F18">
        <v>5</v>
      </c>
      <c r="G18">
        <v>35</v>
      </c>
      <c r="H18">
        <v>10</v>
      </c>
      <c r="I18">
        <v>5.9</v>
      </c>
      <c r="J18">
        <v>13.6</v>
      </c>
      <c r="K18">
        <v>14.6</v>
      </c>
      <c r="L18">
        <v>8.8000000000000007</v>
      </c>
      <c r="M18">
        <v>20</v>
      </c>
    </row>
    <row r="19" spans="1:13" x14ac:dyDescent="0.25">
      <c r="A19" t="s">
        <v>344</v>
      </c>
      <c r="B19" t="s">
        <v>495</v>
      </c>
      <c r="C19" t="s">
        <v>501</v>
      </c>
      <c r="D19" t="s">
        <v>493</v>
      </c>
      <c r="E19">
        <v>2</v>
      </c>
      <c r="F19">
        <v>5</v>
      </c>
      <c r="G19">
        <v>40</v>
      </c>
      <c r="H19">
        <v>10</v>
      </c>
      <c r="I19">
        <v>5.9</v>
      </c>
      <c r="J19">
        <v>13.6</v>
      </c>
      <c r="K19">
        <v>14.6</v>
      </c>
      <c r="L19">
        <v>8.8000000000000007</v>
      </c>
      <c r="M19">
        <v>25</v>
      </c>
    </row>
    <row r="20" spans="1:13" x14ac:dyDescent="0.25">
      <c r="A20" t="s">
        <v>344</v>
      </c>
      <c r="B20" t="s">
        <v>495</v>
      </c>
      <c r="C20" t="s">
        <v>501</v>
      </c>
      <c r="D20" t="s">
        <v>493</v>
      </c>
      <c r="E20">
        <v>2</v>
      </c>
      <c r="F20">
        <v>5</v>
      </c>
      <c r="G20">
        <v>50</v>
      </c>
      <c r="H20">
        <v>10</v>
      </c>
      <c r="I20">
        <v>5.9</v>
      </c>
      <c r="J20">
        <v>13.6</v>
      </c>
      <c r="K20">
        <v>14.6</v>
      </c>
      <c r="L20">
        <v>8.8000000000000007</v>
      </c>
      <c r="M20">
        <v>30</v>
      </c>
    </row>
    <row r="21" spans="1:13" x14ac:dyDescent="0.25">
      <c r="A21" t="s">
        <v>344</v>
      </c>
      <c r="B21" t="s">
        <v>495</v>
      </c>
      <c r="C21" t="s">
        <v>501</v>
      </c>
      <c r="D21" t="s">
        <v>493</v>
      </c>
      <c r="E21">
        <v>2</v>
      </c>
      <c r="F21">
        <v>5</v>
      </c>
      <c r="G21">
        <v>60</v>
      </c>
      <c r="H21">
        <v>10</v>
      </c>
      <c r="I21">
        <v>5.9</v>
      </c>
      <c r="J21">
        <v>13.6</v>
      </c>
      <c r="K21">
        <v>14.6</v>
      </c>
      <c r="L21">
        <v>8.8000000000000007</v>
      </c>
      <c r="M21">
        <v>40</v>
      </c>
    </row>
    <row r="22" spans="1:13" x14ac:dyDescent="0.25">
      <c r="A22" t="s">
        <v>344</v>
      </c>
      <c r="B22" t="s">
        <v>495</v>
      </c>
      <c r="C22" t="s">
        <v>501</v>
      </c>
      <c r="D22" t="s">
        <v>493</v>
      </c>
      <c r="E22">
        <v>2</v>
      </c>
      <c r="F22">
        <v>5</v>
      </c>
      <c r="G22">
        <v>70</v>
      </c>
      <c r="H22">
        <v>10</v>
      </c>
      <c r="I22">
        <v>5.9</v>
      </c>
      <c r="J22">
        <v>13.6</v>
      </c>
      <c r="K22">
        <v>14.6</v>
      </c>
      <c r="L22">
        <v>8.8000000000000007</v>
      </c>
      <c r="M22">
        <v>40</v>
      </c>
    </row>
    <row r="23" spans="1:13" x14ac:dyDescent="0.25">
      <c r="A23" t="s">
        <v>344</v>
      </c>
      <c r="B23" t="s">
        <v>495</v>
      </c>
      <c r="C23" t="s">
        <v>501</v>
      </c>
      <c r="D23" t="s">
        <v>493</v>
      </c>
      <c r="E23">
        <v>2</v>
      </c>
      <c r="F23">
        <v>5</v>
      </c>
      <c r="G23">
        <v>80</v>
      </c>
      <c r="H23">
        <v>10</v>
      </c>
      <c r="I23">
        <v>5.9</v>
      </c>
      <c r="J23">
        <v>13.6</v>
      </c>
      <c r="K23">
        <v>14.6</v>
      </c>
      <c r="L23">
        <v>8.8000000000000007</v>
      </c>
      <c r="M23">
        <v>50</v>
      </c>
    </row>
    <row r="24" spans="1:13" x14ac:dyDescent="0.25">
      <c r="A24" t="s">
        <v>344</v>
      </c>
      <c r="B24" t="s">
        <v>495</v>
      </c>
      <c r="C24" t="s">
        <v>501</v>
      </c>
      <c r="D24" t="s">
        <v>493</v>
      </c>
      <c r="E24">
        <v>2</v>
      </c>
      <c r="F24">
        <v>5</v>
      </c>
      <c r="G24">
        <v>90</v>
      </c>
      <c r="H24">
        <v>10</v>
      </c>
      <c r="I24">
        <v>5.9</v>
      </c>
      <c r="J24">
        <v>13.6</v>
      </c>
      <c r="K24">
        <v>14.6</v>
      </c>
      <c r="L24">
        <v>8.8000000000000007</v>
      </c>
      <c r="M24">
        <v>50</v>
      </c>
    </row>
    <row r="25" spans="1:13" x14ac:dyDescent="0.25">
      <c r="A25" t="s">
        <v>344</v>
      </c>
      <c r="B25" t="s">
        <v>495</v>
      </c>
      <c r="C25" t="s">
        <v>501</v>
      </c>
      <c r="D25" t="s">
        <v>493</v>
      </c>
      <c r="E25">
        <v>2</v>
      </c>
      <c r="F25">
        <v>5</v>
      </c>
      <c r="G25">
        <v>100</v>
      </c>
      <c r="H25">
        <v>10</v>
      </c>
      <c r="I25">
        <v>5.9</v>
      </c>
      <c r="J25">
        <v>13.6</v>
      </c>
      <c r="K25">
        <v>14.6</v>
      </c>
      <c r="L25">
        <v>8.8000000000000007</v>
      </c>
      <c r="M25">
        <v>60</v>
      </c>
    </row>
    <row r="26" spans="1:13" x14ac:dyDescent="0.25">
      <c r="A26" t="s">
        <v>344</v>
      </c>
      <c r="B26" t="s">
        <v>495</v>
      </c>
      <c r="C26" t="s">
        <v>501</v>
      </c>
      <c r="D26" t="s">
        <v>493</v>
      </c>
      <c r="E26">
        <v>2</v>
      </c>
      <c r="F26">
        <v>5</v>
      </c>
      <c r="G26">
        <v>110</v>
      </c>
      <c r="H26">
        <v>10</v>
      </c>
      <c r="I26">
        <v>5.9</v>
      </c>
      <c r="J26">
        <v>13.6</v>
      </c>
      <c r="K26">
        <v>14.6</v>
      </c>
      <c r="L26">
        <v>8.8000000000000007</v>
      </c>
      <c r="M26">
        <v>40</v>
      </c>
    </row>
    <row r="27" spans="1:13" x14ac:dyDescent="0.25">
      <c r="A27" t="s">
        <v>344</v>
      </c>
      <c r="B27" t="s">
        <v>495</v>
      </c>
      <c r="C27" t="s">
        <v>501</v>
      </c>
      <c r="D27" t="s">
        <v>493</v>
      </c>
      <c r="E27">
        <v>2</v>
      </c>
      <c r="F27">
        <v>5</v>
      </c>
      <c r="G27">
        <v>120</v>
      </c>
      <c r="H27">
        <v>10</v>
      </c>
      <c r="I27">
        <v>5.9</v>
      </c>
      <c r="J27">
        <v>13.6</v>
      </c>
      <c r="K27">
        <v>14.6</v>
      </c>
      <c r="L27">
        <v>8.8000000000000007</v>
      </c>
      <c r="M27">
        <v>40</v>
      </c>
    </row>
    <row r="28" spans="1:13" x14ac:dyDescent="0.25">
      <c r="A28" t="s">
        <v>344</v>
      </c>
      <c r="B28" t="s">
        <v>495</v>
      </c>
      <c r="C28" t="s">
        <v>501</v>
      </c>
      <c r="D28" t="s">
        <v>493</v>
      </c>
      <c r="E28">
        <v>2</v>
      </c>
      <c r="F28">
        <v>6</v>
      </c>
      <c r="G28">
        <v>50</v>
      </c>
      <c r="H28">
        <v>12</v>
      </c>
      <c r="I28">
        <v>10.7</v>
      </c>
      <c r="J28">
        <v>13</v>
      </c>
      <c r="K28">
        <v>14.6</v>
      </c>
      <c r="L28">
        <v>13.1</v>
      </c>
      <c r="M28">
        <v>30</v>
      </c>
    </row>
    <row r="29" spans="1:13" x14ac:dyDescent="0.25">
      <c r="A29" t="s">
        <v>344</v>
      </c>
      <c r="B29" t="s">
        <v>495</v>
      </c>
      <c r="C29" t="s">
        <v>501</v>
      </c>
      <c r="D29" t="s">
        <v>493</v>
      </c>
      <c r="E29">
        <v>2</v>
      </c>
      <c r="F29">
        <v>6</v>
      </c>
      <c r="G29">
        <v>60</v>
      </c>
      <c r="H29">
        <v>12</v>
      </c>
      <c r="I29">
        <v>10.7</v>
      </c>
      <c r="J29">
        <v>13</v>
      </c>
      <c r="K29">
        <v>14.6</v>
      </c>
      <c r="L29">
        <v>13.1</v>
      </c>
      <c r="M29">
        <v>40</v>
      </c>
    </row>
    <row r="30" spans="1:13" x14ac:dyDescent="0.25">
      <c r="A30" t="s">
        <v>344</v>
      </c>
      <c r="B30" t="s">
        <v>495</v>
      </c>
      <c r="C30" t="s">
        <v>501</v>
      </c>
      <c r="D30" t="s">
        <v>493</v>
      </c>
      <c r="E30">
        <v>2</v>
      </c>
      <c r="F30">
        <v>6</v>
      </c>
      <c r="G30">
        <v>70</v>
      </c>
      <c r="H30">
        <v>12</v>
      </c>
      <c r="I30">
        <v>10.7</v>
      </c>
      <c r="J30">
        <v>13</v>
      </c>
      <c r="K30">
        <v>14.6</v>
      </c>
      <c r="L30">
        <v>13.1</v>
      </c>
      <c r="M30">
        <v>40</v>
      </c>
    </row>
    <row r="31" spans="1:13" x14ac:dyDescent="0.25">
      <c r="A31" t="s">
        <v>344</v>
      </c>
      <c r="B31" t="s">
        <v>495</v>
      </c>
      <c r="C31" t="s">
        <v>501</v>
      </c>
      <c r="D31" t="s">
        <v>493</v>
      </c>
      <c r="E31">
        <v>2</v>
      </c>
      <c r="F31">
        <v>6</v>
      </c>
      <c r="G31">
        <v>80</v>
      </c>
      <c r="H31">
        <v>12</v>
      </c>
      <c r="I31">
        <v>10.7</v>
      </c>
      <c r="J31">
        <v>13</v>
      </c>
      <c r="K31">
        <v>14.6</v>
      </c>
      <c r="L31">
        <v>13.1</v>
      </c>
      <c r="M31">
        <v>50</v>
      </c>
    </row>
    <row r="32" spans="1:13" x14ac:dyDescent="0.25">
      <c r="A32" t="s">
        <v>344</v>
      </c>
      <c r="B32" t="s">
        <v>495</v>
      </c>
      <c r="C32" t="s">
        <v>501</v>
      </c>
      <c r="D32" t="s">
        <v>493</v>
      </c>
      <c r="E32">
        <v>2</v>
      </c>
      <c r="F32">
        <v>6</v>
      </c>
      <c r="G32">
        <v>90</v>
      </c>
      <c r="H32">
        <v>12</v>
      </c>
      <c r="I32">
        <v>10.7</v>
      </c>
      <c r="J32">
        <v>13</v>
      </c>
      <c r="K32">
        <v>14.6</v>
      </c>
      <c r="L32">
        <v>13.1</v>
      </c>
      <c r="M32">
        <v>50</v>
      </c>
    </row>
    <row r="33" spans="1:13" x14ac:dyDescent="0.25">
      <c r="A33" t="s">
        <v>344</v>
      </c>
      <c r="B33" t="s">
        <v>495</v>
      </c>
      <c r="C33" t="s">
        <v>501</v>
      </c>
      <c r="D33" t="s">
        <v>493</v>
      </c>
      <c r="E33">
        <v>2</v>
      </c>
      <c r="F33">
        <v>6</v>
      </c>
      <c r="G33">
        <v>100</v>
      </c>
      <c r="H33">
        <v>12</v>
      </c>
      <c r="I33">
        <v>10.7</v>
      </c>
      <c r="J33">
        <v>13</v>
      </c>
      <c r="K33">
        <v>14.6</v>
      </c>
      <c r="L33">
        <v>13.1</v>
      </c>
      <c r="M33">
        <v>60</v>
      </c>
    </row>
    <row r="34" spans="1:13" x14ac:dyDescent="0.25">
      <c r="A34" t="s">
        <v>344</v>
      </c>
      <c r="B34" t="s">
        <v>495</v>
      </c>
      <c r="C34" t="s">
        <v>501</v>
      </c>
      <c r="D34" t="s">
        <v>493</v>
      </c>
      <c r="E34">
        <v>2</v>
      </c>
      <c r="F34">
        <v>6</v>
      </c>
      <c r="G34">
        <v>110</v>
      </c>
      <c r="H34">
        <v>12</v>
      </c>
      <c r="I34">
        <v>10.7</v>
      </c>
      <c r="J34">
        <v>13</v>
      </c>
      <c r="K34">
        <v>14.6</v>
      </c>
      <c r="L34">
        <v>13.1</v>
      </c>
      <c r="M34">
        <v>60</v>
      </c>
    </row>
    <row r="35" spans="1:13" x14ac:dyDescent="0.25">
      <c r="A35" t="s">
        <v>344</v>
      </c>
      <c r="B35" t="s">
        <v>495</v>
      </c>
      <c r="C35" t="s">
        <v>501</v>
      </c>
      <c r="D35" t="s">
        <v>493</v>
      </c>
      <c r="E35">
        <v>2</v>
      </c>
      <c r="F35">
        <v>6</v>
      </c>
      <c r="G35">
        <v>120</v>
      </c>
      <c r="H35">
        <v>12</v>
      </c>
      <c r="I35">
        <v>10.7</v>
      </c>
      <c r="J35">
        <v>13</v>
      </c>
      <c r="K35">
        <v>14.6</v>
      </c>
      <c r="L35">
        <v>13.1</v>
      </c>
      <c r="M35">
        <v>70</v>
      </c>
    </row>
    <row r="36" spans="1:13" x14ac:dyDescent="0.25">
      <c r="A36" t="s">
        <v>344</v>
      </c>
      <c r="B36" t="s">
        <v>495</v>
      </c>
      <c r="C36" t="s">
        <v>501</v>
      </c>
      <c r="D36" t="s">
        <v>493</v>
      </c>
      <c r="E36">
        <v>2</v>
      </c>
      <c r="F36">
        <v>6</v>
      </c>
      <c r="G36">
        <v>130</v>
      </c>
      <c r="H36">
        <v>12</v>
      </c>
      <c r="I36">
        <v>10.7</v>
      </c>
      <c r="J36">
        <v>13</v>
      </c>
      <c r="K36">
        <v>14.6</v>
      </c>
      <c r="L36">
        <v>13.1</v>
      </c>
      <c r="M36">
        <v>70</v>
      </c>
    </row>
    <row r="37" spans="1:13" x14ac:dyDescent="0.25">
      <c r="A37" t="s">
        <v>344</v>
      </c>
      <c r="B37" t="s">
        <v>495</v>
      </c>
      <c r="C37" t="s">
        <v>501</v>
      </c>
      <c r="D37" t="s">
        <v>493</v>
      </c>
      <c r="E37">
        <v>2</v>
      </c>
      <c r="F37">
        <v>6</v>
      </c>
      <c r="G37">
        <v>140</v>
      </c>
      <c r="H37">
        <v>12</v>
      </c>
      <c r="I37">
        <v>10.7</v>
      </c>
      <c r="J37">
        <v>13</v>
      </c>
      <c r="K37">
        <v>14.6</v>
      </c>
      <c r="L37">
        <v>13.1</v>
      </c>
      <c r="M37">
        <v>70</v>
      </c>
    </row>
    <row r="38" spans="1:13" x14ac:dyDescent="0.25">
      <c r="A38" t="s">
        <v>344</v>
      </c>
      <c r="B38" t="s">
        <v>495</v>
      </c>
      <c r="C38" t="s">
        <v>501</v>
      </c>
      <c r="D38" t="s">
        <v>493</v>
      </c>
      <c r="E38">
        <v>2</v>
      </c>
      <c r="F38">
        <v>6</v>
      </c>
      <c r="G38">
        <v>150</v>
      </c>
      <c r="H38">
        <v>12</v>
      </c>
      <c r="I38">
        <v>10.7</v>
      </c>
      <c r="J38">
        <v>13</v>
      </c>
      <c r="K38">
        <v>14.6</v>
      </c>
      <c r="L38">
        <v>13.1</v>
      </c>
      <c r="M38">
        <v>70</v>
      </c>
    </row>
    <row r="39" spans="1:13" x14ac:dyDescent="0.25">
      <c r="A39" t="s">
        <v>344</v>
      </c>
      <c r="B39" t="s">
        <v>495</v>
      </c>
      <c r="C39" t="s">
        <v>501</v>
      </c>
      <c r="D39" t="s">
        <v>493</v>
      </c>
      <c r="E39">
        <v>2</v>
      </c>
      <c r="F39">
        <v>6</v>
      </c>
      <c r="G39">
        <v>160</v>
      </c>
      <c r="H39">
        <v>12</v>
      </c>
      <c r="I39">
        <v>10.7</v>
      </c>
      <c r="J39">
        <v>13</v>
      </c>
      <c r="K39">
        <v>14.6</v>
      </c>
      <c r="L39">
        <v>13.1</v>
      </c>
      <c r="M39">
        <v>70</v>
      </c>
    </row>
    <row r="40" spans="1:13" x14ac:dyDescent="0.25">
      <c r="A40" t="s">
        <v>344</v>
      </c>
      <c r="B40" t="s">
        <v>495</v>
      </c>
      <c r="C40" t="s">
        <v>501</v>
      </c>
      <c r="D40" t="s">
        <v>493</v>
      </c>
      <c r="E40">
        <v>2</v>
      </c>
      <c r="F40">
        <v>6</v>
      </c>
      <c r="G40">
        <v>180</v>
      </c>
      <c r="H40">
        <v>12</v>
      </c>
      <c r="I40">
        <v>10.7</v>
      </c>
      <c r="J40">
        <v>13</v>
      </c>
      <c r="K40">
        <v>14.6</v>
      </c>
      <c r="L40">
        <v>13.1</v>
      </c>
      <c r="M40">
        <v>70</v>
      </c>
    </row>
    <row r="41" spans="1:13" x14ac:dyDescent="0.25">
      <c r="A41" t="s">
        <v>344</v>
      </c>
      <c r="B41" t="s">
        <v>495</v>
      </c>
      <c r="C41" t="s">
        <v>501</v>
      </c>
      <c r="D41" t="s">
        <v>493</v>
      </c>
      <c r="E41">
        <v>2</v>
      </c>
      <c r="F41">
        <v>6</v>
      </c>
      <c r="G41">
        <v>200</v>
      </c>
      <c r="H41">
        <v>12</v>
      </c>
      <c r="I41">
        <v>10.7</v>
      </c>
      <c r="J41">
        <v>13</v>
      </c>
      <c r="K41">
        <v>14.6</v>
      </c>
      <c r="L41">
        <v>13.1</v>
      </c>
      <c r="M41">
        <v>70</v>
      </c>
    </row>
    <row r="42" spans="1:13" x14ac:dyDescent="0.25">
      <c r="A42" t="s">
        <v>344</v>
      </c>
      <c r="B42" t="s">
        <v>495</v>
      </c>
      <c r="C42" t="s">
        <v>501</v>
      </c>
      <c r="D42" t="s">
        <v>493</v>
      </c>
      <c r="E42">
        <v>2</v>
      </c>
      <c r="F42">
        <v>6</v>
      </c>
      <c r="G42">
        <v>220</v>
      </c>
      <c r="H42">
        <v>12</v>
      </c>
      <c r="I42">
        <v>10.7</v>
      </c>
      <c r="J42">
        <v>13</v>
      </c>
      <c r="K42">
        <v>14.6</v>
      </c>
      <c r="L42">
        <v>13.1</v>
      </c>
      <c r="M42">
        <v>70</v>
      </c>
    </row>
    <row r="43" spans="1:13" x14ac:dyDescent="0.25">
      <c r="A43" t="s">
        <v>344</v>
      </c>
      <c r="B43" t="s">
        <v>495</v>
      </c>
      <c r="C43" t="s">
        <v>501</v>
      </c>
      <c r="D43" t="s">
        <v>493</v>
      </c>
      <c r="E43">
        <v>2</v>
      </c>
      <c r="F43">
        <v>6</v>
      </c>
      <c r="G43">
        <v>240</v>
      </c>
      <c r="H43">
        <v>12</v>
      </c>
      <c r="I43">
        <v>10.7</v>
      </c>
      <c r="J43">
        <v>13</v>
      </c>
      <c r="K43">
        <v>14.6</v>
      </c>
      <c r="L43">
        <v>13.1</v>
      </c>
      <c r="M43">
        <v>70</v>
      </c>
    </row>
    <row r="44" spans="1:13" x14ac:dyDescent="0.25">
      <c r="A44" t="s">
        <v>344</v>
      </c>
      <c r="B44" t="s">
        <v>495</v>
      </c>
      <c r="C44" t="s">
        <v>501</v>
      </c>
      <c r="D44" t="s">
        <v>493</v>
      </c>
      <c r="E44">
        <v>2</v>
      </c>
      <c r="F44">
        <v>6</v>
      </c>
      <c r="G44">
        <v>260</v>
      </c>
      <c r="H44">
        <v>12</v>
      </c>
      <c r="I44">
        <v>10.7</v>
      </c>
      <c r="J44">
        <v>13</v>
      </c>
      <c r="K44">
        <v>14.6</v>
      </c>
      <c r="L44">
        <v>13.1</v>
      </c>
      <c r="M44">
        <v>70</v>
      </c>
    </row>
    <row r="45" spans="1:13" x14ac:dyDescent="0.25">
      <c r="A45" t="s">
        <v>344</v>
      </c>
      <c r="B45" t="s">
        <v>495</v>
      </c>
      <c r="C45" t="s">
        <v>501</v>
      </c>
      <c r="D45" t="s">
        <v>493</v>
      </c>
      <c r="E45">
        <v>2</v>
      </c>
      <c r="F45">
        <v>6</v>
      </c>
      <c r="G45">
        <v>280</v>
      </c>
      <c r="H45">
        <v>12</v>
      </c>
      <c r="I45">
        <v>10.7</v>
      </c>
      <c r="J45">
        <v>13</v>
      </c>
      <c r="K45">
        <v>14.6</v>
      </c>
      <c r="L45">
        <v>13.1</v>
      </c>
      <c r="M45">
        <v>70</v>
      </c>
    </row>
    <row r="46" spans="1:13" x14ac:dyDescent="0.25">
      <c r="A46" t="s">
        <v>344</v>
      </c>
      <c r="B46" t="s">
        <v>495</v>
      </c>
      <c r="C46" t="s">
        <v>501</v>
      </c>
      <c r="D46" t="s">
        <v>493</v>
      </c>
      <c r="E46">
        <v>2</v>
      </c>
      <c r="F46">
        <v>6</v>
      </c>
      <c r="G46">
        <v>300</v>
      </c>
      <c r="H46">
        <v>12</v>
      </c>
      <c r="I46">
        <v>10.7</v>
      </c>
      <c r="J46">
        <v>13</v>
      </c>
      <c r="K46">
        <v>14.6</v>
      </c>
      <c r="L46">
        <v>13.1</v>
      </c>
      <c r="M46">
        <v>70</v>
      </c>
    </row>
    <row r="47" spans="1:13" x14ac:dyDescent="0.25">
      <c r="A47" t="s">
        <v>344</v>
      </c>
      <c r="B47" t="s">
        <v>495</v>
      </c>
      <c r="C47" t="s">
        <v>501</v>
      </c>
      <c r="D47" t="s">
        <v>493</v>
      </c>
      <c r="E47">
        <v>2</v>
      </c>
      <c r="F47">
        <v>8</v>
      </c>
      <c r="G47">
        <v>80</v>
      </c>
      <c r="H47">
        <v>15</v>
      </c>
      <c r="I47">
        <v>22.6</v>
      </c>
      <c r="J47">
        <v>10.9</v>
      </c>
      <c r="K47">
        <v>12.4</v>
      </c>
      <c r="L47">
        <v>23.3</v>
      </c>
      <c r="M47">
        <v>50</v>
      </c>
    </row>
    <row r="48" spans="1:13" x14ac:dyDescent="0.25">
      <c r="A48" t="s">
        <v>344</v>
      </c>
      <c r="B48" t="s">
        <v>495</v>
      </c>
      <c r="C48" t="s">
        <v>501</v>
      </c>
      <c r="D48" t="s">
        <v>493</v>
      </c>
      <c r="E48">
        <v>2</v>
      </c>
      <c r="F48">
        <v>8</v>
      </c>
      <c r="G48">
        <v>90</v>
      </c>
      <c r="H48">
        <v>15</v>
      </c>
      <c r="I48">
        <v>22.6</v>
      </c>
      <c r="J48">
        <v>10.9</v>
      </c>
      <c r="K48">
        <v>12.4</v>
      </c>
      <c r="L48">
        <v>23.3</v>
      </c>
      <c r="M48">
        <v>50</v>
      </c>
    </row>
    <row r="49" spans="1:13" x14ac:dyDescent="0.25">
      <c r="A49" t="s">
        <v>344</v>
      </c>
      <c r="B49" t="s">
        <v>495</v>
      </c>
      <c r="C49" t="s">
        <v>501</v>
      </c>
      <c r="D49" t="s">
        <v>493</v>
      </c>
      <c r="E49">
        <v>2</v>
      </c>
      <c r="F49">
        <v>8</v>
      </c>
      <c r="G49">
        <v>100</v>
      </c>
      <c r="H49">
        <v>15</v>
      </c>
      <c r="I49">
        <v>22.6</v>
      </c>
      <c r="J49">
        <v>10.9</v>
      </c>
      <c r="K49">
        <v>12.4</v>
      </c>
      <c r="L49">
        <v>23.3</v>
      </c>
      <c r="M49">
        <v>60</v>
      </c>
    </row>
    <row r="50" spans="1:13" x14ac:dyDescent="0.25">
      <c r="A50" t="s">
        <v>344</v>
      </c>
      <c r="B50" t="s">
        <v>495</v>
      </c>
      <c r="C50" t="s">
        <v>501</v>
      </c>
      <c r="D50" t="s">
        <v>493</v>
      </c>
      <c r="E50">
        <v>2</v>
      </c>
      <c r="F50">
        <v>8</v>
      </c>
      <c r="G50">
        <v>120</v>
      </c>
      <c r="H50">
        <v>15</v>
      </c>
      <c r="I50">
        <v>22.6</v>
      </c>
      <c r="J50">
        <v>10.9</v>
      </c>
      <c r="K50">
        <v>12.4</v>
      </c>
      <c r="L50">
        <v>23.3</v>
      </c>
      <c r="M50">
        <v>80</v>
      </c>
    </row>
    <row r="51" spans="1:13" x14ac:dyDescent="0.25">
      <c r="A51" t="s">
        <v>344</v>
      </c>
      <c r="B51" t="s">
        <v>495</v>
      </c>
      <c r="C51" t="s">
        <v>501</v>
      </c>
      <c r="D51" t="s">
        <v>493</v>
      </c>
      <c r="E51">
        <v>2</v>
      </c>
      <c r="F51">
        <v>8</v>
      </c>
      <c r="G51">
        <v>140</v>
      </c>
      <c r="H51">
        <v>15</v>
      </c>
      <c r="I51">
        <v>22.6</v>
      </c>
      <c r="J51">
        <v>10.9</v>
      </c>
      <c r="K51">
        <v>12.4</v>
      </c>
      <c r="L51">
        <v>23.3</v>
      </c>
      <c r="M51">
        <v>80</v>
      </c>
    </row>
    <row r="52" spans="1:13" x14ac:dyDescent="0.25">
      <c r="A52" t="s">
        <v>344</v>
      </c>
      <c r="B52" t="s">
        <v>495</v>
      </c>
      <c r="C52" t="s">
        <v>501</v>
      </c>
      <c r="D52" t="s">
        <v>493</v>
      </c>
      <c r="E52">
        <v>2</v>
      </c>
      <c r="F52">
        <v>8</v>
      </c>
      <c r="G52">
        <v>160</v>
      </c>
      <c r="H52">
        <v>15</v>
      </c>
      <c r="I52">
        <v>22.6</v>
      </c>
      <c r="J52">
        <v>10.9</v>
      </c>
      <c r="K52">
        <v>12.4</v>
      </c>
      <c r="L52">
        <v>23.3</v>
      </c>
      <c r="M52">
        <v>80</v>
      </c>
    </row>
    <row r="53" spans="1:13" x14ac:dyDescent="0.25">
      <c r="A53" t="s">
        <v>344</v>
      </c>
      <c r="B53" t="s">
        <v>495</v>
      </c>
      <c r="C53" t="s">
        <v>501</v>
      </c>
      <c r="D53" t="s">
        <v>493</v>
      </c>
      <c r="E53">
        <v>2</v>
      </c>
      <c r="F53">
        <v>8</v>
      </c>
      <c r="G53">
        <v>180</v>
      </c>
      <c r="H53">
        <v>15</v>
      </c>
      <c r="I53">
        <v>22.6</v>
      </c>
      <c r="J53">
        <v>10.9</v>
      </c>
      <c r="K53">
        <v>12.4</v>
      </c>
      <c r="L53">
        <v>23.3</v>
      </c>
      <c r="M53">
        <v>100</v>
      </c>
    </row>
    <row r="54" spans="1:13" x14ac:dyDescent="0.25">
      <c r="A54" t="s">
        <v>344</v>
      </c>
      <c r="B54" t="s">
        <v>495</v>
      </c>
      <c r="C54" t="s">
        <v>501</v>
      </c>
      <c r="D54" t="s">
        <v>493</v>
      </c>
      <c r="E54">
        <v>2</v>
      </c>
      <c r="F54">
        <v>8</v>
      </c>
      <c r="G54">
        <v>200</v>
      </c>
      <c r="H54">
        <v>15</v>
      </c>
      <c r="I54">
        <v>22.6</v>
      </c>
      <c r="J54">
        <v>10.9</v>
      </c>
      <c r="K54">
        <v>12.4</v>
      </c>
      <c r="L54">
        <v>23.3</v>
      </c>
      <c r="M54">
        <v>100</v>
      </c>
    </row>
    <row r="55" spans="1:13" x14ac:dyDescent="0.25">
      <c r="A55" t="s">
        <v>344</v>
      </c>
      <c r="B55" t="s">
        <v>495</v>
      </c>
      <c r="C55" t="s">
        <v>501</v>
      </c>
      <c r="D55" t="s">
        <v>493</v>
      </c>
      <c r="E55">
        <v>2</v>
      </c>
      <c r="F55">
        <v>8</v>
      </c>
      <c r="G55">
        <v>220</v>
      </c>
      <c r="H55">
        <v>15</v>
      </c>
      <c r="I55">
        <v>22.6</v>
      </c>
      <c r="J55">
        <v>10.9</v>
      </c>
      <c r="K55">
        <v>12.4</v>
      </c>
      <c r="L55">
        <v>23.3</v>
      </c>
      <c r="M55">
        <v>100</v>
      </c>
    </row>
    <row r="56" spans="1:13" x14ac:dyDescent="0.25">
      <c r="A56" t="s">
        <v>344</v>
      </c>
      <c r="B56" t="s">
        <v>495</v>
      </c>
      <c r="C56" t="s">
        <v>501</v>
      </c>
      <c r="D56" t="s">
        <v>493</v>
      </c>
      <c r="E56">
        <v>2</v>
      </c>
      <c r="F56">
        <v>8</v>
      </c>
      <c r="G56">
        <v>240</v>
      </c>
      <c r="H56">
        <v>15</v>
      </c>
      <c r="I56">
        <v>22.6</v>
      </c>
      <c r="J56">
        <v>10.9</v>
      </c>
      <c r="K56">
        <v>12.4</v>
      </c>
      <c r="L56">
        <v>23.3</v>
      </c>
      <c r="M56">
        <v>100</v>
      </c>
    </row>
    <row r="57" spans="1:13" x14ac:dyDescent="0.25">
      <c r="A57" t="s">
        <v>344</v>
      </c>
      <c r="B57" t="s">
        <v>495</v>
      </c>
      <c r="C57" t="s">
        <v>501</v>
      </c>
      <c r="D57" t="s">
        <v>493</v>
      </c>
      <c r="E57">
        <v>2</v>
      </c>
      <c r="F57">
        <v>8</v>
      </c>
      <c r="G57">
        <v>260</v>
      </c>
      <c r="H57">
        <v>15</v>
      </c>
      <c r="I57">
        <v>22.6</v>
      </c>
      <c r="J57">
        <v>10.9</v>
      </c>
      <c r="K57">
        <v>12.4</v>
      </c>
      <c r="L57">
        <v>23.3</v>
      </c>
      <c r="M57">
        <v>100</v>
      </c>
    </row>
    <row r="58" spans="1:13" x14ac:dyDescent="0.25">
      <c r="A58" t="s">
        <v>344</v>
      </c>
      <c r="B58" t="s">
        <v>495</v>
      </c>
      <c r="C58" t="s">
        <v>501</v>
      </c>
      <c r="D58" t="s">
        <v>493</v>
      </c>
      <c r="E58">
        <v>2</v>
      </c>
      <c r="F58">
        <v>8</v>
      </c>
      <c r="G58">
        <v>280</v>
      </c>
      <c r="H58">
        <v>15</v>
      </c>
      <c r="I58">
        <v>22.6</v>
      </c>
      <c r="J58">
        <v>10.9</v>
      </c>
      <c r="K58">
        <v>12.4</v>
      </c>
      <c r="L58">
        <v>23.3</v>
      </c>
      <c r="M58">
        <v>100</v>
      </c>
    </row>
    <row r="59" spans="1:13" x14ac:dyDescent="0.25">
      <c r="A59" t="s">
        <v>344</v>
      </c>
      <c r="B59" t="s">
        <v>495</v>
      </c>
      <c r="C59" t="s">
        <v>501</v>
      </c>
      <c r="D59" t="s">
        <v>493</v>
      </c>
      <c r="E59">
        <v>2</v>
      </c>
      <c r="F59">
        <v>8</v>
      </c>
      <c r="G59">
        <v>300</v>
      </c>
      <c r="H59">
        <v>15</v>
      </c>
      <c r="I59">
        <v>22.6</v>
      </c>
      <c r="J59">
        <v>10.9</v>
      </c>
      <c r="K59">
        <v>12.4</v>
      </c>
      <c r="L59">
        <v>23.3</v>
      </c>
      <c r="M59">
        <v>100</v>
      </c>
    </row>
    <row r="60" spans="1:13" x14ac:dyDescent="0.25">
      <c r="A60" t="s">
        <v>344</v>
      </c>
      <c r="B60" t="s">
        <v>495</v>
      </c>
      <c r="C60" t="s">
        <v>501</v>
      </c>
      <c r="D60" t="s">
        <v>493</v>
      </c>
      <c r="E60">
        <v>2</v>
      </c>
      <c r="F60">
        <v>8</v>
      </c>
      <c r="G60">
        <v>320</v>
      </c>
      <c r="H60">
        <v>15</v>
      </c>
      <c r="I60">
        <v>22.6</v>
      </c>
      <c r="J60">
        <v>10.9</v>
      </c>
      <c r="K60">
        <v>12.4</v>
      </c>
      <c r="L60">
        <v>23.3</v>
      </c>
      <c r="M60">
        <v>100</v>
      </c>
    </row>
    <row r="61" spans="1:13" x14ac:dyDescent="0.25">
      <c r="A61" t="s">
        <v>344</v>
      </c>
      <c r="B61" t="s">
        <v>495</v>
      </c>
      <c r="C61" t="s">
        <v>501</v>
      </c>
      <c r="D61" t="s">
        <v>493</v>
      </c>
      <c r="E61">
        <v>2</v>
      </c>
      <c r="F61">
        <v>8</v>
      </c>
      <c r="G61">
        <v>340</v>
      </c>
      <c r="H61">
        <v>15</v>
      </c>
      <c r="I61">
        <v>22.6</v>
      </c>
      <c r="J61">
        <v>10.9</v>
      </c>
      <c r="K61">
        <v>12.4</v>
      </c>
      <c r="L61">
        <v>23.3</v>
      </c>
      <c r="M61">
        <v>100</v>
      </c>
    </row>
    <row r="62" spans="1:13" x14ac:dyDescent="0.25">
      <c r="A62" t="s">
        <v>344</v>
      </c>
      <c r="B62" t="s">
        <v>495</v>
      </c>
      <c r="C62" t="s">
        <v>501</v>
      </c>
      <c r="D62" t="s">
        <v>493</v>
      </c>
      <c r="E62">
        <v>2</v>
      </c>
      <c r="F62">
        <v>8</v>
      </c>
      <c r="G62">
        <v>360</v>
      </c>
      <c r="H62">
        <v>15</v>
      </c>
      <c r="I62">
        <v>22.6</v>
      </c>
      <c r="J62">
        <v>10.9</v>
      </c>
      <c r="K62">
        <v>12.4</v>
      </c>
      <c r="L62">
        <v>23.3</v>
      </c>
      <c r="M62">
        <v>100</v>
      </c>
    </row>
    <row r="63" spans="1:13" x14ac:dyDescent="0.25">
      <c r="A63" t="s">
        <v>344</v>
      </c>
      <c r="B63" t="s">
        <v>495</v>
      </c>
      <c r="C63" t="s">
        <v>501</v>
      </c>
      <c r="D63" t="s">
        <v>493</v>
      </c>
      <c r="E63">
        <v>2</v>
      </c>
      <c r="F63">
        <v>8</v>
      </c>
      <c r="G63">
        <v>380</v>
      </c>
      <c r="H63">
        <v>15</v>
      </c>
      <c r="I63">
        <v>22.6</v>
      </c>
      <c r="J63">
        <v>10.9</v>
      </c>
      <c r="K63">
        <v>12.4</v>
      </c>
      <c r="L63">
        <v>23.3</v>
      </c>
      <c r="M63">
        <v>100</v>
      </c>
    </row>
    <row r="64" spans="1:13" x14ac:dyDescent="0.25">
      <c r="A64" t="s">
        <v>344</v>
      </c>
      <c r="B64" t="s">
        <v>495</v>
      </c>
      <c r="C64" t="s">
        <v>501</v>
      </c>
      <c r="D64" t="s">
        <v>493</v>
      </c>
      <c r="E64">
        <v>2</v>
      </c>
      <c r="F64">
        <v>8</v>
      </c>
      <c r="G64">
        <v>400</v>
      </c>
      <c r="H64">
        <v>15</v>
      </c>
      <c r="I64">
        <v>22.6</v>
      </c>
      <c r="J64">
        <v>10.9</v>
      </c>
      <c r="K64">
        <v>12.4</v>
      </c>
      <c r="L64">
        <v>23.3</v>
      </c>
      <c r="M64">
        <v>100</v>
      </c>
    </row>
    <row r="65" spans="1:13" x14ac:dyDescent="0.25">
      <c r="A65" t="s">
        <v>344</v>
      </c>
      <c r="B65" t="s">
        <v>495</v>
      </c>
      <c r="C65" t="s">
        <v>501</v>
      </c>
      <c r="D65" t="s">
        <v>493</v>
      </c>
      <c r="E65">
        <v>2</v>
      </c>
      <c r="F65">
        <v>8</v>
      </c>
      <c r="G65">
        <v>420</v>
      </c>
      <c r="H65">
        <v>15</v>
      </c>
      <c r="I65">
        <v>22.6</v>
      </c>
      <c r="J65">
        <v>10.9</v>
      </c>
      <c r="K65">
        <v>12.4</v>
      </c>
      <c r="L65">
        <v>23.3</v>
      </c>
      <c r="M65">
        <v>100</v>
      </c>
    </row>
    <row r="66" spans="1:13" x14ac:dyDescent="0.25">
      <c r="A66" t="s">
        <v>344</v>
      </c>
      <c r="B66" t="s">
        <v>495</v>
      </c>
      <c r="C66" t="s">
        <v>501</v>
      </c>
      <c r="D66" t="s">
        <v>493</v>
      </c>
      <c r="E66">
        <v>2</v>
      </c>
      <c r="F66">
        <v>8</v>
      </c>
      <c r="G66">
        <v>440</v>
      </c>
      <c r="H66">
        <v>15</v>
      </c>
      <c r="I66">
        <v>22.6</v>
      </c>
      <c r="J66">
        <v>10.9</v>
      </c>
      <c r="K66">
        <v>12.4</v>
      </c>
      <c r="L66">
        <v>23.3</v>
      </c>
      <c r="M66">
        <v>100</v>
      </c>
    </row>
    <row r="67" spans="1:13" x14ac:dyDescent="0.25">
      <c r="A67" t="s">
        <v>344</v>
      </c>
      <c r="B67" t="s">
        <v>495</v>
      </c>
      <c r="C67" t="s">
        <v>501</v>
      </c>
      <c r="D67" t="s">
        <v>493</v>
      </c>
      <c r="E67">
        <v>2</v>
      </c>
      <c r="F67">
        <v>8</v>
      </c>
      <c r="G67">
        <v>460</v>
      </c>
      <c r="H67">
        <v>15</v>
      </c>
      <c r="I67">
        <v>22.6</v>
      </c>
      <c r="J67">
        <v>10.9</v>
      </c>
      <c r="K67">
        <v>12.4</v>
      </c>
      <c r="L67">
        <v>23.3</v>
      </c>
      <c r="M67">
        <v>100</v>
      </c>
    </row>
    <row r="68" spans="1:13" x14ac:dyDescent="0.25">
      <c r="A68" t="s">
        <v>344</v>
      </c>
      <c r="B68" t="s">
        <v>495</v>
      </c>
      <c r="C68" t="s">
        <v>501</v>
      </c>
      <c r="D68" t="s">
        <v>493</v>
      </c>
      <c r="E68">
        <v>2</v>
      </c>
      <c r="F68">
        <v>8</v>
      </c>
      <c r="G68">
        <v>480</v>
      </c>
      <c r="H68">
        <v>15</v>
      </c>
      <c r="I68">
        <v>22.6</v>
      </c>
      <c r="J68">
        <v>10.9</v>
      </c>
      <c r="K68">
        <v>12.4</v>
      </c>
      <c r="L68">
        <v>23.3</v>
      </c>
      <c r="M68">
        <v>100</v>
      </c>
    </row>
    <row r="69" spans="1:13" x14ac:dyDescent="0.25">
      <c r="A69" t="s">
        <v>344</v>
      </c>
      <c r="B69" t="s">
        <v>495</v>
      </c>
      <c r="C69" t="s">
        <v>501</v>
      </c>
      <c r="D69" t="s">
        <v>493</v>
      </c>
      <c r="E69">
        <v>2</v>
      </c>
      <c r="F69">
        <v>8</v>
      </c>
      <c r="G69">
        <v>500</v>
      </c>
      <c r="H69">
        <v>15</v>
      </c>
      <c r="I69">
        <v>22.6</v>
      </c>
      <c r="J69">
        <v>10.9</v>
      </c>
      <c r="K69">
        <v>12.4</v>
      </c>
      <c r="L69">
        <v>23.3</v>
      </c>
      <c r="M69">
        <v>100</v>
      </c>
    </row>
    <row r="70" spans="1:13" x14ac:dyDescent="0.25">
      <c r="A70" t="s">
        <v>344</v>
      </c>
      <c r="B70" t="s">
        <v>495</v>
      </c>
      <c r="C70" t="s">
        <v>501</v>
      </c>
      <c r="D70" t="s">
        <v>493</v>
      </c>
      <c r="E70">
        <v>2</v>
      </c>
      <c r="F70">
        <v>10</v>
      </c>
      <c r="G70">
        <v>80</v>
      </c>
      <c r="H70">
        <v>18.5</v>
      </c>
      <c r="I70">
        <v>33.6</v>
      </c>
      <c r="J70">
        <v>11</v>
      </c>
      <c r="K70">
        <v>12.2</v>
      </c>
      <c r="L70">
        <v>35</v>
      </c>
      <c r="M70">
        <v>50</v>
      </c>
    </row>
    <row r="71" spans="1:13" x14ac:dyDescent="0.25">
      <c r="A71" t="s">
        <v>344</v>
      </c>
      <c r="B71" t="s">
        <v>495</v>
      </c>
      <c r="C71" t="s">
        <v>501</v>
      </c>
      <c r="D71" t="s">
        <v>493</v>
      </c>
      <c r="E71">
        <v>2</v>
      </c>
      <c r="F71">
        <v>10</v>
      </c>
      <c r="G71">
        <v>100</v>
      </c>
      <c r="H71">
        <v>18.5</v>
      </c>
      <c r="I71">
        <v>33.6</v>
      </c>
      <c r="J71">
        <v>11</v>
      </c>
      <c r="K71">
        <v>12.2</v>
      </c>
      <c r="L71">
        <v>35</v>
      </c>
      <c r="M71">
        <v>60</v>
      </c>
    </row>
    <row r="72" spans="1:13" x14ac:dyDescent="0.25">
      <c r="A72" t="s">
        <v>344</v>
      </c>
      <c r="B72" t="s">
        <v>495</v>
      </c>
      <c r="C72" t="s">
        <v>501</v>
      </c>
      <c r="D72" t="s">
        <v>493</v>
      </c>
      <c r="E72">
        <v>2</v>
      </c>
      <c r="F72">
        <v>10</v>
      </c>
      <c r="G72">
        <v>120</v>
      </c>
      <c r="H72">
        <v>18.5</v>
      </c>
      <c r="I72">
        <v>33.6</v>
      </c>
      <c r="J72">
        <v>11</v>
      </c>
      <c r="K72">
        <v>12.2</v>
      </c>
      <c r="L72">
        <v>35</v>
      </c>
      <c r="M72">
        <v>80</v>
      </c>
    </row>
    <row r="73" spans="1:13" x14ac:dyDescent="0.25">
      <c r="A73" t="s">
        <v>344</v>
      </c>
      <c r="B73" t="s">
        <v>495</v>
      </c>
      <c r="C73" t="s">
        <v>501</v>
      </c>
      <c r="D73" t="s">
        <v>493</v>
      </c>
      <c r="E73">
        <v>2</v>
      </c>
      <c r="F73">
        <v>10</v>
      </c>
      <c r="G73">
        <v>140</v>
      </c>
      <c r="H73">
        <v>18.5</v>
      </c>
      <c r="I73">
        <v>33.6</v>
      </c>
      <c r="J73">
        <v>11</v>
      </c>
      <c r="K73">
        <v>12.2</v>
      </c>
      <c r="L73">
        <v>35</v>
      </c>
      <c r="M73">
        <v>80</v>
      </c>
    </row>
    <row r="74" spans="1:13" x14ac:dyDescent="0.25">
      <c r="A74" t="s">
        <v>344</v>
      </c>
      <c r="B74" t="s">
        <v>495</v>
      </c>
      <c r="C74" t="s">
        <v>501</v>
      </c>
      <c r="D74" t="s">
        <v>493</v>
      </c>
      <c r="E74">
        <v>2</v>
      </c>
      <c r="F74">
        <v>10</v>
      </c>
      <c r="G74">
        <v>160</v>
      </c>
      <c r="H74">
        <v>18.5</v>
      </c>
      <c r="I74">
        <v>33.6</v>
      </c>
      <c r="J74">
        <v>11</v>
      </c>
      <c r="K74">
        <v>12.2</v>
      </c>
      <c r="L74">
        <v>35</v>
      </c>
      <c r="M74">
        <v>80</v>
      </c>
    </row>
    <row r="75" spans="1:13" x14ac:dyDescent="0.25">
      <c r="A75" t="s">
        <v>344</v>
      </c>
      <c r="B75" t="s">
        <v>495</v>
      </c>
      <c r="C75" t="s">
        <v>501</v>
      </c>
      <c r="D75" t="s">
        <v>493</v>
      </c>
      <c r="E75">
        <v>2</v>
      </c>
      <c r="F75">
        <v>10</v>
      </c>
      <c r="G75">
        <v>180</v>
      </c>
      <c r="H75">
        <v>18.5</v>
      </c>
      <c r="I75">
        <v>33.6</v>
      </c>
      <c r="J75">
        <v>11</v>
      </c>
      <c r="K75">
        <v>12.2</v>
      </c>
      <c r="L75">
        <v>35</v>
      </c>
      <c r="M75">
        <v>100</v>
      </c>
    </row>
    <row r="76" spans="1:13" x14ac:dyDescent="0.25">
      <c r="A76" t="s">
        <v>344</v>
      </c>
      <c r="B76" t="s">
        <v>495</v>
      </c>
      <c r="C76" t="s">
        <v>501</v>
      </c>
      <c r="D76" t="s">
        <v>493</v>
      </c>
      <c r="E76">
        <v>2</v>
      </c>
      <c r="F76">
        <v>10</v>
      </c>
      <c r="G76">
        <v>200</v>
      </c>
      <c r="H76">
        <v>18.5</v>
      </c>
      <c r="I76">
        <v>33.6</v>
      </c>
      <c r="J76">
        <v>11</v>
      </c>
      <c r="K76">
        <v>12.2</v>
      </c>
      <c r="L76">
        <v>35</v>
      </c>
      <c r="M76">
        <v>100</v>
      </c>
    </row>
    <row r="77" spans="1:13" x14ac:dyDescent="0.25">
      <c r="A77" t="s">
        <v>344</v>
      </c>
      <c r="B77" t="s">
        <v>495</v>
      </c>
      <c r="C77" t="s">
        <v>501</v>
      </c>
      <c r="D77" t="s">
        <v>493</v>
      </c>
      <c r="E77">
        <v>2</v>
      </c>
      <c r="F77">
        <v>10</v>
      </c>
      <c r="G77">
        <v>220</v>
      </c>
      <c r="H77">
        <v>18.5</v>
      </c>
      <c r="I77">
        <v>33.6</v>
      </c>
      <c r="J77">
        <v>11</v>
      </c>
      <c r="K77">
        <v>12.2</v>
      </c>
      <c r="L77">
        <v>35</v>
      </c>
      <c r="M77">
        <v>100</v>
      </c>
    </row>
    <row r="78" spans="1:13" x14ac:dyDescent="0.25">
      <c r="A78" t="s">
        <v>344</v>
      </c>
      <c r="B78" t="s">
        <v>495</v>
      </c>
      <c r="C78" t="s">
        <v>501</v>
      </c>
      <c r="D78" t="s">
        <v>493</v>
      </c>
      <c r="E78">
        <v>2</v>
      </c>
      <c r="F78">
        <v>10</v>
      </c>
      <c r="G78">
        <v>240</v>
      </c>
      <c r="H78">
        <v>18.5</v>
      </c>
      <c r="I78">
        <v>33.6</v>
      </c>
      <c r="J78">
        <v>11</v>
      </c>
      <c r="K78">
        <v>12.2</v>
      </c>
      <c r="L78">
        <v>35</v>
      </c>
      <c r="M78">
        <v>100</v>
      </c>
    </row>
    <row r="79" spans="1:13" x14ac:dyDescent="0.25">
      <c r="A79" t="s">
        <v>344</v>
      </c>
      <c r="B79" t="s">
        <v>495</v>
      </c>
      <c r="C79" t="s">
        <v>501</v>
      </c>
      <c r="D79" t="s">
        <v>493</v>
      </c>
      <c r="E79">
        <v>2</v>
      </c>
      <c r="F79">
        <v>10</v>
      </c>
      <c r="G79">
        <v>260</v>
      </c>
      <c r="H79">
        <v>18.5</v>
      </c>
      <c r="I79">
        <v>33.6</v>
      </c>
      <c r="J79">
        <v>11</v>
      </c>
      <c r="K79">
        <v>12.2</v>
      </c>
      <c r="L79">
        <v>35</v>
      </c>
      <c r="M79">
        <v>100</v>
      </c>
    </row>
    <row r="80" spans="1:13" x14ac:dyDescent="0.25">
      <c r="A80" t="s">
        <v>344</v>
      </c>
      <c r="B80" t="s">
        <v>495</v>
      </c>
      <c r="C80" t="s">
        <v>501</v>
      </c>
      <c r="D80" t="s">
        <v>493</v>
      </c>
      <c r="E80">
        <v>2</v>
      </c>
      <c r="F80">
        <v>10</v>
      </c>
      <c r="G80">
        <v>280</v>
      </c>
      <c r="H80">
        <v>18.5</v>
      </c>
      <c r="I80">
        <v>33.6</v>
      </c>
      <c r="J80">
        <v>11</v>
      </c>
      <c r="K80">
        <v>12.2</v>
      </c>
      <c r="L80">
        <v>35</v>
      </c>
      <c r="M80">
        <v>100</v>
      </c>
    </row>
    <row r="81" spans="1:13" x14ac:dyDescent="0.25">
      <c r="A81" t="s">
        <v>344</v>
      </c>
      <c r="B81" t="s">
        <v>495</v>
      </c>
      <c r="C81" t="s">
        <v>501</v>
      </c>
      <c r="D81" t="s">
        <v>493</v>
      </c>
      <c r="E81">
        <v>2</v>
      </c>
      <c r="F81">
        <v>10</v>
      </c>
      <c r="G81">
        <v>300</v>
      </c>
      <c r="H81">
        <v>18.5</v>
      </c>
      <c r="I81">
        <v>33.6</v>
      </c>
      <c r="J81">
        <v>11</v>
      </c>
      <c r="K81">
        <v>12.2</v>
      </c>
      <c r="L81">
        <v>35</v>
      </c>
      <c r="M81">
        <v>100</v>
      </c>
    </row>
    <row r="82" spans="1:13" x14ac:dyDescent="0.25">
      <c r="A82" t="s">
        <v>344</v>
      </c>
      <c r="B82" t="s">
        <v>495</v>
      </c>
      <c r="C82" t="s">
        <v>501</v>
      </c>
      <c r="D82" t="s">
        <v>493</v>
      </c>
      <c r="E82">
        <v>2</v>
      </c>
      <c r="F82">
        <v>10</v>
      </c>
      <c r="G82">
        <v>320</v>
      </c>
      <c r="H82">
        <v>18.5</v>
      </c>
      <c r="I82">
        <v>33.6</v>
      </c>
      <c r="J82">
        <v>11</v>
      </c>
      <c r="K82">
        <v>12.2</v>
      </c>
      <c r="L82">
        <v>35</v>
      </c>
      <c r="M82">
        <v>100</v>
      </c>
    </row>
    <row r="83" spans="1:13" x14ac:dyDescent="0.25">
      <c r="A83" t="s">
        <v>344</v>
      </c>
      <c r="B83" t="s">
        <v>495</v>
      </c>
      <c r="C83" t="s">
        <v>501</v>
      </c>
      <c r="D83" t="s">
        <v>493</v>
      </c>
      <c r="E83">
        <v>2</v>
      </c>
      <c r="F83">
        <v>10</v>
      </c>
      <c r="G83">
        <v>340</v>
      </c>
      <c r="H83">
        <v>18.5</v>
      </c>
      <c r="I83">
        <v>33.6</v>
      </c>
      <c r="J83">
        <v>11</v>
      </c>
      <c r="K83">
        <v>12.2</v>
      </c>
      <c r="L83">
        <v>35</v>
      </c>
      <c r="M83">
        <v>100</v>
      </c>
    </row>
    <row r="84" spans="1:13" x14ac:dyDescent="0.25">
      <c r="A84" t="s">
        <v>344</v>
      </c>
      <c r="B84" t="s">
        <v>495</v>
      </c>
      <c r="C84" t="s">
        <v>501</v>
      </c>
      <c r="D84" t="s">
        <v>493</v>
      </c>
      <c r="E84">
        <v>2</v>
      </c>
      <c r="F84">
        <v>10</v>
      </c>
      <c r="G84">
        <v>360</v>
      </c>
      <c r="H84">
        <v>18.5</v>
      </c>
      <c r="I84">
        <v>33.6</v>
      </c>
      <c r="J84">
        <v>11</v>
      </c>
      <c r="K84">
        <v>12.2</v>
      </c>
      <c r="L84">
        <v>35</v>
      </c>
      <c r="M84">
        <v>100</v>
      </c>
    </row>
    <row r="85" spans="1:13" x14ac:dyDescent="0.25">
      <c r="A85" t="s">
        <v>344</v>
      </c>
      <c r="B85" t="s">
        <v>495</v>
      </c>
      <c r="C85" t="s">
        <v>501</v>
      </c>
      <c r="D85" t="s">
        <v>493</v>
      </c>
      <c r="E85">
        <v>2</v>
      </c>
      <c r="F85">
        <v>10</v>
      </c>
      <c r="G85">
        <v>380</v>
      </c>
      <c r="H85">
        <v>18.5</v>
      </c>
      <c r="I85">
        <v>33.6</v>
      </c>
      <c r="J85">
        <v>11</v>
      </c>
      <c r="K85">
        <v>12.2</v>
      </c>
      <c r="L85">
        <v>35</v>
      </c>
      <c r="M85">
        <v>100</v>
      </c>
    </row>
    <row r="86" spans="1:13" x14ac:dyDescent="0.25">
      <c r="A86" t="s">
        <v>344</v>
      </c>
      <c r="B86" t="s">
        <v>495</v>
      </c>
      <c r="C86" t="s">
        <v>501</v>
      </c>
      <c r="D86" t="s">
        <v>493</v>
      </c>
      <c r="E86">
        <v>2</v>
      </c>
      <c r="F86">
        <v>10</v>
      </c>
      <c r="G86">
        <v>400</v>
      </c>
      <c r="H86">
        <v>18.5</v>
      </c>
      <c r="I86">
        <v>33.6</v>
      </c>
      <c r="J86">
        <v>11</v>
      </c>
      <c r="K86">
        <v>12.2</v>
      </c>
      <c r="L86">
        <v>35</v>
      </c>
      <c r="M86">
        <v>100</v>
      </c>
    </row>
    <row r="87" spans="1:13" x14ac:dyDescent="0.25">
      <c r="A87" t="s">
        <v>344</v>
      </c>
      <c r="B87" t="s">
        <v>495</v>
      </c>
      <c r="C87" t="s">
        <v>501</v>
      </c>
      <c r="D87" t="s">
        <v>493</v>
      </c>
      <c r="E87">
        <v>2</v>
      </c>
      <c r="F87">
        <v>10</v>
      </c>
      <c r="G87">
        <v>420</v>
      </c>
      <c r="H87">
        <v>18.5</v>
      </c>
      <c r="I87">
        <v>33.6</v>
      </c>
      <c r="J87">
        <v>11</v>
      </c>
      <c r="K87">
        <v>12.2</v>
      </c>
      <c r="L87">
        <v>35</v>
      </c>
      <c r="M87">
        <v>100</v>
      </c>
    </row>
    <row r="88" spans="1:13" x14ac:dyDescent="0.25">
      <c r="A88" t="s">
        <v>344</v>
      </c>
      <c r="B88" t="s">
        <v>495</v>
      </c>
      <c r="C88" t="s">
        <v>501</v>
      </c>
      <c r="D88" t="s">
        <v>493</v>
      </c>
      <c r="E88">
        <v>2</v>
      </c>
      <c r="F88">
        <v>10</v>
      </c>
      <c r="G88">
        <v>440</v>
      </c>
      <c r="H88">
        <v>18.5</v>
      </c>
      <c r="I88">
        <v>33.6</v>
      </c>
      <c r="J88">
        <v>11</v>
      </c>
      <c r="K88">
        <v>12.2</v>
      </c>
      <c r="L88">
        <v>35</v>
      </c>
      <c r="M88">
        <v>100</v>
      </c>
    </row>
    <row r="89" spans="1:13" x14ac:dyDescent="0.25">
      <c r="A89" t="s">
        <v>344</v>
      </c>
      <c r="B89" t="s">
        <v>495</v>
      </c>
      <c r="C89" t="s">
        <v>501</v>
      </c>
      <c r="D89" t="s">
        <v>493</v>
      </c>
      <c r="E89">
        <v>2</v>
      </c>
      <c r="F89">
        <v>10</v>
      </c>
      <c r="G89">
        <v>460</v>
      </c>
      <c r="H89">
        <v>18.5</v>
      </c>
      <c r="I89">
        <v>33.6</v>
      </c>
      <c r="J89">
        <v>11</v>
      </c>
      <c r="K89">
        <v>12.2</v>
      </c>
      <c r="L89">
        <v>35</v>
      </c>
      <c r="M89">
        <v>100</v>
      </c>
    </row>
    <row r="90" spans="1:13" x14ac:dyDescent="0.25">
      <c r="A90" t="s">
        <v>344</v>
      </c>
      <c r="B90" t="s">
        <v>495</v>
      </c>
      <c r="C90" t="s">
        <v>501</v>
      </c>
      <c r="D90" t="s">
        <v>493</v>
      </c>
      <c r="E90">
        <v>2</v>
      </c>
      <c r="F90">
        <v>10</v>
      </c>
      <c r="G90">
        <v>480</v>
      </c>
      <c r="H90">
        <v>18.5</v>
      </c>
      <c r="I90">
        <v>33.6</v>
      </c>
      <c r="J90">
        <v>11</v>
      </c>
      <c r="K90">
        <v>12.2</v>
      </c>
      <c r="L90">
        <v>35</v>
      </c>
      <c r="M90">
        <v>100</v>
      </c>
    </row>
    <row r="91" spans="1:13" x14ac:dyDescent="0.25">
      <c r="A91" t="s">
        <v>344</v>
      </c>
      <c r="B91" t="s">
        <v>495</v>
      </c>
      <c r="C91" t="s">
        <v>501</v>
      </c>
      <c r="D91" t="s">
        <v>493</v>
      </c>
      <c r="E91">
        <v>2</v>
      </c>
      <c r="F91">
        <v>10</v>
      </c>
      <c r="G91">
        <v>500</v>
      </c>
      <c r="H91">
        <v>18.5</v>
      </c>
      <c r="I91">
        <v>33.6</v>
      </c>
      <c r="J91">
        <v>11</v>
      </c>
      <c r="K91">
        <v>12.2</v>
      </c>
      <c r="L91">
        <v>35</v>
      </c>
      <c r="M91">
        <v>100</v>
      </c>
    </row>
    <row r="92" spans="1:13" x14ac:dyDescent="0.25">
      <c r="A92" t="s">
        <v>344</v>
      </c>
      <c r="B92" t="s">
        <v>495</v>
      </c>
      <c r="C92" t="s">
        <v>501</v>
      </c>
      <c r="D92" t="s">
        <v>493</v>
      </c>
      <c r="E92">
        <v>2</v>
      </c>
      <c r="F92">
        <v>12</v>
      </c>
      <c r="G92">
        <v>100</v>
      </c>
      <c r="H92">
        <v>21</v>
      </c>
      <c r="I92">
        <v>46.9</v>
      </c>
      <c r="J92">
        <v>11.2</v>
      </c>
      <c r="K92">
        <v>10.3</v>
      </c>
      <c r="L92">
        <v>42</v>
      </c>
      <c r="M92">
        <v>60</v>
      </c>
    </row>
    <row r="93" spans="1:13" x14ac:dyDescent="0.25">
      <c r="A93" t="s">
        <v>344</v>
      </c>
      <c r="B93" t="s">
        <v>495</v>
      </c>
      <c r="C93" t="s">
        <v>501</v>
      </c>
      <c r="D93" t="s">
        <v>493</v>
      </c>
      <c r="E93">
        <v>2</v>
      </c>
      <c r="F93">
        <v>12</v>
      </c>
      <c r="G93">
        <v>120</v>
      </c>
      <c r="H93">
        <v>21</v>
      </c>
      <c r="I93">
        <v>46.9</v>
      </c>
      <c r="J93">
        <v>11.2</v>
      </c>
      <c r="K93">
        <v>10.3</v>
      </c>
      <c r="L93">
        <v>42</v>
      </c>
      <c r="M93">
        <v>80</v>
      </c>
    </row>
    <row r="94" spans="1:13" x14ac:dyDescent="0.25">
      <c r="A94" t="s">
        <v>344</v>
      </c>
      <c r="B94" t="s">
        <v>495</v>
      </c>
      <c r="C94" t="s">
        <v>501</v>
      </c>
      <c r="D94" t="s">
        <v>493</v>
      </c>
      <c r="E94">
        <v>2</v>
      </c>
      <c r="F94">
        <v>12</v>
      </c>
      <c r="G94">
        <v>140</v>
      </c>
      <c r="H94">
        <v>21</v>
      </c>
      <c r="I94">
        <v>46.9</v>
      </c>
      <c r="J94">
        <v>11.2</v>
      </c>
      <c r="K94">
        <v>10.3</v>
      </c>
      <c r="L94">
        <v>42</v>
      </c>
      <c r="M94">
        <v>80</v>
      </c>
    </row>
    <row r="95" spans="1:13" x14ac:dyDescent="0.25">
      <c r="A95" t="s">
        <v>344</v>
      </c>
      <c r="B95" t="s">
        <v>495</v>
      </c>
      <c r="C95" t="s">
        <v>501</v>
      </c>
      <c r="D95" t="s">
        <v>493</v>
      </c>
      <c r="E95">
        <v>2</v>
      </c>
      <c r="F95">
        <v>12</v>
      </c>
      <c r="G95">
        <v>160</v>
      </c>
      <c r="H95">
        <v>21</v>
      </c>
      <c r="I95">
        <v>46.9</v>
      </c>
      <c r="J95">
        <v>11.2</v>
      </c>
      <c r="K95">
        <v>10.3</v>
      </c>
      <c r="L95">
        <v>42</v>
      </c>
      <c r="M95">
        <v>80</v>
      </c>
    </row>
    <row r="96" spans="1:13" x14ac:dyDescent="0.25">
      <c r="A96" t="s">
        <v>344</v>
      </c>
      <c r="B96" t="s">
        <v>495</v>
      </c>
      <c r="C96" t="s">
        <v>501</v>
      </c>
      <c r="D96" t="s">
        <v>493</v>
      </c>
      <c r="E96">
        <v>2</v>
      </c>
      <c r="F96">
        <v>12</v>
      </c>
      <c r="G96">
        <v>180</v>
      </c>
      <c r="H96">
        <v>21</v>
      </c>
      <c r="I96">
        <v>46.9</v>
      </c>
      <c r="J96">
        <v>11.2</v>
      </c>
      <c r="K96">
        <v>10.3</v>
      </c>
      <c r="L96">
        <v>42</v>
      </c>
      <c r="M96">
        <v>100</v>
      </c>
    </row>
    <row r="97" spans="1:13" x14ac:dyDescent="0.25">
      <c r="A97" t="s">
        <v>344</v>
      </c>
      <c r="B97" t="s">
        <v>495</v>
      </c>
      <c r="C97" t="s">
        <v>501</v>
      </c>
      <c r="D97" t="s">
        <v>493</v>
      </c>
      <c r="E97">
        <v>2</v>
      </c>
      <c r="F97">
        <v>12</v>
      </c>
      <c r="G97">
        <v>200</v>
      </c>
      <c r="H97">
        <v>21</v>
      </c>
      <c r="I97">
        <v>46.9</v>
      </c>
      <c r="J97">
        <v>11.2</v>
      </c>
      <c r="K97">
        <v>10.3</v>
      </c>
      <c r="L97">
        <v>42</v>
      </c>
      <c r="M97">
        <v>100</v>
      </c>
    </row>
    <row r="98" spans="1:13" x14ac:dyDescent="0.25">
      <c r="A98" t="s">
        <v>344</v>
      </c>
      <c r="B98" t="s">
        <v>495</v>
      </c>
      <c r="C98" t="s">
        <v>501</v>
      </c>
      <c r="D98" t="s">
        <v>493</v>
      </c>
      <c r="E98">
        <v>2</v>
      </c>
      <c r="F98">
        <v>12</v>
      </c>
      <c r="G98">
        <v>220</v>
      </c>
      <c r="H98">
        <v>21</v>
      </c>
      <c r="I98">
        <v>46.9</v>
      </c>
      <c r="J98">
        <v>11.2</v>
      </c>
      <c r="K98">
        <v>10.3</v>
      </c>
      <c r="L98">
        <v>42</v>
      </c>
      <c r="M98">
        <v>100</v>
      </c>
    </row>
    <row r="99" spans="1:13" x14ac:dyDescent="0.25">
      <c r="A99" t="s">
        <v>344</v>
      </c>
      <c r="B99" t="s">
        <v>495</v>
      </c>
      <c r="C99" t="s">
        <v>501</v>
      </c>
      <c r="D99" t="s">
        <v>493</v>
      </c>
      <c r="E99">
        <v>2</v>
      </c>
      <c r="F99">
        <v>12</v>
      </c>
      <c r="G99">
        <v>240</v>
      </c>
      <c r="H99">
        <v>21</v>
      </c>
      <c r="I99">
        <v>46.9</v>
      </c>
      <c r="J99">
        <v>11.2</v>
      </c>
      <c r="K99">
        <v>10.3</v>
      </c>
      <c r="L99">
        <v>42</v>
      </c>
      <c r="M99">
        <v>100</v>
      </c>
    </row>
    <row r="100" spans="1:13" x14ac:dyDescent="0.25">
      <c r="A100" t="s">
        <v>344</v>
      </c>
      <c r="B100" t="s">
        <v>495</v>
      </c>
      <c r="C100" t="s">
        <v>501</v>
      </c>
      <c r="D100" t="s">
        <v>493</v>
      </c>
      <c r="E100">
        <v>2</v>
      </c>
      <c r="F100">
        <v>12</v>
      </c>
      <c r="G100">
        <v>260</v>
      </c>
      <c r="H100">
        <v>21</v>
      </c>
      <c r="I100">
        <v>46.9</v>
      </c>
      <c r="J100">
        <v>11.2</v>
      </c>
      <c r="K100">
        <v>10.3</v>
      </c>
      <c r="L100">
        <v>42</v>
      </c>
      <c r="M100">
        <v>100</v>
      </c>
    </row>
    <row r="101" spans="1:13" x14ac:dyDescent="0.25">
      <c r="A101" t="s">
        <v>344</v>
      </c>
      <c r="B101" t="s">
        <v>495</v>
      </c>
      <c r="C101" t="s">
        <v>501</v>
      </c>
      <c r="D101" t="s">
        <v>493</v>
      </c>
      <c r="E101">
        <v>2</v>
      </c>
      <c r="F101">
        <v>12</v>
      </c>
      <c r="G101">
        <v>280</v>
      </c>
      <c r="H101">
        <v>21</v>
      </c>
      <c r="I101">
        <v>46.9</v>
      </c>
      <c r="J101">
        <v>11.2</v>
      </c>
      <c r="K101">
        <v>10.3</v>
      </c>
      <c r="L101">
        <v>42</v>
      </c>
      <c r="M101">
        <v>100</v>
      </c>
    </row>
    <row r="102" spans="1:13" x14ac:dyDescent="0.25">
      <c r="A102" t="s">
        <v>344</v>
      </c>
      <c r="B102" t="s">
        <v>495</v>
      </c>
      <c r="C102" t="s">
        <v>501</v>
      </c>
      <c r="D102" t="s">
        <v>493</v>
      </c>
      <c r="E102">
        <v>2</v>
      </c>
      <c r="F102">
        <v>12</v>
      </c>
      <c r="G102">
        <v>300</v>
      </c>
      <c r="H102">
        <v>21</v>
      </c>
      <c r="I102">
        <v>46.9</v>
      </c>
      <c r="J102">
        <v>11.2</v>
      </c>
      <c r="K102">
        <v>10.3</v>
      </c>
      <c r="L102">
        <v>42</v>
      </c>
      <c r="M102">
        <v>120</v>
      </c>
    </row>
    <row r="103" spans="1:13" x14ac:dyDescent="0.25">
      <c r="A103" t="s">
        <v>344</v>
      </c>
      <c r="B103" t="s">
        <v>495</v>
      </c>
      <c r="C103" t="s">
        <v>501</v>
      </c>
      <c r="D103" t="s">
        <v>493</v>
      </c>
      <c r="E103">
        <v>2</v>
      </c>
      <c r="F103">
        <v>12</v>
      </c>
      <c r="G103">
        <v>320</v>
      </c>
      <c r="H103">
        <v>21</v>
      </c>
      <c r="I103">
        <v>46.9</v>
      </c>
      <c r="J103">
        <v>11.2</v>
      </c>
      <c r="K103">
        <v>10.3</v>
      </c>
      <c r="L103">
        <v>42</v>
      </c>
      <c r="M103">
        <v>120</v>
      </c>
    </row>
    <row r="104" spans="1:13" x14ac:dyDescent="0.25">
      <c r="A104" t="s">
        <v>344</v>
      </c>
      <c r="B104" t="s">
        <v>495</v>
      </c>
      <c r="C104" t="s">
        <v>501</v>
      </c>
      <c r="D104" t="s">
        <v>493</v>
      </c>
      <c r="E104">
        <v>2</v>
      </c>
      <c r="F104">
        <v>12</v>
      </c>
      <c r="G104">
        <v>340</v>
      </c>
      <c r="H104">
        <v>21</v>
      </c>
      <c r="I104">
        <v>46.9</v>
      </c>
      <c r="J104">
        <v>11.2</v>
      </c>
      <c r="K104">
        <v>10.3</v>
      </c>
      <c r="L104">
        <v>42</v>
      </c>
      <c r="M104">
        <v>120</v>
      </c>
    </row>
    <row r="105" spans="1:13" x14ac:dyDescent="0.25">
      <c r="A105" t="s">
        <v>344</v>
      </c>
      <c r="B105" t="s">
        <v>495</v>
      </c>
      <c r="C105" t="s">
        <v>501</v>
      </c>
      <c r="D105" t="s">
        <v>493</v>
      </c>
      <c r="E105">
        <v>2</v>
      </c>
      <c r="F105">
        <v>12</v>
      </c>
      <c r="G105">
        <v>360</v>
      </c>
      <c r="H105">
        <v>21</v>
      </c>
      <c r="I105">
        <v>46.9</v>
      </c>
      <c r="J105">
        <v>11.2</v>
      </c>
      <c r="K105">
        <v>10.3</v>
      </c>
      <c r="L105">
        <v>42</v>
      </c>
      <c r="M105">
        <v>120</v>
      </c>
    </row>
    <row r="106" spans="1:13" x14ac:dyDescent="0.25">
      <c r="A106" t="s">
        <v>344</v>
      </c>
      <c r="B106" t="s">
        <v>495</v>
      </c>
      <c r="C106" t="s">
        <v>501</v>
      </c>
      <c r="D106" t="s">
        <v>493</v>
      </c>
      <c r="E106">
        <v>2</v>
      </c>
      <c r="F106">
        <v>12</v>
      </c>
      <c r="G106">
        <v>380</v>
      </c>
      <c r="H106">
        <v>21</v>
      </c>
      <c r="I106">
        <v>46.9</v>
      </c>
      <c r="J106">
        <v>11.2</v>
      </c>
      <c r="K106">
        <v>10.3</v>
      </c>
      <c r="L106">
        <v>42</v>
      </c>
      <c r="M106">
        <v>120</v>
      </c>
    </row>
    <row r="107" spans="1:13" x14ac:dyDescent="0.25">
      <c r="A107" t="s">
        <v>344</v>
      </c>
      <c r="B107" t="s">
        <v>495</v>
      </c>
      <c r="C107" t="s">
        <v>501</v>
      </c>
      <c r="D107" t="s">
        <v>493</v>
      </c>
      <c r="E107">
        <v>2</v>
      </c>
      <c r="F107">
        <v>12</v>
      </c>
      <c r="G107">
        <v>400</v>
      </c>
      <c r="H107">
        <v>21</v>
      </c>
      <c r="I107">
        <v>46.9</v>
      </c>
      <c r="J107">
        <v>11.2</v>
      </c>
      <c r="K107">
        <v>10.3</v>
      </c>
      <c r="L107">
        <v>42</v>
      </c>
      <c r="M107">
        <v>120</v>
      </c>
    </row>
    <row r="108" spans="1:13" x14ac:dyDescent="0.25">
      <c r="A108" t="s">
        <v>344</v>
      </c>
      <c r="B108" t="s">
        <v>495</v>
      </c>
      <c r="C108" t="s">
        <v>502</v>
      </c>
      <c r="D108" t="s">
        <v>494</v>
      </c>
      <c r="E108">
        <v>2</v>
      </c>
      <c r="F108">
        <v>6</v>
      </c>
      <c r="G108">
        <v>60</v>
      </c>
      <c r="H108">
        <v>14</v>
      </c>
      <c r="I108">
        <v>10.7</v>
      </c>
      <c r="J108">
        <v>13</v>
      </c>
      <c r="K108">
        <v>16.7</v>
      </c>
      <c r="L108">
        <v>13.1</v>
      </c>
      <c r="M108">
        <v>40</v>
      </c>
    </row>
    <row r="109" spans="1:13" x14ac:dyDescent="0.25">
      <c r="A109" t="s">
        <v>344</v>
      </c>
      <c r="B109" t="s">
        <v>495</v>
      </c>
      <c r="C109" t="s">
        <v>502</v>
      </c>
      <c r="D109" t="s">
        <v>494</v>
      </c>
      <c r="E109">
        <v>2</v>
      </c>
      <c r="F109">
        <v>6</v>
      </c>
      <c r="G109">
        <v>80</v>
      </c>
      <c r="H109">
        <v>14</v>
      </c>
      <c r="I109">
        <v>10.7</v>
      </c>
      <c r="J109">
        <v>13</v>
      </c>
      <c r="K109">
        <v>16.7</v>
      </c>
      <c r="L109">
        <v>13.1</v>
      </c>
      <c r="M109">
        <v>50</v>
      </c>
    </row>
    <row r="110" spans="1:13" x14ac:dyDescent="0.25">
      <c r="A110" t="s">
        <v>344</v>
      </c>
      <c r="B110" t="s">
        <v>495</v>
      </c>
      <c r="C110" t="s">
        <v>502</v>
      </c>
      <c r="D110" t="s">
        <v>494</v>
      </c>
      <c r="E110">
        <v>2</v>
      </c>
      <c r="F110">
        <v>6</v>
      </c>
      <c r="G110">
        <v>100</v>
      </c>
      <c r="H110">
        <v>14</v>
      </c>
      <c r="I110">
        <v>10.7</v>
      </c>
      <c r="J110">
        <v>13</v>
      </c>
      <c r="K110">
        <v>16.7</v>
      </c>
      <c r="L110">
        <v>13.1</v>
      </c>
      <c r="M110">
        <v>60</v>
      </c>
    </row>
    <row r="111" spans="1:13" x14ac:dyDescent="0.25">
      <c r="A111" t="s">
        <v>344</v>
      </c>
      <c r="B111" t="s">
        <v>495</v>
      </c>
      <c r="C111" t="s">
        <v>502</v>
      </c>
      <c r="D111" t="s">
        <v>494</v>
      </c>
      <c r="E111">
        <v>2</v>
      </c>
      <c r="F111">
        <v>6</v>
      </c>
      <c r="G111">
        <v>120</v>
      </c>
      <c r="H111">
        <v>14</v>
      </c>
      <c r="I111">
        <v>10.7</v>
      </c>
      <c r="J111">
        <v>13</v>
      </c>
      <c r="K111">
        <v>16.7</v>
      </c>
      <c r="L111">
        <v>13.1</v>
      </c>
      <c r="M111">
        <v>70</v>
      </c>
    </row>
    <row r="112" spans="1:13" x14ac:dyDescent="0.25">
      <c r="A112" t="s">
        <v>344</v>
      </c>
      <c r="B112" t="s">
        <v>495</v>
      </c>
      <c r="C112" t="s">
        <v>502</v>
      </c>
      <c r="D112" t="s">
        <v>494</v>
      </c>
      <c r="E112">
        <v>2</v>
      </c>
      <c r="F112">
        <v>6</v>
      </c>
      <c r="G112">
        <v>140</v>
      </c>
      <c r="H112">
        <v>14</v>
      </c>
      <c r="I112">
        <v>10.7</v>
      </c>
      <c r="J112">
        <v>13</v>
      </c>
      <c r="K112">
        <v>16.7</v>
      </c>
      <c r="L112">
        <v>13.1</v>
      </c>
      <c r="M112">
        <v>70</v>
      </c>
    </row>
    <row r="113" spans="1:13" x14ac:dyDescent="0.25">
      <c r="A113" t="s">
        <v>344</v>
      </c>
      <c r="B113" t="s">
        <v>495</v>
      </c>
      <c r="C113" t="s">
        <v>502</v>
      </c>
      <c r="D113" t="s">
        <v>494</v>
      </c>
      <c r="E113">
        <v>2</v>
      </c>
      <c r="F113">
        <v>6</v>
      </c>
      <c r="G113">
        <v>160</v>
      </c>
      <c r="H113">
        <v>14</v>
      </c>
      <c r="I113">
        <v>10.7</v>
      </c>
      <c r="J113">
        <v>13</v>
      </c>
      <c r="K113">
        <v>16.7</v>
      </c>
      <c r="L113">
        <v>13.1</v>
      </c>
      <c r="M113">
        <v>70</v>
      </c>
    </row>
    <row r="114" spans="1:13" x14ac:dyDescent="0.25">
      <c r="A114" t="s">
        <v>344</v>
      </c>
      <c r="B114" t="s">
        <v>495</v>
      </c>
      <c r="C114" t="s">
        <v>502</v>
      </c>
      <c r="D114" t="s">
        <v>494</v>
      </c>
      <c r="E114">
        <v>2</v>
      </c>
      <c r="F114">
        <v>6</v>
      </c>
      <c r="G114">
        <v>180</v>
      </c>
      <c r="H114">
        <v>14</v>
      </c>
      <c r="I114">
        <v>10.7</v>
      </c>
      <c r="J114">
        <v>13</v>
      </c>
      <c r="K114">
        <v>16.7</v>
      </c>
      <c r="L114">
        <v>13.1</v>
      </c>
      <c r="M114">
        <v>70</v>
      </c>
    </row>
    <row r="115" spans="1:13" x14ac:dyDescent="0.25">
      <c r="A115" t="s">
        <v>344</v>
      </c>
      <c r="B115" t="s">
        <v>495</v>
      </c>
      <c r="C115" t="s">
        <v>502</v>
      </c>
      <c r="D115" t="s">
        <v>494</v>
      </c>
      <c r="E115">
        <v>2</v>
      </c>
      <c r="F115">
        <v>6</v>
      </c>
      <c r="G115">
        <v>200</v>
      </c>
      <c r="H115">
        <v>14</v>
      </c>
      <c r="I115">
        <v>10.7</v>
      </c>
      <c r="J115">
        <v>13</v>
      </c>
      <c r="K115">
        <v>16.7</v>
      </c>
      <c r="L115">
        <v>13.1</v>
      </c>
      <c r="M115">
        <v>70</v>
      </c>
    </row>
    <row r="116" spans="1:13" x14ac:dyDescent="0.25">
      <c r="A116" t="s">
        <v>344</v>
      </c>
      <c r="B116" t="s">
        <v>495</v>
      </c>
      <c r="C116" t="s">
        <v>502</v>
      </c>
      <c r="D116" t="s">
        <v>494</v>
      </c>
      <c r="E116">
        <v>2</v>
      </c>
      <c r="F116">
        <v>6</v>
      </c>
      <c r="G116">
        <v>220</v>
      </c>
      <c r="H116">
        <v>14</v>
      </c>
      <c r="I116">
        <v>10.7</v>
      </c>
      <c r="J116">
        <v>13</v>
      </c>
      <c r="K116">
        <v>16.7</v>
      </c>
      <c r="L116">
        <v>13.1</v>
      </c>
      <c r="M116">
        <v>70</v>
      </c>
    </row>
    <row r="117" spans="1:13" x14ac:dyDescent="0.25">
      <c r="A117" t="s">
        <v>344</v>
      </c>
      <c r="B117" t="s">
        <v>495</v>
      </c>
      <c r="C117" t="s">
        <v>502</v>
      </c>
      <c r="D117" t="s">
        <v>494</v>
      </c>
      <c r="E117">
        <v>2</v>
      </c>
      <c r="F117">
        <v>6</v>
      </c>
      <c r="G117">
        <v>240</v>
      </c>
      <c r="H117">
        <v>14</v>
      </c>
      <c r="I117">
        <v>10.7</v>
      </c>
      <c r="J117">
        <v>13</v>
      </c>
      <c r="K117">
        <v>16.7</v>
      </c>
      <c r="L117">
        <v>13.1</v>
      </c>
      <c r="M117">
        <v>70</v>
      </c>
    </row>
    <row r="118" spans="1:13" x14ac:dyDescent="0.25">
      <c r="A118" t="s">
        <v>344</v>
      </c>
      <c r="B118" t="s">
        <v>495</v>
      </c>
      <c r="C118" t="s">
        <v>502</v>
      </c>
      <c r="D118" t="s">
        <v>494</v>
      </c>
      <c r="E118">
        <v>2</v>
      </c>
      <c r="F118">
        <v>6</v>
      </c>
      <c r="G118">
        <v>260</v>
      </c>
      <c r="H118">
        <v>14</v>
      </c>
      <c r="I118">
        <v>10.7</v>
      </c>
      <c r="J118">
        <v>13</v>
      </c>
      <c r="K118">
        <v>16.7</v>
      </c>
      <c r="L118">
        <v>13.1</v>
      </c>
      <c r="M118">
        <v>70</v>
      </c>
    </row>
    <row r="119" spans="1:13" x14ac:dyDescent="0.25">
      <c r="A119" t="s">
        <v>344</v>
      </c>
      <c r="B119" t="s">
        <v>495</v>
      </c>
      <c r="C119" t="s">
        <v>502</v>
      </c>
      <c r="D119" t="s">
        <v>494</v>
      </c>
      <c r="E119">
        <v>2</v>
      </c>
      <c r="F119">
        <v>6</v>
      </c>
      <c r="G119">
        <v>280</v>
      </c>
      <c r="H119">
        <v>14</v>
      </c>
      <c r="I119">
        <v>10.7</v>
      </c>
      <c r="J119">
        <v>13</v>
      </c>
      <c r="K119">
        <v>16.7</v>
      </c>
      <c r="L119">
        <v>13.1</v>
      </c>
      <c r="M119">
        <v>70</v>
      </c>
    </row>
    <row r="120" spans="1:13" x14ac:dyDescent="0.25">
      <c r="A120" t="s">
        <v>344</v>
      </c>
      <c r="B120" t="s">
        <v>495</v>
      </c>
      <c r="C120" t="s">
        <v>502</v>
      </c>
      <c r="D120" t="s">
        <v>494</v>
      </c>
      <c r="E120">
        <v>2</v>
      </c>
      <c r="F120">
        <v>6</v>
      </c>
      <c r="G120">
        <v>300</v>
      </c>
      <c r="H120">
        <v>14</v>
      </c>
      <c r="I120">
        <v>10.7</v>
      </c>
      <c r="J120">
        <v>13</v>
      </c>
      <c r="K120">
        <v>16.7</v>
      </c>
      <c r="L120">
        <v>13.1</v>
      </c>
      <c r="M120">
        <v>70</v>
      </c>
    </row>
    <row r="121" spans="1:13" x14ac:dyDescent="0.25">
      <c r="A121" t="s">
        <v>344</v>
      </c>
      <c r="B121" t="s">
        <v>495</v>
      </c>
      <c r="C121" t="s">
        <v>502</v>
      </c>
      <c r="D121" t="s">
        <v>494</v>
      </c>
      <c r="E121">
        <v>2</v>
      </c>
      <c r="F121">
        <v>8</v>
      </c>
      <c r="G121">
        <v>80</v>
      </c>
      <c r="H121">
        <v>20</v>
      </c>
      <c r="I121">
        <v>22.6</v>
      </c>
      <c r="J121">
        <v>10.9</v>
      </c>
      <c r="K121">
        <v>17.600000000000001</v>
      </c>
      <c r="L121">
        <v>23.3</v>
      </c>
      <c r="M121">
        <v>50</v>
      </c>
    </row>
    <row r="122" spans="1:13" x14ac:dyDescent="0.25">
      <c r="A122" t="s">
        <v>344</v>
      </c>
      <c r="B122" t="s">
        <v>495</v>
      </c>
      <c r="C122" t="s">
        <v>502</v>
      </c>
      <c r="D122" t="s">
        <v>494</v>
      </c>
      <c r="E122">
        <v>2</v>
      </c>
      <c r="F122">
        <v>8</v>
      </c>
      <c r="G122">
        <v>100</v>
      </c>
      <c r="H122">
        <v>20</v>
      </c>
      <c r="I122">
        <v>22.6</v>
      </c>
      <c r="J122">
        <v>10.9</v>
      </c>
      <c r="K122">
        <v>17.600000000000001</v>
      </c>
      <c r="L122">
        <v>23.3</v>
      </c>
      <c r="M122">
        <v>60</v>
      </c>
    </row>
    <row r="123" spans="1:13" x14ac:dyDescent="0.25">
      <c r="A123" t="s">
        <v>344</v>
      </c>
      <c r="B123" t="s">
        <v>495</v>
      </c>
      <c r="C123" t="s">
        <v>502</v>
      </c>
      <c r="D123" t="s">
        <v>494</v>
      </c>
      <c r="E123">
        <v>2</v>
      </c>
      <c r="F123">
        <v>8</v>
      </c>
      <c r="G123">
        <v>120</v>
      </c>
      <c r="H123">
        <v>20</v>
      </c>
      <c r="I123">
        <v>22.6</v>
      </c>
      <c r="J123">
        <v>10.9</v>
      </c>
      <c r="K123">
        <v>17.600000000000001</v>
      </c>
      <c r="L123">
        <v>23.3</v>
      </c>
      <c r="M123">
        <v>80</v>
      </c>
    </row>
    <row r="124" spans="1:13" x14ac:dyDescent="0.25">
      <c r="A124" t="s">
        <v>344</v>
      </c>
      <c r="B124" t="s">
        <v>495</v>
      </c>
      <c r="C124" t="s">
        <v>502</v>
      </c>
      <c r="D124" t="s">
        <v>494</v>
      </c>
      <c r="E124">
        <v>2</v>
      </c>
      <c r="F124">
        <v>8</v>
      </c>
      <c r="G124">
        <v>140</v>
      </c>
      <c r="H124">
        <v>20</v>
      </c>
      <c r="I124">
        <v>22.6</v>
      </c>
      <c r="J124">
        <v>10.9</v>
      </c>
      <c r="K124">
        <v>17.600000000000001</v>
      </c>
      <c r="L124">
        <v>23.3</v>
      </c>
      <c r="M124">
        <v>80</v>
      </c>
    </row>
    <row r="125" spans="1:13" x14ac:dyDescent="0.25">
      <c r="A125" t="s">
        <v>344</v>
      </c>
      <c r="B125" t="s">
        <v>495</v>
      </c>
      <c r="C125" t="s">
        <v>502</v>
      </c>
      <c r="D125" t="s">
        <v>494</v>
      </c>
      <c r="E125">
        <v>2</v>
      </c>
      <c r="F125">
        <v>8</v>
      </c>
      <c r="G125">
        <v>160</v>
      </c>
      <c r="H125">
        <v>20</v>
      </c>
      <c r="I125">
        <v>22.6</v>
      </c>
      <c r="J125">
        <v>10.9</v>
      </c>
      <c r="K125">
        <v>17.600000000000001</v>
      </c>
      <c r="L125">
        <v>23.3</v>
      </c>
      <c r="M125">
        <v>80</v>
      </c>
    </row>
    <row r="126" spans="1:13" x14ac:dyDescent="0.25">
      <c r="A126" t="s">
        <v>344</v>
      </c>
      <c r="B126" t="s">
        <v>495</v>
      </c>
      <c r="C126" t="s">
        <v>502</v>
      </c>
      <c r="D126" t="s">
        <v>494</v>
      </c>
      <c r="E126">
        <v>2</v>
      </c>
      <c r="F126">
        <v>8</v>
      </c>
      <c r="G126">
        <v>180</v>
      </c>
      <c r="H126">
        <v>20</v>
      </c>
      <c r="I126">
        <v>22.6</v>
      </c>
      <c r="J126">
        <v>10.9</v>
      </c>
      <c r="K126">
        <v>17.600000000000001</v>
      </c>
      <c r="L126">
        <v>23.3</v>
      </c>
      <c r="M126">
        <v>100</v>
      </c>
    </row>
    <row r="127" spans="1:13" x14ac:dyDescent="0.25">
      <c r="A127" t="s">
        <v>344</v>
      </c>
      <c r="B127" t="s">
        <v>495</v>
      </c>
      <c r="C127" t="s">
        <v>502</v>
      </c>
      <c r="D127" t="s">
        <v>494</v>
      </c>
      <c r="E127">
        <v>2</v>
      </c>
      <c r="F127">
        <v>8</v>
      </c>
      <c r="G127">
        <v>200</v>
      </c>
      <c r="H127">
        <v>20</v>
      </c>
      <c r="I127">
        <v>22.6</v>
      </c>
      <c r="J127">
        <v>10.9</v>
      </c>
      <c r="K127">
        <v>17.600000000000001</v>
      </c>
      <c r="L127">
        <v>23.3</v>
      </c>
      <c r="M127">
        <v>100</v>
      </c>
    </row>
    <row r="128" spans="1:13" x14ac:dyDescent="0.25">
      <c r="A128" t="s">
        <v>344</v>
      </c>
      <c r="B128" t="s">
        <v>495</v>
      </c>
      <c r="C128" t="s">
        <v>502</v>
      </c>
      <c r="D128" t="s">
        <v>494</v>
      </c>
      <c r="E128">
        <v>2</v>
      </c>
      <c r="F128">
        <v>8</v>
      </c>
      <c r="G128">
        <v>220</v>
      </c>
      <c r="H128">
        <v>20</v>
      </c>
      <c r="I128">
        <v>22.6</v>
      </c>
      <c r="J128">
        <v>10.9</v>
      </c>
      <c r="K128">
        <v>17.600000000000001</v>
      </c>
      <c r="L128">
        <v>23.3</v>
      </c>
      <c r="M128">
        <v>100</v>
      </c>
    </row>
    <row r="129" spans="1:13" x14ac:dyDescent="0.25">
      <c r="A129" t="s">
        <v>344</v>
      </c>
      <c r="B129" t="s">
        <v>495</v>
      </c>
      <c r="C129" t="s">
        <v>502</v>
      </c>
      <c r="D129" t="s">
        <v>494</v>
      </c>
      <c r="E129">
        <v>2</v>
      </c>
      <c r="F129">
        <v>8</v>
      </c>
      <c r="G129">
        <v>240</v>
      </c>
      <c r="H129">
        <v>20</v>
      </c>
      <c r="I129">
        <v>22.6</v>
      </c>
      <c r="J129">
        <v>10.9</v>
      </c>
      <c r="K129">
        <v>17.600000000000001</v>
      </c>
      <c r="L129">
        <v>23.3</v>
      </c>
      <c r="M129">
        <v>100</v>
      </c>
    </row>
    <row r="130" spans="1:13" x14ac:dyDescent="0.25">
      <c r="A130" t="s">
        <v>344</v>
      </c>
      <c r="B130" t="s">
        <v>495</v>
      </c>
      <c r="C130" t="s">
        <v>502</v>
      </c>
      <c r="D130" t="s">
        <v>494</v>
      </c>
      <c r="E130">
        <v>2</v>
      </c>
      <c r="F130">
        <v>8</v>
      </c>
      <c r="G130">
        <v>260</v>
      </c>
      <c r="H130">
        <v>20</v>
      </c>
      <c r="I130">
        <v>22.6</v>
      </c>
      <c r="J130">
        <v>10.9</v>
      </c>
      <c r="K130">
        <v>17.600000000000001</v>
      </c>
      <c r="L130">
        <v>23.3</v>
      </c>
      <c r="M130">
        <v>100</v>
      </c>
    </row>
    <row r="131" spans="1:13" x14ac:dyDescent="0.25">
      <c r="A131" t="s">
        <v>344</v>
      </c>
      <c r="B131" t="s">
        <v>495</v>
      </c>
      <c r="C131" t="s">
        <v>502</v>
      </c>
      <c r="D131" t="s">
        <v>494</v>
      </c>
      <c r="E131">
        <v>2</v>
      </c>
      <c r="F131">
        <v>8</v>
      </c>
      <c r="G131">
        <v>280</v>
      </c>
      <c r="H131">
        <v>20</v>
      </c>
      <c r="I131">
        <v>22.6</v>
      </c>
      <c r="J131">
        <v>10.9</v>
      </c>
      <c r="K131">
        <v>17.600000000000001</v>
      </c>
      <c r="L131">
        <v>23.3</v>
      </c>
      <c r="M131">
        <v>100</v>
      </c>
    </row>
    <row r="132" spans="1:13" x14ac:dyDescent="0.25">
      <c r="A132" t="s">
        <v>344</v>
      </c>
      <c r="B132" t="s">
        <v>495</v>
      </c>
      <c r="C132" t="s">
        <v>502</v>
      </c>
      <c r="D132" t="s">
        <v>494</v>
      </c>
      <c r="E132">
        <v>2</v>
      </c>
      <c r="F132">
        <v>8</v>
      </c>
      <c r="G132">
        <v>300</v>
      </c>
      <c r="H132">
        <v>20</v>
      </c>
      <c r="I132">
        <v>22.6</v>
      </c>
      <c r="J132">
        <v>10.9</v>
      </c>
      <c r="K132">
        <v>17.600000000000001</v>
      </c>
      <c r="L132">
        <v>23.3</v>
      </c>
      <c r="M132">
        <v>100</v>
      </c>
    </row>
    <row r="133" spans="1:13" x14ac:dyDescent="0.25">
      <c r="A133" t="s">
        <v>344</v>
      </c>
      <c r="B133" t="s">
        <v>495</v>
      </c>
      <c r="C133" t="s">
        <v>502</v>
      </c>
      <c r="D133" t="s">
        <v>494</v>
      </c>
      <c r="E133">
        <v>2</v>
      </c>
      <c r="F133">
        <v>8</v>
      </c>
      <c r="G133">
        <v>320</v>
      </c>
      <c r="H133">
        <v>20</v>
      </c>
      <c r="I133">
        <v>22.6</v>
      </c>
      <c r="J133">
        <v>10.9</v>
      </c>
      <c r="K133">
        <v>17.600000000000001</v>
      </c>
      <c r="L133">
        <v>23.3</v>
      </c>
      <c r="M133">
        <v>100</v>
      </c>
    </row>
    <row r="134" spans="1:13" x14ac:dyDescent="0.25">
      <c r="A134" t="s">
        <v>344</v>
      </c>
      <c r="B134" t="s">
        <v>495</v>
      </c>
      <c r="C134" t="s">
        <v>502</v>
      </c>
      <c r="D134" t="s">
        <v>494</v>
      </c>
      <c r="E134">
        <v>2</v>
      </c>
      <c r="F134">
        <v>8</v>
      </c>
      <c r="G134">
        <v>340</v>
      </c>
      <c r="H134">
        <v>20</v>
      </c>
      <c r="I134">
        <v>22.6</v>
      </c>
      <c r="J134">
        <v>10.9</v>
      </c>
      <c r="K134">
        <v>17.600000000000001</v>
      </c>
      <c r="L134">
        <v>23.3</v>
      </c>
      <c r="M134">
        <v>100</v>
      </c>
    </row>
    <row r="135" spans="1:13" x14ac:dyDescent="0.25">
      <c r="A135" t="s">
        <v>344</v>
      </c>
      <c r="B135" t="s">
        <v>495</v>
      </c>
      <c r="C135" t="s">
        <v>502</v>
      </c>
      <c r="D135" t="s">
        <v>494</v>
      </c>
      <c r="E135">
        <v>2</v>
      </c>
      <c r="F135">
        <v>8</v>
      </c>
      <c r="G135">
        <v>360</v>
      </c>
      <c r="H135">
        <v>20</v>
      </c>
      <c r="I135">
        <v>22.6</v>
      </c>
      <c r="J135">
        <v>10.9</v>
      </c>
      <c r="K135">
        <v>17.600000000000001</v>
      </c>
      <c r="L135">
        <v>23.3</v>
      </c>
      <c r="M135">
        <v>100</v>
      </c>
    </row>
    <row r="136" spans="1:13" x14ac:dyDescent="0.25">
      <c r="A136" t="s">
        <v>344</v>
      </c>
      <c r="B136" t="s">
        <v>495</v>
      </c>
      <c r="C136" t="s">
        <v>502</v>
      </c>
      <c r="D136" t="s">
        <v>494</v>
      </c>
      <c r="E136">
        <v>2</v>
      </c>
      <c r="F136">
        <v>8</v>
      </c>
      <c r="G136">
        <v>380</v>
      </c>
      <c r="H136">
        <v>20</v>
      </c>
      <c r="I136">
        <v>22.6</v>
      </c>
      <c r="J136">
        <v>10.9</v>
      </c>
      <c r="K136">
        <v>17.600000000000001</v>
      </c>
      <c r="L136">
        <v>23.3</v>
      </c>
      <c r="M136">
        <v>100</v>
      </c>
    </row>
    <row r="137" spans="1:13" x14ac:dyDescent="0.25">
      <c r="A137" t="s">
        <v>344</v>
      </c>
      <c r="B137" t="s">
        <v>495</v>
      </c>
      <c r="C137" t="s">
        <v>502</v>
      </c>
      <c r="D137" t="s">
        <v>494</v>
      </c>
      <c r="E137">
        <v>2</v>
      </c>
      <c r="F137">
        <v>8</v>
      </c>
      <c r="G137">
        <v>400</v>
      </c>
      <c r="H137">
        <v>20</v>
      </c>
      <c r="I137">
        <v>22.6</v>
      </c>
      <c r="J137">
        <v>10.9</v>
      </c>
      <c r="K137">
        <v>17.600000000000001</v>
      </c>
      <c r="L137">
        <v>23.3</v>
      </c>
      <c r="M137">
        <v>100</v>
      </c>
    </row>
    <row r="138" spans="1:13" x14ac:dyDescent="0.25">
      <c r="A138" t="s">
        <v>344</v>
      </c>
      <c r="B138" t="s">
        <v>495</v>
      </c>
      <c r="C138" t="s">
        <v>502</v>
      </c>
      <c r="D138" t="s">
        <v>494</v>
      </c>
      <c r="E138">
        <v>2</v>
      </c>
      <c r="F138">
        <v>8</v>
      </c>
      <c r="G138">
        <v>450</v>
      </c>
      <c r="H138">
        <v>20</v>
      </c>
      <c r="I138">
        <v>22.6</v>
      </c>
      <c r="J138">
        <v>10.9</v>
      </c>
      <c r="K138">
        <v>17.600000000000001</v>
      </c>
      <c r="L138">
        <v>23.3</v>
      </c>
      <c r="M138">
        <v>100</v>
      </c>
    </row>
    <row r="139" spans="1:13" x14ac:dyDescent="0.25">
      <c r="A139" t="s">
        <v>344</v>
      </c>
      <c r="B139" t="s">
        <v>495</v>
      </c>
      <c r="C139" t="s">
        <v>502</v>
      </c>
      <c r="D139" t="s">
        <v>494</v>
      </c>
      <c r="E139">
        <v>2</v>
      </c>
      <c r="F139">
        <v>8</v>
      </c>
      <c r="G139">
        <v>500</v>
      </c>
      <c r="H139">
        <v>20</v>
      </c>
      <c r="I139">
        <v>22.6</v>
      </c>
      <c r="J139">
        <v>10.9</v>
      </c>
      <c r="K139">
        <v>17.600000000000001</v>
      </c>
      <c r="L139">
        <v>23.3</v>
      </c>
      <c r="M139">
        <v>100</v>
      </c>
    </row>
    <row r="140" spans="1:13" x14ac:dyDescent="0.25">
      <c r="A140" t="s">
        <v>344</v>
      </c>
      <c r="B140" t="s">
        <v>495</v>
      </c>
      <c r="C140" t="s">
        <v>502</v>
      </c>
      <c r="D140" t="s">
        <v>494</v>
      </c>
      <c r="E140">
        <v>2</v>
      </c>
      <c r="F140">
        <v>10</v>
      </c>
      <c r="G140">
        <v>100</v>
      </c>
      <c r="H140">
        <v>25</v>
      </c>
      <c r="I140">
        <v>33.6</v>
      </c>
      <c r="J140">
        <v>11</v>
      </c>
      <c r="K140">
        <v>15.2</v>
      </c>
      <c r="L140">
        <v>35</v>
      </c>
      <c r="M140">
        <v>60</v>
      </c>
    </row>
    <row r="141" spans="1:13" x14ac:dyDescent="0.25">
      <c r="A141" t="s">
        <v>344</v>
      </c>
      <c r="B141" t="s">
        <v>495</v>
      </c>
      <c r="C141" t="s">
        <v>502</v>
      </c>
      <c r="D141" t="s">
        <v>494</v>
      </c>
      <c r="E141">
        <v>2</v>
      </c>
      <c r="F141">
        <v>10</v>
      </c>
      <c r="G141">
        <v>120</v>
      </c>
      <c r="H141">
        <v>25</v>
      </c>
      <c r="I141">
        <v>33.6</v>
      </c>
      <c r="J141">
        <v>11</v>
      </c>
      <c r="K141">
        <v>15.2</v>
      </c>
      <c r="L141">
        <v>35</v>
      </c>
      <c r="M141">
        <v>80</v>
      </c>
    </row>
    <row r="142" spans="1:13" x14ac:dyDescent="0.25">
      <c r="A142" t="s">
        <v>344</v>
      </c>
      <c r="B142" t="s">
        <v>495</v>
      </c>
      <c r="C142" t="s">
        <v>502</v>
      </c>
      <c r="D142" t="s">
        <v>494</v>
      </c>
      <c r="E142">
        <v>2</v>
      </c>
      <c r="F142">
        <v>10</v>
      </c>
      <c r="G142">
        <v>140</v>
      </c>
      <c r="H142">
        <v>25</v>
      </c>
      <c r="I142">
        <v>33.6</v>
      </c>
      <c r="J142">
        <v>11</v>
      </c>
      <c r="K142">
        <v>15.2</v>
      </c>
      <c r="L142">
        <v>35</v>
      </c>
      <c r="M142">
        <v>80</v>
      </c>
    </row>
    <row r="143" spans="1:13" x14ac:dyDescent="0.25">
      <c r="A143" t="s">
        <v>344</v>
      </c>
      <c r="B143" t="s">
        <v>495</v>
      </c>
      <c r="C143" t="s">
        <v>502</v>
      </c>
      <c r="D143" t="s">
        <v>494</v>
      </c>
      <c r="E143">
        <v>2</v>
      </c>
      <c r="F143">
        <v>10</v>
      </c>
      <c r="G143">
        <v>160</v>
      </c>
      <c r="H143">
        <v>25</v>
      </c>
      <c r="I143">
        <v>33.6</v>
      </c>
      <c r="J143">
        <v>11</v>
      </c>
      <c r="K143">
        <v>15.2</v>
      </c>
      <c r="L143">
        <v>35</v>
      </c>
      <c r="M143">
        <v>80</v>
      </c>
    </row>
    <row r="144" spans="1:13" x14ac:dyDescent="0.25">
      <c r="A144" t="s">
        <v>344</v>
      </c>
      <c r="B144" t="s">
        <v>495</v>
      </c>
      <c r="C144" t="s">
        <v>502</v>
      </c>
      <c r="D144" t="s">
        <v>494</v>
      </c>
      <c r="E144">
        <v>2</v>
      </c>
      <c r="F144">
        <v>10</v>
      </c>
      <c r="G144">
        <v>180</v>
      </c>
      <c r="H144">
        <v>25</v>
      </c>
      <c r="I144">
        <v>33.6</v>
      </c>
      <c r="J144">
        <v>11</v>
      </c>
      <c r="K144">
        <v>15.2</v>
      </c>
      <c r="L144">
        <v>35</v>
      </c>
      <c r="M144">
        <v>100</v>
      </c>
    </row>
    <row r="145" spans="1:13" x14ac:dyDescent="0.25">
      <c r="A145" t="s">
        <v>344</v>
      </c>
      <c r="B145" t="s">
        <v>495</v>
      </c>
      <c r="C145" t="s">
        <v>502</v>
      </c>
      <c r="D145" t="s">
        <v>494</v>
      </c>
      <c r="E145">
        <v>2</v>
      </c>
      <c r="F145">
        <v>10</v>
      </c>
      <c r="G145">
        <v>200</v>
      </c>
      <c r="H145">
        <v>25</v>
      </c>
      <c r="I145">
        <v>33.6</v>
      </c>
      <c r="J145">
        <v>11</v>
      </c>
      <c r="K145">
        <v>15.2</v>
      </c>
      <c r="L145">
        <v>35</v>
      </c>
      <c r="M145">
        <v>100</v>
      </c>
    </row>
    <row r="146" spans="1:13" x14ac:dyDescent="0.25">
      <c r="A146" t="s">
        <v>344</v>
      </c>
      <c r="B146" t="s">
        <v>495</v>
      </c>
      <c r="C146" t="s">
        <v>502</v>
      </c>
      <c r="D146" t="s">
        <v>494</v>
      </c>
      <c r="E146">
        <v>2</v>
      </c>
      <c r="F146">
        <v>10</v>
      </c>
      <c r="G146">
        <v>220</v>
      </c>
      <c r="H146">
        <v>25</v>
      </c>
      <c r="I146">
        <v>33.6</v>
      </c>
      <c r="J146">
        <v>11</v>
      </c>
      <c r="K146">
        <v>15.2</v>
      </c>
      <c r="L146">
        <v>35</v>
      </c>
      <c r="M146">
        <v>100</v>
      </c>
    </row>
    <row r="147" spans="1:13" x14ac:dyDescent="0.25">
      <c r="A147" t="s">
        <v>344</v>
      </c>
      <c r="B147" t="s">
        <v>495</v>
      </c>
      <c r="C147" t="s">
        <v>502</v>
      </c>
      <c r="D147" t="s">
        <v>494</v>
      </c>
      <c r="E147">
        <v>2</v>
      </c>
      <c r="F147">
        <v>10</v>
      </c>
      <c r="G147">
        <v>240</v>
      </c>
      <c r="H147">
        <v>25</v>
      </c>
      <c r="I147">
        <v>33.6</v>
      </c>
      <c r="J147">
        <v>11</v>
      </c>
      <c r="K147">
        <v>15.2</v>
      </c>
      <c r="L147">
        <v>35</v>
      </c>
      <c r="M147">
        <v>100</v>
      </c>
    </row>
    <row r="148" spans="1:13" x14ac:dyDescent="0.25">
      <c r="A148" t="s">
        <v>344</v>
      </c>
      <c r="B148" t="s">
        <v>495</v>
      </c>
      <c r="C148" t="s">
        <v>502</v>
      </c>
      <c r="D148" t="s">
        <v>494</v>
      </c>
      <c r="E148">
        <v>2</v>
      </c>
      <c r="F148">
        <v>10</v>
      </c>
      <c r="G148">
        <v>260</v>
      </c>
      <c r="H148">
        <v>25</v>
      </c>
      <c r="I148">
        <v>33.6</v>
      </c>
      <c r="J148">
        <v>11</v>
      </c>
      <c r="K148">
        <v>15.2</v>
      </c>
      <c r="L148">
        <v>35</v>
      </c>
      <c r="M148">
        <v>100</v>
      </c>
    </row>
    <row r="149" spans="1:13" x14ac:dyDescent="0.25">
      <c r="A149" t="s">
        <v>344</v>
      </c>
      <c r="B149" t="s">
        <v>495</v>
      </c>
      <c r="C149" t="s">
        <v>502</v>
      </c>
      <c r="D149" t="s">
        <v>494</v>
      </c>
      <c r="E149">
        <v>2</v>
      </c>
      <c r="F149">
        <v>10</v>
      </c>
      <c r="G149">
        <v>280</v>
      </c>
      <c r="H149">
        <v>25</v>
      </c>
      <c r="I149">
        <v>33.6</v>
      </c>
      <c r="J149">
        <v>11</v>
      </c>
      <c r="K149">
        <v>15.2</v>
      </c>
      <c r="L149">
        <v>35</v>
      </c>
      <c r="M149">
        <v>100</v>
      </c>
    </row>
    <row r="150" spans="1:13" x14ac:dyDescent="0.25">
      <c r="A150" t="s">
        <v>344</v>
      </c>
      <c r="B150" t="s">
        <v>495</v>
      </c>
      <c r="C150" t="s">
        <v>502</v>
      </c>
      <c r="D150" t="s">
        <v>494</v>
      </c>
      <c r="E150">
        <v>2</v>
      </c>
      <c r="F150">
        <v>10</v>
      </c>
      <c r="G150">
        <v>300</v>
      </c>
      <c r="H150">
        <v>25</v>
      </c>
      <c r="I150">
        <v>33.6</v>
      </c>
      <c r="J150">
        <v>11</v>
      </c>
      <c r="K150">
        <v>15.2</v>
      </c>
      <c r="L150">
        <v>35</v>
      </c>
      <c r="M150">
        <v>100</v>
      </c>
    </row>
    <row r="151" spans="1:13" x14ac:dyDescent="0.25">
      <c r="A151" t="s">
        <v>344</v>
      </c>
      <c r="B151" t="s">
        <v>495</v>
      </c>
      <c r="C151" t="s">
        <v>502</v>
      </c>
      <c r="D151" t="s">
        <v>494</v>
      </c>
      <c r="E151">
        <v>2</v>
      </c>
      <c r="F151">
        <v>10</v>
      </c>
      <c r="G151">
        <v>320</v>
      </c>
      <c r="H151">
        <v>25</v>
      </c>
      <c r="I151">
        <v>33.6</v>
      </c>
      <c r="J151">
        <v>11</v>
      </c>
      <c r="K151">
        <v>15.2</v>
      </c>
      <c r="L151">
        <v>35</v>
      </c>
      <c r="M151">
        <v>100</v>
      </c>
    </row>
    <row r="152" spans="1:13" x14ac:dyDescent="0.25">
      <c r="A152" t="s">
        <v>344</v>
      </c>
      <c r="B152" t="s">
        <v>495</v>
      </c>
      <c r="C152" t="s">
        <v>502</v>
      </c>
      <c r="D152" t="s">
        <v>494</v>
      </c>
      <c r="E152">
        <v>2</v>
      </c>
      <c r="F152">
        <v>10</v>
      </c>
      <c r="G152">
        <v>340</v>
      </c>
      <c r="H152">
        <v>25</v>
      </c>
      <c r="I152">
        <v>33.6</v>
      </c>
      <c r="J152">
        <v>11</v>
      </c>
      <c r="K152">
        <v>15.2</v>
      </c>
      <c r="L152">
        <v>35</v>
      </c>
      <c r="M152">
        <v>100</v>
      </c>
    </row>
    <row r="153" spans="1:13" x14ac:dyDescent="0.25">
      <c r="A153" t="s">
        <v>344</v>
      </c>
      <c r="B153" t="s">
        <v>495</v>
      </c>
      <c r="C153" t="s">
        <v>502</v>
      </c>
      <c r="D153" t="s">
        <v>494</v>
      </c>
      <c r="E153">
        <v>2</v>
      </c>
      <c r="F153">
        <v>10</v>
      </c>
      <c r="G153">
        <v>360</v>
      </c>
      <c r="H153">
        <v>25</v>
      </c>
      <c r="I153">
        <v>33.6</v>
      </c>
      <c r="J153">
        <v>11</v>
      </c>
      <c r="K153">
        <v>15.2</v>
      </c>
      <c r="L153">
        <v>35</v>
      </c>
      <c r="M153">
        <v>100</v>
      </c>
    </row>
    <row r="154" spans="1:13" x14ac:dyDescent="0.25">
      <c r="A154" t="s">
        <v>344</v>
      </c>
      <c r="B154" t="s">
        <v>495</v>
      </c>
      <c r="C154" t="s">
        <v>502</v>
      </c>
      <c r="D154" t="s">
        <v>494</v>
      </c>
      <c r="E154">
        <v>2</v>
      </c>
      <c r="F154">
        <v>10</v>
      </c>
      <c r="G154">
        <v>380</v>
      </c>
      <c r="H154">
        <v>25</v>
      </c>
      <c r="I154">
        <v>33.6</v>
      </c>
      <c r="J154">
        <v>11</v>
      </c>
      <c r="K154">
        <v>15.2</v>
      </c>
      <c r="L154">
        <v>35</v>
      </c>
      <c r="M154">
        <v>100</v>
      </c>
    </row>
    <row r="155" spans="1:13" x14ac:dyDescent="0.25">
      <c r="A155" t="s">
        <v>344</v>
      </c>
      <c r="B155" t="s">
        <v>495</v>
      </c>
      <c r="C155" t="s">
        <v>502</v>
      </c>
      <c r="D155" t="s">
        <v>494</v>
      </c>
      <c r="E155">
        <v>2</v>
      </c>
      <c r="F155">
        <v>10</v>
      </c>
      <c r="G155">
        <v>400</v>
      </c>
      <c r="H155">
        <v>25</v>
      </c>
      <c r="I155">
        <v>33.6</v>
      </c>
      <c r="J155">
        <v>11</v>
      </c>
      <c r="K155">
        <v>15.2</v>
      </c>
      <c r="L155">
        <v>35</v>
      </c>
      <c r="M155">
        <v>100</v>
      </c>
    </row>
    <row r="156" spans="1:13" x14ac:dyDescent="0.25">
      <c r="A156" t="s">
        <v>344</v>
      </c>
      <c r="B156" t="s">
        <v>495</v>
      </c>
      <c r="C156" t="s">
        <v>502</v>
      </c>
      <c r="D156" t="s">
        <v>494</v>
      </c>
      <c r="E156">
        <v>2</v>
      </c>
      <c r="F156">
        <v>10</v>
      </c>
      <c r="G156">
        <v>450</v>
      </c>
      <c r="H156">
        <v>25</v>
      </c>
      <c r="I156">
        <v>33.6</v>
      </c>
      <c r="J156">
        <v>11</v>
      </c>
      <c r="K156">
        <v>15.2</v>
      </c>
      <c r="L156">
        <v>35</v>
      </c>
      <c r="M156">
        <v>100</v>
      </c>
    </row>
    <row r="157" spans="1:13" x14ac:dyDescent="0.25">
      <c r="A157" t="s">
        <v>344</v>
      </c>
      <c r="B157" t="s">
        <v>495</v>
      </c>
      <c r="C157" t="s">
        <v>502</v>
      </c>
      <c r="D157" t="s">
        <v>494</v>
      </c>
      <c r="E157">
        <v>2</v>
      </c>
      <c r="F157">
        <v>10</v>
      </c>
      <c r="G157">
        <v>500</v>
      </c>
      <c r="H157">
        <v>25</v>
      </c>
      <c r="I157">
        <v>33.6</v>
      </c>
      <c r="J157">
        <v>11</v>
      </c>
      <c r="K157">
        <v>15.2</v>
      </c>
      <c r="L157">
        <v>35</v>
      </c>
      <c r="M157">
        <v>100</v>
      </c>
    </row>
    <row r="158" spans="1:13" x14ac:dyDescent="0.25">
      <c r="A158" t="s">
        <v>344</v>
      </c>
      <c r="B158" t="s">
        <v>495</v>
      </c>
      <c r="C158" t="s">
        <v>503</v>
      </c>
      <c r="D158" t="s">
        <v>504</v>
      </c>
      <c r="E158">
        <v>2</v>
      </c>
      <c r="F158">
        <v>8</v>
      </c>
      <c r="G158">
        <v>50</v>
      </c>
      <c r="H158">
        <v>12</v>
      </c>
      <c r="I158">
        <v>22.6</v>
      </c>
      <c r="J158">
        <v>10.9</v>
      </c>
      <c r="K158">
        <v>16.5</v>
      </c>
      <c r="L158">
        <v>23.3</v>
      </c>
      <c r="M158">
        <v>30</v>
      </c>
    </row>
    <row r="159" spans="1:13" x14ac:dyDescent="0.25">
      <c r="A159" t="s">
        <v>344</v>
      </c>
      <c r="B159" t="s">
        <v>495</v>
      </c>
      <c r="C159" t="s">
        <v>503</v>
      </c>
      <c r="D159" t="s">
        <v>504</v>
      </c>
      <c r="E159">
        <v>2</v>
      </c>
      <c r="F159">
        <v>8</v>
      </c>
      <c r="G159">
        <v>60</v>
      </c>
      <c r="H159">
        <v>12</v>
      </c>
      <c r="I159">
        <v>22.6</v>
      </c>
      <c r="J159">
        <v>10.9</v>
      </c>
      <c r="K159">
        <v>16.5</v>
      </c>
      <c r="L159">
        <v>23.3</v>
      </c>
      <c r="M159">
        <v>40</v>
      </c>
    </row>
    <row r="160" spans="1:13" x14ac:dyDescent="0.25">
      <c r="A160" t="s">
        <v>344</v>
      </c>
      <c r="B160" t="s">
        <v>495</v>
      </c>
      <c r="C160" t="s">
        <v>503</v>
      </c>
      <c r="D160" t="s">
        <v>504</v>
      </c>
      <c r="E160">
        <v>2</v>
      </c>
      <c r="F160">
        <v>8</v>
      </c>
      <c r="G160">
        <v>70</v>
      </c>
      <c r="H160">
        <v>12</v>
      </c>
      <c r="I160">
        <v>22.6</v>
      </c>
      <c r="J160">
        <v>10.9</v>
      </c>
      <c r="K160">
        <v>16.5</v>
      </c>
      <c r="L160">
        <v>23.3</v>
      </c>
      <c r="M160">
        <v>40</v>
      </c>
    </row>
    <row r="161" spans="1:13" x14ac:dyDescent="0.25">
      <c r="A161" t="s">
        <v>344</v>
      </c>
      <c r="B161" t="s">
        <v>495</v>
      </c>
      <c r="C161" t="s">
        <v>503</v>
      </c>
      <c r="D161" t="s">
        <v>504</v>
      </c>
      <c r="E161">
        <v>2</v>
      </c>
      <c r="F161">
        <v>8</v>
      </c>
      <c r="G161">
        <v>80</v>
      </c>
      <c r="H161">
        <v>12</v>
      </c>
      <c r="I161">
        <v>22.6</v>
      </c>
      <c r="J161">
        <v>10.9</v>
      </c>
      <c r="K161">
        <v>16.5</v>
      </c>
      <c r="L161">
        <v>23.3</v>
      </c>
      <c r="M161">
        <v>50</v>
      </c>
    </row>
    <row r="162" spans="1:13" x14ac:dyDescent="0.25">
      <c r="A162" t="s">
        <v>344</v>
      </c>
      <c r="B162" t="s">
        <v>495</v>
      </c>
      <c r="C162" t="s">
        <v>503</v>
      </c>
      <c r="D162" t="s">
        <v>504</v>
      </c>
      <c r="E162">
        <v>2</v>
      </c>
      <c r="F162">
        <v>8</v>
      </c>
      <c r="G162">
        <v>100</v>
      </c>
      <c r="H162">
        <v>12</v>
      </c>
      <c r="I162">
        <v>22.6</v>
      </c>
      <c r="J162">
        <v>10.9</v>
      </c>
      <c r="K162">
        <v>16.5</v>
      </c>
      <c r="L162">
        <v>23.3</v>
      </c>
      <c r="M162">
        <v>60</v>
      </c>
    </row>
    <row r="163" spans="1:13" x14ac:dyDescent="0.25">
      <c r="A163" t="s">
        <v>344</v>
      </c>
      <c r="B163" t="s">
        <v>495</v>
      </c>
      <c r="C163" t="s">
        <v>503</v>
      </c>
      <c r="D163" t="s">
        <v>504</v>
      </c>
      <c r="E163">
        <v>2</v>
      </c>
      <c r="F163">
        <v>8</v>
      </c>
      <c r="G163">
        <v>120</v>
      </c>
      <c r="H163">
        <v>12</v>
      </c>
      <c r="I163">
        <v>22.6</v>
      </c>
      <c r="J163">
        <v>10.9</v>
      </c>
      <c r="K163">
        <v>16.5</v>
      </c>
      <c r="L163">
        <v>23.3</v>
      </c>
      <c r="M163">
        <v>80</v>
      </c>
    </row>
    <row r="164" spans="1:13" x14ac:dyDescent="0.25">
      <c r="A164" t="s">
        <v>344</v>
      </c>
      <c r="B164" t="s">
        <v>495</v>
      </c>
      <c r="C164" t="s">
        <v>503</v>
      </c>
      <c r="D164" t="s">
        <v>504</v>
      </c>
      <c r="E164">
        <v>2</v>
      </c>
      <c r="F164">
        <v>8</v>
      </c>
      <c r="G164">
        <v>140</v>
      </c>
      <c r="H164">
        <v>12</v>
      </c>
      <c r="I164">
        <v>22.6</v>
      </c>
      <c r="J164">
        <v>10.9</v>
      </c>
      <c r="K164">
        <v>16.5</v>
      </c>
      <c r="L164">
        <v>23.3</v>
      </c>
      <c r="M164">
        <v>80</v>
      </c>
    </row>
    <row r="165" spans="1:13" x14ac:dyDescent="0.25">
      <c r="A165" t="s">
        <v>344</v>
      </c>
      <c r="B165" t="s">
        <v>495</v>
      </c>
      <c r="C165" t="s">
        <v>503</v>
      </c>
      <c r="D165" t="s">
        <v>504</v>
      </c>
      <c r="E165">
        <v>2</v>
      </c>
      <c r="F165">
        <v>8</v>
      </c>
      <c r="G165">
        <v>160</v>
      </c>
      <c r="H165">
        <v>12</v>
      </c>
      <c r="I165">
        <v>22.6</v>
      </c>
      <c r="J165">
        <v>10.9</v>
      </c>
      <c r="K165">
        <v>16.5</v>
      </c>
      <c r="L165">
        <v>23.3</v>
      </c>
      <c r="M165">
        <v>80</v>
      </c>
    </row>
    <row r="166" spans="1:13" x14ac:dyDescent="0.25">
      <c r="A166" t="s">
        <v>344</v>
      </c>
      <c r="B166" t="s">
        <v>495</v>
      </c>
      <c r="C166" t="s">
        <v>503</v>
      </c>
      <c r="D166" t="s">
        <v>504</v>
      </c>
      <c r="E166">
        <v>2</v>
      </c>
      <c r="F166">
        <v>8</v>
      </c>
      <c r="G166">
        <v>180</v>
      </c>
      <c r="H166">
        <v>12</v>
      </c>
      <c r="I166">
        <v>22.6</v>
      </c>
      <c r="J166">
        <v>10.9</v>
      </c>
      <c r="K166">
        <v>16.5</v>
      </c>
      <c r="L166">
        <v>23.3</v>
      </c>
      <c r="M166">
        <v>100</v>
      </c>
    </row>
    <row r="167" spans="1:13" x14ac:dyDescent="0.25">
      <c r="A167" t="s">
        <v>344</v>
      </c>
      <c r="B167" t="s">
        <v>495</v>
      </c>
      <c r="C167" t="s">
        <v>503</v>
      </c>
      <c r="D167" t="s">
        <v>504</v>
      </c>
      <c r="E167">
        <v>2</v>
      </c>
      <c r="F167">
        <v>8</v>
      </c>
      <c r="G167">
        <v>200</v>
      </c>
      <c r="H167">
        <v>12</v>
      </c>
      <c r="I167">
        <v>22.6</v>
      </c>
      <c r="J167">
        <v>10.9</v>
      </c>
      <c r="K167">
        <v>16.5</v>
      </c>
      <c r="L167">
        <v>23.3</v>
      </c>
      <c r="M167">
        <v>100</v>
      </c>
    </row>
    <row r="168" spans="1:13" x14ac:dyDescent="0.25">
      <c r="A168" t="s">
        <v>344</v>
      </c>
      <c r="B168" t="s">
        <v>495</v>
      </c>
      <c r="C168" t="s">
        <v>503</v>
      </c>
      <c r="D168" t="s">
        <v>504</v>
      </c>
      <c r="E168">
        <v>2</v>
      </c>
      <c r="F168">
        <v>8</v>
      </c>
      <c r="G168">
        <v>220</v>
      </c>
      <c r="H168">
        <v>12</v>
      </c>
      <c r="I168">
        <v>22.6</v>
      </c>
      <c r="J168">
        <v>10.9</v>
      </c>
      <c r="K168">
        <v>16.5</v>
      </c>
      <c r="L168">
        <v>23.3</v>
      </c>
      <c r="M168">
        <v>100</v>
      </c>
    </row>
    <row r="169" spans="1:13" x14ac:dyDescent="0.25">
      <c r="A169" t="s">
        <v>344</v>
      </c>
      <c r="B169" t="s">
        <v>495</v>
      </c>
      <c r="C169" t="s">
        <v>503</v>
      </c>
      <c r="D169" t="s">
        <v>504</v>
      </c>
      <c r="E169">
        <v>2</v>
      </c>
      <c r="F169">
        <v>8</v>
      </c>
      <c r="G169">
        <v>240</v>
      </c>
      <c r="H169">
        <v>12</v>
      </c>
      <c r="I169">
        <v>22.6</v>
      </c>
      <c r="J169">
        <v>10.9</v>
      </c>
      <c r="K169">
        <v>16.5</v>
      </c>
      <c r="L169">
        <v>23.3</v>
      </c>
      <c r="M169">
        <v>100</v>
      </c>
    </row>
    <row r="170" spans="1:13" x14ac:dyDescent="0.25">
      <c r="A170" t="s">
        <v>344</v>
      </c>
      <c r="B170" t="s">
        <v>495</v>
      </c>
      <c r="C170" t="s">
        <v>503</v>
      </c>
      <c r="D170" t="s">
        <v>504</v>
      </c>
      <c r="E170">
        <v>2</v>
      </c>
      <c r="F170">
        <v>8</v>
      </c>
      <c r="G170">
        <v>260</v>
      </c>
      <c r="H170">
        <v>12</v>
      </c>
      <c r="I170">
        <v>22.6</v>
      </c>
      <c r="J170">
        <v>10.9</v>
      </c>
      <c r="K170">
        <v>16.5</v>
      </c>
      <c r="L170">
        <v>23.3</v>
      </c>
      <c r="M170">
        <v>100</v>
      </c>
    </row>
    <row r="171" spans="1:13" x14ac:dyDescent="0.25">
      <c r="A171" t="s">
        <v>344</v>
      </c>
      <c r="B171" t="s">
        <v>495</v>
      </c>
      <c r="C171" t="s">
        <v>503</v>
      </c>
      <c r="D171" t="s">
        <v>504</v>
      </c>
      <c r="E171">
        <v>2</v>
      </c>
      <c r="F171">
        <v>8</v>
      </c>
      <c r="G171">
        <v>280</v>
      </c>
      <c r="H171">
        <v>12</v>
      </c>
      <c r="I171">
        <v>22.6</v>
      </c>
      <c r="J171">
        <v>10.9</v>
      </c>
      <c r="K171">
        <v>16.5</v>
      </c>
      <c r="L171">
        <v>23.3</v>
      </c>
      <c r="M171">
        <v>100</v>
      </c>
    </row>
    <row r="172" spans="1:13" x14ac:dyDescent="0.25">
      <c r="A172" t="s">
        <v>344</v>
      </c>
      <c r="B172" t="s">
        <v>495</v>
      </c>
      <c r="C172" t="s">
        <v>503</v>
      </c>
      <c r="D172" t="s">
        <v>504</v>
      </c>
      <c r="E172">
        <v>2</v>
      </c>
      <c r="F172">
        <v>8</v>
      </c>
      <c r="G172">
        <v>300</v>
      </c>
      <c r="H172">
        <v>12</v>
      </c>
      <c r="I172">
        <v>22.6</v>
      </c>
      <c r="J172">
        <v>10.9</v>
      </c>
      <c r="K172">
        <v>16.5</v>
      </c>
      <c r="L172">
        <v>23.3</v>
      </c>
      <c r="M172">
        <v>100</v>
      </c>
    </row>
    <row r="173" spans="1:13" x14ac:dyDescent="0.25">
      <c r="A173" t="s">
        <v>344</v>
      </c>
      <c r="B173" t="s">
        <v>495</v>
      </c>
      <c r="C173" t="s">
        <v>503</v>
      </c>
      <c r="D173" t="s">
        <v>504</v>
      </c>
      <c r="E173">
        <v>2</v>
      </c>
      <c r="F173">
        <v>8</v>
      </c>
      <c r="G173">
        <v>320</v>
      </c>
      <c r="H173">
        <v>12</v>
      </c>
      <c r="I173">
        <v>22.6</v>
      </c>
      <c r="J173">
        <v>10.9</v>
      </c>
      <c r="K173">
        <v>16.5</v>
      </c>
      <c r="L173">
        <v>23.3</v>
      </c>
      <c r="M173">
        <v>100</v>
      </c>
    </row>
    <row r="174" spans="1:13" x14ac:dyDescent="0.25">
      <c r="A174" t="s">
        <v>344</v>
      </c>
      <c r="B174" t="s">
        <v>495</v>
      </c>
      <c r="C174" t="s">
        <v>503</v>
      </c>
      <c r="D174" t="s">
        <v>504</v>
      </c>
      <c r="E174">
        <v>2</v>
      </c>
      <c r="F174">
        <v>8</v>
      </c>
      <c r="G174">
        <v>340</v>
      </c>
      <c r="H174">
        <v>12</v>
      </c>
      <c r="I174">
        <v>22.6</v>
      </c>
      <c r="J174">
        <v>10.9</v>
      </c>
      <c r="K174">
        <v>16.5</v>
      </c>
      <c r="L174">
        <v>23.3</v>
      </c>
      <c r="M174">
        <v>100</v>
      </c>
    </row>
    <row r="175" spans="1:13" x14ac:dyDescent="0.25">
      <c r="A175" t="s">
        <v>344</v>
      </c>
      <c r="B175" t="s">
        <v>495</v>
      </c>
      <c r="C175" t="s">
        <v>503</v>
      </c>
      <c r="D175" t="s">
        <v>504</v>
      </c>
      <c r="E175">
        <v>2</v>
      </c>
      <c r="F175">
        <v>8</v>
      </c>
      <c r="G175">
        <v>360</v>
      </c>
      <c r="H175">
        <v>12</v>
      </c>
      <c r="I175">
        <v>22.6</v>
      </c>
      <c r="J175">
        <v>10.9</v>
      </c>
      <c r="K175">
        <v>16.5</v>
      </c>
      <c r="L175">
        <v>23.3</v>
      </c>
      <c r="M175">
        <v>100</v>
      </c>
    </row>
    <row r="176" spans="1:13" x14ac:dyDescent="0.25">
      <c r="A176" t="s">
        <v>344</v>
      </c>
      <c r="B176" t="s">
        <v>495</v>
      </c>
      <c r="C176" t="s">
        <v>503</v>
      </c>
      <c r="D176" t="s">
        <v>504</v>
      </c>
      <c r="E176">
        <v>2</v>
      </c>
      <c r="F176">
        <v>8</v>
      </c>
      <c r="G176">
        <v>380</v>
      </c>
      <c r="H176">
        <v>12</v>
      </c>
      <c r="I176">
        <v>22.6</v>
      </c>
      <c r="J176">
        <v>10.9</v>
      </c>
      <c r="K176">
        <v>16.5</v>
      </c>
      <c r="L176">
        <v>23.3</v>
      </c>
      <c r="M176">
        <v>100</v>
      </c>
    </row>
    <row r="177" spans="1:13" x14ac:dyDescent="0.25">
      <c r="A177" t="s">
        <v>344</v>
      </c>
      <c r="B177" t="s">
        <v>495</v>
      </c>
      <c r="C177" t="s">
        <v>503</v>
      </c>
      <c r="D177" t="s">
        <v>504</v>
      </c>
      <c r="E177">
        <v>2</v>
      </c>
      <c r="F177">
        <v>8</v>
      </c>
      <c r="G177">
        <v>400</v>
      </c>
      <c r="H177">
        <v>12</v>
      </c>
      <c r="I177">
        <v>22.6</v>
      </c>
      <c r="J177">
        <v>10.9</v>
      </c>
      <c r="K177">
        <v>16.5</v>
      </c>
      <c r="L177">
        <v>23.3</v>
      </c>
      <c r="M177">
        <v>100</v>
      </c>
    </row>
    <row r="178" spans="1:13" x14ac:dyDescent="0.25">
      <c r="A178" t="s">
        <v>344</v>
      </c>
      <c r="B178" t="s">
        <v>495</v>
      </c>
      <c r="C178" t="s">
        <v>503</v>
      </c>
      <c r="D178" t="s">
        <v>504</v>
      </c>
      <c r="E178">
        <v>2</v>
      </c>
      <c r="F178">
        <v>10</v>
      </c>
      <c r="G178">
        <v>60</v>
      </c>
      <c r="H178">
        <v>15</v>
      </c>
      <c r="I178">
        <v>33.6</v>
      </c>
      <c r="J178">
        <v>11</v>
      </c>
      <c r="K178">
        <v>16.7</v>
      </c>
      <c r="L178">
        <v>35</v>
      </c>
      <c r="M178">
        <v>40</v>
      </c>
    </row>
    <row r="179" spans="1:13" x14ac:dyDescent="0.25">
      <c r="A179" t="s">
        <v>344</v>
      </c>
      <c r="B179" t="s">
        <v>495</v>
      </c>
      <c r="C179" t="s">
        <v>503</v>
      </c>
      <c r="D179" t="s">
        <v>504</v>
      </c>
      <c r="E179">
        <v>2</v>
      </c>
      <c r="F179">
        <v>10</v>
      </c>
      <c r="G179">
        <v>70</v>
      </c>
      <c r="H179">
        <v>15</v>
      </c>
      <c r="I179">
        <v>33.6</v>
      </c>
      <c r="J179">
        <v>11</v>
      </c>
      <c r="K179">
        <v>16.7</v>
      </c>
      <c r="L179">
        <v>35</v>
      </c>
      <c r="M179">
        <v>40</v>
      </c>
    </row>
    <row r="180" spans="1:13" x14ac:dyDescent="0.25">
      <c r="A180" t="s">
        <v>344</v>
      </c>
      <c r="B180" t="s">
        <v>495</v>
      </c>
      <c r="C180" t="s">
        <v>503</v>
      </c>
      <c r="D180" t="s">
        <v>504</v>
      </c>
      <c r="E180">
        <v>2</v>
      </c>
      <c r="F180">
        <v>10</v>
      </c>
      <c r="G180">
        <v>80</v>
      </c>
      <c r="H180">
        <v>15</v>
      </c>
      <c r="I180">
        <v>33.6</v>
      </c>
      <c r="J180">
        <v>11</v>
      </c>
      <c r="K180">
        <v>16.7</v>
      </c>
      <c r="L180">
        <v>35</v>
      </c>
      <c r="M180">
        <v>50</v>
      </c>
    </row>
    <row r="181" spans="1:13" x14ac:dyDescent="0.25">
      <c r="A181" t="s">
        <v>344</v>
      </c>
      <c r="B181" t="s">
        <v>495</v>
      </c>
      <c r="C181" t="s">
        <v>503</v>
      </c>
      <c r="D181" t="s">
        <v>504</v>
      </c>
      <c r="E181">
        <v>2</v>
      </c>
      <c r="F181">
        <v>10</v>
      </c>
      <c r="G181">
        <v>100</v>
      </c>
      <c r="H181">
        <v>15</v>
      </c>
      <c r="I181">
        <v>33.6</v>
      </c>
      <c r="J181">
        <v>11</v>
      </c>
      <c r="K181">
        <v>16.7</v>
      </c>
      <c r="L181">
        <v>35</v>
      </c>
      <c r="M181">
        <v>60</v>
      </c>
    </row>
    <row r="182" spans="1:13" x14ac:dyDescent="0.25">
      <c r="A182" t="s">
        <v>344</v>
      </c>
      <c r="B182" t="s">
        <v>495</v>
      </c>
      <c r="C182" t="s">
        <v>503</v>
      </c>
      <c r="D182" t="s">
        <v>504</v>
      </c>
      <c r="E182">
        <v>2</v>
      </c>
      <c r="F182">
        <v>10</v>
      </c>
      <c r="G182">
        <v>120</v>
      </c>
      <c r="H182">
        <v>15</v>
      </c>
      <c r="I182">
        <v>33.6</v>
      </c>
      <c r="J182">
        <v>11</v>
      </c>
      <c r="K182">
        <v>16.7</v>
      </c>
      <c r="L182">
        <v>35</v>
      </c>
      <c r="M182">
        <v>80</v>
      </c>
    </row>
    <row r="183" spans="1:13" x14ac:dyDescent="0.25">
      <c r="A183" t="s">
        <v>344</v>
      </c>
      <c r="B183" t="s">
        <v>495</v>
      </c>
      <c r="C183" t="s">
        <v>503</v>
      </c>
      <c r="D183" t="s">
        <v>504</v>
      </c>
      <c r="E183">
        <v>2</v>
      </c>
      <c r="F183">
        <v>10</v>
      </c>
      <c r="G183">
        <v>140</v>
      </c>
      <c r="H183">
        <v>15</v>
      </c>
      <c r="I183">
        <v>33.6</v>
      </c>
      <c r="J183">
        <v>11</v>
      </c>
      <c r="K183">
        <v>16.7</v>
      </c>
      <c r="L183">
        <v>35</v>
      </c>
      <c r="M183">
        <v>80</v>
      </c>
    </row>
    <row r="184" spans="1:13" x14ac:dyDescent="0.25">
      <c r="A184" t="s">
        <v>344</v>
      </c>
      <c r="B184" t="s">
        <v>495</v>
      </c>
      <c r="C184" t="s">
        <v>503</v>
      </c>
      <c r="D184" t="s">
        <v>504</v>
      </c>
      <c r="E184">
        <v>2</v>
      </c>
      <c r="F184">
        <v>10</v>
      </c>
      <c r="G184">
        <v>160</v>
      </c>
      <c r="H184">
        <v>15</v>
      </c>
      <c r="I184">
        <v>33.6</v>
      </c>
      <c r="J184">
        <v>11</v>
      </c>
      <c r="K184">
        <v>16.7</v>
      </c>
      <c r="L184">
        <v>35</v>
      </c>
      <c r="M184">
        <v>80</v>
      </c>
    </row>
    <row r="185" spans="1:13" x14ac:dyDescent="0.25">
      <c r="A185" t="s">
        <v>344</v>
      </c>
      <c r="B185" t="s">
        <v>495</v>
      </c>
      <c r="C185" t="s">
        <v>503</v>
      </c>
      <c r="D185" t="s">
        <v>504</v>
      </c>
      <c r="E185">
        <v>2</v>
      </c>
      <c r="F185">
        <v>10</v>
      </c>
      <c r="G185">
        <v>180</v>
      </c>
      <c r="H185">
        <v>15</v>
      </c>
      <c r="I185">
        <v>33.6</v>
      </c>
      <c r="J185">
        <v>11</v>
      </c>
      <c r="K185">
        <v>16.7</v>
      </c>
      <c r="L185">
        <v>35</v>
      </c>
      <c r="M185">
        <v>100</v>
      </c>
    </row>
    <row r="186" spans="1:13" x14ac:dyDescent="0.25">
      <c r="A186" t="s">
        <v>344</v>
      </c>
      <c r="B186" t="s">
        <v>495</v>
      </c>
      <c r="C186" t="s">
        <v>503</v>
      </c>
      <c r="D186" t="s">
        <v>504</v>
      </c>
      <c r="E186">
        <v>2</v>
      </c>
      <c r="F186">
        <v>10</v>
      </c>
      <c r="G186">
        <v>200</v>
      </c>
      <c r="H186">
        <v>15</v>
      </c>
      <c r="I186">
        <v>33.6</v>
      </c>
      <c r="J186">
        <v>11</v>
      </c>
      <c r="K186">
        <v>16.7</v>
      </c>
      <c r="L186">
        <v>35</v>
      </c>
      <c r="M186">
        <v>100</v>
      </c>
    </row>
    <row r="187" spans="1:13" x14ac:dyDescent="0.25">
      <c r="A187" t="s">
        <v>344</v>
      </c>
      <c r="B187" t="s">
        <v>495</v>
      </c>
      <c r="C187" t="s">
        <v>503</v>
      </c>
      <c r="D187" t="s">
        <v>504</v>
      </c>
      <c r="E187">
        <v>2</v>
      </c>
      <c r="F187">
        <v>10</v>
      </c>
      <c r="G187">
        <v>220</v>
      </c>
      <c r="H187">
        <v>15</v>
      </c>
      <c r="I187">
        <v>33.6</v>
      </c>
      <c r="J187">
        <v>11</v>
      </c>
      <c r="K187">
        <v>16.7</v>
      </c>
      <c r="L187">
        <v>35</v>
      </c>
      <c r="M187">
        <v>100</v>
      </c>
    </row>
    <row r="188" spans="1:13" x14ac:dyDescent="0.25">
      <c r="A188" t="s">
        <v>344</v>
      </c>
      <c r="B188" t="s">
        <v>495</v>
      </c>
      <c r="C188" t="s">
        <v>503</v>
      </c>
      <c r="D188" t="s">
        <v>504</v>
      </c>
      <c r="E188">
        <v>2</v>
      </c>
      <c r="F188">
        <v>10</v>
      </c>
      <c r="G188">
        <v>240</v>
      </c>
      <c r="H188">
        <v>15</v>
      </c>
      <c r="I188">
        <v>33.6</v>
      </c>
      <c r="J188">
        <v>11</v>
      </c>
      <c r="K188">
        <v>16.7</v>
      </c>
      <c r="L188">
        <v>35</v>
      </c>
      <c r="M188">
        <v>100</v>
      </c>
    </row>
    <row r="189" spans="1:13" x14ac:dyDescent="0.25">
      <c r="A189" t="s">
        <v>344</v>
      </c>
      <c r="B189" t="s">
        <v>495</v>
      </c>
      <c r="C189" t="s">
        <v>503</v>
      </c>
      <c r="D189" t="s">
        <v>504</v>
      </c>
      <c r="E189">
        <v>2</v>
      </c>
      <c r="F189">
        <v>10</v>
      </c>
      <c r="G189">
        <v>260</v>
      </c>
      <c r="H189">
        <v>15</v>
      </c>
      <c r="I189">
        <v>33.6</v>
      </c>
      <c r="J189">
        <v>11</v>
      </c>
      <c r="K189">
        <v>16.7</v>
      </c>
      <c r="L189">
        <v>35</v>
      </c>
      <c r="M189">
        <v>100</v>
      </c>
    </row>
    <row r="190" spans="1:13" x14ac:dyDescent="0.25">
      <c r="A190" t="s">
        <v>344</v>
      </c>
      <c r="B190" t="s">
        <v>495</v>
      </c>
      <c r="C190" t="s">
        <v>503</v>
      </c>
      <c r="D190" t="s">
        <v>504</v>
      </c>
      <c r="E190">
        <v>2</v>
      </c>
      <c r="F190">
        <v>10</v>
      </c>
      <c r="G190">
        <v>280</v>
      </c>
      <c r="H190">
        <v>15</v>
      </c>
      <c r="I190">
        <v>33.6</v>
      </c>
      <c r="J190">
        <v>11</v>
      </c>
      <c r="K190">
        <v>16.7</v>
      </c>
      <c r="L190">
        <v>35</v>
      </c>
      <c r="M190">
        <v>100</v>
      </c>
    </row>
    <row r="191" spans="1:13" x14ac:dyDescent="0.25">
      <c r="A191" t="s">
        <v>344</v>
      </c>
      <c r="B191" t="s">
        <v>495</v>
      </c>
      <c r="C191" t="s">
        <v>503</v>
      </c>
      <c r="D191" t="s">
        <v>504</v>
      </c>
      <c r="E191">
        <v>2</v>
      </c>
      <c r="F191">
        <v>10</v>
      </c>
      <c r="G191">
        <v>300</v>
      </c>
      <c r="H191">
        <v>15</v>
      </c>
      <c r="I191">
        <v>33.6</v>
      </c>
      <c r="J191">
        <v>11</v>
      </c>
      <c r="K191">
        <v>16.7</v>
      </c>
      <c r="L191">
        <v>35</v>
      </c>
      <c r="M191">
        <v>100</v>
      </c>
    </row>
    <row r="192" spans="1:13" x14ac:dyDescent="0.25">
      <c r="A192" t="s">
        <v>344</v>
      </c>
      <c r="B192" t="s">
        <v>495</v>
      </c>
      <c r="C192" t="s">
        <v>503</v>
      </c>
      <c r="D192" t="s">
        <v>504</v>
      </c>
      <c r="E192">
        <v>2</v>
      </c>
      <c r="F192">
        <v>10</v>
      </c>
      <c r="G192">
        <v>350</v>
      </c>
      <c r="H192">
        <v>15</v>
      </c>
      <c r="I192">
        <v>33.6</v>
      </c>
      <c r="J192">
        <v>11</v>
      </c>
      <c r="K192">
        <v>16.7</v>
      </c>
      <c r="L192">
        <v>35</v>
      </c>
      <c r="M192">
        <v>100</v>
      </c>
    </row>
    <row r="193" spans="1:13" x14ac:dyDescent="0.25">
      <c r="A193" t="s">
        <v>344</v>
      </c>
      <c r="B193" t="s">
        <v>495</v>
      </c>
      <c r="C193" t="s">
        <v>503</v>
      </c>
      <c r="D193" t="s">
        <v>504</v>
      </c>
      <c r="E193">
        <v>2</v>
      </c>
      <c r="F193">
        <v>10</v>
      </c>
      <c r="G193">
        <v>400</v>
      </c>
      <c r="H193">
        <v>15</v>
      </c>
      <c r="I193">
        <v>33.6</v>
      </c>
      <c r="J193">
        <v>11</v>
      </c>
      <c r="K193">
        <v>16.7</v>
      </c>
      <c r="L193">
        <v>35</v>
      </c>
      <c r="M193">
        <v>100</v>
      </c>
    </row>
    <row r="194" spans="1:13" x14ac:dyDescent="0.25">
      <c r="A194" t="s">
        <v>344</v>
      </c>
      <c r="B194" t="s">
        <v>495</v>
      </c>
      <c r="C194" t="s">
        <v>503</v>
      </c>
      <c r="D194" t="s">
        <v>504</v>
      </c>
      <c r="E194">
        <v>2</v>
      </c>
      <c r="F194">
        <v>12</v>
      </c>
      <c r="G194">
        <v>80</v>
      </c>
      <c r="H194">
        <v>17</v>
      </c>
      <c r="I194">
        <v>46.9</v>
      </c>
      <c r="J194">
        <v>11.2</v>
      </c>
      <c r="K194">
        <v>17.100000000000001</v>
      </c>
      <c r="L194">
        <v>42</v>
      </c>
      <c r="M194">
        <v>50</v>
      </c>
    </row>
    <row r="195" spans="1:13" x14ac:dyDescent="0.25">
      <c r="A195" t="s">
        <v>344</v>
      </c>
      <c r="B195" t="s">
        <v>495</v>
      </c>
      <c r="C195" t="s">
        <v>503</v>
      </c>
      <c r="D195" t="s">
        <v>504</v>
      </c>
      <c r="E195">
        <v>2</v>
      </c>
      <c r="F195">
        <v>12</v>
      </c>
      <c r="G195">
        <v>100</v>
      </c>
      <c r="H195">
        <v>17</v>
      </c>
      <c r="I195">
        <v>46.9</v>
      </c>
      <c r="J195">
        <v>11.2</v>
      </c>
      <c r="K195">
        <v>17.100000000000001</v>
      </c>
      <c r="L195">
        <v>42</v>
      </c>
      <c r="M195">
        <v>60</v>
      </c>
    </row>
    <row r="196" spans="1:13" x14ac:dyDescent="0.25">
      <c r="A196" t="s">
        <v>344</v>
      </c>
      <c r="B196" t="s">
        <v>495</v>
      </c>
      <c r="C196" t="s">
        <v>503</v>
      </c>
      <c r="D196" t="s">
        <v>504</v>
      </c>
      <c r="E196">
        <v>2</v>
      </c>
      <c r="F196">
        <v>12</v>
      </c>
      <c r="G196">
        <v>120</v>
      </c>
      <c r="H196">
        <v>17</v>
      </c>
      <c r="I196">
        <v>46.9</v>
      </c>
      <c r="J196">
        <v>11.2</v>
      </c>
      <c r="K196">
        <v>17.100000000000001</v>
      </c>
      <c r="L196">
        <v>42</v>
      </c>
      <c r="M196">
        <v>80</v>
      </c>
    </row>
    <row r="197" spans="1:13" x14ac:dyDescent="0.25">
      <c r="A197" t="s">
        <v>344</v>
      </c>
      <c r="B197" t="s">
        <v>495</v>
      </c>
      <c r="C197" t="s">
        <v>503</v>
      </c>
      <c r="D197" t="s">
        <v>504</v>
      </c>
      <c r="E197">
        <v>2</v>
      </c>
      <c r="F197">
        <v>12</v>
      </c>
      <c r="G197">
        <v>140</v>
      </c>
      <c r="H197">
        <v>17</v>
      </c>
      <c r="I197">
        <v>46.9</v>
      </c>
      <c r="J197">
        <v>11.2</v>
      </c>
      <c r="K197">
        <v>17.100000000000001</v>
      </c>
      <c r="L197">
        <v>42</v>
      </c>
      <c r="M197">
        <v>80</v>
      </c>
    </row>
    <row r="198" spans="1:13" x14ac:dyDescent="0.25">
      <c r="A198" t="s">
        <v>344</v>
      </c>
      <c r="B198" t="s">
        <v>495</v>
      </c>
      <c r="C198" t="s">
        <v>503</v>
      </c>
      <c r="D198" t="s">
        <v>504</v>
      </c>
      <c r="E198">
        <v>2</v>
      </c>
      <c r="F198">
        <v>12</v>
      </c>
      <c r="G198">
        <v>160</v>
      </c>
      <c r="H198">
        <v>17</v>
      </c>
      <c r="I198">
        <v>46.9</v>
      </c>
      <c r="J198">
        <v>11.2</v>
      </c>
      <c r="K198">
        <v>17.100000000000001</v>
      </c>
      <c r="L198">
        <v>42</v>
      </c>
      <c r="M198">
        <v>80</v>
      </c>
    </row>
    <row r="199" spans="1:13" x14ac:dyDescent="0.25">
      <c r="A199" t="s">
        <v>344</v>
      </c>
      <c r="B199" t="s">
        <v>495</v>
      </c>
      <c r="C199" t="s">
        <v>503</v>
      </c>
      <c r="D199" t="s">
        <v>504</v>
      </c>
      <c r="E199">
        <v>2</v>
      </c>
      <c r="F199">
        <v>12</v>
      </c>
      <c r="G199">
        <v>180</v>
      </c>
      <c r="H199">
        <v>17</v>
      </c>
      <c r="I199">
        <v>46.9</v>
      </c>
      <c r="J199">
        <v>11.2</v>
      </c>
      <c r="K199">
        <v>17.100000000000001</v>
      </c>
      <c r="L199">
        <v>42</v>
      </c>
      <c r="M199">
        <v>100</v>
      </c>
    </row>
    <row r="200" spans="1:13" x14ac:dyDescent="0.25">
      <c r="A200" t="s">
        <v>344</v>
      </c>
      <c r="B200" t="s">
        <v>495</v>
      </c>
      <c r="C200" t="s">
        <v>503</v>
      </c>
      <c r="D200" t="s">
        <v>504</v>
      </c>
      <c r="E200">
        <v>2</v>
      </c>
      <c r="F200">
        <v>12</v>
      </c>
      <c r="G200">
        <v>200</v>
      </c>
      <c r="H200">
        <v>17</v>
      </c>
      <c r="I200">
        <v>46.9</v>
      </c>
      <c r="J200">
        <v>11.2</v>
      </c>
      <c r="K200">
        <v>17.100000000000001</v>
      </c>
      <c r="L200">
        <v>42</v>
      </c>
      <c r="M200">
        <v>100</v>
      </c>
    </row>
    <row r="201" spans="1:13" x14ac:dyDescent="0.25">
      <c r="A201" t="s">
        <v>344</v>
      </c>
      <c r="B201" t="s">
        <v>495</v>
      </c>
      <c r="C201" t="s">
        <v>503</v>
      </c>
      <c r="D201" t="s">
        <v>504</v>
      </c>
      <c r="E201">
        <v>2</v>
      </c>
      <c r="F201">
        <v>12</v>
      </c>
      <c r="G201">
        <v>220</v>
      </c>
      <c r="H201">
        <v>17</v>
      </c>
      <c r="I201">
        <v>46.9</v>
      </c>
      <c r="J201">
        <v>11.2</v>
      </c>
      <c r="K201">
        <v>17.100000000000001</v>
      </c>
      <c r="L201">
        <v>42</v>
      </c>
      <c r="M201">
        <v>100</v>
      </c>
    </row>
    <row r="202" spans="1:13" x14ac:dyDescent="0.25">
      <c r="A202" t="s">
        <v>344</v>
      </c>
      <c r="B202" t="s">
        <v>495</v>
      </c>
      <c r="C202" t="s">
        <v>503</v>
      </c>
      <c r="D202" t="s">
        <v>504</v>
      </c>
      <c r="E202">
        <v>2</v>
      </c>
      <c r="F202">
        <v>12</v>
      </c>
      <c r="G202">
        <v>240</v>
      </c>
      <c r="H202">
        <v>17</v>
      </c>
      <c r="I202">
        <v>46.9</v>
      </c>
      <c r="J202">
        <v>11.2</v>
      </c>
      <c r="K202">
        <v>17.100000000000001</v>
      </c>
      <c r="L202">
        <v>42</v>
      </c>
      <c r="M202">
        <v>100</v>
      </c>
    </row>
    <row r="203" spans="1:13" x14ac:dyDescent="0.25">
      <c r="A203" t="s">
        <v>344</v>
      </c>
      <c r="B203" t="s">
        <v>495</v>
      </c>
      <c r="C203" t="s">
        <v>503</v>
      </c>
      <c r="D203" t="s">
        <v>504</v>
      </c>
      <c r="E203">
        <v>2</v>
      </c>
      <c r="F203">
        <v>12</v>
      </c>
      <c r="G203">
        <v>260</v>
      </c>
      <c r="H203">
        <v>17</v>
      </c>
      <c r="I203">
        <v>46.9</v>
      </c>
      <c r="J203">
        <v>11.2</v>
      </c>
      <c r="K203">
        <v>17.100000000000001</v>
      </c>
      <c r="L203">
        <v>42</v>
      </c>
      <c r="M203">
        <v>100</v>
      </c>
    </row>
    <row r="204" spans="1:13" x14ac:dyDescent="0.25">
      <c r="A204" t="s">
        <v>344</v>
      </c>
      <c r="B204" t="s">
        <v>495</v>
      </c>
      <c r="C204" t="s">
        <v>503</v>
      </c>
      <c r="D204" t="s">
        <v>504</v>
      </c>
      <c r="E204">
        <v>2</v>
      </c>
      <c r="F204">
        <v>12</v>
      </c>
      <c r="G204">
        <v>280</v>
      </c>
      <c r="H204">
        <v>17</v>
      </c>
      <c r="I204">
        <v>46.9</v>
      </c>
      <c r="J204">
        <v>11.2</v>
      </c>
      <c r="K204">
        <v>17.100000000000001</v>
      </c>
      <c r="L204">
        <v>42</v>
      </c>
      <c r="M204">
        <v>100</v>
      </c>
    </row>
    <row r="205" spans="1:13" x14ac:dyDescent="0.25">
      <c r="A205" t="s">
        <v>344</v>
      </c>
      <c r="B205" t="s">
        <v>495</v>
      </c>
      <c r="C205" t="s">
        <v>503</v>
      </c>
      <c r="D205" t="s">
        <v>504</v>
      </c>
      <c r="E205">
        <v>2</v>
      </c>
      <c r="F205">
        <v>12</v>
      </c>
      <c r="G205">
        <v>300</v>
      </c>
      <c r="H205">
        <v>17</v>
      </c>
      <c r="I205">
        <v>46.9</v>
      </c>
      <c r="J205">
        <v>11.2</v>
      </c>
      <c r="K205">
        <v>17.100000000000001</v>
      </c>
      <c r="L205">
        <v>42</v>
      </c>
      <c r="M205">
        <v>120</v>
      </c>
    </row>
    <row r="206" spans="1:13" x14ac:dyDescent="0.25">
      <c r="A206" t="s">
        <v>344</v>
      </c>
      <c r="B206" t="s">
        <v>495</v>
      </c>
      <c r="C206" t="s">
        <v>503</v>
      </c>
      <c r="D206" t="s">
        <v>504</v>
      </c>
      <c r="E206">
        <v>2</v>
      </c>
      <c r="F206">
        <v>12</v>
      </c>
      <c r="G206">
        <v>350</v>
      </c>
      <c r="H206">
        <v>17</v>
      </c>
      <c r="I206">
        <v>46.9</v>
      </c>
      <c r="J206">
        <v>11.2</v>
      </c>
      <c r="K206">
        <v>17.100000000000001</v>
      </c>
      <c r="L206">
        <v>42</v>
      </c>
      <c r="M206">
        <v>120</v>
      </c>
    </row>
    <row r="207" spans="1:13" x14ac:dyDescent="0.25">
      <c r="A207" t="s">
        <v>344</v>
      </c>
      <c r="B207" t="s">
        <v>495</v>
      </c>
      <c r="C207" t="s">
        <v>503</v>
      </c>
      <c r="D207" t="s">
        <v>504</v>
      </c>
      <c r="E207">
        <v>2</v>
      </c>
      <c r="F207">
        <v>12</v>
      </c>
      <c r="G207">
        <v>400</v>
      </c>
      <c r="H207">
        <v>17</v>
      </c>
      <c r="I207">
        <v>46.9</v>
      </c>
      <c r="J207">
        <v>11.2</v>
      </c>
      <c r="K207">
        <v>17.100000000000001</v>
      </c>
      <c r="L207">
        <v>42</v>
      </c>
      <c r="M207">
        <v>120</v>
      </c>
    </row>
    <row r="208" spans="1:13" x14ac:dyDescent="0.25">
      <c r="A208" t="s">
        <v>344</v>
      </c>
      <c r="B208" t="s">
        <v>495</v>
      </c>
      <c r="C208" t="s">
        <v>505</v>
      </c>
      <c r="D208" t="s">
        <v>506</v>
      </c>
      <c r="E208">
        <v>2</v>
      </c>
      <c r="F208">
        <v>6</v>
      </c>
      <c r="G208">
        <v>80</v>
      </c>
      <c r="H208">
        <v>13</v>
      </c>
      <c r="I208">
        <v>10.7</v>
      </c>
      <c r="J208">
        <v>13</v>
      </c>
      <c r="K208">
        <v>19.7</v>
      </c>
      <c r="L208">
        <v>13.1</v>
      </c>
      <c r="M208">
        <v>50</v>
      </c>
    </row>
    <row r="209" spans="1:13" x14ac:dyDescent="0.25">
      <c r="A209" t="s">
        <v>344</v>
      </c>
      <c r="B209" t="s">
        <v>495</v>
      </c>
      <c r="C209" t="s">
        <v>505</v>
      </c>
      <c r="D209" t="s">
        <v>506</v>
      </c>
      <c r="E209">
        <v>2</v>
      </c>
      <c r="F209">
        <v>6</v>
      </c>
      <c r="G209">
        <v>100</v>
      </c>
      <c r="H209">
        <v>13</v>
      </c>
      <c r="I209">
        <v>10.7</v>
      </c>
      <c r="J209">
        <v>13</v>
      </c>
      <c r="K209">
        <v>19.7</v>
      </c>
      <c r="L209">
        <v>13.1</v>
      </c>
      <c r="M209">
        <v>60</v>
      </c>
    </row>
    <row r="210" spans="1:13" x14ac:dyDescent="0.25">
      <c r="A210" t="s">
        <v>344</v>
      </c>
      <c r="B210" t="s">
        <v>495</v>
      </c>
      <c r="C210" t="s">
        <v>505</v>
      </c>
      <c r="D210" t="s">
        <v>506</v>
      </c>
      <c r="E210">
        <v>2</v>
      </c>
      <c r="F210">
        <v>6</v>
      </c>
      <c r="G210">
        <v>120</v>
      </c>
      <c r="H210">
        <v>13</v>
      </c>
      <c r="I210">
        <v>10.7</v>
      </c>
      <c r="J210">
        <v>13</v>
      </c>
      <c r="K210">
        <v>19.7</v>
      </c>
      <c r="L210">
        <v>13.1</v>
      </c>
      <c r="M210">
        <v>70</v>
      </c>
    </row>
    <row r="211" spans="1:13" x14ac:dyDescent="0.25">
      <c r="A211" t="s">
        <v>344</v>
      </c>
      <c r="B211" t="s">
        <v>495</v>
      </c>
      <c r="C211" t="s">
        <v>505</v>
      </c>
      <c r="D211" t="s">
        <v>506</v>
      </c>
      <c r="E211">
        <v>2</v>
      </c>
      <c r="F211">
        <v>6</v>
      </c>
      <c r="G211">
        <v>140</v>
      </c>
      <c r="H211">
        <v>13</v>
      </c>
      <c r="I211">
        <v>10.7</v>
      </c>
      <c r="J211">
        <v>13</v>
      </c>
      <c r="K211">
        <v>19.7</v>
      </c>
      <c r="L211">
        <v>13.1</v>
      </c>
      <c r="M211">
        <v>70</v>
      </c>
    </row>
    <row r="212" spans="1:13" x14ac:dyDescent="0.25">
      <c r="A212" t="s">
        <v>344</v>
      </c>
      <c r="B212" t="s">
        <v>495</v>
      </c>
      <c r="C212" t="s">
        <v>505</v>
      </c>
      <c r="D212" t="s">
        <v>506</v>
      </c>
      <c r="E212">
        <v>2</v>
      </c>
      <c r="F212">
        <v>6</v>
      </c>
      <c r="G212">
        <v>160</v>
      </c>
      <c r="H212">
        <v>13</v>
      </c>
      <c r="I212">
        <v>10.7</v>
      </c>
      <c r="J212">
        <v>13</v>
      </c>
      <c r="K212">
        <v>19.7</v>
      </c>
      <c r="L212">
        <v>13.1</v>
      </c>
      <c r="M212">
        <v>70</v>
      </c>
    </row>
    <row r="213" spans="1:13" x14ac:dyDescent="0.25">
      <c r="A213" t="s">
        <v>344</v>
      </c>
      <c r="B213" t="s">
        <v>495</v>
      </c>
      <c r="C213" t="s">
        <v>505</v>
      </c>
      <c r="D213" t="s">
        <v>506</v>
      </c>
      <c r="E213">
        <v>2</v>
      </c>
      <c r="F213">
        <v>6</v>
      </c>
      <c r="G213">
        <v>180</v>
      </c>
      <c r="H213">
        <v>13</v>
      </c>
      <c r="I213">
        <v>10.7</v>
      </c>
      <c r="J213">
        <v>13</v>
      </c>
      <c r="K213">
        <v>19.7</v>
      </c>
      <c r="L213">
        <v>13.1</v>
      </c>
      <c r="M213">
        <v>70</v>
      </c>
    </row>
    <row r="214" spans="1:13" x14ac:dyDescent="0.25">
      <c r="A214" t="s">
        <v>344</v>
      </c>
      <c r="B214" t="s">
        <v>495</v>
      </c>
      <c r="C214" t="s">
        <v>505</v>
      </c>
      <c r="D214" t="s">
        <v>506</v>
      </c>
      <c r="E214">
        <v>2</v>
      </c>
      <c r="F214">
        <v>6</v>
      </c>
      <c r="G214">
        <v>200</v>
      </c>
      <c r="H214">
        <v>13</v>
      </c>
      <c r="I214">
        <v>10.7</v>
      </c>
      <c r="J214">
        <v>13</v>
      </c>
      <c r="K214">
        <v>19.7</v>
      </c>
      <c r="L214">
        <v>13.1</v>
      </c>
      <c r="M214">
        <v>70</v>
      </c>
    </row>
    <row r="215" spans="1:13" x14ac:dyDescent="0.25">
      <c r="A215" t="s">
        <v>344</v>
      </c>
      <c r="B215" t="s">
        <v>495</v>
      </c>
      <c r="C215" t="s">
        <v>505</v>
      </c>
      <c r="D215" t="s">
        <v>506</v>
      </c>
      <c r="E215">
        <v>2</v>
      </c>
      <c r="F215">
        <v>8</v>
      </c>
      <c r="G215">
        <v>80</v>
      </c>
      <c r="H215">
        <v>19</v>
      </c>
      <c r="I215">
        <v>22.6</v>
      </c>
      <c r="J215">
        <v>10.9</v>
      </c>
      <c r="K215">
        <v>22.9</v>
      </c>
      <c r="L215">
        <v>23.3</v>
      </c>
      <c r="M215">
        <v>50</v>
      </c>
    </row>
    <row r="216" spans="1:13" x14ac:dyDescent="0.25">
      <c r="A216" t="s">
        <v>344</v>
      </c>
      <c r="B216" t="s">
        <v>495</v>
      </c>
      <c r="C216" t="s">
        <v>505</v>
      </c>
      <c r="D216" t="s">
        <v>506</v>
      </c>
      <c r="E216">
        <v>2</v>
      </c>
      <c r="F216">
        <v>8</v>
      </c>
      <c r="G216">
        <v>100</v>
      </c>
      <c r="H216">
        <v>19</v>
      </c>
      <c r="I216">
        <v>22.6</v>
      </c>
      <c r="J216">
        <v>10.9</v>
      </c>
      <c r="K216">
        <v>22.9</v>
      </c>
      <c r="L216">
        <v>23.3</v>
      </c>
      <c r="M216">
        <v>60</v>
      </c>
    </row>
    <row r="217" spans="1:13" x14ac:dyDescent="0.25">
      <c r="A217" t="s">
        <v>344</v>
      </c>
      <c r="B217" t="s">
        <v>495</v>
      </c>
      <c r="C217" t="s">
        <v>505</v>
      </c>
      <c r="D217" t="s">
        <v>506</v>
      </c>
      <c r="E217">
        <v>2</v>
      </c>
      <c r="F217">
        <v>8</v>
      </c>
      <c r="G217">
        <v>120</v>
      </c>
      <c r="H217">
        <v>19</v>
      </c>
      <c r="I217">
        <v>22.6</v>
      </c>
      <c r="J217">
        <v>10.9</v>
      </c>
      <c r="K217">
        <v>22.9</v>
      </c>
      <c r="L217">
        <v>23.3</v>
      </c>
      <c r="M217">
        <v>80</v>
      </c>
    </row>
    <row r="218" spans="1:13" x14ac:dyDescent="0.25">
      <c r="A218" t="s">
        <v>344</v>
      </c>
      <c r="B218" t="s">
        <v>495</v>
      </c>
      <c r="C218" t="s">
        <v>505</v>
      </c>
      <c r="D218" t="s">
        <v>506</v>
      </c>
      <c r="E218">
        <v>2</v>
      </c>
      <c r="F218">
        <v>8</v>
      </c>
      <c r="G218">
        <v>140</v>
      </c>
      <c r="H218">
        <v>19</v>
      </c>
      <c r="I218">
        <v>22.6</v>
      </c>
      <c r="J218">
        <v>10.9</v>
      </c>
      <c r="K218">
        <v>22.9</v>
      </c>
      <c r="L218">
        <v>23.3</v>
      </c>
      <c r="M218">
        <v>80</v>
      </c>
    </row>
    <row r="219" spans="1:13" x14ac:dyDescent="0.25">
      <c r="A219" t="s">
        <v>344</v>
      </c>
      <c r="B219" t="s">
        <v>495</v>
      </c>
      <c r="C219" t="s">
        <v>505</v>
      </c>
      <c r="D219" t="s">
        <v>506</v>
      </c>
      <c r="E219">
        <v>2</v>
      </c>
      <c r="F219">
        <v>8</v>
      </c>
      <c r="G219">
        <v>160</v>
      </c>
      <c r="H219">
        <v>19</v>
      </c>
      <c r="I219">
        <v>22.6</v>
      </c>
      <c r="J219">
        <v>10.9</v>
      </c>
      <c r="K219">
        <v>22.9</v>
      </c>
      <c r="L219">
        <v>23.3</v>
      </c>
      <c r="M219">
        <v>80</v>
      </c>
    </row>
    <row r="220" spans="1:13" x14ac:dyDescent="0.25">
      <c r="A220" t="s">
        <v>344</v>
      </c>
      <c r="B220" t="s">
        <v>495</v>
      </c>
      <c r="C220" t="s">
        <v>505</v>
      </c>
      <c r="D220" t="s">
        <v>506</v>
      </c>
      <c r="E220">
        <v>2</v>
      </c>
      <c r="F220">
        <v>8</v>
      </c>
      <c r="G220">
        <v>180</v>
      </c>
      <c r="H220">
        <v>19</v>
      </c>
      <c r="I220">
        <v>22.6</v>
      </c>
      <c r="J220">
        <v>10.9</v>
      </c>
      <c r="K220">
        <v>22.9</v>
      </c>
      <c r="L220">
        <v>23.3</v>
      </c>
      <c r="M220">
        <v>100</v>
      </c>
    </row>
    <row r="221" spans="1:13" x14ac:dyDescent="0.25">
      <c r="A221" t="s">
        <v>344</v>
      </c>
      <c r="B221" t="s">
        <v>495</v>
      </c>
      <c r="C221" t="s">
        <v>505</v>
      </c>
      <c r="D221" t="s">
        <v>506</v>
      </c>
      <c r="E221">
        <v>2</v>
      </c>
      <c r="F221">
        <v>8</v>
      </c>
      <c r="G221">
        <v>200</v>
      </c>
      <c r="H221">
        <v>19</v>
      </c>
      <c r="I221">
        <v>22.6</v>
      </c>
      <c r="J221">
        <v>10.9</v>
      </c>
      <c r="K221">
        <v>22.9</v>
      </c>
      <c r="L221">
        <v>23.3</v>
      </c>
      <c r="M221">
        <v>100</v>
      </c>
    </row>
    <row r="222" spans="1:13" x14ac:dyDescent="0.25">
      <c r="A222" t="s">
        <v>344</v>
      </c>
      <c r="B222" t="s">
        <v>495</v>
      </c>
      <c r="C222" t="s">
        <v>505</v>
      </c>
      <c r="D222" t="s">
        <v>506</v>
      </c>
      <c r="E222">
        <v>2</v>
      </c>
      <c r="F222">
        <v>8</v>
      </c>
      <c r="G222">
        <v>220</v>
      </c>
      <c r="H222">
        <v>19</v>
      </c>
      <c r="I222">
        <v>22.6</v>
      </c>
      <c r="J222">
        <v>10.9</v>
      </c>
      <c r="K222">
        <v>22.9</v>
      </c>
      <c r="L222">
        <v>23.3</v>
      </c>
      <c r="M222">
        <v>100</v>
      </c>
    </row>
    <row r="223" spans="1:13" x14ac:dyDescent="0.25">
      <c r="A223" t="s">
        <v>344</v>
      </c>
      <c r="B223" t="s">
        <v>495</v>
      </c>
      <c r="C223" t="s">
        <v>505</v>
      </c>
      <c r="D223" t="s">
        <v>506</v>
      </c>
      <c r="E223">
        <v>2</v>
      </c>
      <c r="F223">
        <v>8</v>
      </c>
      <c r="G223">
        <v>240</v>
      </c>
      <c r="H223">
        <v>19</v>
      </c>
      <c r="I223">
        <v>22.6</v>
      </c>
      <c r="J223">
        <v>10.9</v>
      </c>
      <c r="K223">
        <v>22.9</v>
      </c>
      <c r="L223">
        <v>23.3</v>
      </c>
      <c r="M223">
        <v>100</v>
      </c>
    </row>
    <row r="224" spans="1:13" x14ac:dyDescent="0.25">
      <c r="A224" t="s">
        <v>344</v>
      </c>
      <c r="B224" t="s">
        <v>495</v>
      </c>
      <c r="C224" t="s">
        <v>505</v>
      </c>
      <c r="D224" t="s">
        <v>506</v>
      </c>
      <c r="E224">
        <v>2</v>
      </c>
      <c r="F224">
        <v>8</v>
      </c>
      <c r="G224">
        <v>260</v>
      </c>
      <c r="H224">
        <v>19</v>
      </c>
      <c r="I224">
        <v>22.6</v>
      </c>
      <c r="J224">
        <v>10.9</v>
      </c>
      <c r="K224">
        <v>22.9</v>
      </c>
      <c r="L224">
        <v>23.3</v>
      </c>
      <c r="M224">
        <v>100</v>
      </c>
    </row>
    <row r="225" spans="1:13" x14ac:dyDescent="0.25">
      <c r="A225" t="s">
        <v>344</v>
      </c>
      <c r="B225" t="s">
        <v>495</v>
      </c>
      <c r="C225" t="s">
        <v>505</v>
      </c>
      <c r="D225" t="s">
        <v>506</v>
      </c>
      <c r="E225">
        <v>2</v>
      </c>
      <c r="F225">
        <v>8</v>
      </c>
      <c r="G225">
        <v>280</v>
      </c>
      <c r="H225">
        <v>19</v>
      </c>
      <c r="I225">
        <v>22.6</v>
      </c>
      <c r="J225">
        <v>10.9</v>
      </c>
      <c r="K225">
        <v>22.9</v>
      </c>
      <c r="L225">
        <v>23.3</v>
      </c>
      <c r="M225">
        <v>100</v>
      </c>
    </row>
    <row r="226" spans="1:13" x14ac:dyDescent="0.25">
      <c r="A226" t="s">
        <v>344</v>
      </c>
      <c r="B226" t="s">
        <v>495</v>
      </c>
      <c r="C226" t="s">
        <v>505</v>
      </c>
      <c r="D226" t="s">
        <v>506</v>
      </c>
      <c r="E226">
        <v>2</v>
      </c>
      <c r="F226">
        <v>8</v>
      </c>
      <c r="G226">
        <v>300</v>
      </c>
      <c r="H226">
        <v>19</v>
      </c>
      <c r="I226">
        <v>22.6</v>
      </c>
      <c r="J226">
        <v>10.9</v>
      </c>
      <c r="K226">
        <v>22.9</v>
      </c>
      <c r="L226">
        <v>23.3</v>
      </c>
      <c r="M226">
        <v>100</v>
      </c>
    </row>
    <row r="227" spans="1:13" x14ac:dyDescent="0.25">
      <c r="A227" t="s">
        <v>344</v>
      </c>
      <c r="B227" t="s">
        <v>495</v>
      </c>
      <c r="C227" t="s">
        <v>505</v>
      </c>
      <c r="D227" t="s">
        <v>506</v>
      </c>
      <c r="E227">
        <v>2</v>
      </c>
      <c r="F227">
        <v>8</v>
      </c>
      <c r="G227">
        <v>320</v>
      </c>
      <c r="H227">
        <v>19</v>
      </c>
      <c r="I227">
        <v>22.6</v>
      </c>
      <c r="J227">
        <v>10.9</v>
      </c>
      <c r="K227">
        <v>22.9</v>
      </c>
      <c r="L227">
        <v>23.3</v>
      </c>
      <c r="M227">
        <v>100</v>
      </c>
    </row>
    <row r="228" spans="1:13" x14ac:dyDescent="0.25">
      <c r="A228" t="s">
        <v>344</v>
      </c>
      <c r="B228" t="s">
        <v>495</v>
      </c>
      <c r="C228" t="s">
        <v>505</v>
      </c>
      <c r="D228" t="s">
        <v>506</v>
      </c>
      <c r="E228">
        <v>2</v>
      </c>
      <c r="F228">
        <v>8</v>
      </c>
      <c r="G228">
        <v>340</v>
      </c>
      <c r="H228">
        <v>19</v>
      </c>
      <c r="I228">
        <v>22.6</v>
      </c>
      <c r="J228">
        <v>10.9</v>
      </c>
      <c r="K228">
        <v>22.9</v>
      </c>
      <c r="L228">
        <v>23.3</v>
      </c>
      <c r="M228">
        <v>100</v>
      </c>
    </row>
    <row r="229" spans="1:13" x14ac:dyDescent="0.25">
      <c r="A229" t="s">
        <v>344</v>
      </c>
      <c r="B229" t="s">
        <v>495</v>
      </c>
      <c r="C229" t="s">
        <v>505</v>
      </c>
      <c r="D229" t="s">
        <v>506</v>
      </c>
      <c r="E229">
        <v>2</v>
      </c>
      <c r="F229">
        <v>8</v>
      </c>
      <c r="G229">
        <v>360</v>
      </c>
      <c r="H229">
        <v>19</v>
      </c>
      <c r="I229">
        <v>22.6</v>
      </c>
      <c r="J229">
        <v>10.9</v>
      </c>
      <c r="K229">
        <v>22.9</v>
      </c>
      <c r="L229">
        <v>23.3</v>
      </c>
      <c r="M229">
        <v>100</v>
      </c>
    </row>
    <row r="230" spans="1:13" x14ac:dyDescent="0.25">
      <c r="A230" t="s">
        <v>344</v>
      </c>
      <c r="B230" t="s">
        <v>495</v>
      </c>
      <c r="C230" t="s">
        <v>505</v>
      </c>
      <c r="D230" t="s">
        <v>506</v>
      </c>
      <c r="E230">
        <v>2</v>
      </c>
      <c r="F230">
        <v>8</v>
      </c>
      <c r="G230">
        <v>380</v>
      </c>
      <c r="H230">
        <v>19</v>
      </c>
      <c r="I230">
        <v>22.6</v>
      </c>
      <c r="J230">
        <v>10.9</v>
      </c>
      <c r="K230">
        <v>22.9</v>
      </c>
      <c r="L230">
        <v>23.3</v>
      </c>
      <c r="M230">
        <v>100</v>
      </c>
    </row>
    <row r="231" spans="1:13" x14ac:dyDescent="0.25">
      <c r="A231" t="s">
        <v>344</v>
      </c>
      <c r="B231" t="s">
        <v>495</v>
      </c>
      <c r="C231" t="s">
        <v>505</v>
      </c>
      <c r="D231" t="s">
        <v>506</v>
      </c>
      <c r="E231">
        <v>2</v>
      </c>
      <c r="F231">
        <v>8</v>
      </c>
      <c r="G231">
        <v>400</v>
      </c>
      <c r="H231">
        <v>19</v>
      </c>
      <c r="I231">
        <v>22.6</v>
      </c>
      <c r="J231">
        <v>10.9</v>
      </c>
      <c r="K231">
        <v>22.9</v>
      </c>
      <c r="L231">
        <v>23.3</v>
      </c>
      <c r="M231">
        <v>100</v>
      </c>
    </row>
    <row r="232" spans="1:13" x14ac:dyDescent="0.25">
      <c r="A232" t="s">
        <v>344</v>
      </c>
      <c r="B232" t="s">
        <v>495</v>
      </c>
      <c r="C232" t="s">
        <v>505</v>
      </c>
      <c r="D232" t="s">
        <v>506</v>
      </c>
      <c r="E232">
        <v>2</v>
      </c>
      <c r="F232">
        <v>10</v>
      </c>
      <c r="G232">
        <v>120</v>
      </c>
      <c r="H232">
        <v>24</v>
      </c>
      <c r="I232">
        <v>33.6</v>
      </c>
      <c r="J232">
        <v>11</v>
      </c>
      <c r="K232">
        <v>12.3</v>
      </c>
      <c r="L232">
        <v>35</v>
      </c>
      <c r="M232">
        <v>80</v>
      </c>
    </row>
    <row r="233" spans="1:13" x14ac:dyDescent="0.25">
      <c r="A233" t="s">
        <v>344</v>
      </c>
      <c r="B233" t="s">
        <v>495</v>
      </c>
      <c r="C233" t="s">
        <v>505</v>
      </c>
      <c r="D233" t="s">
        <v>506</v>
      </c>
      <c r="E233">
        <v>2</v>
      </c>
      <c r="F233">
        <v>10</v>
      </c>
      <c r="G233">
        <v>140</v>
      </c>
      <c r="H233">
        <v>24</v>
      </c>
      <c r="I233">
        <v>33.6</v>
      </c>
      <c r="J233">
        <v>11</v>
      </c>
      <c r="K233">
        <v>12.3</v>
      </c>
      <c r="L233">
        <v>35</v>
      </c>
      <c r="M233">
        <v>80</v>
      </c>
    </row>
    <row r="234" spans="1:13" x14ac:dyDescent="0.25">
      <c r="A234" t="s">
        <v>344</v>
      </c>
      <c r="B234" t="s">
        <v>495</v>
      </c>
      <c r="C234" t="s">
        <v>505</v>
      </c>
      <c r="D234" t="s">
        <v>506</v>
      </c>
      <c r="E234">
        <v>2</v>
      </c>
      <c r="F234">
        <v>10</v>
      </c>
      <c r="G234">
        <v>160</v>
      </c>
      <c r="H234">
        <v>24</v>
      </c>
      <c r="I234">
        <v>33.6</v>
      </c>
      <c r="J234">
        <v>11</v>
      </c>
      <c r="K234">
        <v>12.3</v>
      </c>
      <c r="L234">
        <v>35</v>
      </c>
      <c r="M234">
        <v>80</v>
      </c>
    </row>
    <row r="235" spans="1:13" x14ac:dyDescent="0.25">
      <c r="A235" t="s">
        <v>344</v>
      </c>
      <c r="B235" t="s">
        <v>495</v>
      </c>
      <c r="C235" t="s">
        <v>505</v>
      </c>
      <c r="D235" t="s">
        <v>506</v>
      </c>
      <c r="E235">
        <v>2</v>
      </c>
      <c r="F235">
        <v>10</v>
      </c>
      <c r="G235">
        <v>180</v>
      </c>
      <c r="H235">
        <v>24</v>
      </c>
      <c r="I235">
        <v>33.6</v>
      </c>
      <c r="J235">
        <v>11</v>
      </c>
      <c r="K235">
        <v>12.3</v>
      </c>
      <c r="L235">
        <v>35</v>
      </c>
      <c r="M235">
        <v>100</v>
      </c>
    </row>
    <row r="236" spans="1:13" x14ac:dyDescent="0.25">
      <c r="A236" t="s">
        <v>344</v>
      </c>
      <c r="B236" t="s">
        <v>495</v>
      </c>
      <c r="C236" t="s">
        <v>505</v>
      </c>
      <c r="D236" t="s">
        <v>506</v>
      </c>
      <c r="E236">
        <v>2</v>
      </c>
      <c r="F236">
        <v>10</v>
      </c>
      <c r="G236">
        <v>200</v>
      </c>
      <c r="H236">
        <v>24</v>
      </c>
      <c r="I236">
        <v>33.6</v>
      </c>
      <c r="J236">
        <v>11</v>
      </c>
      <c r="K236">
        <v>12.3</v>
      </c>
      <c r="L236">
        <v>35</v>
      </c>
      <c r="M236">
        <v>100</v>
      </c>
    </row>
    <row r="237" spans="1:13" x14ac:dyDescent="0.25">
      <c r="A237" t="s">
        <v>344</v>
      </c>
      <c r="B237" t="s">
        <v>495</v>
      </c>
      <c r="C237" t="s">
        <v>505</v>
      </c>
      <c r="D237" t="s">
        <v>506</v>
      </c>
      <c r="E237">
        <v>2</v>
      </c>
      <c r="F237">
        <v>10</v>
      </c>
      <c r="G237">
        <v>220</v>
      </c>
      <c r="H237">
        <v>24</v>
      </c>
      <c r="I237">
        <v>33.6</v>
      </c>
      <c r="J237">
        <v>11</v>
      </c>
      <c r="K237">
        <v>12.3</v>
      </c>
      <c r="L237">
        <v>35</v>
      </c>
      <c r="M237">
        <v>100</v>
      </c>
    </row>
    <row r="238" spans="1:13" x14ac:dyDescent="0.25">
      <c r="A238" t="s">
        <v>344</v>
      </c>
      <c r="B238" t="s">
        <v>495</v>
      </c>
      <c r="C238" t="s">
        <v>505</v>
      </c>
      <c r="D238" t="s">
        <v>506</v>
      </c>
      <c r="E238">
        <v>2</v>
      </c>
      <c r="F238">
        <v>10</v>
      </c>
      <c r="G238">
        <v>240</v>
      </c>
      <c r="H238">
        <v>24</v>
      </c>
      <c r="I238">
        <v>33.6</v>
      </c>
      <c r="J238">
        <v>11</v>
      </c>
      <c r="K238">
        <v>12.3</v>
      </c>
      <c r="L238">
        <v>35</v>
      </c>
      <c r="M238">
        <v>100</v>
      </c>
    </row>
    <row r="239" spans="1:13" x14ac:dyDescent="0.25">
      <c r="A239" t="s">
        <v>344</v>
      </c>
      <c r="B239" t="s">
        <v>495</v>
      </c>
      <c r="C239" t="s">
        <v>505</v>
      </c>
      <c r="D239" t="s">
        <v>506</v>
      </c>
      <c r="E239">
        <v>2</v>
      </c>
      <c r="F239">
        <v>10</v>
      </c>
      <c r="G239">
        <v>260</v>
      </c>
      <c r="H239">
        <v>24</v>
      </c>
      <c r="I239">
        <v>33.6</v>
      </c>
      <c r="J239">
        <v>11</v>
      </c>
      <c r="K239">
        <v>12.3</v>
      </c>
      <c r="L239">
        <v>35</v>
      </c>
      <c r="M239">
        <v>100</v>
      </c>
    </row>
    <row r="240" spans="1:13" x14ac:dyDescent="0.25">
      <c r="A240" t="s">
        <v>344</v>
      </c>
      <c r="B240" t="s">
        <v>495</v>
      </c>
      <c r="C240" t="s">
        <v>505</v>
      </c>
      <c r="D240" t="s">
        <v>506</v>
      </c>
      <c r="E240">
        <v>2</v>
      </c>
      <c r="F240">
        <v>10</v>
      </c>
      <c r="G240">
        <v>280</v>
      </c>
      <c r="H240">
        <v>24</v>
      </c>
      <c r="I240">
        <v>33.6</v>
      </c>
      <c r="J240">
        <v>11</v>
      </c>
      <c r="K240">
        <v>12.3</v>
      </c>
      <c r="L240">
        <v>35</v>
      </c>
      <c r="M240">
        <v>100</v>
      </c>
    </row>
    <row r="241" spans="1:13" x14ac:dyDescent="0.25">
      <c r="A241" t="s">
        <v>344</v>
      </c>
      <c r="B241" t="s">
        <v>495</v>
      </c>
      <c r="C241" t="s">
        <v>505</v>
      </c>
      <c r="D241" t="s">
        <v>506</v>
      </c>
      <c r="E241">
        <v>2</v>
      </c>
      <c r="F241">
        <v>10</v>
      </c>
      <c r="G241">
        <v>300</v>
      </c>
      <c r="H241">
        <v>24</v>
      </c>
      <c r="I241">
        <v>33.6</v>
      </c>
      <c r="J241">
        <v>11</v>
      </c>
      <c r="K241">
        <v>12.3</v>
      </c>
      <c r="L241">
        <v>35</v>
      </c>
      <c r="M241">
        <v>100</v>
      </c>
    </row>
    <row r="242" spans="1:13" x14ac:dyDescent="0.25">
      <c r="A242" t="s">
        <v>344</v>
      </c>
      <c r="B242" t="s">
        <v>495</v>
      </c>
      <c r="C242" t="s">
        <v>505</v>
      </c>
      <c r="D242" t="s">
        <v>506</v>
      </c>
      <c r="E242">
        <v>2</v>
      </c>
      <c r="F242">
        <v>10</v>
      </c>
      <c r="G242">
        <v>350</v>
      </c>
      <c r="H242">
        <v>24</v>
      </c>
      <c r="I242">
        <v>33.6</v>
      </c>
      <c r="J242">
        <v>11</v>
      </c>
      <c r="K242">
        <v>12.3</v>
      </c>
      <c r="L242">
        <v>35</v>
      </c>
      <c r="M242">
        <v>100</v>
      </c>
    </row>
    <row r="243" spans="1:13" x14ac:dyDescent="0.25">
      <c r="A243" t="s">
        <v>344</v>
      </c>
      <c r="B243" t="s">
        <v>495</v>
      </c>
      <c r="C243" t="s">
        <v>505</v>
      </c>
      <c r="D243" t="s">
        <v>506</v>
      </c>
      <c r="E243">
        <v>2</v>
      </c>
      <c r="F243">
        <v>10</v>
      </c>
      <c r="G243">
        <v>400</v>
      </c>
      <c r="H243">
        <v>24</v>
      </c>
      <c r="I243">
        <v>33.6</v>
      </c>
      <c r="J243">
        <v>11</v>
      </c>
      <c r="K243">
        <v>12.3</v>
      </c>
      <c r="L243">
        <v>35</v>
      </c>
      <c r="M243">
        <v>100</v>
      </c>
    </row>
    <row r="244" spans="1:13" x14ac:dyDescent="0.25">
      <c r="A244" t="s">
        <v>344</v>
      </c>
      <c r="B244" t="s">
        <v>495</v>
      </c>
      <c r="C244" t="s">
        <v>507</v>
      </c>
      <c r="D244" t="s">
        <v>508</v>
      </c>
      <c r="E244">
        <v>3</v>
      </c>
      <c r="F244">
        <v>8</v>
      </c>
      <c r="G244">
        <v>100</v>
      </c>
      <c r="H244">
        <v>15</v>
      </c>
      <c r="I244">
        <v>13.8</v>
      </c>
      <c r="J244">
        <v>13.1</v>
      </c>
      <c r="K244">
        <v>12.4</v>
      </c>
      <c r="L244">
        <v>13.5</v>
      </c>
      <c r="M244">
        <v>54</v>
      </c>
    </row>
    <row r="245" spans="1:13" x14ac:dyDescent="0.25">
      <c r="A245" t="s">
        <v>344</v>
      </c>
      <c r="B245" t="s">
        <v>495</v>
      </c>
      <c r="C245" t="s">
        <v>507</v>
      </c>
      <c r="D245" t="s">
        <v>508</v>
      </c>
      <c r="E245">
        <v>3</v>
      </c>
      <c r="F245">
        <v>8</v>
      </c>
      <c r="G245">
        <v>120</v>
      </c>
      <c r="H245">
        <v>15</v>
      </c>
      <c r="I245">
        <v>13.8</v>
      </c>
      <c r="J245">
        <v>13.1</v>
      </c>
      <c r="K245">
        <v>12.4</v>
      </c>
      <c r="L245">
        <v>13.5</v>
      </c>
      <c r="M245">
        <v>54</v>
      </c>
    </row>
    <row r="246" spans="1:13" x14ac:dyDescent="0.25">
      <c r="A246" t="s">
        <v>344</v>
      </c>
      <c r="B246" t="s">
        <v>495</v>
      </c>
      <c r="C246" t="s">
        <v>507</v>
      </c>
      <c r="D246" t="s">
        <v>508</v>
      </c>
      <c r="E246">
        <v>3</v>
      </c>
      <c r="F246">
        <v>8</v>
      </c>
      <c r="G246">
        <v>140</v>
      </c>
      <c r="H246">
        <v>15</v>
      </c>
      <c r="I246">
        <v>13.8</v>
      </c>
      <c r="J246">
        <v>13.1</v>
      </c>
      <c r="K246">
        <v>12.4</v>
      </c>
      <c r="L246">
        <v>13.5</v>
      </c>
      <c r="M246">
        <v>84</v>
      </c>
    </row>
    <row r="247" spans="1:13" x14ac:dyDescent="0.25">
      <c r="A247" t="s">
        <v>344</v>
      </c>
      <c r="B247" t="s">
        <v>495</v>
      </c>
      <c r="C247" t="s">
        <v>509</v>
      </c>
      <c r="D247" t="s">
        <v>510</v>
      </c>
      <c r="E247">
        <v>3</v>
      </c>
      <c r="F247">
        <v>8</v>
      </c>
      <c r="G247">
        <v>100</v>
      </c>
      <c r="H247">
        <v>20</v>
      </c>
      <c r="I247">
        <v>13.8</v>
      </c>
      <c r="J247">
        <v>13.1</v>
      </c>
      <c r="K247">
        <v>17.600000000000001</v>
      </c>
      <c r="L247">
        <v>13.5</v>
      </c>
      <c r="M247">
        <v>54</v>
      </c>
    </row>
    <row r="248" spans="1:13" x14ac:dyDescent="0.25">
      <c r="A248" t="s">
        <v>344</v>
      </c>
      <c r="B248" t="s">
        <v>495</v>
      </c>
      <c r="C248" t="s">
        <v>509</v>
      </c>
      <c r="D248" t="s">
        <v>510</v>
      </c>
      <c r="E248">
        <v>3</v>
      </c>
      <c r="F248">
        <v>8</v>
      </c>
      <c r="G248">
        <v>120</v>
      </c>
      <c r="H248">
        <v>20</v>
      </c>
      <c r="I248">
        <v>13.8</v>
      </c>
      <c r="J248">
        <v>13.1</v>
      </c>
      <c r="K248">
        <v>17.600000000000001</v>
      </c>
      <c r="L248">
        <v>13.5</v>
      </c>
      <c r="M248">
        <v>54</v>
      </c>
    </row>
    <row r="249" spans="1:13" x14ac:dyDescent="0.25">
      <c r="A249" t="s">
        <v>344</v>
      </c>
      <c r="B249" t="s">
        <v>495</v>
      </c>
      <c r="C249" t="s">
        <v>509</v>
      </c>
      <c r="D249" t="s">
        <v>510</v>
      </c>
      <c r="E249">
        <v>3</v>
      </c>
      <c r="F249">
        <v>8</v>
      </c>
      <c r="G249">
        <v>140</v>
      </c>
      <c r="H249">
        <v>20</v>
      </c>
      <c r="I249">
        <v>13.8</v>
      </c>
      <c r="J249">
        <v>13.1</v>
      </c>
      <c r="K249">
        <v>17.600000000000001</v>
      </c>
      <c r="L249">
        <v>13.5</v>
      </c>
      <c r="M249">
        <v>84</v>
      </c>
    </row>
    <row r="250" spans="1:13" x14ac:dyDescent="0.25">
      <c r="A250" t="s">
        <v>344</v>
      </c>
      <c r="B250" t="s">
        <v>495</v>
      </c>
      <c r="C250" t="s">
        <v>491</v>
      </c>
      <c r="D250" t="s">
        <v>493</v>
      </c>
      <c r="E250">
        <v>1</v>
      </c>
      <c r="F250">
        <v>4</v>
      </c>
      <c r="G250">
        <v>30</v>
      </c>
      <c r="H250">
        <v>8</v>
      </c>
      <c r="I250">
        <v>3.2</v>
      </c>
      <c r="J250">
        <v>14.8</v>
      </c>
      <c r="K250">
        <v>17.100000000000001</v>
      </c>
      <c r="L250">
        <v>5</v>
      </c>
      <c r="M250">
        <v>24</v>
      </c>
    </row>
    <row r="251" spans="1:13" x14ac:dyDescent="0.25">
      <c r="A251" t="s">
        <v>344</v>
      </c>
      <c r="B251" t="s">
        <v>495</v>
      </c>
      <c r="C251" t="s">
        <v>491</v>
      </c>
      <c r="D251" t="s">
        <v>493</v>
      </c>
      <c r="E251">
        <v>1</v>
      </c>
      <c r="F251">
        <v>4</v>
      </c>
      <c r="G251">
        <v>35</v>
      </c>
      <c r="H251">
        <v>8</v>
      </c>
      <c r="I251">
        <v>3.2</v>
      </c>
      <c r="J251">
        <v>14.8</v>
      </c>
      <c r="K251">
        <v>17.100000000000001</v>
      </c>
      <c r="L251">
        <v>5</v>
      </c>
      <c r="M251">
        <v>24</v>
      </c>
    </row>
    <row r="252" spans="1:13" x14ac:dyDescent="0.25">
      <c r="A252" t="s">
        <v>344</v>
      </c>
      <c r="B252" t="s">
        <v>495</v>
      </c>
      <c r="C252" t="s">
        <v>491</v>
      </c>
      <c r="D252" t="s">
        <v>493</v>
      </c>
      <c r="E252">
        <v>1</v>
      </c>
      <c r="F252">
        <v>4</v>
      </c>
      <c r="G252">
        <v>40</v>
      </c>
      <c r="H252">
        <v>8</v>
      </c>
      <c r="I252">
        <v>3.2</v>
      </c>
      <c r="J252">
        <v>14.8</v>
      </c>
      <c r="K252">
        <v>17.100000000000001</v>
      </c>
      <c r="L252">
        <v>5</v>
      </c>
      <c r="M252">
        <v>30</v>
      </c>
    </row>
    <row r="253" spans="1:13" x14ac:dyDescent="0.25">
      <c r="A253" t="s">
        <v>344</v>
      </c>
      <c r="B253" t="s">
        <v>495</v>
      </c>
      <c r="C253" t="s">
        <v>491</v>
      </c>
      <c r="D253" t="s">
        <v>493</v>
      </c>
      <c r="E253">
        <v>1</v>
      </c>
      <c r="F253">
        <v>4</v>
      </c>
      <c r="G253">
        <v>50</v>
      </c>
      <c r="H253">
        <v>8</v>
      </c>
      <c r="I253">
        <v>3.2</v>
      </c>
      <c r="J253">
        <v>14.8</v>
      </c>
      <c r="K253">
        <v>17.100000000000001</v>
      </c>
      <c r="L253">
        <v>5</v>
      </c>
      <c r="M253">
        <v>30</v>
      </c>
    </row>
    <row r="254" spans="1:13" x14ac:dyDescent="0.25">
      <c r="A254" t="s">
        <v>344</v>
      </c>
      <c r="B254" t="s">
        <v>495</v>
      </c>
      <c r="C254" t="s">
        <v>491</v>
      </c>
      <c r="D254" t="s">
        <v>493</v>
      </c>
      <c r="E254">
        <v>1</v>
      </c>
      <c r="F254">
        <v>4</v>
      </c>
      <c r="G254">
        <v>60</v>
      </c>
      <c r="H254">
        <v>8</v>
      </c>
      <c r="I254">
        <v>3.2</v>
      </c>
      <c r="J254">
        <v>14.8</v>
      </c>
      <c r="K254">
        <v>17.100000000000001</v>
      </c>
      <c r="L254">
        <v>5</v>
      </c>
      <c r="M254">
        <v>35</v>
      </c>
    </row>
    <row r="255" spans="1:13" x14ac:dyDescent="0.25">
      <c r="A255" t="s">
        <v>344</v>
      </c>
      <c r="B255" t="s">
        <v>495</v>
      </c>
      <c r="C255" t="s">
        <v>491</v>
      </c>
      <c r="D255" t="s">
        <v>493</v>
      </c>
      <c r="E255">
        <v>1</v>
      </c>
      <c r="F255">
        <v>4</v>
      </c>
      <c r="G255">
        <v>70</v>
      </c>
      <c r="H255">
        <v>8</v>
      </c>
      <c r="I255">
        <v>3.2</v>
      </c>
      <c r="J255">
        <v>14.8</v>
      </c>
      <c r="K255">
        <v>17.100000000000001</v>
      </c>
      <c r="L255">
        <v>5</v>
      </c>
      <c r="M255">
        <v>35</v>
      </c>
    </row>
    <row r="256" spans="1:13" x14ac:dyDescent="0.25">
      <c r="A256" t="s">
        <v>344</v>
      </c>
      <c r="B256" t="s">
        <v>495</v>
      </c>
      <c r="C256" t="s">
        <v>491</v>
      </c>
      <c r="D256" t="s">
        <v>493</v>
      </c>
      <c r="E256">
        <v>2</v>
      </c>
      <c r="F256">
        <v>4.5</v>
      </c>
      <c r="G256">
        <v>50</v>
      </c>
      <c r="H256">
        <v>9</v>
      </c>
      <c r="I256">
        <v>4.9000000000000004</v>
      </c>
      <c r="J256">
        <v>13.8</v>
      </c>
      <c r="K256">
        <v>17.600000000000001</v>
      </c>
      <c r="L256">
        <v>5.8</v>
      </c>
      <c r="M256">
        <v>29</v>
      </c>
    </row>
    <row r="257" spans="1:13" x14ac:dyDescent="0.25">
      <c r="A257" t="s">
        <v>344</v>
      </c>
      <c r="B257" t="s">
        <v>495</v>
      </c>
      <c r="C257" t="s">
        <v>491</v>
      </c>
      <c r="D257" t="s">
        <v>493</v>
      </c>
      <c r="E257">
        <v>2</v>
      </c>
      <c r="F257">
        <v>4.5</v>
      </c>
      <c r="G257">
        <v>60</v>
      </c>
      <c r="H257">
        <v>9</v>
      </c>
      <c r="I257">
        <v>4.9000000000000004</v>
      </c>
      <c r="J257">
        <v>13.8</v>
      </c>
      <c r="K257">
        <v>17.600000000000001</v>
      </c>
      <c r="L257">
        <v>5.8</v>
      </c>
      <c r="M257">
        <v>29</v>
      </c>
    </row>
    <row r="258" spans="1:13" x14ac:dyDescent="0.25">
      <c r="A258" t="s">
        <v>344</v>
      </c>
      <c r="B258" t="s">
        <v>495</v>
      </c>
      <c r="C258" t="s">
        <v>491</v>
      </c>
      <c r="D258" t="s">
        <v>493</v>
      </c>
      <c r="E258">
        <v>2</v>
      </c>
      <c r="F258">
        <v>4.5</v>
      </c>
      <c r="G258">
        <v>70</v>
      </c>
      <c r="H258">
        <v>9</v>
      </c>
      <c r="I258">
        <v>4.9000000000000004</v>
      </c>
      <c r="J258">
        <v>13.8</v>
      </c>
      <c r="K258">
        <v>17.600000000000001</v>
      </c>
      <c r="L258">
        <v>5.8</v>
      </c>
      <c r="M258">
        <v>39</v>
      </c>
    </row>
    <row r="259" spans="1:13" x14ac:dyDescent="0.25">
      <c r="A259" t="s">
        <v>344</v>
      </c>
      <c r="B259" t="s">
        <v>495</v>
      </c>
      <c r="C259" t="s">
        <v>491</v>
      </c>
      <c r="D259" t="s">
        <v>493</v>
      </c>
      <c r="E259">
        <v>2</v>
      </c>
      <c r="F259">
        <v>4.5</v>
      </c>
      <c r="G259">
        <v>80</v>
      </c>
      <c r="H259">
        <v>9</v>
      </c>
      <c r="I259">
        <v>4.9000000000000004</v>
      </c>
      <c r="J259">
        <v>13.8</v>
      </c>
      <c r="K259">
        <v>17.600000000000001</v>
      </c>
      <c r="L259">
        <v>5.8</v>
      </c>
      <c r="M259">
        <v>39</v>
      </c>
    </row>
    <row r="260" spans="1:13" x14ac:dyDescent="0.25">
      <c r="A260" t="s">
        <v>344</v>
      </c>
      <c r="B260" t="s">
        <v>495</v>
      </c>
      <c r="C260" t="s">
        <v>491</v>
      </c>
      <c r="D260" t="s">
        <v>493</v>
      </c>
      <c r="E260">
        <v>2</v>
      </c>
      <c r="F260">
        <v>5</v>
      </c>
      <c r="G260">
        <v>50</v>
      </c>
      <c r="H260">
        <v>10</v>
      </c>
      <c r="I260">
        <v>6.5</v>
      </c>
      <c r="J260">
        <v>12.8</v>
      </c>
      <c r="K260">
        <v>14.6</v>
      </c>
      <c r="L260">
        <v>8.5</v>
      </c>
      <c r="M260">
        <v>30</v>
      </c>
    </row>
    <row r="261" spans="1:13" x14ac:dyDescent="0.25">
      <c r="A261" t="s">
        <v>344</v>
      </c>
      <c r="B261" t="s">
        <v>495</v>
      </c>
      <c r="C261" t="s">
        <v>491</v>
      </c>
      <c r="D261" t="s">
        <v>493</v>
      </c>
      <c r="E261">
        <v>2</v>
      </c>
      <c r="F261">
        <v>5</v>
      </c>
      <c r="G261">
        <v>60</v>
      </c>
      <c r="H261">
        <v>10</v>
      </c>
      <c r="I261">
        <v>6.5</v>
      </c>
      <c r="J261">
        <v>12.8</v>
      </c>
      <c r="K261">
        <v>14.6</v>
      </c>
      <c r="L261">
        <v>8.5</v>
      </c>
      <c r="M261">
        <v>30</v>
      </c>
    </row>
    <row r="262" spans="1:13" x14ac:dyDescent="0.25">
      <c r="A262" t="s">
        <v>344</v>
      </c>
      <c r="B262" t="s">
        <v>495</v>
      </c>
      <c r="C262" t="s">
        <v>491</v>
      </c>
      <c r="D262" t="s">
        <v>493</v>
      </c>
      <c r="E262">
        <v>2</v>
      </c>
      <c r="F262">
        <v>5</v>
      </c>
      <c r="G262">
        <v>70</v>
      </c>
      <c r="H262">
        <v>10</v>
      </c>
      <c r="I262">
        <v>6.5</v>
      </c>
      <c r="J262">
        <v>12.8</v>
      </c>
      <c r="K262">
        <v>14.6</v>
      </c>
      <c r="L262">
        <v>8.5</v>
      </c>
      <c r="M262">
        <v>37</v>
      </c>
    </row>
    <row r="263" spans="1:13" x14ac:dyDescent="0.25">
      <c r="A263" t="s">
        <v>344</v>
      </c>
      <c r="B263" t="s">
        <v>495</v>
      </c>
      <c r="C263" t="s">
        <v>491</v>
      </c>
      <c r="D263" t="s">
        <v>493</v>
      </c>
      <c r="E263">
        <v>2</v>
      </c>
      <c r="F263">
        <v>5</v>
      </c>
      <c r="G263">
        <v>80</v>
      </c>
      <c r="H263">
        <v>10</v>
      </c>
      <c r="I263">
        <v>6.5</v>
      </c>
      <c r="J263">
        <v>12.8</v>
      </c>
      <c r="K263">
        <v>14.6</v>
      </c>
      <c r="L263">
        <v>8.5</v>
      </c>
      <c r="M263">
        <v>37</v>
      </c>
    </row>
    <row r="264" spans="1:13" x14ac:dyDescent="0.25">
      <c r="A264" t="s">
        <v>344</v>
      </c>
      <c r="B264" t="s">
        <v>495</v>
      </c>
      <c r="C264" t="s">
        <v>491</v>
      </c>
      <c r="D264" t="s">
        <v>493</v>
      </c>
      <c r="E264">
        <v>2</v>
      </c>
      <c r="F264">
        <v>5</v>
      </c>
      <c r="G264">
        <v>90</v>
      </c>
      <c r="H264">
        <v>10</v>
      </c>
      <c r="I264">
        <v>6.5</v>
      </c>
      <c r="J264">
        <v>12.8</v>
      </c>
      <c r="K264">
        <v>14.6</v>
      </c>
      <c r="L264">
        <v>8.5</v>
      </c>
      <c r="M264">
        <v>55</v>
      </c>
    </row>
    <row r="265" spans="1:13" x14ac:dyDescent="0.25">
      <c r="A265" t="s">
        <v>344</v>
      </c>
      <c r="B265" t="s">
        <v>495</v>
      </c>
      <c r="C265" t="s">
        <v>491</v>
      </c>
      <c r="D265" t="s">
        <v>493</v>
      </c>
      <c r="E265">
        <v>2</v>
      </c>
      <c r="F265">
        <v>5</v>
      </c>
      <c r="G265">
        <v>100</v>
      </c>
      <c r="H265">
        <v>10</v>
      </c>
      <c r="I265">
        <v>6.5</v>
      </c>
      <c r="J265">
        <v>12.8</v>
      </c>
      <c r="K265">
        <v>14.6</v>
      </c>
      <c r="L265">
        <v>8.5</v>
      </c>
      <c r="M265">
        <v>55</v>
      </c>
    </row>
    <row r="266" spans="1:13" x14ac:dyDescent="0.25">
      <c r="A266" t="s">
        <v>344</v>
      </c>
      <c r="B266" t="s">
        <v>495</v>
      </c>
      <c r="C266" t="s">
        <v>491</v>
      </c>
      <c r="D266" t="s">
        <v>493</v>
      </c>
      <c r="E266">
        <v>2</v>
      </c>
      <c r="F266">
        <v>5</v>
      </c>
      <c r="G266">
        <v>120</v>
      </c>
      <c r="H266">
        <v>10</v>
      </c>
      <c r="I266">
        <v>6.5</v>
      </c>
      <c r="J266">
        <v>12.8</v>
      </c>
      <c r="K266">
        <v>14.6</v>
      </c>
      <c r="L266">
        <v>8.5</v>
      </c>
      <c r="M266">
        <v>55</v>
      </c>
    </row>
    <row r="267" spans="1:13" x14ac:dyDescent="0.25">
      <c r="A267" t="s">
        <v>344</v>
      </c>
      <c r="B267" t="s">
        <v>495</v>
      </c>
      <c r="C267" t="s">
        <v>491</v>
      </c>
      <c r="D267" t="s">
        <v>493</v>
      </c>
      <c r="E267">
        <v>2</v>
      </c>
      <c r="F267">
        <v>6</v>
      </c>
      <c r="G267">
        <v>60</v>
      </c>
      <c r="H267">
        <v>12</v>
      </c>
      <c r="I267">
        <v>10.1</v>
      </c>
      <c r="J267">
        <v>13.5</v>
      </c>
      <c r="K267">
        <v>14.6</v>
      </c>
      <c r="L267">
        <v>12.4</v>
      </c>
      <c r="M267">
        <v>36</v>
      </c>
    </row>
    <row r="268" spans="1:13" x14ac:dyDescent="0.25">
      <c r="A268" t="s">
        <v>344</v>
      </c>
      <c r="B268" t="s">
        <v>495</v>
      </c>
      <c r="C268" t="s">
        <v>491</v>
      </c>
      <c r="D268" t="s">
        <v>493</v>
      </c>
      <c r="E268">
        <v>2</v>
      </c>
      <c r="F268">
        <v>6</v>
      </c>
      <c r="G268">
        <v>70</v>
      </c>
      <c r="H268">
        <v>12</v>
      </c>
      <c r="I268">
        <v>10.1</v>
      </c>
      <c r="J268">
        <v>13.5</v>
      </c>
      <c r="K268">
        <v>14.6</v>
      </c>
      <c r="L268">
        <v>12.4</v>
      </c>
      <c r="M268">
        <v>36</v>
      </c>
    </row>
    <row r="269" spans="1:13" x14ac:dyDescent="0.25">
      <c r="A269" t="s">
        <v>344</v>
      </c>
      <c r="B269" t="s">
        <v>495</v>
      </c>
      <c r="C269" t="s">
        <v>491</v>
      </c>
      <c r="D269" t="s">
        <v>493</v>
      </c>
      <c r="E269">
        <v>2</v>
      </c>
      <c r="F269">
        <v>6</v>
      </c>
      <c r="G269">
        <v>80</v>
      </c>
      <c r="H269">
        <v>12</v>
      </c>
      <c r="I269">
        <v>10.1</v>
      </c>
      <c r="J269">
        <v>13.5</v>
      </c>
      <c r="K269">
        <v>14.6</v>
      </c>
      <c r="L269">
        <v>12.4</v>
      </c>
      <c r="M269">
        <v>48</v>
      </c>
    </row>
    <row r="270" spans="1:13" x14ac:dyDescent="0.25">
      <c r="A270" t="s">
        <v>344</v>
      </c>
      <c r="B270" t="s">
        <v>495</v>
      </c>
      <c r="C270" t="s">
        <v>491</v>
      </c>
      <c r="D270" t="s">
        <v>493</v>
      </c>
      <c r="E270">
        <v>2</v>
      </c>
      <c r="F270">
        <v>6</v>
      </c>
      <c r="G270">
        <v>90</v>
      </c>
      <c r="H270">
        <v>12</v>
      </c>
      <c r="I270">
        <v>10.1</v>
      </c>
      <c r="J270">
        <v>13.5</v>
      </c>
      <c r="K270">
        <v>14.6</v>
      </c>
      <c r="L270">
        <v>12.4</v>
      </c>
      <c r="M270">
        <v>48</v>
      </c>
    </row>
    <row r="271" spans="1:13" x14ac:dyDescent="0.25">
      <c r="A271" t="s">
        <v>344</v>
      </c>
      <c r="B271" t="s">
        <v>495</v>
      </c>
      <c r="C271" t="s">
        <v>491</v>
      </c>
      <c r="D271" t="s">
        <v>493</v>
      </c>
      <c r="E271">
        <v>2</v>
      </c>
      <c r="F271">
        <v>6</v>
      </c>
      <c r="G271">
        <v>100</v>
      </c>
      <c r="H271">
        <v>12</v>
      </c>
      <c r="I271">
        <v>10.1</v>
      </c>
      <c r="J271">
        <v>13.5</v>
      </c>
      <c r="K271">
        <v>14.6</v>
      </c>
      <c r="L271">
        <v>12.4</v>
      </c>
      <c r="M271">
        <v>48</v>
      </c>
    </row>
    <row r="272" spans="1:13" x14ac:dyDescent="0.25">
      <c r="A272" t="s">
        <v>344</v>
      </c>
      <c r="B272" t="s">
        <v>495</v>
      </c>
      <c r="C272" t="s">
        <v>491</v>
      </c>
      <c r="D272" t="s">
        <v>493</v>
      </c>
      <c r="E272">
        <v>2</v>
      </c>
      <c r="F272">
        <v>6</v>
      </c>
      <c r="G272">
        <v>110</v>
      </c>
      <c r="H272">
        <v>12</v>
      </c>
      <c r="I272">
        <v>10.1</v>
      </c>
      <c r="J272">
        <v>13.5</v>
      </c>
      <c r="K272">
        <v>14.6</v>
      </c>
      <c r="L272">
        <v>12.4</v>
      </c>
      <c r="M272">
        <v>64</v>
      </c>
    </row>
    <row r="273" spans="1:13" x14ac:dyDescent="0.25">
      <c r="A273" t="s">
        <v>344</v>
      </c>
      <c r="B273" t="s">
        <v>495</v>
      </c>
      <c r="C273" t="s">
        <v>491</v>
      </c>
      <c r="D273" t="s">
        <v>493</v>
      </c>
      <c r="E273">
        <v>2</v>
      </c>
      <c r="F273">
        <v>6</v>
      </c>
      <c r="G273">
        <v>120</v>
      </c>
      <c r="H273">
        <v>12</v>
      </c>
      <c r="I273">
        <v>10.1</v>
      </c>
      <c r="J273">
        <v>13.5</v>
      </c>
      <c r="K273">
        <v>14.6</v>
      </c>
      <c r="L273">
        <v>12.4</v>
      </c>
      <c r="M273">
        <v>64</v>
      </c>
    </row>
    <row r="274" spans="1:13" x14ac:dyDescent="0.25">
      <c r="A274" t="s">
        <v>344</v>
      </c>
      <c r="B274" t="s">
        <v>495</v>
      </c>
      <c r="C274" t="s">
        <v>491</v>
      </c>
      <c r="D274" t="s">
        <v>493</v>
      </c>
      <c r="E274">
        <v>2</v>
      </c>
      <c r="F274">
        <v>6</v>
      </c>
      <c r="G274">
        <v>130</v>
      </c>
      <c r="H274">
        <v>12</v>
      </c>
      <c r="I274">
        <v>10.1</v>
      </c>
      <c r="J274">
        <v>13.5</v>
      </c>
      <c r="K274">
        <v>14.6</v>
      </c>
      <c r="L274">
        <v>12.4</v>
      </c>
      <c r="M274">
        <v>64</v>
      </c>
    </row>
    <row r="275" spans="1:13" x14ac:dyDescent="0.25">
      <c r="A275" t="s">
        <v>344</v>
      </c>
      <c r="B275" t="s">
        <v>495</v>
      </c>
      <c r="C275" t="s">
        <v>491</v>
      </c>
      <c r="D275" t="s">
        <v>493</v>
      </c>
      <c r="E275">
        <v>2</v>
      </c>
      <c r="F275">
        <v>6</v>
      </c>
      <c r="G275">
        <v>140</v>
      </c>
      <c r="H275">
        <v>12</v>
      </c>
      <c r="I275">
        <v>10.1</v>
      </c>
      <c r="J275">
        <v>13.5</v>
      </c>
      <c r="K275">
        <v>14.6</v>
      </c>
      <c r="L275">
        <v>12.4</v>
      </c>
      <c r="M275">
        <v>64</v>
      </c>
    </row>
    <row r="276" spans="1:13" x14ac:dyDescent="0.25">
      <c r="A276" t="s">
        <v>344</v>
      </c>
      <c r="B276" t="s">
        <v>495</v>
      </c>
      <c r="C276" t="s">
        <v>491</v>
      </c>
      <c r="D276" t="s">
        <v>493</v>
      </c>
      <c r="E276">
        <v>2</v>
      </c>
      <c r="F276">
        <v>6</v>
      </c>
      <c r="G276">
        <v>150</v>
      </c>
      <c r="H276">
        <v>12</v>
      </c>
      <c r="I276">
        <v>10.1</v>
      </c>
      <c r="J276">
        <v>13.5</v>
      </c>
      <c r="K276">
        <v>14.6</v>
      </c>
      <c r="L276">
        <v>12.4</v>
      </c>
      <c r="M276">
        <v>64</v>
      </c>
    </row>
    <row r="277" spans="1:13" x14ac:dyDescent="0.25">
      <c r="A277" t="s">
        <v>344</v>
      </c>
      <c r="B277" t="s">
        <v>495</v>
      </c>
      <c r="C277" t="s">
        <v>491</v>
      </c>
      <c r="D277" t="s">
        <v>493</v>
      </c>
      <c r="E277">
        <v>2</v>
      </c>
      <c r="F277">
        <v>6</v>
      </c>
      <c r="G277">
        <v>160</v>
      </c>
      <c r="H277">
        <v>12</v>
      </c>
      <c r="I277">
        <v>10.1</v>
      </c>
      <c r="J277">
        <v>13.5</v>
      </c>
      <c r="K277">
        <v>14.6</v>
      </c>
      <c r="L277">
        <v>12.4</v>
      </c>
      <c r="M277">
        <v>64</v>
      </c>
    </row>
    <row r="278" spans="1:13" x14ac:dyDescent="0.25">
      <c r="A278" t="s">
        <v>344</v>
      </c>
      <c r="B278" t="s">
        <v>495</v>
      </c>
      <c r="C278" t="s">
        <v>491</v>
      </c>
      <c r="D278" t="s">
        <v>493</v>
      </c>
      <c r="E278">
        <v>2</v>
      </c>
      <c r="F278">
        <v>6</v>
      </c>
      <c r="G278">
        <v>180</v>
      </c>
      <c r="H278">
        <v>12</v>
      </c>
      <c r="I278">
        <v>10.1</v>
      </c>
      <c r="J278">
        <v>13.5</v>
      </c>
      <c r="K278">
        <v>14.6</v>
      </c>
      <c r="L278">
        <v>12.4</v>
      </c>
      <c r="M278">
        <v>64</v>
      </c>
    </row>
    <row r="279" spans="1:13" x14ac:dyDescent="0.25">
      <c r="A279" t="s">
        <v>344</v>
      </c>
      <c r="B279" t="s">
        <v>495</v>
      </c>
      <c r="C279" t="s">
        <v>491</v>
      </c>
      <c r="D279" t="s">
        <v>493</v>
      </c>
      <c r="E279">
        <v>2</v>
      </c>
      <c r="F279">
        <v>6</v>
      </c>
      <c r="G279">
        <v>200</v>
      </c>
      <c r="H279">
        <v>12</v>
      </c>
      <c r="I279">
        <v>10.1</v>
      </c>
      <c r="J279">
        <v>13.5</v>
      </c>
      <c r="K279">
        <v>14.6</v>
      </c>
      <c r="L279">
        <v>12.4</v>
      </c>
      <c r="M279">
        <v>64</v>
      </c>
    </row>
    <row r="280" spans="1:13" x14ac:dyDescent="0.25">
      <c r="A280" t="s">
        <v>344</v>
      </c>
      <c r="B280" t="s">
        <v>495</v>
      </c>
      <c r="C280" t="s">
        <v>491</v>
      </c>
      <c r="D280" t="s">
        <v>493</v>
      </c>
      <c r="E280">
        <v>2</v>
      </c>
      <c r="F280">
        <v>6</v>
      </c>
      <c r="G280">
        <v>220</v>
      </c>
      <c r="H280">
        <v>12</v>
      </c>
      <c r="I280">
        <v>10.1</v>
      </c>
      <c r="J280">
        <v>13.5</v>
      </c>
      <c r="K280">
        <v>14.6</v>
      </c>
      <c r="L280">
        <v>12.4</v>
      </c>
      <c r="M280">
        <v>64</v>
      </c>
    </row>
    <row r="281" spans="1:13" x14ac:dyDescent="0.25">
      <c r="A281" t="s">
        <v>344</v>
      </c>
      <c r="B281" t="s">
        <v>495</v>
      </c>
      <c r="C281" t="s">
        <v>491</v>
      </c>
      <c r="D281" t="s">
        <v>493</v>
      </c>
      <c r="E281">
        <v>2</v>
      </c>
      <c r="F281">
        <v>6</v>
      </c>
      <c r="G281">
        <v>240</v>
      </c>
      <c r="H281">
        <v>12</v>
      </c>
      <c r="I281">
        <v>10.1</v>
      </c>
      <c r="J281">
        <v>13.5</v>
      </c>
      <c r="K281">
        <v>14.6</v>
      </c>
      <c r="L281">
        <v>12.4</v>
      </c>
      <c r="M281">
        <v>64</v>
      </c>
    </row>
    <row r="282" spans="1:13" x14ac:dyDescent="0.25">
      <c r="A282" t="s">
        <v>344</v>
      </c>
      <c r="B282" t="s">
        <v>495</v>
      </c>
      <c r="C282" t="s">
        <v>491</v>
      </c>
      <c r="D282" t="s">
        <v>493</v>
      </c>
      <c r="E282">
        <v>2</v>
      </c>
      <c r="F282">
        <v>6</v>
      </c>
      <c r="G282">
        <v>260</v>
      </c>
      <c r="H282">
        <v>12</v>
      </c>
      <c r="I282">
        <v>10.1</v>
      </c>
      <c r="J282">
        <v>13.5</v>
      </c>
      <c r="K282">
        <v>14.6</v>
      </c>
      <c r="L282">
        <v>12.4</v>
      </c>
      <c r="M282">
        <v>64</v>
      </c>
    </row>
    <row r="283" spans="1:13" x14ac:dyDescent="0.25">
      <c r="A283" t="s">
        <v>344</v>
      </c>
      <c r="B283" t="s">
        <v>495</v>
      </c>
      <c r="C283" t="s">
        <v>491</v>
      </c>
      <c r="D283" t="s">
        <v>493</v>
      </c>
      <c r="E283">
        <v>2</v>
      </c>
      <c r="F283">
        <v>6</v>
      </c>
      <c r="G283">
        <v>280</v>
      </c>
      <c r="H283">
        <v>12</v>
      </c>
      <c r="I283">
        <v>10.1</v>
      </c>
      <c r="J283">
        <v>13.5</v>
      </c>
      <c r="K283">
        <v>14.6</v>
      </c>
      <c r="L283">
        <v>12.4</v>
      </c>
      <c r="M283">
        <v>64</v>
      </c>
    </row>
    <row r="284" spans="1:13" x14ac:dyDescent="0.25">
      <c r="A284" t="s">
        <v>344</v>
      </c>
      <c r="B284" t="s">
        <v>495</v>
      </c>
      <c r="C284" t="s">
        <v>491</v>
      </c>
      <c r="D284" t="s">
        <v>493</v>
      </c>
      <c r="E284">
        <v>2</v>
      </c>
      <c r="F284">
        <v>6</v>
      </c>
      <c r="G284">
        <v>300</v>
      </c>
      <c r="H284">
        <v>12</v>
      </c>
      <c r="I284">
        <v>10.1</v>
      </c>
      <c r="J284">
        <v>13.5</v>
      </c>
      <c r="K284">
        <v>14.6</v>
      </c>
      <c r="L284">
        <v>12.4</v>
      </c>
      <c r="M284">
        <v>64</v>
      </c>
    </row>
    <row r="285" spans="1:13" x14ac:dyDescent="0.25">
      <c r="A285" t="s">
        <v>344</v>
      </c>
      <c r="B285" t="s">
        <v>495</v>
      </c>
      <c r="C285" t="s">
        <v>491</v>
      </c>
      <c r="D285" t="s">
        <v>493</v>
      </c>
      <c r="E285">
        <v>2</v>
      </c>
      <c r="F285">
        <v>8</v>
      </c>
      <c r="G285">
        <v>80</v>
      </c>
      <c r="H285">
        <v>15</v>
      </c>
      <c r="I285">
        <v>21</v>
      </c>
      <c r="J285">
        <v>13.1</v>
      </c>
      <c r="K285">
        <v>12.4</v>
      </c>
      <c r="L285">
        <v>22</v>
      </c>
      <c r="M285">
        <v>54</v>
      </c>
    </row>
    <row r="286" spans="1:13" x14ac:dyDescent="0.25">
      <c r="A286" t="s">
        <v>344</v>
      </c>
      <c r="B286" t="s">
        <v>495</v>
      </c>
      <c r="C286" t="s">
        <v>491</v>
      </c>
      <c r="D286" t="s">
        <v>493</v>
      </c>
      <c r="E286">
        <v>2</v>
      </c>
      <c r="F286">
        <v>8</v>
      </c>
      <c r="G286">
        <v>100</v>
      </c>
      <c r="H286">
        <v>15</v>
      </c>
      <c r="I286">
        <v>21</v>
      </c>
      <c r="J286">
        <v>13.1</v>
      </c>
      <c r="K286">
        <v>12.4</v>
      </c>
      <c r="L286">
        <v>22</v>
      </c>
      <c r="M286">
        <v>54</v>
      </c>
    </row>
    <row r="287" spans="1:13" x14ac:dyDescent="0.25">
      <c r="A287" t="s">
        <v>344</v>
      </c>
      <c r="B287" t="s">
        <v>495</v>
      </c>
      <c r="C287" t="s">
        <v>491</v>
      </c>
      <c r="D287" t="s">
        <v>493</v>
      </c>
      <c r="E287">
        <v>2</v>
      </c>
      <c r="F287">
        <v>8</v>
      </c>
      <c r="G287">
        <v>120</v>
      </c>
      <c r="H287">
        <v>15</v>
      </c>
      <c r="I287">
        <v>21</v>
      </c>
      <c r="J287">
        <v>13.1</v>
      </c>
      <c r="K287">
        <v>12.4</v>
      </c>
      <c r="L287">
        <v>22</v>
      </c>
      <c r="M287">
        <v>54</v>
      </c>
    </row>
    <row r="288" spans="1:13" x14ac:dyDescent="0.25">
      <c r="A288" t="s">
        <v>344</v>
      </c>
      <c r="B288" t="s">
        <v>495</v>
      </c>
      <c r="C288" t="s">
        <v>491</v>
      </c>
      <c r="D288" t="s">
        <v>493</v>
      </c>
      <c r="E288">
        <v>2</v>
      </c>
      <c r="F288">
        <v>8</v>
      </c>
      <c r="G288">
        <v>140</v>
      </c>
      <c r="H288">
        <v>15</v>
      </c>
      <c r="I288">
        <v>21</v>
      </c>
      <c r="J288">
        <v>13.1</v>
      </c>
      <c r="K288">
        <v>12.4</v>
      </c>
      <c r="L288">
        <v>22</v>
      </c>
      <c r="M288">
        <v>84</v>
      </c>
    </row>
    <row r="289" spans="1:13" x14ac:dyDescent="0.25">
      <c r="A289" t="s">
        <v>344</v>
      </c>
      <c r="B289" t="s">
        <v>495</v>
      </c>
      <c r="C289" t="s">
        <v>491</v>
      </c>
      <c r="D289" t="s">
        <v>493</v>
      </c>
      <c r="E289">
        <v>2</v>
      </c>
      <c r="F289">
        <v>8</v>
      </c>
      <c r="G289">
        <v>160</v>
      </c>
      <c r="H289">
        <v>15</v>
      </c>
      <c r="I289">
        <v>21</v>
      </c>
      <c r="J289">
        <v>13.1</v>
      </c>
      <c r="K289">
        <v>12.4</v>
      </c>
      <c r="L289">
        <v>22</v>
      </c>
      <c r="M289">
        <v>84</v>
      </c>
    </row>
    <row r="290" spans="1:13" x14ac:dyDescent="0.25">
      <c r="A290" t="s">
        <v>344</v>
      </c>
      <c r="B290" t="s">
        <v>495</v>
      </c>
      <c r="C290" t="s">
        <v>491</v>
      </c>
      <c r="D290" t="s">
        <v>493</v>
      </c>
      <c r="E290">
        <v>2</v>
      </c>
      <c r="F290">
        <v>8</v>
      </c>
      <c r="G290">
        <v>180</v>
      </c>
      <c r="H290">
        <v>15</v>
      </c>
      <c r="I290">
        <v>21</v>
      </c>
      <c r="J290">
        <v>13.1</v>
      </c>
      <c r="K290">
        <v>12.4</v>
      </c>
      <c r="L290">
        <v>22</v>
      </c>
      <c r="M290">
        <v>100</v>
      </c>
    </row>
    <row r="291" spans="1:13" x14ac:dyDescent="0.25">
      <c r="A291" t="s">
        <v>344</v>
      </c>
      <c r="B291" t="s">
        <v>495</v>
      </c>
      <c r="C291" t="s">
        <v>491</v>
      </c>
      <c r="D291" t="s">
        <v>493</v>
      </c>
      <c r="E291">
        <v>2</v>
      </c>
      <c r="F291">
        <v>8</v>
      </c>
      <c r="G291">
        <v>200</v>
      </c>
      <c r="H291">
        <v>15</v>
      </c>
      <c r="I291">
        <v>21</v>
      </c>
      <c r="J291">
        <v>13.1</v>
      </c>
      <c r="K291">
        <v>12.4</v>
      </c>
      <c r="L291">
        <v>22</v>
      </c>
      <c r="M291">
        <v>100</v>
      </c>
    </row>
    <row r="292" spans="1:13" x14ac:dyDescent="0.25">
      <c r="A292" t="s">
        <v>344</v>
      </c>
      <c r="B292" t="s">
        <v>495</v>
      </c>
      <c r="C292" t="s">
        <v>491</v>
      </c>
      <c r="D292" t="s">
        <v>493</v>
      </c>
      <c r="E292">
        <v>2</v>
      </c>
      <c r="F292">
        <v>8</v>
      </c>
      <c r="G292">
        <v>220</v>
      </c>
      <c r="H292">
        <v>15</v>
      </c>
      <c r="I292">
        <v>21</v>
      </c>
      <c r="J292">
        <v>13.1</v>
      </c>
      <c r="K292">
        <v>12.4</v>
      </c>
      <c r="L292">
        <v>22</v>
      </c>
      <c r="M292">
        <v>100</v>
      </c>
    </row>
    <row r="293" spans="1:13" x14ac:dyDescent="0.25">
      <c r="A293" t="s">
        <v>344</v>
      </c>
      <c r="B293" t="s">
        <v>495</v>
      </c>
      <c r="C293" t="s">
        <v>491</v>
      </c>
      <c r="D293" t="s">
        <v>493</v>
      </c>
      <c r="E293">
        <v>2</v>
      </c>
      <c r="F293">
        <v>8</v>
      </c>
      <c r="G293">
        <v>240</v>
      </c>
      <c r="H293">
        <v>15</v>
      </c>
      <c r="I293">
        <v>21</v>
      </c>
      <c r="J293">
        <v>13.1</v>
      </c>
      <c r="K293">
        <v>12.4</v>
      </c>
      <c r="L293">
        <v>22</v>
      </c>
      <c r="M293">
        <v>100</v>
      </c>
    </row>
    <row r="294" spans="1:13" x14ac:dyDescent="0.25">
      <c r="A294" t="s">
        <v>344</v>
      </c>
      <c r="B294" t="s">
        <v>495</v>
      </c>
      <c r="C294" t="s">
        <v>491</v>
      </c>
      <c r="D294" t="s">
        <v>493</v>
      </c>
      <c r="E294">
        <v>2</v>
      </c>
      <c r="F294">
        <v>8</v>
      </c>
      <c r="G294">
        <v>260</v>
      </c>
      <c r="H294">
        <v>15</v>
      </c>
      <c r="I294">
        <v>21</v>
      </c>
      <c r="J294">
        <v>13.1</v>
      </c>
      <c r="K294">
        <v>12.4</v>
      </c>
      <c r="L294">
        <v>22</v>
      </c>
      <c r="M294">
        <v>100</v>
      </c>
    </row>
    <row r="295" spans="1:13" x14ac:dyDescent="0.25">
      <c r="A295" t="s">
        <v>344</v>
      </c>
      <c r="B295" t="s">
        <v>495</v>
      </c>
      <c r="C295" t="s">
        <v>491</v>
      </c>
      <c r="D295" t="s">
        <v>493</v>
      </c>
      <c r="E295">
        <v>2</v>
      </c>
      <c r="F295">
        <v>8</v>
      </c>
      <c r="G295">
        <v>280</v>
      </c>
      <c r="H295">
        <v>15</v>
      </c>
      <c r="I295">
        <v>21</v>
      </c>
      <c r="J295">
        <v>13.1</v>
      </c>
      <c r="K295">
        <v>12.4</v>
      </c>
      <c r="L295">
        <v>22</v>
      </c>
      <c r="M295">
        <v>100</v>
      </c>
    </row>
    <row r="296" spans="1:13" x14ac:dyDescent="0.25">
      <c r="A296" t="s">
        <v>344</v>
      </c>
      <c r="B296" t="s">
        <v>495</v>
      </c>
      <c r="C296" t="s">
        <v>491</v>
      </c>
      <c r="D296" t="s">
        <v>493</v>
      </c>
      <c r="E296">
        <v>2</v>
      </c>
      <c r="F296">
        <v>8</v>
      </c>
      <c r="G296">
        <v>300</v>
      </c>
      <c r="H296">
        <v>15</v>
      </c>
      <c r="I296">
        <v>21</v>
      </c>
      <c r="J296">
        <v>13.1</v>
      </c>
      <c r="K296">
        <v>12.4</v>
      </c>
      <c r="L296">
        <v>22</v>
      </c>
      <c r="M296">
        <v>100</v>
      </c>
    </row>
    <row r="297" spans="1:13" x14ac:dyDescent="0.25">
      <c r="A297" t="s">
        <v>344</v>
      </c>
      <c r="B297" t="s">
        <v>495</v>
      </c>
      <c r="C297" t="s">
        <v>491</v>
      </c>
      <c r="D297" t="s">
        <v>493</v>
      </c>
      <c r="E297">
        <v>2</v>
      </c>
      <c r="F297">
        <v>8</v>
      </c>
      <c r="G297">
        <v>320</v>
      </c>
      <c r="H297">
        <v>15</v>
      </c>
      <c r="I297">
        <v>21</v>
      </c>
      <c r="J297">
        <v>13.1</v>
      </c>
      <c r="K297">
        <v>12.4</v>
      </c>
      <c r="L297">
        <v>22</v>
      </c>
      <c r="M297">
        <v>100</v>
      </c>
    </row>
    <row r="298" spans="1:13" x14ac:dyDescent="0.25">
      <c r="A298" t="s">
        <v>344</v>
      </c>
      <c r="B298" t="s">
        <v>495</v>
      </c>
      <c r="C298" t="s">
        <v>491</v>
      </c>
      <c r="D298" t="s">
        <v>493</v>
      </c>
      <c r="E298">
        <v>2</v>
      </c>
      <c r="F298">
        <v>8</v>
      </c>
      <c r="G298">
        <v>340</v>
      </c>
      <c r="H298">
        <v>15</v>
      </c>
      <c r="I298">
        <v>21</v>
      </c>
      <c r="J298">
        <v>13.1</v>
      </c>
      <c r="K298">
        <v>12.4</v>
      </c>
      <c r="L298">
        <v>22</v>
      </c>
      <c r="M298">
        <v>100</v>
      </c>
    </row>
    <row r="299" spans="1:13" x14ac:dyDescent="0.25">
      <c r="A299" t="s">
        <v>344</v>
      </c>
      <c r="B299" t="s">
        <v>495</v>
      </c>
      <c r="C299" t="s">
        <v>491</v>
      </c>
      <c r="D299" t="s">
        <v>493</v>
      </c>
      <c r="E299">
        <v>2</v>
      </c>
      <c r="F299">
        <v>8</v>
      </c>
      <c r="G299">
        <v>360</v>
      </c>
      <c r="H299">
        <v>15</v>
      </c>
      <c r="I299">
        <v>21</v>
      </c>
      <c r="J299">
        <v>13.1</v>
      </c>
      <c r="K299">
        <v>12.4</v>
      </c>
      <c r="L299">
        <v>22</v>
      </c>
      <c r="M299">
        <v>100</v>
      </c>
    </row>
    <row r="300" spans="1:13" x14ac:dyDescent="0.25">
      <c r="A300" t="s">
        <v>344</v>
      </c>
      <c r="B300" t="s">
        <v>495</v>
      </c>
      <c r="C300" t="s">
        <v>491</v>
      </c>
      <c r="D300" t="s">
        <v>493</v>
      </c>
      <c r="E300">
        <v>2</v>
      </c>
      <c r="F300">
        <v>8</v>
      </c>
      <c r="G300">
        <v>380</v>
      </c>
      <c r="H300">
        <v>15</v>
      </c>
      <c r="I300">
        <v>21</v>
      </c>
      <c r="J300">
        <v>13.1</v>
      </c>
      <c r="K300">
        <v>12.4</v>
      </c>
      <c r="L300">
        <v>22</v>
      </c>
      <c r="M300">
        <v>100</v>
      </c>
    </row>
    <row r="301" spans="1:13" x14ac:dyDescent="0.25">
      <c r="A301" t="s">
        <v>344</v>
      </c>
      <c r="B301" t="s">
        <v>495</v>
      </c>
      <c r="C301" t="s">
        <v>491</v>
      </c>
      <c r="D301" t="s">
        <v>493</v>
      </c>
      <c r="E301">
        <v>2</v>
      </c>
      <c r="F301">
        <v>8</v>
      </c>
      <c r="G301">
        <v>400</v>
      </c>
      <c r="H301">
        <v>15</v>
      </c>
      <c r="I301">
        <v>21</v>
      </c>
      <c r="J301">
        <v>13.1</v>
      </c>
      <c r="K301">
        <v>12.4</v>
      </c>
      <c r="L301">
        <v>22</v>
      </c>
      <c r="M301">
        <v>100</v>
      </c>
    </row>
    <row r="302" spans="1:13" x14ac:dyDescent="0.25">
      <c r="A302" t="s">
        <v>344</v>
      </c>
      <c r="B302" t="s">
        <v>495</v>
      </c>
      <c r="C302" t="s">
        <v>491</v>
      </c>
      <c r="D302" t="s">
        <v>493</v>
      </c>
      <c r="E302">
        <v>2</v>
      </c>
      <c r="F302">
        <v>10</v>
      </c>
      <c r="G302">
        <v>80</v>
      </c>
      <c r="H302">
        <v>18.5</v>
      </c>
      <c r="I302">
        <v>33</v>
      </c>
      <c r="J302">
        <v>12.5</v>
      </c>
      <c r="K302">
        <v>12.2</v>
      </c>
      <c r="L302">
        <v>32</v>
      </c>
      <c r="M302">
        <v>60</v>
      </c>
    </row>
    <row r="303" spans="1:13" x14ac:dyDescent="0.25">
      <c r="A303" t="s">
        <v>344</v>
      </c>
      <c r="B303" t="s">
        <v>495</v>
      </c>
      <c r="C303" t="s">
        <v>491</v>
      </c>
      <c r="D303" t="s">
        <v>493</v>
      </c>
      <c r="E303">
        <v>2</v>
      </c>
      <c r="F303">
        <v>10</v>
      </c>
      <c r="G303">
        <v>100</v>
      </c>
      <c r="H303">
        <v>18.5</v>
      </c>
      <c r="I303">
        <v>33</v>
      </c>
      <c r="J303">
        <v>12.5</v>
      </c>
      <c r="K303">
        <v>12.2</v>
      </c>
      <c r="L303">
        <v>32</v>
      </c>
      <c r="M303">
        <v>60</v>
      </c>
    </row>
    <row r="304" spans="1:13" x14ac:dyDescent="0.25">
      <c r="A304" t="s">
        <v>344</v>
      </c>
      <c r="B304" t="s">
        <v>495</v>
      </c>
      <c r="C304" t="s">
        <v>491</v>
      </c>
      <c r="D304" t="s">
        <v>493</v>
      </c>
      <c r="E304">
        <v>2</v>
      </c>
      <c r="F304">
        <v>10</v>
      </c>
      <c r="G304">
        <v>120</v>
      </c>
      <c r="H304">
        <v>18.5</v>
      </c>
      <c r="I304">
        <v>33</v>
      </c>
      <c r="J304">
        <v>12.5</v>
      </c>
      <c r="K304">
        <v>12.2</v>
      </c>
      <c r="L304">
        <v>32</v>
      </c>
      <c r="M304">
        <v>60</v>
      </c>
    </row>
    <row r="305" spans="1:13" x14ac:dyDescent="0.25">
      <c r="A305" t="s">
        <v>344</v>
      </c>
      <c r="B305" t="s">
        <v>495</v>
      </c>
      <c r="C305" t="s">
        <v>491</v>
      </c>
      <c r="D305" t="s">
        <v>493</v>
      </c>
      <c r="E305">
        <v>2</v>
      </c>
      <c r="F305">
        <v>10</v>
      </c>
      <c r="G305">
        <v>140</v>
      </c>
      <c r="H305">
        <v>18.5</v>
      </c>
      <c r="I305">
        <v>33</v>
      </c>
      <c r="J305">
        <v>12.5</v>
      </c>
      <c r="K305">
        <v>12.2</v>
      </c>
      <c r="L305">
        <v>32</v>
      </c>
      <c r="M305">
        <v>60</v>
      </c>
    </row>
    <row r="306" spans="1:13" x14ac:dyDescent="0.25">
      <c r="A306" t="s">
        <v>344</v>
      </c>
      <c r="B306" t="s">
        <v>495</v>
      </c>
      <c r="C306" t="s">
        <v>491</v>
      </c>
      <c r="D306" t="s">
        <v>493</v>
      </c>
      <c r="E306">
        <v>2</v>
      </c>
      <c r="F306">
        <v>10</v>
      </c>
      <c r="G306">
        <v>160</v>
      </c>
      <c r="H306">
        <v>18.5</v>
      </c>
      <c r="I306">
        <v>33</v>
      </c>
      <c r="J306">
        <v>12.5</v>
      </c>
      <c r="K306">
        <v>12.2</v>
      </c>
      <c r="L306">
        <v>32</v>
      </c>
      <c r="M306">
        <v>100</v>
      </c>
    </row>
    <row r="307" spans="1:13" x14ac:dyDescent="0.25">
      <c r="A307" t="s">
        <v>344</v>
      </c>
      <c r="B307" t="s">
        <v>495</v>
      </c>
      <c r="C307" t="s">
        <v>491</v>
      </c>
      <c r="D307" t="s">
        <v>493</v>
      </c>
      <c r="E307">
        <v>2</v>
      </c>
      <c r="F307">
        <v>10</v>
      </c>
      <c r="G307">
        <v>180</v>
      </c>
      <c r="H307">
        <v>18.5</v>
      </c>
      <c r="I307">
        <v>33</v>
      </c>
      <c r="J307">
        <v>12.5</v>
      </c>
      <c r="K307">
        <v>12.2</v>
      </c>
      <c r="L307">
        <v>32</v>
      </c>
      <c r="M307">
        <v>100</v>
      </c>
    </row>
    <row r="308" spans="1:13" x14ac:dyDescent="0.25">
      <c r="A308" t="s">
        <v>344</v>
      </c>
      <c r="B308" t="s">
        <v>495</v>
      </c>
      <c r="C308" t="s">
        <v>491</v>
      </c>
      <c r="D308" t="s">
        <v>493</v>
      </c>
      <c r="E308">
        <v>2</v>
      </c>
      <c r="F308">
        <v>10</v>
      </c>
      <c r="G308">
        <v>200</v>
      </c>
      <c r="H308">
        <v>18.5</v>
      </c>
      <c r="I308">
        <v>33</v>
      </c>
      <c r="J308">
        <v>12.5</v>
      </c>
      <c r="K308">
        <v>12.2</v>
      </c>
      <c r="L308">
        <v>32</v>
      </c>
      <c r="M308">
        <v>100</v>
      </c>
    </row>
    <row r="309" spans="1:13" x14ac:dyDescent="0.25">
      <c r="A309" t="s">
        <v>344</v>
      </c>
      <c r="B309" t="s">
        <v>495</v>
      </c>
      <c r="C309" t="s">
        <v>491</v>
      </c>
      <c r="D309" t="s">
        <v>493</v>
      </c>
      <c r="E309">
        <v>2</v>
      </c>
      <c r="F309">
        <v>10</v>
      </c>
      <c r="G309">
        <v>220</v>
      </c>
      <c r="H309">
        <v>18.5</v>
      </c>
      <c r="I309">
        <v>33</v>
      </c>
      <c r="J309">
        <v>12.5</v>
      </c>
      <c r="K309">
        <v>12.2</v>
      </c>
      <c r="L309">
        <v>32</v>
      </c>
      <c r="M309">
        <v>100</v>
      </c>
    </row>
    <row r="310" spans="1:13" x14ac:dyDescent="0.25">
      <c r="A310" t="s">
        <v>344</v>
      </c>
      <c r="B310" t="s">
        <v>495</v>
      </c>
      <c r="C310" t="s">
        <v>491</v>
      </c>
      <c r="D310" t="s">
        <v>493</v>
      </c>
      <c r="E310">
        <v>2</v>
      </c>
      <c r="F310">
        <v>10</v>
      </c>
      <c r="G310">
        <v>240</v>
      </c>
      <c r="H310">
        <v>18.5</v>
      </c>
      <c r="I310">
        <v>33</v>
      </c>
      <c r="J310">
        <v>12.5</v>
      </c>
      <c r="K310">
        <v>12.2</v>
      </c>
      <c r="L310">
        <v>32</v>
      </c>
      <c r="M310">
        <v>100</v>
      </c>
    </row>
    <row r="311" spans="1:13" x14ac:dyDescent="0.25">
      <c r="A311" t="s">
        <v>344</v>
      </c>
      <c r="B311" t="s">
        <v>495</v>
      </c>
      <c r="C311" t="s">
        <v>491</v>
      </c>
      <c r="D311" t="s">
        <v>493</v>
      </c>
      <c r="E311">
        <v>2</v>
      </c>
      <c r="F311">
        <v>10</v>
      </c>
      <c r="G311">
        <v>260</v>
      </c>
      <c r="H311">
        <v>18.5</v>
      </c>
      <c r="I311">
        <v>33</v>
      </c>
      <c r="J311">
        <v>12.5</v>
      </c>
      <c r="K311">
        <v>12.2</v>
      </c>
      <c r="L311">
        <v>32</v>
      </c>
      <c r="M311">
        <v>100</v>
      </c>
    </row>
    <row r="312" spans="1:13" x14ac:dyDescent="0.25">
      <c r="A312" t="s">
        <v>344</v>
      </c>
      <c r="B312" t="s">
        <v>495</v>
      </c>
      <c r="C312" t="s">
        <v>491</v>
      </c>
      <c r="D312" t="s">
        <v>493</v>
      </c>
      <c r="E312">
        <v>2</v>
      </c>
      <c r="F312">
        <v>10</v>
      </c>
      <c r="G312">
        <v>280</v>
      </c>
      <c r="H312">
        <v>18.5</v>
      </c>
      <c r="I312">
        <v>33</v>
      </c>
      <c r="J312">
        <v>12.5</v>
      </c>
      <c r="K312">
        <v>12.2</v>
      </c>
      <c r="L312">
        <v>32</v>
      </c>
      <c r="M312">
        <v>100</v>
      </c>
    </row>
    <row r="313" spans="1:13" x14ac:dyDescent="0.25">
      <c r="A313" t="s">
        <v>344</v>
      </c>
      <c r="B313" t="s">
        <v>495</v>
      </c>
      <c r="C313" t="s">
        <v>491</v>
      </c>
      <c r="D313" t="s">
        <v>493</v>
      </c>
      <c r="E313">
        <v>2</v>
      </c>
      <c r="F313">
        <v>10</v>
      </c>
      <c r="G313">
        <v>300</v>
      </c>
      <c r="H313">
        <v>18.5</v>
      </c>
      <c r="I313">
        <v>33</v>
      </c>
      <c r="J313">
        <v>12.5</v>
      </c>
      <c r="K313">
        <v>12.2</v>
      </c>
      <c r="L313">
        <v>32</v>
      </c>
      <c r="M313">
        <v>100</v>
      </c>
    </row>
    <row r="314" spans="1:13" x14ac:dyDescent="0.25">
      <c r="A314" t="s">
        <v>344</v>
      </c>
      <c r="B314" t="s">
        <v>495</v>
      </c>
      <c r="C314" t="s">
        <v>491</v>
      </c>
      <c r="D314" t="s">
        <v>493</v>
      </c>
      <c r="E314">
        <v>2</v>
      </c>
      <c r="F314">
        <v>10</v>
      </c>
      <c r="G314">
        <v>320</v>
      </c>
      <c r="H314">
        <v>18.5</v>
      </c>
      <c r="I314">
        <v>33</v>
      </c>
      <c r="J314">
        <v>12.5</v>
      </c>
      <c r="K314">
        <v>12.2</v>
      </c>
      <c r="L314">
        <v>32</v>
      </c>
      <c r="M314">
        <v>100</v>
      </c>
    </row>
    <row r="315" spans="1:13" x14ac:dyDescent="0.25">
      <c r="A315" t="s">
        <v>344</v>
      </c>
      <c r="B315" t="s">
        <v>495</v>
      </c>
      <c r="C315" t="s">
        <v>491</v>
      </c>
      <c r="D315" t="s">
        <v>493</v>
      </c>
      <c r="E315">
        <v>2</v>
      </c>
      <c r="F315">
        <v>10</v>
      </c>
      <c r="G315">
        <v>340</v>
      </c>
      <c r="H315">
        <v>18.5</v>
      </c>
      <c r="I315">
        <v>33</v>
      </c>
      <c r="J315">
        <v>12.5</v>
      </c>
      <c r="K315">
        <v>12.2</v>
      </c>
      <c r="L315">
        <v>32</v>
      </c>
      <c r="M315">
        <v>100</v>
      </c>
    </row>
    <row r="316" spans="1:13" x14ac:dyDescent="0.25">
      <c r="A316" t="s">
        <v>344</v>
      </c>
      <c r="B316" t="s">
        <v>495</v>
      </c>
      <c r="C316" t="s">
        <v>491</v>
      </c>
      <c r="D316" t="s">
        <v>493</v>
      </c>
      <c r="E316">
        <v>2</v>
      </c>
      <c r="F316">
        <v>10</v>
      </c>
      <c r="G316">
        <v>360</v>
      </c>
      <c r="H316">
        <v>18.5</v>
      </c>
      <c r="I316">
        <v>33</v>
      </c>
      <c r="J316">
        <v>12.5</v>
      </c>
      <c r="K316">
        <v>12.2</v>
      </c>
      <c r="L316">
        <v>32</v>
      </c>
      <c r="M316">
        <v>100</v>
      </c>
    </row>
    <row r="317" spans="1:13" x14ac:dyDescent="0.25">
      <c r="A317" t="s">
        <v>344</v>
      </c>
      <c r="B317" t="s">
        <v>495</v>
      </c>
      <c r="C317" t="s">
        <v>491</v>
      </c>
      <c r="D317" t="s">
        <v>493</v>
      </c>
      <c r="E317">
        <v>2</v>
      </c>
      <c r="F317">
        <v>10</v>
      </c>
      <c r="G317">
        <v>380</v>
      </c>
      <c r="H317">
        <v>18.5</v>
      </c>
      <c r="I317">
        <v>33</v>
      </c>
      <c r="J317">
        <v>12.5</v>
      </c>
      <c r="K317">
        <v>12.2</v>
      </c>
      <c r="L317">
        <v>32</v>
      </c>
      <c r="M317">
        <v>100</v>
      </c>
    </row>
    <row r="318" spans="1:13" x14ac:dyDescent="0.25">
      <c r="A318" t="s">
        <v>344</v>
      </c>
      <c r="B318" t="s">
        <v>495</v>
      </c>
      <c r="C318" t="s">
        <v>491</v>
      </c>
      <c r="D318" t="s">
        <v>493</v>
      </c>
      <c r="E318">
        <v>2</v>
      </c>
      <c r="F318">
        <v>10</v>
      </c>
      <c r="G318">
        <v>400</v>
      </c>
      <c r="H318">
        <v>18.5</v>
      </c>
      <c r="I318">
        <v>33</v>
      </c>
      <c r="J318">
        <v>12.5</v>
      </c>
      <c r="K318">
        <v>12.2</v>
      </c>
      <c r="L318">
        <v>32</v>
      </c>
      <c r="M318">
        <v>100</v>
      </c>
    </row>
    <row r="319" spans="1:13" x14ac:dyDescent="0.25">
      <c r="A319" t="s">
        <v>344</v>
      </c>
      <c r="B319" t="s">
        <v>495</v>
      </c>
      <c r="C319" t="s">
        <v>492</v>
      </c>
      <c r="D319" t="s">
        <v>494</v>
      </c>
      <c r="E319">
        <v>2</v>
      </c>
      <c r="F319">
        <v>6</v>
      </c>
      <c r="G319">
        <v>60</v>
      </c>
      <c r="H319">
        <v>14</v>
      </c>
      <c r="I319">
        <v>10.1</v>
      </c>
      <c r="J319">
        <v>13.5</v>
      </c>
      <c r="K319">
        <v>16.7</v>
      </c>
      <c r="L319">
        <v>12.4</v>
      </c>
      <c r="M319">
        <v>36</v>
      </c>
    </row>
    <row r="320" spans="1:13" x14ac:dyDescent="0.25">
      <c r="A320" t="s">
        <v>344</v>
      </c>
      <c r="B320" t="s">
        <v>495</v>
      </c>
      <c r="C320" t="s">
        <v>492</v>
      </c>
      <c r="D320" t="s">
        <v>494</v>
      </c>
      <c r="E320">
        <v>2</v>
      </c>
      <c r="F320">
        <v>6</v>
      </c>
      <c r="G320">
        <v>80</v>
      </c>
      <c r="H320">
        <v>14</v>
      </c>
      <c r="I320">
        <v>10.1</v>
      </c>
      <c r="J320">
        <v>13.5</v>
      </c>
      <c r="K320">
        <v>16.7</v>
      </c>
      <c r="L320">
        <v>12.4</v>
      </c>
      <c r="M320">
        <v>48</v>
      </c>
    </row>
    <row r="321" spans="1:13" x14ac:dyDescent="0.25">
      <c r="A321" t="s">
        <v>344</v>
      </c>
      <c r="B321" t="s">
        <v>495</v>
      </c>
      <c r="C321" t="s">
        <v>492</v>
      </c>
      <c r="D321" t="s">
        <v>494</v>
      </c>
      <c r="E321">
        <v>2</v>
      </c>
      <c r="F321">
        <v>6</v>
      </c>
      <c r="G321">
        <v>100</v>
      </c>
      <c r="H321">
        <v>14</v>
      </c>
      <c r="I321">
        <v>10.1</v>
      </c>
      <c r="J321">
        <v>13.5</v>
      </c>
      <c r="K321">
        <v>16.7</v>
      </c>
      <c r="L321">
        <v>12.4</v>
      </c>
      <c r="M321">
        <v>48</v>
      </c>
    </row>
    <row r="322" spans="1:13" x14ac:dyDescent="0.25">
      <c r="A322" t="s">
        <v>344</v>
      </c>
      <c r="B322" t="s">
        <v>495</v>
      </c>
      <c r="C322" t="s">
        <v>492</v>
      </c>
      <c r="D322" t="s">
        <v>494</v>
      </c>
      <c r="E322">
        <v>2</v>
      </c>
      <c r="F322">
        <v>6</v>
      </c>
      <c r="G322">
        <v>120</v>
      </c>
      <c r="H322">
        <v>14</v>
      </c>
      <c r="I322">
        <v>10.1</v>
      </c>
      <c r="J322">
        <v>13.5</v>
      </c>
      <c r="K322">
        <v>16.7</v>
      </c>
      <c r="L322">
        <v>12.4</v>
      </c>
      <c r="M322">
        <v>64</v>
      </c>
    </row>
    <row r="323" spans="1:13" x14ac:dyDescent="0.25">
      <c r="A323" t="s">
        <v>344</v>
      </c>
      <c r="B323" t="s">
        <v>495</v>
      </c>
      <c r="C323" t="s">
        <v>492</v>
      </c>
      <c r="D323" t="s">
        <v>494</v>
      </c>
      <c r="E323">
        <v>2</v>
      </c>
      <c r="F323">
        <v>6</v>
      </c>
      <c r="G323">
        <v>140</v>
      </c>
      <c r="H323">
        <v>14</v>
      </c>
      <c r="I323">
        <v>10.1</v>
      </c>
      <c r="J323">
        <v>13.5</v>
      </c>
      <c r="K323">
        <v>16.7</v>
      </c>
      <c r="L323">
        <v>12.4</v>
      </c>
      <c r="M323">
        <v>64</v>
      </c>
    </row>
    <row r="324" spans="1:13" x14ac:dyDescent="0.25">
      <c r="A324" t="s">
        <v>344</v>
      </c>
      <c r="B324" t="s">
        <v>495</v>
      </c>
      <c r="C324" t="s">
        <v>492</v>
      </c>
      <c r="D324" t="s">
        <v>494</v>
      </c>
      <c r="E324">
        <v>2</v>
      </c>
      <c r="F324">
        <v>6</v>
      </c>
      <c r="G324">
        <v>160</v>
      </c>
      <c r="H324">
        <v>14</v>
      </c>
      <c r="I324">
        <v>10.1</v>
      </c>
      <c r="J324">
        <v>13.5</v>
      </c>
      <c r="K324">
        <v>16.7</v>
      </c>
      <c r="L324">
        <v>12.4</v>
      </c>
      <c r="M324">
        <v>64</v>
      </c>
    </row>
    <row r="325" spans="1:13" x14ac:dyDescent="0.25">
      <c r="A325" t="s">
        <v>344</v>
      </c>
      <c r="B325" t="s">
        <v>495</v>
      </c>
      <c r="C325" t="s">
        <v>492</v>
      </c>
      <c r="D325" t="s">
        <v>494</v>
      </c>
      <c r="E325">
        <v>2</v>
      </c>
      <c r="F325">
        <v>6</v>
      </c>
      <c r="G325">
        <v>180</v>
      </c>
      <c r="H325">
        <v>14</v>
      </c>
      <c r="I325">
        <v>10.1</v>
      </c>
      <c r="J325">
        <v>13.5</v>
      </c>
      <c r="K325">
        <v>16.7</v>
      </c>
      <c r="L325">
        <v>12.4</v>
      </c>
      <c r="M325">
        <v>64</v>
      </c>
    </row>
    <row r="326" spans="1:13" x14ac:dyDescent="0.25">
      <c r="A326" t="s">
        <v>344</v>
      </c>
      <c r="B326" t="s">
        <v>495</v>
      </c>
      <c r="C326" t="s">
        <v>492</v>
      </c>
      <c r="D326" t="s">
        <v>494</v>
      </c>
      <c r="E326">
        <v>2</v>
      </c>
      <c r="F326">
        <v>6</v>
      </c>
      <c r="G326">
        <v>200</v>
      </c>
      <c r="H326">
        <v>14</v>
      </c>
      <c r="I326">
        <v>10.1</v>
      </c>
      <c r="J326">
        <v>13.5</v>
      </c>
      <c r="K326">
        <v>16.7</v>
      </c>
      <c r="L326">
        <v>12.4</v>
      </c>
      <c r="M326">
        <v>64</v>
      </c>
    </row>
    <row r="327" spans="1:13" x14ac:dyDescent="0.25">
      <c r="A327" t="s">
        <v>344</v>
      </c>
      <c r="B327" t="s">
        <v>495</v>
      </c>
      <c r="C327" t="s">
        <v>492</v>
      </c>
      <c r="D327" t="s">
        <v>494</v>
      </c>
      <c r="E327">
        <v>2</v>
      </c>
      <c r="F327">
        <v>8</v>
      </c>
      <c r="G327">
        <v>80</v>
      </c>
      <c r="H327">
        <v>20</v>
      </c>
      <c r="I327">
        <v>21</v>
      </c>
      <c r="J327">
        <v>13.1</v>
      </c>
      <c r="K327">
        <v>17.600000000000001</v>
      </c>
      <c r="L327">
        <v>22</v>
      </c>
      <c r="M327">
        <v>54</v>
      </c>
    </row>
    <row r="328" spans="1:13" x14ac:dyDescent="0.25">
      <c r="A328" t="s">
        <v>344</v>
      </c>
      <c r="B328" t="s">
        <v>495</v>
      </c>
      <c r="C328" t="s">
        <v>492</v>
      </c>
      <c r="D328" t="s">
        <v>494</v>
      </c>
      <c r="E328">
        <v>2</v>
      </c>
      <c r="F328">
        <v>8</v>
      </c>
      <c r="G328">
        <v>100</v>
      </c>
      <c r="H328">
        <v>20</v>
      </c>
      <c r="I328">
        <v>21</v>
      </c>
      <c r="J328">
        <v>13.1</v>
      </c>
      <c r="K328">
        <v>17.600000000000001</v>
      </c>
      <c r="L328">
        <v>22</v>
      </c>
      <c r="M328">
        <v>54</v>
      </c>
    </row>
    <row r="329" spans="1:13" x14ac:dyDescent="0.25">
      <c r="A329" t="s">
        <v>344</v>
      </c>
      <c r="B329" t="s">
        <v>495</v>
      </c>
      <c r="C329" t="s">
        <v>492</v>
      </c>
      <c r="D329" t="s">
        <v>494</v>
      </c>
      <c r="E329">
        <v>2</v>
      </c>
      <c r="F329">
        <v>8</v>
      </c>
      <c r="G329">
        <v>120</v>
      </c>
      <c r="H329">
        <v>20</v>
      </c>
      <c r="I329">
        <v>21</v>
      </c>
      <c r="J329">
        <v>13.1</v>
      </c>
      <c r="K329">
        <v>17.600000000000001</v>
      </c>
      <c r="L329">
        <v>22</v>
      </c>
      <c r="M329">
        <v>54</v>
      </c>
    </row>
    <row r="330" spans="1:13" x14ac:dyDescent="0.25">
      <c r="A330" t="s">
        <v>344</v>
      </c>
      <c r="B330" t="s">
        <v>495</v>
      </c>
      <c r="C330" t="s">
        <v>492</v>
      </c>
      <c r="D330" t="s">
        <v>494</v>
      </c>
      <c r="E330">
        <v>2</v>
      </c>
      <c r="F330">
        <v>8</v>
      </c>
      <c r="G330">
        <v>140</v>
      </c>
      <c r="H330">
        <v>20</v>
      </c>
      <c r="I330">
        <v>21</v>
      </c>
      <c r="J330">
        <v>13.1</v>
      </c>
      <c r="K330">
        <v>17.600000000000001</v>
      </c>
      <c r="L330">
        <v>22</v>
      </c>
      <c r="M330">
        <v>84</v>
      </c>
    </row>
    <row r="331" spans="1:13" x14ac:dyDescent="0.25">
      <c r="A331" t="s">
        <v>344</v>
      </c>
      <c r="B331" t="s">
        <v>495</v>
      </c>
      <c r="C331" t="s">
        <v>492</v>
      </c>
      <c r="D331" t="s">
        <v>494</v>
      </c>
      <c r="E331">
        <v>2</v>
      </c>
      <c r="F331">
        <v>8</v>
      </c>
      <c r="G331">
        <v>160</v>
      </c>
      <c r="H331">
        <v>20</v>
      </c>
      <c r="I331">
        <v>21</v>
      </c>
      <c r="J331">
        <v>13.1</v>
      </c>
      <c r="K331">
        <v>17.600000000000001</v>
      </c>
      <c r="L331">
        <v>22</v>
      </c>
      <c r="M331">
        <v>84</v>
      </c>
    </row>
    <row r="332" spans="1:13" x14ac:dyDescent="0.25">
      <c r="A332" t="s">
        <v>344</v>
      </c>
      <c r="B332" t="s">
        <v>495</v>
      </c>
      <c r="C332" t="s">
        <v>492</v>
      </c>
      <c r="D332" t="s">
        <v>494</v>
      </c>
      <c r="E332">
        <v>2</v>
      </c>
      <c r="F332">
        <v>8</v>
      </c>
      <c r="G332">
        <v>180</v>
      </c>
      <c r="H332">
        <v>20</v>
      </c>
      <c r="I332">
        <v>21</v>
      </c>
      <c r="J332">
        <v>13.1</v>
      </c>
      <c r="K332">
        <v>17.600000000000001</v>
      </c>
      <c r="L332">
        <v>22</v>
      </c>
      <c r="M332">
        <v>100</v>
      </c>
    </row>
    <row r="333" spans="1:13" x14ac:dyDescent="0.25">
      <c r="A333" t="s">
        <v>344</v>
      </c>
      <c r="B333" t="s">
        <v>495</v>
      </c>
      <c r="C333" t="s">
        <v>492</v>
      </c>
      <c r="D333" t="s">
        <v>494</v>
      </c>
      <c r="E333">
        <v>2</v>
      </c>
      <c r="F333">
        <v>8</v>
      </c>
      <c r="G333">
        <v>200</v>
      </c>
      <c r="H333">
        <v>20</v>
      </c>
      <c r="I333">
        <v>21</v>
      </c>
      <c r="J333">
        <v>13.1</v>
      </c>
      <c r="K333">
        <v>17.600000000000001</v>
      </c>
      <c r="L333">
        <v>22</v>
      </c>
      <c r="M333">
        <v>100</v>
      </c>
    </row>
    <row r="334" spans="1:13" x14ac:dyDescent="0.25">
      <c r="A334" t="s">
        <v>344</v>
      </c>
      <c r="B334" t="s">
        <v>495</v>
      </c>
      <c r="C334" t="s">
        <v>492</v>
      </c>
      <c r="D334" t="s">
        <v>494</v>
      </c>
      <c r="E334">
        <v>2</v>
      </c>
      <c r="F334">
        <v>8</v>
      </c>
      <c r="G334">
        <v>220</v>
      </c>
      <c r="H334">
        <v>20</v>
      </c>
      <c r="I334">
        <v>21</v>
      </c>
      <c r="J334">
        <v>13.1</v>
      </c>
      <c r="K334">
        <v>17.600000000000001</v>
      </c>
      <c r="L334">
        <v>22</v>
      </c>
      <c r="M334">
        <v>100</v>
      </c>
    </row>
    <row r="335" spans="1:13" x14ac:dyDescent="0.25">
      <c r="A335" t="s">
        <v>344</v>
      </c>
      <c r="B335" t="s">
        <v>495</v>
      </c>
      <c r="C335" t="s">
        <v>492</v>
      </c>
      <c r="D335" t="s">
        <v>494</v>
      </c>
      <c r="E335">
        <v>2</v>
      </c>
      <c r="F335">
        <v>8</v>
      </c>
      <c r="G335">
        <v>240</v>
      </c>
      <c r="H335">
        <v>20</v>
      </c>
      <c r="I335">
        <v>21</v>
      </c>
      <c r="J335">
        <v>13.1</v>
      </c>
      <c r="K335">
        <v>17.600000000000001</v>
      </c>
      <c r="L335">
        <v>22</v>
      </c>
      <c r="M335">
        <v>100</v>
      </c>
    </row>
    <row r="336" spans="1:13" x14ac:dyDescent="0.25">
      <c r="A336" t="s">
        <v>344</v>
      </c>
      <c r="B336" t="s">
        <v>495</v>
      </c>
      <c r="C336" t="s">
        <v>492</v>
      </c>
      <c r="D336" t="s">
        <v>494</v>
      </c>
      <c r="E336">
        <v>2</v>
      </c>
      <c r="F336">
        <v>8</v>
      </c>
      <c r="G336">
        <v>260</v>
      </c>
      <c r="H336">
        <v>20</v>
      </c>
      <c r="I336">
        <v>21</v>
      </c>
      <c r="J336">
        <v>13.1</v>
      </c>
      <c r="K336">
        <v>17.600000000000001</v>
      </c>
      <c r="L336">
        <v>22</v>
      </c>
      <c r="M336">
        <v>100</v>
      </c>
    </row>
    <row r="337" spans="1:13" x14ac:dyDescent="0.25">
      <c r="A337" t="s">
        <v>344</v>
      </c>
      <c r="B337" t="s">
        <v>495</v>
      </c>
      <c r="C337" t="s">
        <v>492</v>
      </c>
      <c r="D337" t="s">
        <v>494</v>
      </c>
      <c r="E337">
        <v>2</v>
      </c>
      <c r="F337">
        <v>8</v>
      </c>
      <c r="G337">
        <v>280</v>
      </c>
      <c r="H337">
        <v>20</v>
      </c>
      <c r="I337">
        <v>21</v>
      </c>
      <c r="J337">
        <v>13.1</v>
      </c>
      <c r="K337">
        <v>17.600000000000001</v>
      </c>
      <c r="L337">
        <v>22</v>
      </c>
      <c r="M337">
        <v>100</v>
      </c>
    </row>
    <row r="338" spans="1:13" x14ac:dyDescent="0.25">
      <c r="A338" t="s">
        <v>344</v>
      </c>
      <c r="B338" t="s">
        <v>495</v>
      </c>
      <c r="C338" t="s">
        <v>492</v>
      </c>
      <c r="D338" t="s">
        <v>494</v>
      </c>
      <c r="E338">
        <v>2</v>
      </c>
      <c r="F338">
        <v>8</v>
      </c>
      <c r="G338">
        <v>300</v>
      </c>
      <c r="H338">
        <v>20</v>
      </c>
      <c r="I338">
        <v>21</v>
      </c>
      <c r="J338">
        <v>13.1</v>
      </c>
      <c r="K338">
        <v>17.600000000000001</v>
      </c>
      <c r="L338">
        <v>22</v>
      </c>
      <c r="M338">
        <v>100</v>
      </c>
    </row>
    <row r="339" spans="1:13" x14ac:dyDescent="0.25">
      <c r="A339" t="s">
        <v>344</v>
      </c>
      <c r="B339" t="s">
        <v>495</v>
      </c>
      <c r="C339" t="s">
        <v>492</v>
      </c>
      <c r="D339" t="s">
        <v>494</v>
      </c>
      <c r="E339">
        <v>2</v>
      </c>
      <c r="F339">
        <v>8</v>
      </c>
      <c r="G339">
        <v>320</v>
      </c>
      <c r="H339">
        <v>20</v>
      </c>
      <c r="I339">
        <v>21</v>
      </c>
      <c r="J339">
        <v>13.1</v>
      </c>
      <c r="K339">
        <v>17.600000000000001</v>
      </c>
      <c r="L339">
        <v>22</v>
      </c>
      <c r="M339">
        <v>100</v>
      </c>
    </row>
    <row r="340" spans="1:13" x14ac:dyDescent="0.25">
      <c r="A340" t="s">
        <v>344</v>
      </c>
      <c r="B340" t="s">
        <v>495</v>
      </c>
      <c r="C340" t="s">
        <v>492</v>
      </c>
      <c r="D340" t="s">
        <v>494</v>
      </c>
      <c r="E340">
        <v>2</v>
      </c>
      <c r="F340">
        <v>8</v>
      </c>
      <c r="G340">
        <v>340</v>
      </c>
      <c r="H340">
        <v>20</v>
      </c>
      <c r="I340">
        <v>21</v>
      </c>
      <c r="J340">
        <v>13.1</v>
      </c>
      <c r="K340">
        <v>17.600000000000001</v>
      </c>
      <c r="L340">
        <v>22</v>
      </c>
      <c r="M340">
        <v>100</v>
      </c>
    </row>
    <row r="341" spans="1:13" x14ac:dyDescent="0.25">
      <c r="A341" t="s">
        <v>344</v>
      </c>
      <c r="B341" t="s">
        <v>495</v>
      </c>
      <c r="C341" t="s">
        <v>492</v>
      </c>
      <c r="D341" t="s">
        <v>494</v>
      </c>
      <c r="E341">
        <v>2</v>
      </c>
      <c r="F341">
        <v>8</v>
      </c>
      <c r="G341">
        <v>360</v>
      </c>
      <c r="H341">
        <v>20</v>
      </c>
      <c r="I341">
        <v>21</v>
      </c>
      <c r="J341">
        <v>13.1</v>
      </c>
      <c r="K341">
        <v>17.600000000000001</v>
      </c>
      <c r="L341">
        <v>22</v>
      </c>
      <c r="M341">
        <v>100</v>
      </c>
    </row>
    <row r="342" spans="1:13" x14ac:dyDescent="0.25">
      <c r="A342" t="s">
        <v>344</v>
      </c>
      <c r="B342" t="s">
        <v>495</v>
      </c>
      <c r="C342" t="s">
        <v>492</v>
      </c>
      <c r="D342" t="s">
        <v>494</v>
      </c>
      <c r="E342">
        <v>2</v>
      </c>
      <c r="F342">
        <v>8</v>
      </c>
      <c r="G342">
        <v>380</v>
      </c>
      <c r="H342">
        <v>20</v>
      </c>
      <c r="I342">
        <v>21</v>
      </c>
      <c r="J342">
        <v>13.1</v>
      </c>
      <c r="K342">
        <v>17.600000000000001</v>
      </c>
      <c r="L342">
        <v>22</v>
      </c>
      <c r="M342">
        <v>100</v>
      </c>
    </row>
    <row r="343" spans="1:13" x14ac:dyDescent="0.25">
      <c r="A343" t="s">
        <v>344</v>
      </c>
      <c r="B343" t="s">
        <v>495</v>
      </c>
      <c r="C343" t="s">
        <v>492</v>
      </c>
      <c r="D343" t="s">
        <v>494</v>
      </c>
      <c r="E343">
        <v>2</v>
      </c>
      <c r="F343">
        <v>8</v>
      </c>
      <c r="G343">
        <v>400</v>
      </c>
      <c r="H343">
        <v>20</v>
      </c>
      <c r="I343">
        <v>21</v>
      </c>
      <c r="J343">
        <v>13.1</v>
      </c>
      <c r="K343">
        <v>17.600000000000001</v>
      </c>
      <c r="L343">
        <v>22</v>
      </c>
      <c r="M343">
        <v>100</v>
      </c>
    </row>
    <row r="344" spans="1:13" x14ac:dyDescent="0.25">
      <c r="A344" t="s">
        <v>344</v>
      </c>
      <c r="B344" t="s">
        <v>495</v>
      </c>
      <c r="C344" t="s">
        <v>492</v>
      </c>
      <c r="D344" t="s">
        <v>494</v>
      </c>
      <c r="E344">
        <v>2</v>
      </c>
      <c r="F344">
        <v>10</v>
      </c>
      <c r="G344">
        <v>100</v>
      </c>
      <c r="H344">
        <v>25</v>
      </c>
      <c r="I344">
        <v>33</v>
      </c>
      <c r="J344">
        <v>12.5</v>
      </c>
      <c r="K344">
        <v>15.2</v>
      </c>
      <c r="L344">
        <v>32</v>
      </c>
      <c r="M344">
        <v>60</v>
      </c>
    </row>
    <row r="345" spans="1:13" x14ac:dyDescent="0.25">
      <c r="A345" t="s">
        <v>344</v>
      </c>
      <c r="B345" t="s">
        <v>495</v>
      </c>
      <c r="C345" t="s">
        <v>492</v>
      </c>
      <c r="D345" t="s">
        <v>494</v>
      </c>
      <c r="E345">
        <v>2</v>
      </c>
      <c r="F345">
        <v>10</v>
      </c>
      <c r="G345">
        <v>120</v>
      </c>
      <c r="H345">
        <v>25</v>
      </c>
      <c r="I345">
        <v>33</v>
      </c>
      <c r="J345">
        <v>12.5</v>
      </c>
      <c r="K345">
        <v>15.2</v>
      </c>
      <c r="L345">
        <v>32</v>
      </c>
      <c r="M345">
        <v>60</v>
      </c>
    </row>
    <row r="346" spans="1:13" x14ac:dyDescent="0.25">
      <c r="A346" t="s">
        <v>344</v>
      </c>
      <c r="B346" t="s">
        <v>495</v>
      </c>
      <c r="C346" t="s">
        <v>492</v>
      </c>
      <c r="D346" t="s">
        <v>494</v>
      </c>
      <c r="E346">
        <v>2</v>
      </c>
      <c r="F346">
        <v>10</v>
      </c>
      <c r="G346">
        <v>140</v>
      </c>
      <c r="H346">
        <v>25</v>
      </c>
      <c r="I346">
        <v>33</v>
      </c>
      <c r="J346">
        <v>12.5</v>
      </c>
      <c r="K346">
        <v>15.2</v>
      </c>
      <c r="L346">
        <v>32</v>
      </c>
      <c r="M346">
        <v>60</v>
      </c>
    </row>
    <row r="347" spans="1:13" x14ac:dyDescent="0.25">
      <c r="A347" t="s">
        <v>344</v>
      </c>
      <c r="B347" t="s">
        <v>495</v>
      </c>
      <c r="C347" t="s">
        <v>492</v>
      </c>
      <c r="D347" t="s">
        <v>494</v>
      </c>
      <c r="E347">
        <v>2</v>
      </c>
      <c r="F347">
        <v>10</v>
      </c>
      <c r="G347">
        <v>160</v>
      </c>
      <c r="H347">
        <v>25</v>
      </c>
      <c r="I347">
        <v>33</v>
      </c>
      <c r="J347">
        <v>12.5</v>
      </c>
      <c r="K347">
        <v>15.2</v>
      </c>
      <c r="L347">
        <v>32</v>
      </c>
      <c r="M347">
        <v>100</v>
      </c>
    </row>
    <row r="348" spans="1:13" x14ac:dyDescent="0.25">
      <c r="A348" t="s">
        <v>344</v>
      </c>
      <c r="B348" t="s">
        <v>495</v>
      </c>
      <c r="C348" t="s">
        <v>492</v>
      </c>
      <c r="D348" t="s">
        <v>494</v>
      </c>
      <c r="E348">
        <v>2</v>
      </c>
      <c r="F348">
        <v>10</v>
      </c>
      <c r="G348">
        <v>180</v>
      </c>
      <c r="H348">
        <v>25</v>
      </c>
      <c r="I348">
        <v>33</v>
      </c>
      <c r="J348">
        <v>12.5</v>
      </c>
      <c r="K348">
        <v>15.2</v>
      </c>
      <c r="L348">
        <v>32</v>
      </c>
      <c r="M348">
        <v>100</v>
      </c>
    </row>
    <row r="349" spans="1:13" x14ac:dyDescent="0.25">
      <c r="A349" t="s">
        <v>344</v>
      </c>
      <c r="B349" t="s">
        <v>495</v>
      </c>
      <c r="C349" t="s">
        <v>492</v>
      </c>
      <c r="D349" t="s">
        <v>494</v>
      </c>
      <c r="E349">
        <v>2</v>
      </c>
      <c r="F349">
        <v>10</v>
      </c>
      <c r="G349">
        <v>200</v>
      </c>
      <c r="H349">
        <v>25</v>
      </c>
      <c r="I349">
        <v>33</v>
      </c>
      <c r="J349">
        <v>12.5</v>
      </c>
      <c r="K349">
        <v>15.2</v>
      </c>
      <c r="L349">
        <v>32</v>
      </c>
      <c r="M349">
        <v>100</v>
      </c>
    </row>
    <row r="350" spans="1:13" x14ac:dyDescent="0.25">
      <c r="A350" t="s">
        <v>344</v>
      </c>
      <c r="B350" t="s">
        <v>495</v>
      </c>
      <c r="C350" t="s">
        <v>492</v>
      </c>
      <c r="D350" t="s">
        <v>494</v>
      </c>
      <c r="E350">
        <v>2</v>
      </c>
      <c r="F350">
        <v>10</v>
      </c>
      <c r="G350">
        <v>220</v>
      </c>
      <c r="H350">
        <v>25</v>
      </c>
      <c r="I350">
        <v>33</v>
      </c>
      <c r="J350">
        <v>12.5</v>
      </c>
      <c r="K350">
        <v>15.2</v>
      </c>
      <c r="L350">
        <v>32</v>
      </c>
      <c r="M350">
        <v>100</v>
      </c>
    </row>
    <row r="351" spans="1:13" x14ac:dyDescent="0.25">
      <c r="A351" t="s">
        <v>344</v>
      </c>
      <c r="B351" t="s">
        <v>495</v>
      </c>
      <c r="C351" t="s">
        <v>492</v>
      </c>
      <c r="D351" t="s">
        <v>494</v>
      </c>
      <c r="E351">
        <v>2</v>
      </c>
      <c r="F351">
        <v>10</v>
      </c>
      <c r="G351">
        <v>240</v>
      </c>
      <c r="H351">
        <v>25</v>
      </c>
      <c r="I351">
        <v>33</v>
      </c>
      <c r="J351">
        <v>12.5</v>
      </c>
      <c r="K351">
        <v>15.2</v>
      </c>
      <c r="L351">
        <v>32</v>
      </c>
      <c r="M351">
        <v>100</v>
      </c>
    </row>
    <row r="352" spans="1:13" x14ac:dyDescent="0.25">
      <c r="A352" t="s">
        <v>344</v>
      </c>
      <c r="B352" t="s">
        <v>495</v>
      </c>
      <c r="C352" t="s">
        <v>492</v>
      </c>
      <c r="D352" t="s">
        <v>494</v>
      </c>
      <c r="E352">
        <v>2</v>
      </c>
      <c r="F352">
        <v>10</v>
      </c>
      <c r="G352">
        <v>260</v>
      </c>
      <c r="H352">
        <v>25</v>
      </c>
      <c r="I352">
        <v>33</v>
      </c>
      <c r="J352">
        <v>12.5</v>
      </c>
      <c r="K352">
        <v>15.2</v>
      </c>
      <c r="L352">
        <v>32</v>
      </c>
      <c r="M352">
        <v>100</v>
      </c>
    </row>
    <row r="353" spans="1:13" x14ac:dyDescent="0.25">
      <c r="A353" t="s">
        <v>344</v>
      </c>
      <c r="B353" t="s">
        <v>495</v>
      </c>
      <c r="C353" t="s">
        <v>492</v>
      </c>
      <c r="D353" t="s">
        <v>494</v>
      </c>
      <c r="E353">
        <v>2</v>
      </c>
      <c r="F353">
        <v>10</v>
      </c>
      <c r="G353">
        <v>280</v>
      </c>
      <c r="H353">
        <v>25</v>
      </c>
      <c r="I353">
        <v>33</v>
      </c>
      <c r="J353">
        <v>12.5</v>
      </c>
      <c r="K353">
        <v>15.2</v>
      </c>
      <c r="L353">
        <v>32</v>
      </c>
      <c r="M353">
        <v>100</v>
      </c>
    </row>
    <row r="354" spans="1:13" x14ac:dyDescent="0.25">
      <c r="A354" t="s">
        <v>344</v>
      </c>
      <c r="B354" t="s">
        <v>495</v>
      </c>
      <c r="C354" t="s">
        <v>492</v>
      </c>
      <c r="D354" t="s">
        <v>494</v>
      </c>
      <c r="E354">
        <v>2</v>
      </c>
      <c r="F354">
        <v>10</v>
      </c>
      <c r="G354">
        <v>300</v>
      </c>
      <c r="H354">
        <v>25</v>
      </c>
      <c r="I354">
        <v>33</v>
      </c>
      <c r="J354">
        <v>12.5</v>
      </c>
      <c r="K354">
        <v>15.2</v>
      </c>
      <c r="L354">
        <v>32</v>
      </c>
      <c r="M354">
        <v>100</v>
      </c>
    </row>
    <row r="355" spans="1:13" x14ac:dyDescent="0.25">
      <c r="A355" t="s">
        <v>344</v>
      </c>
      <c r="B355" t="s">
        <v>495</v>
      </c>
      <c r="C355" t="s">
        <v>492</v>
      </c>
      <c r="D355" t="s">
        <v>494</v>
      </c>
      <c r="E355">
        <v>2</v>
      </c>
      <c r="F355">
        <v>10</v>
      </c>
      <c r="G355">
        <v>320</v>
      </c>
      <c r="H355">
        <v>25</v>
      </c>
      <c r="I355">
        <v>33</v>
      </c>
      <c r="J355">
        <v>12.5</v>
      </c>
      <c r="K355">
        <v>15.2</v>
      </c>
      <c r="L355">
        <v>32</v>
      </c>
      <c r="M355">
        <v>100</v>
      </c>
    </row>
    <row r="356" spans="1:13" x14ac:dyDescent="0.25">
      <c r="A356" t="s">
        <v>344</v>
      </c>
      <c r="B356" t="s">
        <v>495</v>
      </c>
      <c r="C356" t="s">
        <v>492</v>
      </c>
      <c r="D356" t="s">
        <v>494</v>
      </c>
      <c r="E356">
        <v>2</v>
      </c>
      <c r="F356">
        <v>10</v>
      </c>
      <c r="G356">
        <v>340</v>
      </c>
      <c r="H356">
        <v>25</v>
      </c>
      <c r="I356">
        <v>33</v>
      </c>
      <c r="J356">
        <v>12.5</v>
      </c>
      <c r="K356">
        <v>15.2</v>
      </c>
      <c r="L356">
        <v>32</v>
      </c>
      <c r="M356">
        <v>100</v>
      </c>
    </row>
    <row r="357" spans="1:13" x14ac:dyDescent="0.25">
      <c r="A357" t="s">
        <v>344</v>
      </c>
      <c r="B357" t="s">
        <v>495</v>
      </c>
      <c r="C357" t="s">
        <v>492</v>
      </c>
      <c r="D357" t="s">
        <v>494</v>
      </c>
      <c r="E357">
        <v>2</v>
      </c>
      <c r="F357">
        <v>10</v>
      </c>
      <c r="G357">
        <v>360</v>
      </c>
      <c r="H357">
        <v>25</v>
      </c>
      <c r="I357">
        <v>33</v>
      </c>
      <c r="J357">
        <v>12.5</v>
      </c>
      <c r="K357">
        <v>15.2</v>
      </c>
      <c r="L357">
        <v>32</v>
      </c>
      <c r="M357">
        <v>100</v>
      </c>
    </row>
    <row r="358" spans="1:13" x14ac:dyDescent="0.25">
      <c r="A358" t="s">
        <v>344</v>
      </c>
      <c r="B358" t="s">
        <v>495</v>
      </c>
      <c r="C358" t="s">
        <v>492</v>
      </c>
      <c r="D358" t="s">
        <v>494</v>
      </c>
      <c r="E358">
        <v>2</v>
      </c>
      <c r="F358">
        <v>10</v>
      </c>
      <c r="G358">
        <v>380</v>
      </c>
      <c r="H358">
        <v>25</v>
      </c>
      <c r="I358">
        <v>33</v>
      </c>
      <c r="J358">
        <v>12.5</v>
      </c>
      <c r="K358">
        <v>15.2</v>
      </c>
      <c r="L358">
        <v>32</v>
      </c>
      <c r="M358">
        <v>100</v>
      </c>
    </row>
    <row r="359" spans="1:13" x14ac:dyDescent="0.25">
      <c r="A359" t="s">
        <v>344</v>
      </c>
      <c r="B359" t="s">
        <v>495</v>
      </c>
      <c r="C359" t="s">
        <v>492</v>
      </c>
      <c r="D359" t="s">
        <v>494</v>
      </c>
      <c r="E359">
        <v>2</v>
      </c>
      <c r="F359">
        <v>10</v>
      </c>
      <c r="G359">
        <v>400</v>
      </c>
      <c r="H359">
        <v>25</v>
      </c>
      <c r="I359">
        <v>33</v>
      </c>
      <c r="J359">
        <v>12.5</v>
      </c>
      <c r="K359">
        <v>15.2</v>
      </c>
      <c r="L359">
        <v>32</v>
      </c>
      <c r="M359">
        <v>100</v>
      </c>
    </row>
    <row r="360" spans="1:13" x14ac:dyDescent="0.25">
      <c r="A360" t="s">
        <v>344</v>
      </c>
      <c r="B360" t="s">
        <v>495</v>
      </c>
      <c r="C360" t="s">
        <v>511</v>
      </c>
      <c r="D360" t="s">
        <v>512</v>
      </c>
      <c r="E360">
        <v>2</v>
      </c>
      <c r="F360">
        <v>8</v>
      </c>
      <c r="G360">
        <v>40</v>
      </c>
      <c r="H360">
        <v>20</v>
      </c>
      <c r="I360">
        <v>21</v>
      </c>
      <c r="J360">
        <v>13.1</v>
      </c>
      <c r="K360">
        <v>17.600000000000001</v>
      </c>
      <c r="L360">
        <v>22</v>
      </c>
      <c r="M360">
        <v>32</v>
      </c>
    </row>
    <row r="361" spans="1:13" x14ac:dyDescent="0.25">
      <c r="A361" t="s">
        <v>344</v>
      </c>
      <c r="B361" t="s">
        <v>495</v>
      </c>
      <c r="C361" t="s">
        <v>511</v>
      </c>
      <c r="D361" t="s">
        <v>512</v>
      </c>
      <c r="E361">
        <v>2</v>
      </c>
      <c r="F361">
        <v>8</v>
      </c>
      <c r="G361">
        <v>50</v>
      </c>
      <c r="H361">
        <v>20</v>
      </c>
      <c r="I361">
        <v>21</v>
      </c>
      <c r="J361">
        <v>13.1</v>
      </c>
      <c r="K361">
        <v>17.600000000000001</v>
      </c>
      <c r="L361">
        <v>22</v>
      </c>
      <c r="M361">
        <v>42</v>
      </c>
    </row>
    <row r="362" spans="1:13" x14ac:dyDescent="0.25">
      <c r="A362" t="s">
        <v>344</v>
      </c>
      <c r="B362" t="s">
        <v>495</v>
      </c>
      <c r="C362" t="s">
        <v>511</v>
      </c>
      <c r="D362" t="s">
        <v>512</v>
      </c>
      <c r="E362">
        <v>2</v>
      </c>
      <c r="F362">
        <v>8</v>
      </c>
      <c r="G362">
        <v>60</v>
      </c>
      <c r="H362">
        <v>20</v>
      </c>
      <c r="I362">
        <v>21</v>
      </c>
      <c r="J362">
        <v>13.1</v>
      </c>
      <c r="K362">
        <v>17.600000000000001</v>
      </c>
      <c r="L362">
        <v>22</v>
      </c>
      <c r="M362">
        <v>52</v>
      </c>
    </row>
    <row r="363" spans="1:13" x14ac:dyDescent="0.25">
      <c r="A363" t="s">
        <v>344</v>
      </c>
      <c r="B363" t="s">
        <v>495</v>
      </c>
      <c r="C363" t="s">
        <v>513</v>
      </c>
      <c r="D363" t="s">
        <v>514</v>
      </c>
      <c r="E363">
        <v>2</v>
      </c>
      <c r="F363">
        <v>6</v>
      </c>
      <c r="G363">
        <v>80</v>
      </c>
      <c r="H363">
        <v>8.1999999999999993</v>
      </c>
      <c r="I363">
        <v>10</v>
      </c>
      <c r="J363">
        <v>13.5</v>
      </c>
      <c r="K363">
        <v>0</v>
      </c>
      <c r="L363">
        <v>12.5</v>
      </c>
      <c r="M363">
        <v>70</v>
      </c>
    </row>
    <row r="364" spans="1:13" x14ac:dyDescent="0.25">
      <c r="A364" t="s">
        <v>344</v>
      </c>
      <c r="B364" t="s">
        <v>495</v>
      </c>
      <c r="C364" t="s">
        <v>513</v>
      </c>
      <c r="D364" t="s">
        <v>514</v>
      </c>
      <c r="E364">
        <v>2</v>
      </c>
      <c r="F364">
        <v>6</v>
      </c>
      <c r="G364">
        <v>100</v>
      </c>
      <c r="H364">
        <v>8.1999999999999993</v>
      </c>
      <c r="I364">
        <v>10</v>
      </c>
      <c r="J364">
        <v>13.5</v>
      </c>
      <c r="K364">
        <v>0</v>
      </c>
      <c r="L364">
        <v>12.5</v>
      </c>
      <c r="M364">
        <v>90</v>
      </c>
    </row>
    <row r="365" spans="1:13" x14ac:dyDescent="0.25">
      <c r="A365" t="s">
        <v>344</v>
      </c>
      <c r="B365" t="s">
        <v>495</v>
      </c>
      <c r="C365" t="s">
        <v>513</v>
      </c>
      <c r="D365" t="s">
        <v>514</v>
      </c>
      <c r="E365">
        <v>2</v>
      </c>
      <c r="F365">
        <v>6</v>
      </c>
      <c r="G365">
        <v>120</v>
      </c>
      <c r="H365">
        <v>8.1999999999999993</v>
      </c>
      <c r="I365">
        <v>10</v>
      </c>
      <c r="J365">
        <v>13.5</v>
      </c>
      <c r="K365">
        <v>0</v>
      </c>
      <c r="L365">
        <v>12.5</v>
      </c>
      <c r="M365">
        <v>110</v>
      </c>
    </row>
    <row r="366" spans="1:13" x14ac:dyDescent="0.25">
      <c r="A366" t="s">
        <v>344</v>
      </c>
      <c r="B366" t="s">
        <v>495</v>
      </c>
      <c r="C366" t="s">
        <v>513</v>
      </c>
      <c r="D366" t="s">
        <v>514</v>
      </c>
      <c r="E366">
        <v>2</v>
      </c>
      <c r="F366">
        <v>6</v>
      </c>
      <c r="G366">
        <v>140</v>
      </c>
      <c r="H366">
        <v>8.1999999999999993</v>
      </c>
      <c r="I366">
        <v>10</v>
      </c>
      <c r="J366">
        <v>13.5</v>
      </c>
      <c r="K366">
        <v>0</v>
      </c>
      <c r="L366">
        <v>12.5</v>
      </c>
      <c r="M366">
        <v>130</v>
      </c>
    </row>
    <row r="367" spans="1:13" x14ac:dyDescent="0.25">
      <c r="A367" t="s">
        <v>344</v>
      </c>
      <c r="B367" t="s">
        <v>495</v>
      </c>
      <c r="C367" t="s">
        <v>513</v>
      </c>
      <c r="D367" t="s">
        <v>514</v>
      </c>
      <c r="E367">
        <v>2</v>
      </c>
      <c r="F367">
        <v>6</v>
      </c>
      <c r="G367">
        <v>160</v>
      </c>
      <c r="H367">
        <v>8.1999999999999993</v>
      </c>
      <c r="I367">
        <v>10</v>
      </c>
      <c r="J367">
        <v>13.5</v>
      </c>
      <c r="K367">
        <v>0</v>
      </c>
      <c r="L367">
        <v>12.5</v>
      </c>
      <c r="M367">
        <v>150</v>
      </c>
    </row>
    <row r="368" spans="1:13" x14ac:dyDescent="0.25">
      <c r="A368" t="s">
        <v>344</v>
      </c>
      <c r="B368" t="s">
        <v>495</v>
      </c>
      <c r="C368" t="s">
        <v>513</v>
      </c>
      <c r="D368" t="s">
        <v>514</v>
      </c>
      <c r="E368">
        <v>2</v>
      </c>
      <c r="F368">
        <v>6</v>
      </c>
      <c r="G368">
        <v>180</v>
      </c>
      <c r="H368">
        <v>8.1999999999999993</v>
      </c>
      <c r="I368">
        <v>10</v>
      </c>
      <c r="J368">
        <v>13.5</v>
      </c>
      <c r="K368">
        <v>0</v>
      </c>
      <c r="L368">
        <v>12.5</v>
      </c>
      <c r="M368">
        <v>170</v>
      </c>
    </row>
    <row r="369" spans="1:13" x14ac:dyDescent="0.25">
      <c r="A369" t="s">
        <v>344</v>
      </c>
      <c r="B369" t="s">
        <v>495</v>
      </c>
      <c r="C369" t="s">
        <v>513</v>
      </c>
      <c r="D369" t="s">
        <v>514</v>
      </c>
      <c r="E369">
        <v>2</v>
      </c>
      <c r="F369">
        <v>6</v>
      </c>
      <c r="G369">
        <v>200</v>
      </c>
      <c r="H369">
        <v>8.1999999999999993</v>
      </c>
      <c r="I369">
        <v>10</v>
      </c>
      <c r="J369">
        <v>13.5</v>
      </c>
      <c r="K369">
        <v>0</v>
      </c>
      <c r="L369">
        <v>12.5</v>
      </c>
      <c r="M369">
        <v>190</v>
      </c>
    </row>
    <row r="370" spans="1:13" x14ac:dyDescent="0.25">
      <c r="A370" t="s">
        <v>344</v>
      </c>
      <c r="B370" t="s">
        <v>495</v>
      </c>
      <c r="C370" t="s">
        <v>513</v>
      </c>
      <c r="D370" t="s">
        <v>514</v>
      </c>
      <c r="E370">
        <v>2</v>
      </c>
      <c r="F370">
        <v>8</v>
      </c>
      <c r="G370">
        <v>120</v>
      </c>
      <c r="H370">
        <v>10.199999999999999</v>
      </c>
      <c r="I370">
        <v>20.3</v>
      </c>
      <c r="J370">
        <v>13.1</v>
      </c>
      <c r="K370">
        <v>0</v>
      </c>
      <c r="L370">
        <v>24.1</v>
      </c>
      <c r="M370">
        <v>110</v>
      </c>
    </row>
    <row r="371" spans="1:13" x14ac:dyDescent="0.25">
      <c r="A371" t="s">
        <v>344</v>
      </c>
      <c r="B371" t="s">
        <v>495</v>
      </c>
      <c r="C371" t="s">
        <v>513</v>
      </c>
      <c r="D371" t="s">
        <v>514</v>
      </c>
      <c r="E371">
        <v>2</v>
      </c>
      <c r="F371">
        <v>8</v>
      </c>
      <c r="G371">
        <v>140</v>
      </c>
      <c r="H371">
        <v>10.199999999999999</v>
      </c>
      <c r="I371">
        <v>20.3</v>
      </c>
      <c r="J371">
        <v>13.1</v>
      </c>
      <c r="K371">
        <v>0</v>
      </c>
      <c r="L371">
        <v>24.1</v>
      </c>
      <c r="M371">
        <v>130</v>
      </c>
    </row>
    <row r="372" spans="1:13" x14ac:dyDescent="0.25">
      <c r="A372" t="s">
        <v>344</v>
      </c>
      <c r="B372" t="s">
        <v>495</v>
      </c>
      <c r="C372" t="s">
        <v>513</v>
      </c>
      <c r="D372" t="s">
        <v>514</v>
      </c>
      <c r="E372">
        <v>2</v>
      </c>
      <c r="F372">
        <v>8</v>
      </c>
      <c r="G372">
        <v>160</v>
      </c>
      <c r="H372">
        <v>10.199999999999999</v>
      </c>
      <c r="I372">
        <v>20.3</v>
      </c>
      <c r="J372">
        <v>13.1</v>
      </c>
      <c r="K372">
        <v>0</v>
      </c>
      <c r="L372">
        <v>24.1</v>
      </c>
      <c r="M372">
        <v>150</v>
      </c>
    </row>
    <row r="373" spans="1:13" x14ac:dyDescent="0.25">
      <c r="A373" t="s">
        <v>344</v>
      </c>
      <c r="B373" t="s">
        <v>495</v>
      </c>
      <c r="C373" t="s">
        <v>513</v>
      </c>
      <c r="D373" t="s">
        <v>514</v>
      </c>
      <c r="E373">
        <v>2</v>
      </c>
      <c r="F373">
        <v>8</v>
      </c>
      <c r="G373">
        <v>180</v>
      </c>
      <c r="H373">
        <v>10.199999999999999</v>
      </c>
      <c r="I373">
        <v>20.3</v>
      </c>
      <c r="J373">
        <v>13.1</v>
      </c>
      <c r="K373">
        <v>0</v>
      </c>
      <c r="L373">
        <v>24.1</v>
      </c>
      <c r="M373">
        <v>170</v>
      </c>
    </row>
    <row r="374" spans="1:13" x14ac:dyDescent="0.25">
      <c r="A374" t="s">
        <v>344</v>
      </c>
      <c r="B374" t="s">
        <v>495</v>
      </c>
      <c r="C374" t="s">
        <v>513</v>
      </c>
      <c r="D374" t="s">
        <v>514</v>
      </c>
      <c r="E374">
        <v>2</v>
      </c>
      <c r="F374">
        <v>8</v>
      </c>
      <c r="G374">
        <v>200</v>
      </c>
      <c r="H374">
        <v>10.199999999999999</v>
      </c>
      <c r="I374">
        <v>20.3</v>
      </c>
      <c r="J374">
        <v>13.1</v>
      </c>
      <c r="K374">
        <v>0</v>
      </c>
      <c r="L374">
        <v>24.1</v>
      </c>
      <c r="M374">
        <v>190</v>
      </c>
    </row>
    <row r="375" spans="1:13" x14ac:dyDescent="0.25">
      <c r="A375" t="s">
        <v>344</v>
      </c>
      <c r="B375" t="s">
        <v>495</v>
      </c>
      <c r="C375" t="s">
        <v>513</v>
      </c>
      <c r="D375" t="s">
        <v>514</v>
      </c>
      <c r="E375">
        <v>2</v>
      </c>
      <c r="F375">
        <v>8</v>
      </c>
      <c r="G375">
        <v>220</v>
      </c>
      <c r="H375">
        <v>10.199999999999999</v>
      </c>
      <c r="I375">
        <v>20.3</v>
      </c>
      <c r="J375">
        <v>13.1</v>
      </c>
      <c r="K375">
        <v>0</v>
      </c>
      <c r="L375">
        <v>24.1</v>
      </c>
      <c r="M375">
        <v>210</v>
      </c>
    </row>
    <row r="376" spans="1:13" x14ac:dyDescent="0.25">
      <c r="A376" t="s">
        <v>344</v>
      </c>
      <c r="B376" t="s">
        <v>495</v>
      </c>
      <c r="C376" t="s">
        <v>513</v>
      </c>
      <c r="D376" t="s">
        <v>514</v>
      </c>
      <c r="E376">
        <v>2</v>
      </c>
      <c r="F376">
        <v>8</v>
      </c>
      <c r="G376">
        <v>240</v>
      </c>
      <c r="H376">
        <v>10.199999999999999</v>
      </c>
      <c r="I376">
        <v>20.3</v>
      </c>
      <c r="J376">
        <v>13.1</v>
      </c>
      <c r="K376">
        <v>0</v>
      </c>
      <c r="L376">
        <v>24.1</v>
      </c>
      <c r="M376">
        <v>230</v>
      </c>
    </row>
    <row r="377" spans="1:13" x14ac:dyDescent="0.25">
      <c r="A377" t="s">
        <v>344</v>
      </c>
      <c r="B377" t="s">
        <v>495</v>
      </c>
      <c r="C377" t="s">
        <v>513</v>
      </c>
      <c r="D377" t="s">
        <v>514</v>
      </c>
      <c r="E377">
        <v>2</v>
      </c>
      <c r="F377">
        <v>8</v>
      </c>
      <c r="G377">
        <v>260</v>
      </c>
      <c r="H377">
        <v>10.199999999999999</v>
      </c>
      <c r="I377">
        <v>20.3</v>
      </c>
      <c r="J377">
        <v>13.1</v>
      </c>
      <c r="K377">
        <v>0</v>
      </c>
      <c r="L377">
        <v>24.1</v>
      </c>
      <c r="M377">
        <v>250</v>
      </c>
    </row>
    <row r="378" spans="1:13" x14ac:dyDescent="0.25">
      <c r="A378" t="s">
        <v>344</v>
      </c>
      <c r="B378" t="s">
        <v>495</v>
      </c>
      <c r="C378" t="s">
        <v>513</v>
      </c>
      <c r="D378" t="s">
        <v>514</v>
      </c>
      <c r="E378">
        <v>2</v>
      </c>
      <c r="F378">
        <v>8</v>
      </c>
      <c r="G378">
        <v>280</v>
      </c>
      <c r="H378">
        <v>10.199999999999999</v>
      </c>
      <c r="I378">
        <v>20.3</v>
      </c>
      <c r="J378">
        <v>13.1</v>
      </c>
      <c r="K378">
        <v>0</v>
      </c>
      <c r="L378">
        <v>24.1</v>
      </c>
      <c r="M378">
        <v>270</v>
      </c>
    </row>
    <row r="379" spans="1:13" x14ac:dyDescent="0.25">
      <c r="A379" t="s">
        <v>344</v>
      </c>
      <c r="B379" t="s">
        <v>495</v>
      </c>
      <c r="C379" t="s">
        <v>513</v>
      </c>
      <c r="D379" t="s">
        <v>514</v>
      </c>
      <c r="E379">
        <v>2</v>
      </c>
      <c r="F379">
        <v>8</v>
      </c>
      <c r="G379">
        <v>300</v>
      </c>
      <c r="H379">
        <v>10.199999999999999</v>
      </c>
      <c r="I379">
        <v>20.3</v>
      </c>
      <c r="J379">
        <v>13.1</v>
      </c>
      <c r="K379">
        <v>0</v>
      </c>
      <c r="L379">
        <v>24.1</v>
      </c>
      <c r="M379">
        <v>290</v>
      </c>
    </row>
    <row r="380" spans="1:13" x14ac:dyDescent="0.25">
      <c r="A380" t="s">
        <v>344</v>
      </c>
      <c r="B380" t="s">
        <v>495</v>
      </c>
      <c r="C380" t="s">
        <v>513</v>
      </c>
      <c r="D380" t="s">
        <v>514</v>
      </c>
      <c r="E380">
        <v>2</v>
      </c>
      <c r="F380">
        <v>8</v>
      </c>
      <c r="G380">
        <v>325</v>
      </c>
      <c r="H380">
        <v>10.199999999999999</v>
      </c>
      <c r="I380">
        <v>20.3</v>
      </c>
      <c r="J380">
        <v>13.1</v>
      </c>
      <c r="K380">
        <v>0</v>
      </c>
      <c r="L380">
        <v>24.1</v>
      </c>
      <c r="M380">
        <v>315</v>
      </c>
    </row>
    <row r="381" spans="1:13" x14ac:dyDescent="0.25">
      <c r="A381" t="s">
        <v>344</v>
      </c>
      <c r="B381" t="s">
        <v>495</v>
      </c>
      <c r="C381" t="s">
        <v>513</v>
      </c>
      <c r="D381" t="s">
        <v>514</v>
      </c>
      <c r="E381">
        <v>2</v>
      </c>
      <c r="F381">
        <v>8</v>
      </c>
      <c r="G381">
        <v>350</v>
      </c>
      <c r="H381">
        <v>10.199999999999999</v>
      </c>
      <c r="I381">
        <v>20.3</v>
      </c>
      <c r="J381">
        <v>13.1</v>
      </c>
      <c r="K381">
        <v>0</v>
      </c>
      <c r="L381">
        <v>24.1</v>
      </c>
      <c r="M381">
        <v>340</v>
      </c>
    </row>
    <row r="382" spans="1:13" x14ac:dyDescent="0.25">
      <c r="A382" t="s">
        <v>344</v>
      </c>
      <c r="B382" t="s">
        <v>495</v>
      </c>
      <c r="C382" t="s">
        <v>513</v>
      </c>
      <c r="D382" t="s">
        <v>514</v>
      </c>
      <c r="E382">
        <v>2</v>
      </c>
      <c r="F382">
        <v>8</v>
      </c>
      <c r="G382">
        <v>375</v>
      </c>
      <c r="H382">
        <v>10.199999999999999</v>
      </c>
      <c r="I382">
        <v>20.3</v>
      </c>
      <c r="J382">
        <v>13.1</v>
      </c>
      <c r="K382">
        <v>0</v>
      </c>
      <c r="L382">
        <v>24.1</v>
      </c>
      <c r="M382">
        <v>365</v>
      </c>
    </row>
    <row r="383" spans="1:13" x14ac:dyDescent="0.25">
      <c r="A383" t="s">
        <v>344</v>
      </c>
      <c r="B383" t="s">
        <v>495</v>
      </c>
      <c r="C383" t="s">
        <v>513</v>
      </c>
      <c r="D383" t="s">
        <v>514</v>
      </c>
      <c r="E383">
        <v>2</v>
      </c>
      <c r="F383">
        <v>8</v>
      </c>
      <c r="G383">
        <v>400</v>
      </c>
      <c r="H383">
        <v>10.199999999999999</v>
      </c>
      <c r="I383">
        <v>20.3</v>
      </c>
      <c r="J383">
        <v>13.1</v>
      </c>
      <c r="K383">
        <v>0</v>
      </c>
      <c r="L383">
        <v>24.1</v>
      </c>
      <c r="M383">
        <v>390</v>
      </c>
    </row>
    <row r="384" spans="1:13" x14ac:dyDescent="0.25">
      <c r="A384" t="s">
        <v>344</v>
      </c>
      <c r="B384" t="s">
        <v>495</v>
      </c>
      <c r="C384" t="s">
        <v>513</v>
      </c>
      <c r="D384" t="s">
        <v>515</v>
      </c>
      <c r="E384">
        <v>2</v>
      </c>
      <c r="F384">
        <v>8</v>
      </c>
      <c r="G384">
        <v>450</v>
      </c>
      <c r="H384">
        <v>10.199999999999999</v>
      </c>
      <c r="I384">
        <v>20.3</v>
      </c>
      <c r="J384">
        <v>13.1</v>
      </c>
      <c r="K384">
        <v>0</v>
      </c>
      <c r="L384">
        <v>24.1</v>
      </c>
      <c r="M384">
        <v>428</v>
      </c>
    </row>
    <row r="385" spans="1:13" x14ac:dyDescent="0.25">
      <c r="A385" t="s">
        <v>344</v>
      </c>
      <c r="B385" t="s">
        <v>495</v>
      </c>
      <c r="C385" t="s">
        <v>513</v>
      </c>
      <c r="D385" t="s">
        <v>515</v>
      </c>
      <c r="E385">
        <v>2</v>
      </c>
      <c r="F385">
        <v>8</v>
      </c>
      <c r="G385">
        <v>500</v>
      </c>
      <c r="H385">
        <v>10.199999999999999</v>
      </c>
      <c r="I385">
        <v>20.3</v>
      </c>
      <c r="J385">
        <v>13.1</v>
      </c>
      <c r="K385">
        <v>0</v>
      </c>
      <c r="L385">
        <v>24.1</v>
      </c>
      <c r="M385">
        <v>478</v>
      </c>
    </row>
    <row r="386" spans="1:13" x14ac:dyDescent="0.25">
      <c r="A386" t="s">
        <v>344</v>
      </c>
      <c r="B386" t="s">
        <v>495</v>
      </c>
      <c r="C386" t="s">
        <v>513</v>
      </c>
      <c r="D386" t="s">
        <v>515</v>
      </c>
      <c r="E386">
        <v>2</v>
      </c>
      <c r="F386">
        <v>8</v>
      </c>
      <c r="G386">
        <v>600</v>
      </c>
      <c r="H386">
        <v>10.199999999999999</v>
      </c>
      <c r="I386">
        <v>20.3</v>
      </c>
      <c r="J386">
        <v>13.1</v>
      </c>
      <c r="K386">
        <v>0</v>
      </c>
      <c r="L386">
        <v>24.1</v>
      </c>
      <c r="M386">
        <v>578</v>
      </c>
    </row>
    <row r="387" spans="1:13" x14ac:dyDescent="0.25">
      <c r="A387" t="s">
        <v>344</v>
      </c>
      <c r="B387" t="s">
        <v>495</v>
      </c>
      <c r="C387" t="s">
        <v>513</v>
      </c>
      <c r="D387" t="s">
        <v>515</v>
      </c>
      <c r="E387">
        <v>2</v>
      </c>
      <c r="F387">
        <v>10</v>
      </c>
      <c r="G387">
        <v>200</v>
      </c>
      <c r="H387">
        <v>13.4</v>
      </c>
      <c r="I387">
        <v>36.700000000000003</v>
      </c>
      <c r="J387">
        <v>12.5</v>
      </c>
      <c r="K387">
        <v>0</v>
      </c>
      <c r="L387">
        <v>40</v>
      </c>
      <c r="M387">
        <v>188</v>
      </c>
    </row>
    <row r="388" spans="1:13" x14ac:dyDescent="0.25">
      <c r="A388" t="s">
        <v>344</v>
      </c>
      <c r="B388" t="s">
        <v>495</v>
      </c>
      <c r="C388" t="s">
        <v>513</v>
      </c>
      <c r="D388" t="s">
        <v>515</v>
      </c>
      <c r="E388">
        <v>2</v>
      </c>
      <c r="F388">
        <v>10</v>
      </c>
      <c r="G388">
        <v>240</v>
      </c>
      <c r="H388">
        <v>13.4</v>
      </c>
      <c r="I388">
        <v>36.700000000000003</v>
      </c>
      <c r="J388">
        <v>12.5</v>
      </c>
      <c r="K388">
        <v>0</v>
      </c>
      <c r="L388">
        <v>40</v>
      </c>
      <c r="M388">
        <v>228</v>
      </c>
    </row>
    <row r="389" spans="1:13" x14ac:dyDescent="0.25">
      <c r="A389" t="s">
        <v>344</v>
      </c>
      <c r="B389" t="s">
        <v>495</v>
      </c>
      <c r="C389" t="s">
        <v>513</v>
      </c>
      <c r="D389" t="s">
        <v>515</v>
      </c>
      <c r="E389">
        <v>2</v>
      </c>
      <c r="F389">
        <v>10</v>
      </c>
      <c r="G389">
        <v>260</v>
      </c>
      <c r="H389">
        <v>13.4</v>
      </c>
      <c r="I389">
        <v>36.700000000000003</v>
      </c>
      <c r="J389">
        <v>12.5</v>
      </c>
      <c r="K389">
        <v>0</v>
      </c>
      <c r="L389">
        <v>40</v>
      </c>
      <c r="M389">
        <v>248</v>
      </c>
    </row>
    <row r="390" spans="1:13" x14ac:dyDescent="0.25">
      <c r="A390" t="s">
        <v>344</v>
      </c>
      <c r="B390" t="s">
        <v>495</v>
      </c>
      <c r="C390" t="s">
        <v>513</v>
      </c>
      <c r="D390" t="s">
        <v>515</v>
      </c>
      <c r="E390">
        <v>2</v>
      </c>
      <c r="F390">
        <v>10</v>
      </c>
      <c r="G390">
        <v>280</v>
      </c>
      <c r="H390">
        <v>13.4</v>
      </c>
      <c r="I390">
        <v>36.700000000000003</v>
      </c>
      <c r="J390">
        <v>12.5</v>
      </c>
      <c r="K390">
        <v>0</v>
      </c>
      <c r="L390">
        <v>40</v>
      </c>
      <c r="M390">
        <v>268</v>
      </c>
    </row>
    <row r="391" spans="1:13" x14ac:dyDescent="0.25">
      <c r="A391" t="s">
        <v>344</v>
      </c>
      <c r="B391" t="s">
        <v>495</v>
      </c>
      <c r="C391" t="s">
        <v>513</v>
      </c>
      <c r="D391" t="s">
        <v>515</v>
      </c>
      <c r="E391">
        <v>2</v>
      </c>
      <c r="F391">
        <v>10</v>
      </c>
      <c r="G391">
        <v>300</v>
      </c>
      <c r="H391">
        <v>13.4</v>
      </c>
      <c r="I391">
        <v>36.700000000000003</v>
      </c>
      <c r="J391">
        <v>12.5</v>
      </c>
      <c r="K391">
        <v>0</v>
      </c>
      <c r="L391">
        <v>40</v>
      </c>
      <c r="M391">
        <v>288</v>
      </c>
    </row>
    <row r="392" spans="1:13" x14ac:dyDescent="0.25">
      <c r="A392" t="s">
        <v>344</v>
      </c>
      <c r="B392" t="s">
        <v>495</v>
      </c>
      <c r="C392" t="s">
        <v>513</v>
      </c>
      <c r="D392" t="s">
        <v>515</v>
      </c>
      <c r="E392">
        <v>2</v>
      </c>
      <c r="F392">
        <v>10</v>
      </c>
      <c r="G392">
        <v>325</v>
      </c>
      <c r="H392">
        <v>13.4</v>
      </c>
      <c r="I392">
        <v>36.700000000000003</v>
      </c>
      <c r="J392">
        <v>12.5</v>
      </c>
      <c r="K392">
        <v>0</v>
      </c>
      <c r="L392">
        <v>40</v>
      </c>
      <c r="M392">
        <v>301</v>
      </c>
    </row>
    <row r="393" spans="1:13" x14ac:dyDescent="0.25">
      <c r="A393" t="s">
        <v>344</v>
      </c>
      <c r="B393" t="s">
        <v>495</v>
      </c>
      <c r="C393" t="s">
        <v>513</v>
      </c>
      <c r="D393" t="s">
        <v>515</v>
      </c>
      <c r="E393">
        <v>2</v>
      </c>
      <c r="F393">
        <v>10</v>
      </c>
      <c r="G393">
        <v>350</v>
      </c>
      <c r="H393">
        <v>13.4</v>
      </c>
      <c r="I393">
        <v>36.700000000000003</v>
      </c>
      <c r="J393">
        <v>12.5</v>
      </c>
      <c r="K393">
        <v>0</v>
      </c>
      <c r="L393">
        <v>40</v>
      </c>
      <c r="M393">
        <v>326</v>
      </c>
    </row>
    <row r="394" spans="1:13" x14ac:dyDescent="0.25">
      <c r="A394" t="s">
        <v>344</v>
      </c>
      <c r="B394" t="s">
        <v>495</v>
      </c>
      <c r="C394" t="s">
        <v>513</v>
      </c>
      <c r="D394" t="s">
        <v>515</v>
      </c>
      <c r="E394">
        <v>2</v>
      </c>
      <c r="F394">
        <v>10</v>
      </c>
      <c r="G394">
        <v>375</v>
      </c>
      <c r="H394">
        <v>13.4</v>
      </c>
      <c r="I394">
        <v>36.700000000000003</v>
      </c>
      <c r="J394">
        <v>12.5</v>
      </c>
      <c r="K394">
        <v>0</v>
      </c>
      <c r="L394">
        <v>40</v>
      </c>
      <c r="M394">
        <v>351</v>
      </c>
    </row>
    <row r="395" spans="1:13" x14ac:dyDescent="0.25">
      <c r="A395" t="s">
        <v>344</v>
      </c>
      <c r="B395" t="s">
        <v>495</v>
      </c>
      <c r="C395" t="s">
        <v>513</v>
      </c>
      <c r="D395" t="s">
        <v>515</v>
      </c>
      <c r="E395">
        <v>2</v>
      </c>
      <c r="F395">
        <v>10</v>
      </c>
      <c r="G395">
        <v>400</v>
      </c>
      <c r="H395">
        <v>13.4</v>
      </c>
      <c r="I395">
        <v>36.700000000000003</v>
      </c>
      <c r="J395">
        <v>12.5</v>
      </c>
      <c r="K395">
        <v>0</v>
      </c>
      <c r="L395">
        <v>40</v>
      </c>
      <c r="M395">
        <v>376</v>
      </c>
    </row>
    <row r="396" spans="1:13" x14ac:dyDescent="0.25">
      <c r="A396" t="s">
        <v>344</v>
      </c>
      <c r="B396" t="s">
        <v>495</v>
      </c>
      <c r="C396" t="s">
        <v>513</v>
      </c>
      <c r="D396" t="s">
        <v>515</v>
      </c>
      <c r="E396">
        <v>2</v>
      </c>
      <c r="F396">
        <v>10</v>
      </c>
      <c r="G396">
        <v>450</v>
      </c>
      <c r="H396">
        <v>13.4</v>
      </c>
      <c r="I396">
        <v>36.700000000000003</v>
      </c>
      <c r="J396">
        <v>12.5</v>
      </c>
      <c r="K396">
        <v>0</v>
      </c>
      <c r="L396">
        <v>40</v>
      </c>
      <c r="M396">
        <v>426</v>
      </c>
    </row>
    <row r="397" spans="1:13" x14ac:dyDescent="0.25">
      <c r="A397" t="s">
        <v>344</v>
      </c>
      <c r="B397" t="s">
        <v>495</v>
      </c>
      <c r="C397" t="s">
        <v>513</v>
      </c>
      <c r="D397" t="s">
        <v>515</v>
      </c>
      <c r="E397">
        <v>2</v>
      </c>
      <c r="F397">
        <v>10</v>
      </c>
      <c r="G397">
        <v>500</v>
      </c>
      <c r="H397">
        <v>13.4</v>
      </c>
      <c r="I397">
        <v>36.700000000000003</v>
      </c>
      <c r="J397">
        <v>12.5</v>
      </c>
      <c r="K397">
        <v>0</v>
      </c>
      <c r="L397">
        <v>40</v>
      </c>
      <c r="M397">
        <v>476</v>
      </c>
    </row>
    <row r="398" spans="1:13" x14ac:dyDescent="0.25">
      <c r="A398" t="s">
        <v>344</v>
      </c>
      <c r="B398" t="s">
        <v>495</v>
      </c>
      <c r="C398" t="s">
        <v>513</v>
      </c>
      <c r="D398" t="s">
        <v>515</v>
      </c>
      <c r="E398">
        <v>2</v>
      </c>
      <c r="F398">
        <v>10</v>
      </c>
      <c r="G398">
        <v>600</v>
      </c>
      <c r="H398">
        <v>13.4</v>
      </c>
      <c r="I398">
        <v>36.700000000000003</v>
      </c>
      <c r="J398">
        <v>12.5</v>
      </c>
      <c r="K398">
        <v>0</v>
      </c>
      <c r="L398">
        <v>40</v>
      </c>
      <c r="M398">
        <v>576</v>
      </c>
    </row>
    <row r="399" spans="1:13" x14ac:dyDescent="0.25">
      <c r="A399" t="s">
        <v>344</v>
      </c>
      <c r="B399" t="s">
        <v>495</v>
      </c>
      <c r="C399" t="s">
        <v>513</v>
      </c>
      <c r="D399" t="s">
        <v>515</v>
      </c>
      <c r="E399">
        <v>2</v>
      </c>
      <c r="F399">
        <v>10</v>
      </c>
      <c r="G399">
        <v>700</v>
      </c>
      <c r="H399">
        <v>13.4</v>
      </c>
      <c r="I399">
        <v>36.700000000000003</v>
      </c>
      <c r="J399">
        <v>12.5</v>
      </c>
      <c r="K399">
        <v>0</v>
      </c>
      <c r="L399">
        <v>40</v>
      </c>
      <c r="M399">
        <v>676</v>
      </c>
    </row>
    <row r="400" spans="1:13" x14ac:dyDescent="0.25">
      <c r="A400" t="s">
        <v>344</v>
      </c>
      <c r="B400" t="s">
        <v>495</v>
      </c>
      <c r="C400" t="s">
        <v>513</v>
      </c>
      <c r="D400" t="s">
        <v>515</v>
      </c>
      <c r="E400">
        <v>2</v>
      </c>
      <c r="F400">
        <v>10</v>
      </c>
      <c r="G400">
        <v>800</v>
      </c>
      <c r="H400">
        <v>13.4</v>
      </c>
      <c r="I400">
        <v>36.700000000000003</v>
      </c>
      <c r="J400">
        <v>12.5</v>
      </c>
      <c r="K400">
        <v>0</v>
      </c>
      <c r="L400">
        <v>40</v>
      </c>
      <c r="M400">
        <v>776</v>
      </c>
    </row>
    <row r="401" spans="1:13" x14ac:dyDescent="0.25">
      <c r="A401" t="s">
        <v>344</v>
      </c>
      <c r="B401" t="s">
        <v>495</v>
      </c>
      <c r="C401" t="s">
        <v>513</v>
      </c>
      <c r="D401" t="s">
        <v>515</v>
      </c>
      <c r="E401">
        <v>2</v>
      </c>
      <c r="F401">
        <v>10</v>
      </c>
      <c r="G401">
        <v>1000</v>
      </c>
      <c r="H401">
        <v>13.4</v>
      </c>
      <c r="I401">
        <v>36.700000000000003</v>
      </c>
      <c r="J401">
        <v>12.5</v>
      </c>
      <c r="K401">
        <v>0</v>
      </c>
      <c r="L401">
        <v>40</v>
      </c>
      <c r="M401">
        <v>976</v>
      </c>
    </row>
    <row r="402" spans="1:13" x14ac:dyDescent="0.25">
      <c r="A402" t="s">
        <v>344</v>
      </c>
      <c r="B402" t="s">
        <v>495</v>
      </c>
      <c r="C402" t="s">
        <v>516</v>
      </c>
      <c r="D402" t="s">
        <v>517</v>
      </c>
      <c r="E402">
        <v>2</v>
      </c>
      <c r="F402">
        <v>8</v>
      </c>
      <c r="G402">
        <v>120</v>
      </c>
      <c r="H402">
        <v>15</v>
      </c>
      <c r="I402">
        <v>20.3</v>
      </c>
      <c r="J402">
        <v>13.1</v>
      </c>
      <c r="K402">
        <v>12.4</v>
      </c>
      <c r="L402">
        <v>24.1</v>
      </c>
      <c r="M402">
        <v>110</v>
      </c>
    </row>
    <row r="403" spans="1:13" x14ac:dyDescent="0.25">
      <c r="A403" t="s">
        <v>344</v>
      </c>
      <c r="B403" t="s">
        <v>495</v>
      </c>
      <c r="C403" t="s">
        <v>516</v>
      </c>
      <c r="D403" t="s">
        <v>517</v>
      </c>
      <c r="E403">
        <v>2</v>
      </c>
      <c r="F403">
        <v>8</v>
      </c>
      <c r="G403">
        <v>140</v>
      </c>
      <c r="H403">
        <v>15</v>
      </c>
      <c r="I403">
        <v>20.3</v>
      </c>
      <c r="J403">
        <v>13.1</v>
      </c>
      <c r="K403">
        <v>12.4</v>
      </c>
      <c r="L403">
        <v>24.1</v>
      </c>
      <c r="M403">
        <v>130</v>
      </c>
    </row>
    <row r="404" spans="1:13" x14ac:dyDescent="0.25">
      <c r="A404" t="s">
        <v>344</v>
      </c>
      <c r="B404" t="s">
        <v>495</v>
      </c>
      <c r="C404" t="s">
        <v>516</v>
      </c>
      <c r="D404" t="s">
        <v>517</v>
      </c>
      <c r="E404">
        <v>2</v>
      </c>
      <c r="F404">
        <v>8</v>
      </c>
      <c r="G404">
        <v>160</v>
      </c>
      <c r="H404">
        <v>15</v>
      </c>
      <c r="I404">
        <v>20.3</v>
      </c>
      <c r="J404">
        <v>13.1</v>
      </c>
      <c r="K404">
        <v>12.4</v>
      </c>
      <c r="L404">
        <v>24.1</v>
      </c>
      <c r="M404">
        <v>150</v>
      </c>
    </row>
    <row r="405" spans="1:13" x14ac:dyDescent="0.25">
      <c r="A405" t="s">
        <v>344</v>
      </c>
      <c r="B405" t="s">
        <v>495</v>
      </c>
      <c r="C405" t="s">
        <v>516</v>
      </c>
      <c r="D405" t="s">
        <v>517</v>
      </c>
      <c r="E405">
        <v>2</v>
      </c>
      <c r="F405">
        <v>8</v>
      </c>
      <c r="G405">
        <v>180</v>
      </c>
      <c r="H405">
        <v>15</v>
      </c>
      <c r="I405">
        <v>20.3</v>
      </c>
      <c r="J405">
        <v>13.1</v>
      </c>
      <c r="K405">
        <v>12.4</v>
      </c>
      <c r="L405">
        <v>24.1</v>
      </c>
      <c r="M405">
        <v>170</v>
      </c>
    </row>
    <row r="406" spans="1:13" x14ac:dyDescent="0.25">
      <c r="A406" t="s">
        <v>344</v>
      </c>
      <c r="B406" t="s">
        <v>495</v>
      </c>
      <c r="C406" t="s">
        <v>516</v>
      </c>
      <c r="D406" t="s">
        <v>517</v>
      </c>
      <c r="E406">
        <v>2</v>
      </c>
      <c r="F406">
        <v>8</v>
      </c>
      <c r="G406">
        <v>200</v>
      </c>
      <c r="H406">
        <v>15</v>
      </c>
      <c r="I406">
        <v>20.3</v>
      </c>
      <c r="J406">
        <v>13.1</v>
      </c>
      <c r="K406">
        <v>12.4</v>
      </c>
      <c r="L406">
        <v>24.1</v>
      </c>
      <c r="M406">
        <v>190</v>
      </c>
    </row>
    <row r="407" spans="1:13" x14ac:dyDescent="0.25">
      <c r="A407" t="s">
        <v>344</v>
      </c>
      <c r="B407" t="s">
        <v>495</v>
      </c>
      <c r="C407" t="s">
        <v>516</v>
      </c>
      <c r="D407" t="s">
        <v>517</v>
      </c>
      <c r="E407">
        <v>2</v>
      </c>
      <c r="F407">
        <v>8</v>
      </c>
      <c r="G407">
        <v>220</v>
      </c>
      <c r="H407">
        <v>15</v>
      </c>
      <c r="I407">
        <v>20.3</v>
      </c>
      <c r="J407">
        <v>13.1</v>
      </c>
      <c r="K407">
        <v>12.4</v>
      </c>
      <c r="L407">
        <v>24.1</v>
      </c>
      <c r="M407">
        <v>210</v>
      </c>
    </row>
    <row r="408" spans="1:13" x14ac:dyDescent="0.25">
      <c r="A408" t="s">
        <v>344</v>
      </c>
      <c r="B408" t="s">
        <v>495</v>
      </c>
      <c r="C408" t="s">
        <v>516</v>
      </c>
      <c r="D408" t="s">
        <v>517</v>
      </c>
      <c r="E408">
        <v>2</v>
      </c>
      <c r="F408">
        <v>8</v>
      </c>
      <c r="G408">
        <v>240</v>
      </c>
      <c r="H408">
        <v>15</v>
      </c>
      <c r="I408">
        <v>20.3</v>
      </c>
      <c r="J408">
        <v>13.1</v>
      </c>
      <c r="K408">
        <v>12.4</v>
      </c>
      <c r="L408">
        <v>24.1</v>
      </c>
      <c r="M408">
        <v>230</v>
      </c>
    </row>
    <row r="409" spans="1:13" x14ac:dyDescent="0.25">
      <c r="A409" t="s">
        <v>344</v>
      </c>
      <c r="B409" t="s">
        <v>495</v>
      </c>
      <c r="C409" t="s">
        <v>516</v>
      </c>
      <c r="D409" t="s">
        <v>517</v>
      </c>
      <c r="E409">
        <v>2</v>
      </c>
      <c r="F409">
        <v>8</v>
      </c>
      <c r="G409">
        <v>260</v>
      </c>
      <c r="H409">
        <v>15</v>
      </c>
      <c r="I409">
        <v>20.3</v>
      </c>
      <c r="J409">
        <v>13.1</v>
      </c>
      <c r="K409">
        <v>12.4</v>
      </c>
      <c r="L409">
        <v>24.1</v>
      </c>
      <c r="M409">
        <v>250</v>
      </c>
    </row>
    <row r="410" spans="1:13" x14ac:dyDescent="0.25">
      <c r="A410" t="s">
        <v>344</v>
      </c>
      <c r="B410" t="s">
        <v>495</v>
      </c>
      <c r="C410" t="s">
        <v>516</v>
      </c>
      <c r="D410" t="s">
        <v>517</v>
      </c>
      <c r="E410">
        <v>2</v>
      </c>
      <c r="F410">
        <v>8</v>
      </c>
      <c r="G410">
        <v>280</v>
      </c>
      <c r="H410">
        <v>15</v>
      </c>
      <c r="I410">
        <v>20.3</v>
      </c>
      <c r="J410">
        <v>13.1</v>
      </c>
      <c r="K410">
        <v>12.4</v>
      </c>
      <c r="L410">
        <v>24.1</v>
      </c>
      <c r="M410">
        <v>270</v>
      </c>
    </row>
    <row r="411" spans="1:13" x14ac:dyDescent="0.25">
      <c r="A411" t="s">
        <v>344</v>
      </c>
      <c r="B411" t="s">
        <v>495</v>
      </c>
      <c r="C411" t="s">
        <v>516</v>
      </c>
      <c r="D411" t="s">
        <v>517</v>
      </c>
      <c r="E411">
        <v>2</v>
      </c>
      <c r="F411">
        <v>8</v>
      </c>
      <c r="G411">
        <v>300</v>
      </c>
      <c r="H411">
        <v>15</v>
      </c>
      <c r="I411">
        <v>20.3</v>
      </c>
      <c r="J411">
        <v>13.1</v>
      </c>
      <c r="K411">
        <v>12.4</v>
      </c>
      <c r="L411">
        <v>24.1</v>
      </c>
      <c r="M411">
        <v>290</v>
      </c>
    </row>
    <row r="412" spans="1:13" x14ac:dyDescent="0.25">
      <c r="A412" t="s">
        <v>344</v>
      </c>
      <c r="B412" t="s">
        <v>495</v>
      </c>
      <c r="C412" t="s">
        <v>516</v>
      </c>
      <c r="D412" t="s">
        <v>517</v>
      </c>
      <c r="E412">
        <v>2</v>
      </c>
      <c r="F412">
        <v>8</v>
      </c>
      <c r="G412">
        <v>325</v>
      </c>
      <c r="H412">
        <v>15</v>
      </c>
      <c r="I412">
        <v>20.3</v>
      </c>
      <c r="J412">
        <v>13.1</v>
      </c>
      <c r="K412">
        <v>12.4</v>
      </c>
      <c r="L412">
        <v>24.1</v>
      </c>
      <c r="M412">
        <v>315</v>
      </c>
    </row>
    <row r="413" spans="1:13" x14ac:dyDescent="0.25">
      <c r="A413" t="s">
        <v>344</v>
      </c>
      <c r="B413" t="s">
        <v>495</v>
      </c>
      <c r="C413" t="s">
        <v>516</v>
      </c>
      <c r="D413" t="s">
        <v>517</v>
      </c>
      <c r="E413">
        <v>2</v>
      </c>
      <c r="F413">
        <v>8</v>
      </c>
      <c r="G413">
        <v>350</v>
      </c>
      <c r="H413">
        <v>15</v>
      </c>
      <c r="I413">
        <v>20.3</v>
      </c>
      <c r="J413">
        <v>13.1</v>
      </c>
      <c r="K413">
        <v>12.4</v>
      </c>
      <c r="L413">
        <v>24.1</v>
      </c>
      <c r="M413">
        <v>340</v>
      </c>
    </row>
    <row r="414" spans="1:13" x14ac:dyDescent="0.25">
      <c r="A414" t="s">
        <v>344</v>
      </c>
      <c r="B414" t="s">
        <v>495</v>
      </c>
      <c r="C414" t="s">
        <v>516</v>
      </c>
      <c r="D414" t="s">
        <v>517</v>
      </c>
      <c r="E414">
        <v>2</v>
      </c>
      <c r="F414">
        <v>8</v>
      </c>
      <c r="G414">
        <v>375</v>
      </c>
      <c r="H414">
        <v>15</v>
      </c>
      <c r="I414">
        <v>20.3</v>
      </c>
      <c r="J414">
        <v>13.1</v>
      </c>
      <c r="K414">
        <v>12.4</v>
      </c>
      <c r="L414">
        <v>24.1</v>
      </c>
      <c r="M414">
        <v>365</v>
      </c>
    </row>
    <row r="415" spans="1:13" x14ac:dyDescent="0.25">
      <c r="A415" t="s">
        <v>344</v>
      </c>
      <c r="B415" t="s">
        <v>495</v>
      </c>
      <c r="C415" t="s">
        <v>516</v>
      </c>
      <c r="D415" t="s">
        <v>517</v>
      </c>
      <c r="E415">
        <v>2</v>
      </c>
      <c r="F415">
        <v>8</v>
      </c>
      <c r="G415">
        <v>400</v>
      </c>
      <c r="H415">
        <v>15</v>
      </c>
      <c r="I415">
        <v>20.3</v>
      </c>
      <c r="J415">
        <v>13.1</v>
      </c>
      <c r="K415">
        <v>12.4</v>
      </c>
      <c r="L415">
        <v>24.1</v>
      </c>
      <c r="M415">
        <v>390</v>
      </c>
    </row>
    <row r="416" spans="1:13" x14ac:dyDescent="0.25">
      <c r="A416" t="s">
        <v>344</v>
      </c>
      <c r="B416" t="s">
        <v>495</v>
      </c>
      <c r="C416" t="s">
        <v>516</v>
      </c>
      <c r="D416" t="s">
        <v>517</v>
      </c>
      <c r="E416">
        <v>2</v>
      </c>
      <c r="F416">
        <v>8</v>
      </c>
      <c r="G416">
        <v>450</v>
      </c>
      <c r="H416">
        <v>15</v>
      </c>
      <c r="I416">
        <v>20.3</v>
      </c>
      <c r="J416">
        <v>13.1</v>
      </c>
      <c r="K416">
        <v>12.4</v>
      </c>
      <c r="L416">
        <v>24.1</v>
      </c>
      <c r="M416">
        <v>428</v>
      </c>
    </row>
    <row r="417" spans="1:13" x14ac:dyDescent="0.25">
      <c r="A417" t="s">
        <v>344</v>
      </c>
      <c r="B417" t="s">
        <v>495</v>
      </c>
      <c r="C417" t="s">
        <v>516</v>
      </c>
      <c r="D417" t="s">
        <v>517</v>
      </c>
      <c r="E417">
        <v>2</v>
      </c>
      <c r="F417">
        <v>8</v>
      </c>
      <c r="G417">
        <v>500</v>
      </c>
      <c r="H417">
        <v>15</v>
      </c>
      <c r="I417">
        <v>20.3</v>
      </c>
      <c r="J417">
        <v>13.1</v>
      </c>
      <c r="K417">
        <v>12.4</v>
      </c>
      <c r="L417">
        <v>24.1</v>
      </c>
      <c r="M417">
        <v>478</v>
      </c>
    </row>
    <row r="418" spans="1:13" x14ac:dyDescent="0.25">
      <c r="A418" t="s">
        <v>344</v>
      </c>
      <c r="B418" t="s">
        <v>495</v>
      </c>
      <c r="C418" t="s">
        <v>516</v>
      </c>
      <c r="D418" t="s">
        <v>517</v>
      </c>
      <c r="E418">
        <v>2</v>
      </c>
      <c r="F418">
        <v>8</v>
      </c>
      <c r="G418">
        <v>600</v>
      </c>
      <c r="H418">
        <v>15</v>
      </c>
      <c r="I418">
        <v>20.3</v>
      </c>
      <c r="J418">
        <v>13.1</v>
      </c>
      <c r="K418">
        <v>12.4</v>
      </c>
      <c r="L418">
        <v>24.1</v>
      </c>
      <c r="M418">
        <v>578</v>
      </c>
    </row>
    <row r="419" spans="1:13" x14ac:dyDescent="0.25">
      <c r="A419" t="s">
        <v>344</v>
      </c>
      <c r="B419" t="s">
        <v>495</v>
      </c>
      <c r="C419" t="s">
        <v>516</v>
      </c>
      <c r="D419" t="s">
        <v>517</v>
      </c>
      <c r="E419">
        <v>2</v>
      </c>
      <c r="F419">
        <v>10</v>
      </c>
      <c r="G419">
        <v>120</v>
      </c>
      <c r="H419">
        <v>18.5</v>
      </c>
      <c r="I419">
        <v>36.700000000000003</v>
      </c>
      <c r="J419">
        <v>12.5</v>
      </c>
      <c r="K419">
        <v>12.2</v>
      </c>
      <c r="L419">
        <v>40</v>
      </c>
      <c r="M419">
        <v>108</v>
      </c>
    </row>
    <row r="420" spans="1:13" x14ac:dyDescent="0.25">
      <c r="A420" t="s">
        <v>344</v>
      </c>
      <c r="B420" t="s">
        <v>495</v>
      </c>
      <c r="C420" t="s">
        <v>516</v>
      </c>
      <c r="D420" t="s">
        <v>517</v>
      </c>
      <c r="E420">
        <v>2</v>
      </c>
      <c r="F420">
        <v>10</v>
      </c>
      <c r="G420">
        <v>160</v>
      </c>
      <c r="H420">
        <v>18.5</v>
      </c>
      <c r="I420">
        <v>36.700000000000003</v>
      </c>
      <c r="J420">
        <v>12.5</v>
      </c>
      <c r="K420">
        <v>12.2</v>
      </c>
      <c r="L420">
        <v>40</v>
      </c>
      <c r="M420">
        <v>148</v>
      </c>
    </row>
    <row r="421" spans="1:13" x14ac:dyDescent="0.25">
      <c r="A421" t="s">
        <v>344</v>
      </c>
      <c r="B421" t="s">
        <v>495</v>
      </c>
      <c r="C421" t="s">
        <v>516</v>
      </c>
      <c r="D421" t="s">
        <v>517</v>
      </c>
      <c r="E421">
        <v>2</v>
      </c>
      <c r="F421">
        <v>10</v>
      </c>
      <c r="G421">
        <v>180</v>
      </c>
      <c r="H421">
        <v>18.5</v>
      </c>
      <c r="I421">
        <v>36.700000000000003</v>
      </c>
      <c r="J421">
        <v>12.5</v>
      </c>
      <c r="K421">
        <v>12.2</v>
      </c>
      <c r="L421">
        <v>40</v>
      </c>
      <c r="M421">
        <v>168</v>
      </c>
    </row>
    <row r="422" spans="1:13" x14ac:dyDescent="0.25">
      <c r="A422" t="s">
        <v>344</v>
      </c>
      <c r="B422" t="s">
        <v>495</v>
      </c>
      <c r="C422" t="s">
        <v>516</v>
      </c>
      <c r="D422" t="s">
        <v>517</v>
      </c>
      <c r="E422">
        <v>2</v>
      </c>
      <c r="F422">
        <v>10</v>
      </c>
      <c r="G422">
        <v>200</v>
      </c>
      <c r="H422">
        <v>18.5</v>
      </c>
      <c r="I422">
        <v>36.700000000000003</v>
      </c>
      <c r="J422">
        <v>12.5</v>
      </c>
      <c r="K422">
        <v>12.2</v>
      </c>
      <c r="L422">
        <v>40</v>
      </c>
      <c r="M422">
        <v>188</v>
      </c>
    </row>
    <row r="423" spans="1:13" x14ac:dyDescent="0.25">
      <c r="A423" t="s">
        <v>344</v>
      </c>
      <c r="B423" t="s">
        <v>495</v>
      </c>
      <c r="C423" t="s">
        <v>516</v>
      </c>
      <c r="D423" t="s">
        <v>517</v>
      </c>
      <c r="E423">
        <v>2</v>
      </c>
      <c r="F423">
        <v>10</v>
      </c>
      <c r="G423">
        <v>220</v>
      </c>
      <c r="H423">
        <v>18.5</v>
      </c>
      <c r="I423">
        <v>36.700000000000003</v>
      </c>
      <c r="J423">
        <v>12.5</v>
      </c>
      <c r="K423">
        <v>12.2</v>
      </c>
      <c r="L423">
        <v>40</v>
      </c>
      <c r="M423">
        <v>208</v>
      </c>
    </row>
    <row r="424" spans="1:13" x14ac:dyDescent="0.25">
      <c r="A424" t="s">
        <v>344</v>
      </c>
      <c r="B424" t="s">
        <v>495</v>
      </c>
      <c r="C424" t="s">
        <v>516</v>
      </c>
      <c r="D424" t="s">
        <v>517</v>
      </c>
      <c r="E424">
        <v>2</v>
      </c>
      <c r="F424">
        <v>10</v>
      </c>
      <c r="G424">
        <v>240</v>
      </c>
      <c r="H424">
        <v>18.5</v>
      </c>
      <c r="I424">
        <v>36.700000000000003</v>
      </c>
      <c r="J424">
        <v>12.5</v>
      </c>
      <c r="K424">
        <v>12.2</v>
      </c>
      <c r="L424">
        <v>40</v>
      </c>
      <c r="M424">
        <v>228</v>
      </c>
    </row>
    <row r="425" spans="1:13" x14ac:dyDescent="0.25">
      <c r="A425" t="s">
        <v>344</v>
      </c>
      <c r="B425" t="s">
        <v>495</v>
      </c>
      <c r="C425" t="s">
        <v>516</v>
      </c>
      <c r="D425" t="s">
        <v>517</v>
      </c>
      <c r="E425">
        <v>2</v>
      </c>
      <c r="F425">
        <v>10</v>
      </c>
      <c r="G425">
        <v>260</v>
      </c>
      <c r="H425">
        <v>18.5</v>
      </c>
      <c r="I425">
        <v>36.700000000000003</v>
      </c>
      <c r="J425">
        <v>12.5</v>
      </c>
      <c r="K425">
        <v>12.2</v>
      </c>
      <c r="L425">
        <v>40</v>
      </c>
      <c r="M425">
        <v>248</v>
      </c>
    </row>
    <row r="426" spans="1:13" x14ac:dyDescent="0.25">
      <c r="A426" t="s">
        <v>344</v>
      </c>
      <c r="B426" t="s">
        <v>495</v>
      </c>
      <c r="C426" t="s">
        <v>516</v>
      </c>
      <c r="D426" t="s">
        <v>517</v>
      </c>
      <c r="E426">
        <v>2</v>
      </c>
      <c r="F426">
        <v>10</v>
      </c>
      <c r="G426">
        <v>280</v>
      </c>
      <c r="H426">
        <v>18.5</v>
      </c>
      <c r="I426">
        <v>36.700000000000003</v>
      </c>
      <c r="J426">
        <v>12.5</v>
      </c>
      <c r="K426">
        <v>12.2</v>
      </c>
      <c r="L426">
        <v>40</v>
      </c>
      <c r="M426">
        <v>268</v>
      </c>
    </row>
    <row r="427" spans="1:13" x14ac:dyDescent="0.25">
      <c r="A427" t="s">
        <v>344</v>
      </c>
      <c r="B427" t="s">
        <v>495</v>
      </c>
      <c r="C427" t="s">
        <v>516</v>
      </c>
      <c r="D427" t="s">
        <v>517</v>
      </c>
      <c r="E427">
        <v>2</v>
      </c>
      <c r="F427">
        <v>10</v>
      </c>
      <c r="G427">
        <v>300</v>
      </c>
      <c r="H427">
        <v>18.5</v>
      </c>
      <c r="I427">
        <v>36.700000000000003</v>
      </c>
      <c r="J427">
        <v>12.5</v>
      </c>
      <c r="K427">
        <v>12.2</v>
      </c>
      <c r="L427">
        <v>40</v>
      </c>
      <c r="M427">
        <v>288</v>
      </c>
    </row>
    <row r="428" spans="1:13" x14ac:dyDescent="0.25">
      <c r="A428" t="s">
        <v>344</v>
      </c>
      <c r="B428" t="s">
        <v>495</v>
      </c>
      <c r="C428" t="s">
        <v>516</v>
      </c>
      <c r="D428" t="s">
        <v>517</v>
      </c>
      <c r="E428">
        <v>2</v>
      </c>
      <c r="F428">
        <v>10</v>
      </c>
      <c r="G428">
        <v>325</v>
      </c>
      <c r="H428">
        <v>18.5</v>
      </c>
      <c r="I428">
        <v>36.700000000000003</v>
      </c>
      <c r="J428">
        <v>12.5</v>
      </c>
      <c r="K428">
        <v>12.2</v>
      </c>
      <c r="L428">
        <v>40</v>
      </c>
      <c r="M428">
        <v>301</v>
      </c>
    </row>
    <row r="429" spans="1:13" x14ac:dyDescent="0.25">
      <c r="A429" t="s">
        <v>344</v>
      </c>
      <c r="B429" t="s">
        <v>495</v>
      </c>
      <c r="C429" t="s">
        <v>516</v>
      </c>
      <c r="D429" t="s">
        <v>517</v>
      </c>
      <c r="E429">
        <v>2</v>
      </c>
      <c r="F429">
        <v>10</v>
      </c>
      <c r="G429">
        <v>350</v>
      </c>
      <c r="H429">
        <v>18.5</v>
      </c>
      <c r="I429">
        <v>36.700000000000003</v>
      </c>
      <c r="J429">
        <v>12.5</v>
      </c>
      <c r="K429">
        <v>12.2</v>
      </c>
      <c r="L429">
        <v>40</v>
      </c>
      <c r="M429">
        <v>326</v>
      </c>
    </row>
    <row r="430" spans="1:13" x14ac:dyDescent="0.25">
      <c r="A430" t="s">
        <v>344</v>
      </c>
      <c r="B430" t="s">
        <v>495</v>
      </c>
      <c r="C430" t="s">
        <v>516</v>
      </c>
      <c r="D430" t="s">
        <v>517</v>
      </c>
      <c r="E430">
        <v>2</v>
      </c>
      <c r="F430">
        <v>10</v>
      </c>
      <c r="G430">
        <v>375</v>
      </c>
      <c r="H430">
        <v>18.5</v>
      </c>
      <c r="I430">
        <v>36.700000000000003</v>
      </c>
      <c r="J430">
        <v>12.5</v>
      </c>
      <c r="K430">
        <v>12.2</v>
      </c>
      <c r="L430">
        <v>40</v>
      </c>
      <c r="M430">
        <v>351</v>
      </c>
    </row>
    <row r="431" spans="1:13" x14ac:dyDescent="0.25">
      <c r="A431" t="s">
        <v>344</v>
      </c>
      <c r="B431" t="s">
        <v>495</v>
      </c>
      <c r="C431" t="s">
        <v>516</v>
      </c>
      <c r="D431" t="s">
        <v>517</v>
      </c>
      <c r="E431">
        <v>2</v>
      </c>
      <c r="F431">
        <v>10</v>
      </c>
      <c r="G431">
        <v>400</v>
      </c>
      <c r="H431">
        <v>18.5</v>
      </c>
      <c r="I431">
        <v>36.700000000000003</v>
      </c>
      <c r="J431">
        <v>12.5</v>
      </c>
      <c r="K431">
        <v>12.2</v>
      </c>
      <c r="L431">
        <v>40</v>
      </c>
      <c r="M431">
        <v>376</v>
      </c>
    </row>
    <row r="432" spans="1:13" x14ac:dyDescent="0.25">
      <c r="A432" t="s">
        <v>344</v>
      </c>
      <c r="B432" t="s">
        <v>495</v>
      </c>
      <c r="C432" t="s">
        <v>516</v>
      </c>
      <c r="D432" t="s">
        <v>517</v>
      </c>
      <c r="E432">
        <v>2</v>
      </c>
      <c r="F432">
        <v>10</v>
      </c>
      <c r="G432">
        <v>450</v>
      </c>
      <c r="H432">
        <v>18.5</v>
      </c>
      <c r="I432">
        <v>36.700000000000003</v>
      </c>
      <c r="J432">
        <v>12.5</v>
      </c>
      <c r="K432">
        <v>12.2</v>
      </c>
      <c r="L432">
        <v>40</v>
      </c>
      <c r="M432">
        <v>426</v>
      </c>
    </row>
    <row r="433" spans="1:13" x14ac:dyDescent="0.25">
      <c r="A433" t="s">
        <v>344</v>
      </c>
      <c r="B433" t="s">
        <v>495</v>
      </c>
      <c r="C433" t="s">
        <v>516</v>
      </c>
      <c r="D433" t="s">
        <v>517</v>
      </c>
      <c r="E433">
        <v>2</v>
      </c>
      <c r="F433">
        <v>10</v>
      </c>
      <c r="G433">
        <v>500</v>
      </c>
      <c r="H433">
        <v>18.5</v>
      </c>
      <c r="I433">
        <v>36.700000000000003</v>
      </c>
      <c r="J433">
        <v>12.5</v>
      </c>
      <c r="K433">
        <v>12.2</v>
      </c>
      <c r="L433">
        <v>40</v>
      </c>
      <c r="M433">
        <v>476</v>
      </c>
    </row>
    <row r="434" spans="1:13" x14ac:dyDescent="0.25">
      <c r="A434" t="s">
        <v>344</v>
      </c>
      <c r="B434" t="s">
        <v>495</v>
      </c>
      <c r="C434" t="s">
        <v>516</v>
      </c>
      <c r="D434" t="s">
        <v>517</v>
      </c>
      <c r="E434">
        <v>2</v>
      </c>
      <c r="F434">
        <v>10</v>
      </c>
      <c r="G434">
        <v>600</v>
      </c>
      <c r="H434">
        <v>18.5</v>
      </c>
      <c r="I434">
        <v>36.700000000000003</v>
      </c>
      <c r="J434">
        <v>12.5</v>
      </c>
      <c r="K434">
        <v>12.2</v>
      </c>
      <c r="L434">
        <v>40</v>
      </c>
      <c r="M434">
        <v>576</v>
      </c>
    </row>
    <row r="435" spans="1:13" x14ac:dyDescent="0.25">
      <c r="A435" t="s">
        <v>344</v>
      </c>
      <c r="B435" t="s">
        <v>495</v>
      </c>
      <c r="C435" t="s">
        <v>516</v>
      </c>
      <c r="D435" t="s">
        <v>517</v>
      </c>
      <c r="E435">
        <v>2</v>
      </c>
      <c r="F435">
        <v>10</v>
      </c>
      <c r="G435">
        <v>700</v>
      </c>
      <c r="H435">
        <v>18.5</v>
      </c>
      <c r="I435">
        <v>36.700000000000003</v>
      </c>
      <c r="J435">
        <v>12.5</v>
      </c>
      <c r="K435">
        <v>12.2</v>
      </c>
      <c r="L435">
        <v>40</v>
      </c>
      <c r="M435">
        <v>676</v>
      </c>
    </row>
    <row r="436" spans="1:13" x14ac:dyDescent="0.25">
      <c r="A436" t="s">
        <v>344</v>
      </c>
      <c r="B436" t="s">
        <v>495</v>
      </c>
      <c r="C436" t="s">
        <v>516</v>
      </c>
      <c r="D436" t="s">
        <v>517</v>
      </c>
      <c r="E436">
        <v>2</v>
      </c>
      <c r="F436">
        <v>10</v>
      </c>
      <c r="G436">
        <v>800</v>
      </c>
      <c r="H436">
        <v>18.5</v>
      </c>
      <c r="I436">
        <v>36.700000000000003</v>
      </c>
      <c r="J436">
        <v>12.5</v>
      </c>
      <c r="K436">
        <v>12.2</v>
      </c>
      <c r="L436">
        <v>40</v>
      </c>
      <c r="M436">
        <v>776</v>
      </c>
    </row>
    <row r="437" spans="1:13" x14ac:dyDescent="0.25">
      <c r="A437" t="s">
        <v>344</v>
      </c>
      <c r="B437" t="s">
        <v>495</v>
      </c>
      <c r="C437" t="s">
        <v>516</v>
      </c>
      <c r="D437" t="s">
        <v>517</v>
      </c>
      <c r="E437">
        <v>2</v>
      </c>
      <c r="F437">
        <v>10</v>
      </c>
      <c r="G437">
        <v>1000</v>
      </c>
      <c r="H437">
        <v>18.5</v>
      </c>
      <c r="I437">
        <v>36.700000000000003</v>
      </c>
      <c r="J437">
        <v>12.5</v>
      </c>
      <c r="K437">
        <v>12.2</v>
      </c>
      <c r="L437">
        <v>40</v>
      </c>
      <c r="M437">
        <v>976</v>
      </c>
    </row>
    <row r="438" spans="1:13" x14ac:dyDescent="0.25">
      <c r="A438" t="s">
        <v>344</v>
      </c>
      <c r="B438" t="s">
        <v>495</v>
      </c>
      <c r="C438" t="s">
        <v>516</v>
      </c>
      <c r="D438" t="s">
        <v>517</v>
      </c>
      <c r="E438">
        <v>2</v>
      </c>
      <c r="F438">
        <v>12</v>
      </c>
      <c r="G438">
        <v>200</v>
      </c>
      <c r="H438">
        <v>21</v>
      </c>
      <c r="I438">
        <v>48.5</v>
      </c>
      <c r="J438">
        <v>11.2</v>
      </c>
      <c r="K438">
        <v>10.3</v>
      </c>
      <c r="L438">
        <v>46.7</v>
      </c>
      <c r="M438">
        <v>180</v>
      </c>
    </row>
    <row r="439" spans="1:13" x14ac:dyDescent="0.25">
      <c r="A439" t="s">
        <v>344</v>
      </c>
      <c r="B439" t="s">
        <v>495</v>
      </c>
      <c r="C439" t="s">
        <v>516</v>
      </c>
      <c r="D439" t="s">
        <v>517</v>
      </c>
      <c r="E439">
        <v>2</v>
      </c>
      <c r="F439">
        <v>12</v>
      </c>
      <c r="G439">
        <v>220</v>
      </c>
      <c r="H439">
        <v>21</v>
      </c>
      <c r="I439">
        <v>48.5</v>
      </c>
      <c r="J439">
        <v>11.2</v>
      </c>
      <c r="K439">
        <v>10.3</v>
      </c>
      <c r="L439">
        <v>46.7</v>
      </c>
      <c r="M439">
        <v>200</v>
      </c>
    </row>
    <row r="440" spans="1:13" x14ac:dyDescent="0.25">
      <c r="A440" t="s">
        <v>344</v>
      </c>
      <c r="B440" t="s">
        <v>495</v>
      </c>
      <c r="C440" t="s">
        <v>516</v>
      </c>
      <c r="D440" t="s">
        <v>517</v>
      </c>
      <c r="E440">
        <v>2</v>
      </c>
      <c r="F440">
        <v>12</v>
      </c>
      <c r="G440">
        <v>240</v>
      </c>
      <c r="H440">
        <v>21</v>
      </c>
      <c r="I440">
        <v>48.5</v>
      </c>
      <c r="J440">
        <v>11.2</v>
      </c>
      <c r="K440">
        <v>10.3</v>
      </c>
      <c r="L440">
        <v>46.7</v>
      </c>
      <c r="M440">
        <v>220</v>
      </c>
    </row>
    <row r="441" spans="1:13" x14ac:dyDescent="0.25">
      <c r="A441" t="s">
        <v>344</v>
      </c>
      <c r="B441" t="s">
        <v>495</v>
      </c>
      <c r="C441" t="s">
        <v>516</v>
      </c>
      <c r="D441" t="s">
        <v>517</v>
      </c>
      <c r="E441">
        <v>2</v>
      </c>
      <c r="F441">
        <v>12</v>
      </c>
      <c r="G441">
        <v>260</v>
      </c>
      <c r="H441">
        <v>21</v>
      </c>
      <c r="I441">
        <v>48.5</v>
      </c>
      <c r="J441">
        <v>11.2</v>
      </c>
      <c r="K441">
        <v>10.3</v>
      </c>
      <c r="L441">
        <v>46.7</v>
      </c>
      <c r="M441">
        <v>240</v>
      </c>
    </row>
    <row r="442" spans="1:13" x14ac:dyDescent="0.25">
      <c r="A442" t="s">
        <v>344</v>
      </c>
      <c r="B442" t="s">
        <v>495</v>
      </c>
      <c r="C442" t="s">
        <v>516</v>
      </c>
      <c r="D442" t="s">
        <v>517</v>
      </c>
      <c r="E442">
        <v>2</v>
      </c>
      <c r="F442">
        <v>12</v>
      </c>
      <c r="G442">
        <v>280</v>
      </c>
      <c r="H442">
        <v>21</v>
      </c>
      <c r="I442">
        <v>48.5</v>
      </c>
      <c r="J442">
        <v>11.2</v>
      </c>
      <c r="K442">
        <v>10.3</v>
      </c>
      <c r="L442">
        <v>46.7</v>
      </c>
      <c r="M442">
        <v>260</v>
      </c>
    </row>
    <row r="443" spans="1:13" x14ac:dyDescent="0.25">
      <c r="A443" t="s">
        <v>344</v>
      </c>
      <c r="B443" t="s">
        <v>495</v>
      </c>
      <c r="C443" t="s">
        <v>516</v>
      </c>
      <c r="D443" t="s">
        <v>517</v>
      </c>
      <c r="E443">
        <v>2</v>
      </c>
      <c r="F443">
        <v>12</v>
      </c>
      <c r="G443">
        <v>300</v>
      </c>
      <c r="H443">
        <v>21</v>
      </c>
      <c r="I443">
        <v>48.5</v>
      </c>
      <c r="J443">
        <v>11.2</v>
      </c>
      <c r="K443">
        <v>10.3</v>
      </c>
      <c r="L443">
        <v>46.7</v>
      </c>
      <c r="M443">
        <v>280</v>
      </c>
    </row>
    <row r="444" spans="1:13" x14ac:dyDescent="0.25">
      <c r="A444" t="s">
        <v>344</v>
      </c>
      <c r="B444" t="s">
        <v>495</v>
      </c>
      <c r="C444" t="s">
        <v>516</v>
      </c>
      <c r="D444" t="s">
        <v>517</v>
      </c>
      <c r="E444">
        <v>2</v>
      </c>
      <c r="F444">
        <v>12</v>
      </c>
      <c r="G444">
        <v>350</v>
      </c>
      <c r="H444">
        <v>21</v>
      </c>
      <c r="I444">
        <v>48.5</v>
      </c>
      <c r="J444">
        <v>11.2</v>
      </c>
      <c r="K444">
        <v>10.3</v>
      </c>
      <c r="L444">
        <v>46.7</v>
      </c>
      <c r="M444">
        <v>330</v>
      </c>
    </row>
    <row r="445" spans="1:13" x14ac:dyDescent="0.25">
      <c r="A445" t="s">
        <v>344</v>
      </c>
      <c r="B445" t="s">
        <v>495</v>
      </c>
      <c r="C445" t="s">
        <v>516</v>
      </c>
      <c r="D445" t="s">
        <v>517</v>
      </c>
      <c r="E445">
        <v>2</v>
      </c>
      <c r="F445">
        <v>12</v>
      </c>
      <c r="G445">
        <v>400</v>
      </c>
      <c r="H445">
        <v>21</v>
      </c>
      <c r="I445">
        <v>48.5</v>
      </c>
      <c r="J445">
        <v>11.2</v>
      </c>
      <c r="K445">
        <v>10.3</v>
      </c>
      <c r="L445">
        <v>46.7</v>
      </c>
      <c r="M445">
        <v>380</v>
      </c>
    </row>
    <row r="446" spans="1:13" x14ac:dyDescent="0.25">
      <c r="A446" t="s">
        <v>344</v>
      </c>
      <c r="B446" t="s">
        <v>495</v>
      </c>
      <c r="C446" t="s">
        <v>516</v>
      </c>
      <c r="D446" t="s">
        <v>517</v>
      </c>
      <c r="E446">
        <v>2</v>
      </c>
      <c r="F446">
        <v>12</v>
      </c>
      <c r="G446">
        <v>500</v>
      </c>
      <c r="H446">
        <v>21</v>
      </c>
      <c r="I446">
        <v>48.5</v>
      </c>
      <c r="J446">
        <v>11.2</v>
      </c>
      <c r="K446">
        <v>10.3</v>
      </c>
      <c r="L446">
        <v>46.7</v>
      </c>
      <c r="M446">
        <v>480</v>
      </c>
    </row>
    <row r="447" spans="1:13" x14ac:dyDescent="0.25">
      <c r="A447" t="s">
        <v>344</v>
      </c>
      <c r="B447" t="s">
        <v>495</v>
      </c>
      <c r="C447" t="s">
        <v>516</v>
      </c>
      <c r="D447" t="s">
        <v>517</v>
      </c>
      <c r="E447">
        <v>2</v>
      </c>
      <c r="F447">
        <v>12</v>
      </c>
      <c r="G447">
        <v>600</v>
      </c>
      <c r="H447">
        <v>21</v>
      </c>
      <c r="I447">
        <v>48.5</v>
      </c>
      <c r="J447">
        <v>11.2</v>
      </c>
      <c r="K447">
        <v>10.3</v>
      </c>
      <c r="L447">
        <v>46.7</v>
      </c>
      <c r="M447">
        <v>580</v>
      </c>
    </row>
    <row r="448" spans="1:13" x14ac:dyDescent="0.25">
      <c r="A448" t="s">
        <v>344</v>
      </c>
      <c r="B448" t="s">
        <v>495</v>
      </c>
      <c r="C448" t="s">
        <v>516</v>
      </c>
      <c r="D448" t="s">
        <v>517</v>
      </c>
      <c r="E448">
        <v>2</v>
      </c>
      <c r="F448">
        <v>12</v>
      </c>
      <c r="G448">
        <v>700</v>
      </c>
      <c r="H448">
        <v>21</v>
      </c>
      <c r="I448">
        <v>48.5</v>
      </c>
      <c r="J448">
        <v>11.2</v>
      </c>
      <c r="K448">
        <v>10.3</v>
      </c>
      <c r="L448">
        <v>46.7</v>
      </c>
      <c r="M448">
        <v>680</v>
      </c>
    </row>
    <row r="449" spans="1:13" x14ac:dyDescent="0.25">
      <c r="A449" t="s">
        <v>344</v>
      </c>
      <c r="B449" t="s">
        <v>495</v>
      </c>
      <c r="C449" t="s">
        <v>516</v>
      </c>
      <c r="D449" t="s">
        <v>517</v>
      </c>
      <c r="E449">
        <v>2</v>
      </c>
      <c r="F449">
        <v>12</v>
      </c>
      <c r="G449">
        <v>800</v>
      </c>
      <c r="H449">
        <v>21</v>
      </c>
      <c r="I449">
        <v>48.5</v>
      </c>
      <c r="J449">
        <v>11.2</v>
      </c>
      <c r="K449">
        <v>10.3</v>
      </c>
      <c r="L449">
        <v>46.7</v>
      </c>
      <c r="M449">
        <v>780</v>
      </c>
    </row>
    <row r="450" spans="1:13" x14ac:dyDescent="0.25">
      <c r="A450" t="s">
        <v>344</v>
      </c>
      <c r="B450" t="s">
        <v>495</v>
      </c>
      <c r="C450" t="s">
        <v>516</v>
      </c>
      <c r="D450" t="s">
        <v>517</v>
      </c>
      <c r="E450">
        <v>2</v>
      </c>
      <c r="F450">
        <v>12</v>
      </c>
      <c r="G450">
        <v>1000</v>
      </c>
      <c r="H450">
        <v>21</v>
      </c>
      <c r="I450">
        <v>48.5</v>
      </c>
      <c r="J450">
        <v>11.2</v>
      </c>
      <c r="K450">
        <v>10.3</v>
      </c>
      <c r="L450">
        <v>46.7</v>
      </c>
      <c r="M450">
        <v>980</v>
      </c>
    </row>
    <row r="451" spans="1:13" x14ac:dyDescent="0.25">
      <c r="A451" t="s">
        <v>344</v>
      </c>
      <c r="B451" t="s">
        <v>495</v>
      </c>
      <c r="C451" t="s">
        <v>518</v>
      </c>
      <c r="D451" t="s">
        <v>519</v>
      </c>
      <c r="E451">
        <v>2</v>
      </c>
      <c r="F451">
        <v>12</v>
      </c>
      <c r="G451">
        <v>60</v>
      </c>
      <c r="H451">
        <v>17</v>
      </c>
      <c r="I451">
        <v>48.5</v>
      </c>
      <c r="J451">
        <v>11.2</v>
      </c>
      <c r="K451">
        <v>17.100000000000001</v>
      </c>
      <c r="L451">
        <v>45</v>
      </c>
      <c r="M451">
        <v>48</v>
      </c>
    </row>
    <row r="452" spans="1:13" x14ac:dyDescent="0.25">
      <c r="A452" t="s">
        <v>344</v>
      </c>
      <c r="B452" t="s">
        <v>495</v>
      </c>
      <c r="C452" t="s">
        <v>518</v>
      </c>
      <c r="D452" t="s">
        <v>519</v>
      </c>
      <c r="E452">
        <v>2</v>
      </c>
      <c r="F452">
        <v>12</v>
      </c>
      <c r="G452">
        <v>80</v>
      </c>
      <c r="H452">
        <v>17</v>
      </c>
      <c r="I452">
        <v>48.5</v>
      </c>
      <c r="J452">
        <v>11.2</v>
      </c>
      <c r="K452">
        <v>17.100000000000001</v>
      </c>
      <c r="L452">
        <v>45</v>
      </c>
      <c r="M452">
        <v>68</v>
      </c>
    </row>
    <row r="453" spans="1:13" x14ac:dyDescent="0.25">
      <c r="A453" t="s">
        <v>344</v>
      </c>
      <c r="B453" t="s">
        <v>495</v>
      </c>
      <c r="C453" t="s">
        <v>518</v>
      </c>
      <c r="D453" t="s">
        <v>519</v>
      </c>
      <c r="E453">
        <v>2</v>
      </c>
      <c r="F453">
        <v>12</v>
      </c>
      <c r="G453">
        <v>100</v>
      </c>
      <c r="H453">
        <v>17</v>
      </c>
      <c r="I453">
        <v>48.5</v>
      </c>
      <c r="J453">
        <v>11.2</v>
      </c>
      <c r="K453">
        <v>17.100000000000001</v>
      </c>
      <c r="L453">
        <v>45</v>
      </c>
      <c r="M453">
        <v>85</v>
      </c>
    </row>
    <row r="454" spans="1:13" x14ac:dyDescent="0.25">
      <c r="A454" t="s">
        <v>344</v>
      </c>
      <c r="B454" t="s">
        <v>495</v>
      </c>
      <c r="C454" t="s">
        <v>518</v>
      </c>
      <c r="D454" t="s">
        <v>519</v>
      </c>
      <c r="E454">
        <v>2</v>
      </c>
      <c r="F454">
        <v>12</v>
      </c>
      <c r="G454">
        <v>120</v>
      </c>
      <c r="H454">
        <v>17</v>
      </c>
      <c r="I454">
        <v>48.5</v>
      </c>
      <c r="J454">
        <v>11.2</v>
      </c>
      <c r="K454">
        <v>17.100000000000001</v>
      </c>
      <c r="L454">
        <v>45</v>
      </c>
      <c r="M454">
        <v>105</v>
      </c>
    </row>
    <row r="455" spans="1:13" x14ac:dyDescent="0.25">
      <c r="A455" t="s">
        <v>344</v>
      </c>
      <c r="B455" t="s">
        <v>495</v>
      </c>
      <c r="C455" t="s">
        <v>518</v>
      </c>
      <c r="D455" t="s">
        <v>519</v>
      </c>
      <c r="E455">
        <v>2</v>
      </c>
      <c r="F455">
        <v>12</v>
      </c>
      <c r="G455">
        <v>140</v>
      </c>
      <c r="H455">
        <v>17</v>
      </c>
      <c r="I455">
        <v>48.5</v>
      </c>
      <c r="J455">
        <v>11.2</v>
      </c>
      <c r="K455">
        <v>17.100000000000001</v>
      </c>
      <c r="L455">
        <v>45</v>
      </c>
      <c r="M455">
        <v>125</v>
      </c>
    </row>
    <row r="456" spans="1:13" x14ac:dyDescent="0.25">
      <c r="A456" t="s">
        <v>344</v>
      </c>
      <c r="B456" t="s">
        <v>495</v>
      </c>
      <c r="C456" t="s">
        <v>518</v>
      </c>
      <c r="D456" t="s">
        <v>519</v>
      </c>
      <c r="E456">
        <v>2</v>
      </c>
      <c r="F456">
        <v>12</v>
      </c>
      <c r="G456">
        <v>160</v>
      </c>
      <c r="H456">
        <v>17</v>
      </c>
      <c r="I456">
        <v>48.5</v>
      </c>
      <c r="J456">
        <v>11.2</v>
      </c>
      <c r="K456">
        <v>17.100000000000001</v>
      </c>
      <c r="L456">
        <v>45</v>
      </c>
      <c r="M456">
        <v>145</v>
      </c>
    </row>
    <row r="457" spans="1:13" x14ac:dyDescent="0.25">
      <c r="A457" t="s">
        <v>344</v>
      </c>
      <c r="B457" t="s">
        <v>495</v>
      </c>
      <c r="C457" t="s">
        <v>518</v>
      </c>
      <c r="D457" t="s">
        <v>519</v>
      </c>
      <c r="E457">
        <v>2</v>
      </c>
      <c r="F457">
        <v>12</v>
      </c>
      <c r="G457">
        <v>180</v>
      </c>
      <c r="H457">
        <v>17</v>
      </c>
      <c r="I457">
        <v>48.5</v>
      </c>
      <c r="J457">
        <v>11.2</v>
      </c>
      <c r="K457">
        <v>17.100000000000001</v>
      </c>
      <c r="L457">
        <v>45</v>
      </c>
      <c r="M457">
        <v>165</v>
      </c>
    </row>
    <row r="458" spans="1:13" x14ac:dyDescent="0.25">
      <c r="A458" t="s">
        <v>344</v>
      </c>
      <c r="B458" t="s">
        <v>495</v>
      </c>
      <c r="C458" t="s">
        <v>518</v>
      </c>
      <c r="D458" t="s">
        <v>519</v>
      </c>
      <c r="E458">
        <v>2</v>
      </c>
      <c r="F458">
        <v>12</v>
      </c>
      <c r="G458">
        <v>220</v>
      </c>
      <c r="H458">
        <v>17</v>
      </c>
      <c r="I458">
        <v>48.5</v>
      </c>
      <c r="J458">
        <v>11.2</v>
      </c>
      <c r="K458">
        <v>17.100000000000001</v>
      </c>
      <c r="L458">
        <v>45</v>
      </c>
      <c r="M458">
        <v>205</v>
      </c>
    </row>
    <row r="459" spans="1:13" x14ac:dyDescent="0.25">
      <c r="A459" t="s">
        <v>344</v>
      </c>
      <c r="B459" t="s">
        <v>495</v>
      </c>
      <c r="C459" t="s">
        <v>518</v>
      </c>
      <c r="D459" t="s">
        <v>519</v>
      </c>
      <c r="E459">
        <v>2</v>
      </c>
      <c r="F459">
        <v>12</v>
      </c>
      <c r="G459">
        <v>300</v>
      </c>
      <c r="H459">
        <v>17</v>
      </c>
      <c r="I459">
        <v>48.5</v>
      </c>
      <c r="J459">
        <v>11.2</v>
      </c>
      <c r="K459">
        <v>17.100000000000001</v>
      </c>
      <c r="L459">
        <v>45</v>
      </c>
      <c r="M459">
        <v>285</v>
      </c>
    </row>
    <row r="460" spans="1:13" x14ac:dyDescent="0.25">
      <c r="A460" t="s">
        <v>344</v>
      </c>
      <c r="B460" t="s">
        <v>495</v>
      </c>
      <c r="C460" t="s">
        <v>518</v>
      </c>
      <c r="D460" t="s">
        <v>519</v>
      </c>
      <c r="E460">
        <v>2</v>
      </c>
      <c r="F460">
        <v>12</v>
      </c>
      <c r="G460">
        <v>380</v>
      </c>
      <c r="H460">
        <v>17</v>
      </c>
      <c r="I460">
        <v>48.5</v>
      </c>
      <c r="J460">
        <v>11.2</v>
      </c>
      <c r="K460">
        <v>17.100000000000001</v>
      </c>
      <c r="L460">
        <v>45</v>
      </c>
      <c r="M460">
        <v>365</v>
      </c>
    </row>
    <row r="461" spans="1:13" x14ac:dyDescent="0.25">
      <c r="A461" t="s">
        <v>344</v>
      </c>
      <c r="B461" t="s">
        <v>495</v>
      </c>
      <c r="C461" t="s">
        <v>518</v>
      </c>
      <c r="D461" t="s">
        <v>519</v>
      </c>
      <c r="E461">
        <v>2</v>
      </c>
      <c r="F461">
        <v>16</v>
      </c>
      <c r="G461">
        <v>180</v>
      </c>
      <c r="H461">
        <v>24</v>
      </c>
      <c r="I461">
        <v>112.9</v>
      </c>
      <c r="J461">
        <v>11</v>
      </c>
      <c r="K461">
        <v>20.399999999999999</v>
      </c>
      <c r="L461">
        <v>88.6</v>
      </c>
      <c r="M461">
        <v>155</v>
      </c>
    </row>
    <row r="462" spans="1:13" x14ac:dyDescent="0.25">
      <c r="A462" t="s">
        <v>344</v>
      </c>
      <c r="B462" t="s">
        <v>495</v>
      </c>
      <c r="C462" t="s">
        <v>518</v>
      </c>
      <c r="D462" t="s">
        <v>519</v>
      </c>
      <c r="E462">
        <v>2</v>
      </c>
      <c r="F462">
        <v>16</v>
      </c>
      <c r="G462">
        <v>240</v>
      </c>
      <c r="H462">
        <v>24</v>
      </c>
      <c r="I462">
        <v>112.9</v>
      </c>
      <c r="J462">
        <v>11.1</v>
      </c>
      <c r="K462">
        <v>20.399999999999999</v>
      </c>
      <c r="L462">
        <v>88.6</v>
      </c>
      <c r="M462">
        <v>215</v>
      </c>
    </row>
    <row r="463" spans="1:13" x14ac:dyDescent="0.25">
      <c r="A463" t="s">
        <v>344</v>
      </c>
      <c r="B463" t="s">
        <v>495</v>
      </c>
      <c r="C463" t="s">
        <v>518</v>
      </c>
      <c r="D463" t="s">
        <v>519</v>
      </c>
      <c r="E463">
        <v>2</v>
      </c>
      <c r="F463">
        <v>16</v>
      </c>
      <c r="G463">
        <v>280</v>
      </c>
      <c r="H463">
        <v>24</v>
      </c>
      <c r="I463">
        <v>112.9</v>
      </c>
      <c r="J463">
        <v>11.2</v>
      </c>
      <c r="K463">
        <v>20.399999999999999</v>
      </c>
      <c r="L463">
        <v>88.6</v>
      </c>
      <c r="M463">
        <v>255</v>
      </c>
    </row>
    <row r="464" spans="1:13" x14ac:dyDescent="0.25">
      <c r="A464" t="s">
        <v>344</v>
      </c>
      <c r="B464" t="s">
        <v>495</v>
      </c>
      <c r="C464" t="s">
        <v>518</v>
      </c>
      <c r="D464" t="s">
        <v>519</v>
      </c>
      <c r="E464">
        <v>2</v>
      </c>
      <c r="F464">
        <v>16</v>
      </c>
      <c r="G464">
        <v>320</v>
      </c>
      <c r="H464">
        <v>24</v>
      </c>
      <c r="I464">
        <v>112.9</v>
      </c>
      <c r="J464">
        <v>11.3</v>
      </c>
      <c r="K464">
        <v>20.399999999999999</v>
      </c>
      <c r="L464">
        <v>88.6</v>
      </c>
      <c r="M464">
        <v>295</v>
      </c>
    </row>
    <row r="465" spans="1:14" x14ac:dyDescent="0.25">
      <c r="A465" t="s">
        <v>344</v>
      </c>
      <c r="B465" t="s">
        <v>495</v>
      </c>
      <c r="C465" t="s">
        <v>518</v>
      </c>
      <c r="D465" t="s">
        <v>519</v>
      </c>
      <c r="E465">
        <v>2</v>
      </c>
      <c r="F465">
        <v>16</v>
      </c>
      <c r="G465">
        <v>400</v>
      </c>
      <c r="H465">
        <v>24</v>
      </c>
      <c r="I465">
        <v>112.9</v>
      </c>
      <c r="J465">
        <v>11.4</v>
      </c>
      <c r="K465">
        <v>20.399999999999999</v>
      </c>
      <c r="L465">
        <v>88.6</v>
      </c>
      <c r="M465">
        <v>375</v>
      </c>
    </row>
    <row r="466" spans="1:14" x14ac:dyDescent="0.25">
      <c r="A466" t="s">
        <v>344</v>
      </c>
      <c r="B466" t="s">
        <v>495</v>
      </c>
      <c r="C466" t="s">
        <v>518</v>
      </c>
      <c r="D466" t="s">
        <v>519</v>
      </c>
      <c r="E466">
        <v>2</v>
      </c>
      <c r="F466">
        <v>16</v>
      </c>
      <c r="G466">
        <v>600</v>
      </c>
      <c r="H466">
        <v>24</v>
      </c>
      <c r="I466">
        <v>112.9</v>
      </c>
      <c r="J466">
        <v>11.5</v>
      </c>
      <c r="K466">
        <v>20.399999999999999</v>
      </c>
      <c r="L466">
        <v>88.6</v>
      </c>
      <c r="M466">
        <v>575</v>
      </c>
    </row>
    <row r="467" spans="1:14" x14ac:dyDescent="0.25">
      <c r="A467" t="s">
        <v>344</v>
      </c>
      <c r="B467" t="s">
        <v>495</v>
      </c>
      <c r="C467" t="s">
        <v>520</v>
      </c>
      <c r="D467" t="s">
        <v>494</v>
      </c>
      <c r="E467">
        <v>2</v>
      </c>
      <c r="F467">
        <v>8</v>
      </c>
      <c r="G467">
        <v>160</v>
      </c>
      <c r="H467">
        <v>22</v>
      </c>
      <c r="I467">
        <v>42.8</v>
      </c>
      <c r="J467">
        <v>13.1</v>
      </c>
      <c r="K467">
        <v>20.399999999999999</v>
      </c>
      <c r="L467">
        <v>32.799999999999997</v>
      </c>
      <c r="M467">
        <v>100</v>
      </c>
    </row>
    <row r="468" spans="1:14" x14ac:dyDescent="0.25">
      <c r="A468" t="s">
        <v>344</v>
      </c>
      <c r="B468" t="s">
        <v>495</v>
      </c>
      <c r="C468" t="s">
        <v>521</v>
      </c>
      <c r="D468" t="s">
        <v>493</v>
      </c>
      <c r="E468">
        <v>2</v>
      </c>
      <c r="F468">
        <v>8</v>
      </c>
      <c r="G468">
        <v>80</v>
      </c>
      <c r="H468">
        <v>15</v>
      </c>
      <c r="I468">
        <v>42.8</v>
      </c>
      <c r="J468">
        <v>13.1</v>
      </c>
      <c r="K468">
        <v>12.4</v>
      </c>
      <c r="L468">
        <v>32.799999999999997</v>
      </c>
      <c r="M468">
        <v>60</v>
      </c>
    </row>
    <row r="469" spans="1:14" x14ac:dyDescent="0.25">
      <c r="A469" t="s">
        <v>344</v>
      </c>
      <c r="B469" t="s">
        <v>495</v>
      </c>
      <c r="C469" t="s">
        <v>521</v>
      </c>
      <c r="D469" t="s">
        <v>493</v>
      </c>
      <c r="E469">
        <v>2</v>
      </c>
      <c r="F469">
        <v>8</v>
      </c>
      <c r="G469">
        <v>120</v>
      </c>
      <c r="H469">
        <v>15</v>
      </c>
      <c r="I469">
        <v>42.8</v>
      </c>
      <c r="J469">
        <v>13.1</v>
      </c>
      <c r="K469">
        <v>12.4</v>
      </c>
      <c r="L469">
        <v>32.799999999999997</v>
      </c>
      <c r="M469">
        <v>100</v>
      </c>
    </row>
    <row r="470" spans="1:14" x14ac:dyDescent="0.25">
      <c r="A470" t="s">
        <v>344</v>
      </c>
      <c r="B470" t="s">
        <v>495</v>
      </c>
      <c r="C470" t="s">
        <v>521</v>
      </c>
      <c r="D470" t="s">
        <v>493</v>
      </c>
      <c r="E470">
        <v>2</v>
      </c>
      <c r="F470">
        <v>8</v>
      </c>
      <c r="G470">
        <v>160</v>
      </c>
      <c r="H470">
        <v>15</v>
      </c>
      <c r="I470">
        <v>42.8</v>
      </c>
      <c r="J470">
        <v>13.1</v>
      </c>
      <c r="K470">
        <v>12.4</v>
      </c>
      <c r="L470">
        <v>32.799999999999997</v>
      </c>
      <c r="M470">
        <v>100</v>
      </c>
    </row>
    <row r="471" spans="1:14" x14ac:dyDescent="0.25">
      <c r="A471" t="s">
        <v>344</v>
      </c>
      <c r="B471" t="s">
        <v>495</v>
      </c>
      <c r="C471" t="s">
        <v>521</v>
      </c>
      <c r="D471" t="s">
        <v>493</v>
      </c>
      <c r="E471">
        <v>2</v>
      </c>
      <c r="F471">
        <v>8</v>
      </c>
      <c r="G471">
        <v>200</v>
      </c>
      <c r="H471">
        <v>15</v>
      </c>
      <c r="I471">
        <v>42.8</v>
      </c>
      <c r="J471">
        <v>13.1</v>
      </c>
      <c r="K471">
        <v>12.4</v>
      </c>
      <c r="L471">
        <v>32.799999999999997</v>
      </c>
      <c r="M471">
        <v>100</v>
      </c>
    </row>
    <row r="472" spans="1:14" x14ac:dyDescent="0.25">
      <c r="A472" t="s">
        <v>344</v>
      </c>
      <c r="B472" t="s">
        <v>495</v>
      </c>
      <c r="C472" t="s">
        <v>521</v>
      </c>
      <c r="D472" t="s">
        <v>493</v>
      </c>
      <c r="E472">
        <v>2</v>
      </c>
      <c r="F472">
        <v>8</v>
      </c>
      <c r="G472">
        <v>240</v>
      </c>
      <c r="H472">
        <v>15</v>
      </c>
      <c r="I472">
        <v>42.8</v>
      </c>
      <c r="J472">
        <v>13.1</v>
      </c>
      <c r="K472">
        <v>12.4</v>
      </c>
      <c r="L472">
        <v>32.799999999999997</v>
      </c>
      <c r="M472">
        <v>100</v>
      </c>
    </row>
    <row r="473" spans="1:14" x14ac:dyDescent="0.25">
      <c r="A473" t="s">
        <v>344</v>
      </c>
      <c r="B473" t="s">
        <v>495</v>
      </c>
      <c r="C473" t="s">
        <v>521</v>
      </c>
      <c r="D473" t="s">
        <v>493</v>
      </c>
      <c r="E473">
        <v>2</v>
      </c>
      <c r="F473">
        <v>8</v>
      </c>
      <c r="G473">
        <v>280</v>
      </c>
      <c r="H473">
        <v>15</v>
      </c>
      <c r="I473">
        <v>42.8</v>
      </c>
      <c r="J473">
        <v>13.1</v>
      </c>
      <c r="K473">
        <v>12.4</v>
      </c>
      <c r="L473">
        <v>32.799999999999997</v>
      </c>
      <c r="M473">
        <v>100</v>
      </c>
    </row>
    <row r="474" spans="1:14" x14ac:dyDescent="0.25">
      <c r="A474" t="s">
        <v>344</v>
      </c>
      <c r="B474" t="s">
        <v>495</v>
      </c>
      <c r="C474" t="s">
        <v>521</v>
      </c>
      <c r="D474" t="s">
        <v>493</v>
      </c>
      <c r="E474">
        <v>2</v>
      </c>
      <c r="F474">
        <v>8</v>
      </c>
      <c r="G474">
        <v>320</v>
      </c>
      <c r="H474">
        <v>15</v>
      </c>
      <c r="I474">
        <v>42.8</v>
      </c>
      <c r="J474">
        <v>13.1</v>
      </c>
      <c r="K474">
        <v>12.4</v>
      </c>
      <c r="L474">
        <v>32.799999999999997</v>
      </c>
      <c r="M474">
        <v>100</v>
      </c>
    </row>
    <row r="475" spans="1:14" x14ac:dyDescent="0.25">
      <c r="A475" t="s">
        <v>344</v>
      </c>
      <c r="B475" t="s">
        <v>495</v>
      </c>
      <c r="C475" t="s">
        <v>521</v>
      </c>
      <c r="D475" t="s">
        <v>493</v>
      </c>
      <c r="E475">
        <v>2</v>
      </c>
      <c r="F475">
        <v>8</v>
      </c>
      <c r="G475">
        <v>440</v>
      </c>
      <c r="H475">
        <v>15</v>
      </c>
      <c r="I475">
        <v>42.8</v>
      </c>
      <c r="J475">
        <v>13.1</v>
      </c>
      <c r="K475">
        <v>12.4</v>
      </c>
      <c r="L475">
        <v>32.799999999999997</v>
      </c>
      <c r="M475">
        <v>100</v>
      </c>
    </row>
    <row r="476" spans="1:14" x14ac:dyDescent="0.25">
      <c r="A476" t="s">
        <v>344</v>
      </c>
      <c r="B476" t="s">
        <v>495</v>
      </c>
      <c r="C476" t="s">
        <v>522</v>
      </c>
      <c r="D476" t="s">
        <v>523</v>
      </c>
      <c r="E476">
        <v>2</v>
      </c>
      <c r="F476">
        <v>8</v>
      </c>
      <c r="G476">
        <v>240</v>
      </c>
      <c r="H476">
        <v>10.199999999999999</v>
      </c>
      <c r="I476">
        <v>21</v>
      </c>
      <c r="J476">
        <v>13.1</v>
      </c>
      <c r="K476">
        <v>0</v>
      </c>
      <c r="L476">
        <v>22</v>
      </c>
      <c r="M476">
        <v>80</v>
      </c>
      <c r="N476">
        <v>80</v>
      </c>
    </row>
    <row r="477" spans="1:14" x14ac:dyDescent="0.25">
      <c r="A477" t="s">
        <v>344</v>
      </c>
      <c r="B477" t="s">
        <v>495</v>
      </c>
      <c r="C477" t="s">
        <v>522</v>
      </c>
      <c r="D477" t="s">
        <v>523</v>
      </c>
      <c r="E477">
        <v>2</v>
      </c>
      <c r="F477">
        <v>8</v>
      </c>
      <c r="G477">
        <v>260</v>
      </c>
      <c r="H477">
        <v>10.199999999999999</v>
      </c>
      <c r="I477">
        <v>21</v>
      </c>
      <c r="J477">
        <v>13.1</v>
      </c>
      <c r="K477">
        <v>0</v>
      </c>
      <c r="L477">
        <v>22</v>
      </c>
      <c r="M477">
        <v>100</v>
      </c>
      <c r="N477">
        <v>80</v>
      </c>
    </row>
    <row r="478" spans="1:14" x14ac:dyDescent="0.25">
      <c r="A478" t="s">
        <v>344</v>
      </c>
      <c r="B478" t="s">
        <v>495</v>
      </c>
      <c r="C478" t="s">
        <v>522</v>
      </c>
      <c r="D478" t="s">
        <v>523</v>
      </c>
      <c r="E478">
        <v>2</v>
      </c>
      <c r="F478">
        <v>8</v>
      </c>
      <c r="G478">
        <v>280</v>
      </c>
      <c r="H478">
        <v>10.199999999999999</v>
      </c>
      <c r="I478">
        <v>21</v>
      </c>
      <c r="J478">
        <v>13.1</v>
      </c>
      <c r="K478">
        <v>0</v>
      </c>
      <c r="L478">
        <v>22</v>
      </c>
      <c r="M478">
        <v>100</v>
      </c>
      <c r="N478">
        <v>80</v>
      </c>
    </row>
    <row r="479" spans="1:14" x14ac:dyDescent="0.25">
      <c r="A479" t="s">
        <v>344</v>
      </c>
      <c r="B479" t="s">
        <v>495</v>
      </c>
      <c r="C479" t="s">
        <v>522</v>
      </c>
      <c r="D479" t="s">
        <v>523</v>
      </c>
      <c r="E479">
        <v>2</v>
      </c>
      <c r="F479">
        <v>8</v>
      </c>
      <c r="G479">
        <v>300</v>
      </c>
      <c r="H479">
        <v>10.199999999999999</v>
      </c>
      <c r="I479">
        <v>21</v>
      </c>
      <c r="J479">
        <v>13.1</v>
      </c>
      <c r="K479">
        <v>0</v>
      </c>
      <c r="L479">
        <v>22</v>
      </c>
      <c r="M479">
        <v>100</v>
      </c>
      <c r="N479">
        <v>80</v>
      </c>
    </row>
    <row r="480" spans="1:14" x14ac:dyDescent="0.25">
      <c r="A480" t="s">
        <v>344</v>
      </c>
      <c r="B480" t="s">
        <v>495</v>
      </c>
      <c r="C480" t="s">
        <v>522</v>
      </c>
      <c r="D480" t="s">
        <v>523</v>
      </c>
      <c r="E480">
        <v>2</v>
      </c>
      <c r="F480">
        <v>8</v>
      </c>
      <c r="G480">
        <v>320</v>
      </c>
      <c r="H480">
        <v>10.199999999999999</v>
      </c>
      <c r="I480">
        <v>21</v>
      </c>
      <c r="J480">
        <v>13.1</v>
      </c>
      <c r="K480">
        <v>0</v>
      </c>
      <c r="L480">
        <v>22</v>
      </c>
      <c r="M480">
        <v>100</v>
      </c>
      <c r="N480">
        <v>80</v>
      </c>
    </row>
    <row r="481" spans="1:14" x14ac:dyDescent="0.25">
      <c r="A481" t="s">
        <v>344</v>
      </c>
      <c r="B481" t="s">
        <v>495</v>
      </c>
      <c r="C481" t="s">
        <v>522</v>
      </c>
      <c r="D481" t="s">
        <v>523</v>
      </c>
      <c r="E481">
        <v>2</v>
      </c>
      <c r="F481">
        <v>8</v>
      </c>
      <c r="G481">
        <v>340</v>
      </c>
      <c r="H481">
        <v>10.199999999999999</v>
      </c>
      <c r="I481">
        <v>21</v>
      </c>
      <c r="J481">
        <v>13.1</v>
      </c>
      <c r="K481">
        <v>0</v>
      </c>
      <c r="L481">
        <v>22</v>
      </c>
      <c r="M481">
        <v>100</v>
      </c>
      <c r="N481">
        <v>80</v>
      </c>
    </row>
    <row r="482" spans="1:14" x14ac:dyDescent="0.25">
      <c r="A482" t="s">
        <v>344</v>
      </c>
      <c r="B482" t="s">
        <v>495</v>
      </c>
      <c r="C482" t="s">
        <v>522</v>
      </c>
      <c r="D482" t="s">
        <v>523</v>
      </c>
      <c r="E482">
        <v>2</v>
      </c>
      <c r="F482">
        <v>8</v>
      </c>
      <c r="G482">
        <v>360</v>
      </c>
      <c r="H482">
        <v>10.199999999999999</v>
      </c>
      <c r="I482">
        <v>21</v>
      </c>
      <c r="J482">
        <v>13.1</v>
      </c>
      <c r="K482">
        <v>0</v>
      </c>
      <c r="L482">
        <v>22</v>
      </c>
      <c r="M482">
        <v>100</v>
      </c>
      <c r="N482">
        <v>80</v>
      </c>
    </row>
    <row r="483" spans="1:14" x14ac:dyDescent="0.25">
      <c r="A483" t="s">
        <v>344</v>
      </c>
      <c r="B483" t="s">
        <v>495</v>
      </c>
      <c r="C483" t="s">
        <v>522</v>
      </c>
      <c r="D483" t="s">
        <v>523</v>
      </c>
      <c r="E483">
        <v>2</v>
      </c>
      <c r="F483">
        <v>8</v>
      </c>
      <c r="G483">
        <v>400</v>
      </c>
      <c r="H483">
        <v>10.199999999999999</v>
      </c>
      <c r="I483">
        <v>21</v>
      </c>
      <c r="J483">
        <v>13.1</v>
      </c>
      <c r="K483">
        <v>0</v>
      </c>
      <c r="L483">
        <v>22</v>
      </c>
      <c r="M483">
        <v>100</v>
      </c>
      <c r="N483">
        <v>80</v>
      </c>
    </row>
    <row r="484" spans="1:14" x14ac:dyDescent="0.25">
      <c r="A484" t="s">
        <v>344</v>
      </c>
      <c r="B484" t="s">
        <v>495</v>
      </c>
      <c r="C484" t="s">
        <v>522</v>
      </c>
      <c r="D484" t="s">
        <v>523</v>
      </c>
      <c r="E484">
        <v>2</v>
      </c>
      <c r="F484">
        <v>8</v>
      </c>
      <c r="G484">
        <v>450</v>
      </c>
      <c r="H484">
        <v>10.199999999999999</v>
      </c>
      <c r="I484">
        <v>21</v>
      </c>
      <c r="J484">
        <v>13.1</v>
      </c>
      <c r="K484">
        <v>0</v>
      </c>
      <c r="L484">
        <v>22</v>
      </c>
      <c r="M484">
        <v>100</v>
      </c>
      <c r="N484">
        <v>80</v>
      </c>
    </row>
    <row r="485" spans="1:14" x14ac:dyDescent="0.25">
      <c r="A485" t="s">
        <v>344</v>
      </c>
      <c r="B485" t="s">
        <v>495</v>
      </c>
      <c r="C485" t="s">
        <v>522</v>
      </c>
      <c r="D485" t="s">
        <v>523</v>
      </c>
      <c r="E485">
        <v>2</v>
      </c>
      <c r="F485">
        <v>8</v>
      </c>
      <c r="G485">
        <v>480</v>
      </c>
      <c r="H485">
        <v>10.199999999999999</v>
      </c>
      <c r="I485">
        <v>21</v>
      </c>
      <c r="J485">
        <v>13.1</v>
      </c>
      <c r="K485">
        <v>0</v>
      </c>
      <c r="L485">
        <v>22</v>
      </c>
      <c r="M485">
        <v>100</v>
      </c>
      <c r="N485">
        <v>80</v>
      </c>
    </row>
    <row r="486" spans="1:14" x14ac:dyDescent="0.25">
      <c r="A486" t="s">
        <v>344</v>
      </c>
      <c r="B486" t="s">
        <v>495</v>
      </c>
      <c r="C486" t="s">
        <v>522</v>
      </c>
      <c r="D486" t="s">
        <v>523</v>
      </c>
      <c r="E486">
        <v>2</v>
      </c>
      <c r="F486">
        <v>8</v>
      </c>
      <c r="G486">
        <v>520</v>
      </c>
      <c r="H486">
        <v>10.199999999999999</v>
      </c>
      <c r="I486">
        <v>21</v>
      </c>
      <c r="J486">
        <v>13.1</v>
      </c>
      <c r="K486">
        <v>0</v>
      </c>
      <c r="L486">
        <v>22</v>
      </c>
      <c r="M486">
        <v>100</v>
      </c>
      <c r="N486">
        <v>80</v>
      </c>
    </row>
    <row r="487" spans="1:14" x14ac:dyDescent="0.25">
      <c r="A487" t="s">
        <v>344</v>
      </c>
      <c r="B487" t="s">
        <v>495</v>
      </c>
      <c r="C487" t="s">
        <v>524</v>
      </c>
      <c r="D487" t="s">
        <v>239</v>
      </c>
      <c r="E487">
        <v>2</v>
      </c>
      <c r="F487">
        <v>8</v>
      </c>
      <c r="G487">
        <v>155</v>
      </c>
      <c r="H487">
        <v>12</v>
      </c>
      <c r="I487">
        <v>22.6</v>
      </c>
      <c r="J487">
        <v>10.7</v>
      </c>
      <c r="K487" t="s">
        <v>525</v>
      </c>
      <c r="L487">
        <v>22.7</v>
      </c>
      <c r="M487">
        <v>100</v>
      </c>
    </row>
    <row r="488" spans="1:14" x14ac:dyDescent="0.25">
      <c r="A488" t="s">
        <v>344</v>
      </c>
      <c r="B488" t="s">
        <v>495</v>
      </c>
      <c r="C488" t="s">
        <v>524</v>
      </c>
      <c r="D488" t="s">
        <v>239</v>
      </c>
      <c r="E488">
        <v>2</v>
      </c>
      <c r="F488">
        <v>8</v>
      </c>
      <c r="G488">
        <v>205</v>
      </c>
      <c r="H488">
        <v>12</v>
      </c>
      <c r="I488">
        <v>22.6</v>
      </c>
      <c r="J488">
        <v>10.7</v>
      </c>
      <c r="K488" t="s">
        <v>525</v>
      </c>
      <c r="L488">
        <v>22.7</v>
      </c>
      <c r="M488">
        <v>130</v>
      </c>
    </row>
  </sheetData>
  <conditionalFormatting sqref="A1">
    <cfRule type="cellIs" dxfId="1" priority="1" operator="equal">
      <formula>"Spiker"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08E2A-FE34-4147-A0ED-70206B11301C}">
  <sheetPr>
    <tabColor rgb="FF92D050"/>
  </sheetPr>
  <dimension ref="A1:G5"/>
  <sheetViews>
    <sheetView workbookViewId="0">
      <selection activeCell="K39" sqref="K39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495</v>
      </c>
      <c r="B2" t="s">
        <v>526</v>
      </c>
      <c r="C2" t="s">
        <v>196</v>
      </c>
      <c r="D2">
        <v>6</v>
      </c>
      <c r="E2">
        <v>7.5</v>
      </c>
      <c r="F2">
        <v>20</v>
      </c>
      <c r="G2">
        <v>4</v>
      </c>
    </row>
    <row r="3" spans="1:7" x14ac:dyDescent="0.25">
      <c r="A3" t="s">
        <v>495</v>
      </c>
      <c r="B3" t="s">
        <v>526</v>
      </c>
      <c r="C3" t="s">
        <v>196</v>
      </c>
      <c r="D3">
        <v>8</v>
      </c>
      <c r="E3">
        <v>8.5</v>
      </c>
      <c r="F3">
        <v>25</v>
      </c>
      <c r="G3">
        <v>5</v>
      </c>
    </row>
    <row r="4" spans="1:7" x14ac:dyDescent="0.25">
      <c r="A4" t="s">
        <v>495</v>
      </c>
      <c r="B4" t="s">
        <v>526</v>
      </c>
      <c r="C4" t="s">
        <v>196</v>
      </c>
      <c r="D4">
        <v>10</v>
      </c>
      <c r="E4">
        <v>11</v>
      </c>
      <c r="F4">
        <v>32</v>
      </c>
      <c r="G4">
        <v>6</v>
      </c>
    </row>
    <row r="5" spans="1:7" x14ac:dyDescent="0.25">
      <c r="A5" t="s">
        <v>495</v>
      </c>
      <c r="B5" t="s">
        <v>526</v>
      </c>
      <c r="C5" t="s">
        <v>196</v>
      </c>
      <c r="D5">
        <v>12</v>
      </c>
      <c r="E5">
        <v>14</v>
      </c>
      <c r="F5">
        <v>37</v>
      </c>
      <c r="G5">
        <v>7.5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73C-616B-43FB-A7FD-2E95CF208CBB}">
  <sheetPr>
    <tabColor theme="5" tint="-0.499984740745262"/>
  </sheetPr>
  <dimension ref="A1:P100"/>
  <sheetViews>
    <sheetView workbookViewId="0">
      <pane ySplit="1" topLeftCell="A2" activePane="bottomLeft" state="frozen"/>
      <selection pane="bottomLeft" activeCell="O99" sqref="O99"/>
    </sheetView>
  </sheetViews>
  <sheetFormatPr baseColWidth="10" defaultRowHeight="15" x14ac:dyDescent="0.25"/>
  <cols>
    <col min="3" max="3" width="21.5703125" bestFit="1" customWidth="1"/>
    <col min="4" max="4" width="43" bestFit="1" customWidth="1"/>
  </cols>
  <sheetData>
    <row r="1" spans="1:16" ht="45" x14ac:dyDescent="0.25">
      <c r="A1" s="74" t="s">
        <v>1</v>
      </c>
      <c r="B1" s="74" t="s">
        <v>424</v>
      </c>
      <c r="C1" s="74" t="s">
        <v>468</v>
      </c>
      <c r="D1" s="75" t="s">
        <v>469</v>
      </c>
      <c r="E1" s="75" t="s">
        <v>232</v>
      </c>
      <c r="F1" s="74" t="s">
        <v>18</v>
      </c>
      <c r="G1" s="74" t="s">
        <v>20</v>
      </c>
      <c r="H1" s="74" t="s">
        <v>22</v>
      </c>
      <c r="I1" s="75" t="s">
        <v>215</v>
      </c>
      <c r="J1" s="75" t="s">
        <v>214</v>
      </c>
      <c r="K1" s="75" t="s">
        <v>171</v>
      </c>
      <c r="L1" s="75" t="s">
        <v>172</v>
      </c>
      <c r="M1" s="74" t="s">
        <v>325</v>
      </c>
      <c r="N1" s="74" t="s">
        <v>326</v>
      </c>
      <c r="O1" s="74" t="s">
        <v>414</v>
      </c>
      <c r="P1" s="74" t="s">
        <v>471</v>
      </c>
    </row>
    <row r="2" spans="1:16" x14ac:dyDescent="0.25">
      <c r="A2" t="s">
        <v>344</v>
      </c>
      <c r="B2" t="s">
        <v>496</v>
      </c>
      <c r="C2" t="s">
        <v>499</v>
      </c>
      <c r="D2" t="s">
        <v>497</v>
      </c>
      <c r="E2">
        <v>2</v>
      </c>
      <c r="F2">
        <v>8</v>
      </c>
      <c r="G2">
        <v>80</v>
      </c>
      <c r="H2">
        <v>15.1</v>
      </c>
      <c r="I2" s="55">
        <f>0.15*600*F2^2.6/1000</f>
        <v>20.057484978342696</v>
      </c>
      <c r="J2">
        <v>12</v>
      </c>
      <c r="K2">
        <v>8</v>
      </c>
      <c r="L2">
        <v>17</v>
      </c>
      <c r="M2">
        <f>G2-15</f>
        <v>65</v>
      </c>
    </row>
    <row r="3" spans="1:16" x14ac:dyDescent="0.25">
      <c r="A3" t="s">
        <v>344</v>
      </c>
      <c r="B3" t="s">
        <v>496</v>
      </c>
      <c r="C3" t="s">
        <v>499</v>
      </c>
      <c r="D3" t="s">
        <v>497</v>
      </c>
      <c r="E3">
        <v>2</v>
      </c>
      <c r="F3">
        <v>8</v>
      </c>
      <c r="G3">
        <v>100</v>
      </c>
      <c r="H3">
        <v>15.1</v>
      </c>
      <c r="I3" s="55">
        <f t="shared" ref="I3:I24" si="0">0.15*600*F3^2.6/1000</f>
        <v>20.057484978342696</v>
      </c>
      <c r="J3">
        <v>12</v>
      </c>
      <c r="K3">
        <v>8</v>
      </c>
      <c r="L3">
        <v>17</v>
      </c>
      <c r="M3">
        <f t="shared" ref="M3:M66" si="1">G3-15</f>
        <v>85</v>
      </c>
    </row>
    <row r="4" spans="1:16" x14ac:dyDescent="0.25">
      <c r="A4" t="s">
        <v>344</v>
      </c>
      <c r="B4" t="s">
        <v>496</v>
      </c>
      <c r="C4" t="s">
        <v>499</v>
      </c>
      <c r="D4" t="s">
        <v>497</v>
      </c>
      <c r="E4">
        <v>2</v>
      </c>
      <c r="F4">
        <v>8</v>
      </c>
      <c r="G4">
        <v>120</v>
      </c>
      <c r="H4">
        <v>15.1</v>
      </c>
      <c r="I4" s="55">
        <f t="shared" si="0"/>
        <v>20.057484978342696</v>
      </c>
      <c r="J4">
        <v>12</v>
      </c>
      <c r="K4">
        <v>8</v>
      </c>
      <c r="L4">
        <v>17</v>
      </c>
      <c r="M4">
        <f t="shared" si="1"/>
        <v>105</v>
      </c>
    </row>
    <row r="5" spans="1:16" x14ac:dyDescent="0.25">
      <c r="A5" t="s">
        <v>344</v>
      </c>
      <c r="B5" t="s">
        <v>496</v>
      </c>
      <c r="C5" t="s">
        <v>499</v>
      </c>
      <c r="D5" t="s">
        <v>497</v>
      </c>
      <c r="E5">
        <v>2</v>
      </c>
      <c r="F5">
        <v>8</v>
      </c>
      <c r="G5">
        <v>140</v>
      </c>
      <c r="H5">
        <v>15.1</v>
      </c>
      <c r="I5" s="55">
        <f t="shared" si="0"/>
        <v>20.057484978342696</v>
      </c>
      <c r="J5">
        <v>12</v>
      </c>
      <c r="K5">
        <v>8</v>
      </c>
      <c r="L5">
        <v>17</v>
      </c>
      <c r="M5">
        <f t="shared" si="1"/>
        <v>125</v>
      </c>
    </row>
    <row r="6" spans="1:16" x14ac:dyDescent="0.25">
      <c r="A6" t="s">
        <v>344</v>
      </c>
      <c r="B6" t="s">
        <v>496</v>
      </c>
      <c r="C6" t="s">
        <v>499</v>
      </c>
      <c r="D6" t="s">
        <v>497</v>
      </c>
      <c r="E6">
        <v>2</v>
      </c>
      <c r="F6">
        <v>8</v>
      </c>
      <c r="G6">
        <v>160</v>
      </c>
      <c r="H6">
        <v>15.1</v>
      </c>
      <c r="I6" s="55">
        <f t="shared" si="0"/>
        <v>20.057484978342696</v>
      </c>
      <c r="J6">
        <v>12</v>
      </c>
      <c r="K6">
        <v>8</v>
      </c>
      <c r="L6">
        <v>17</v>
      </c>
      <c r="M6">
        <f t="shared" si="1"/>
        <v>145</v>
      </c>
    </row>
    <row r="7" spans="1:16" x14ac:dyDescent="0.25">
      <c r="A7" t="s">
        <v>344</v>
      </c>
      <c r="B7" t="s">
        <v>496</v>
      </c>
      <c r="C7" t="s">
        <v>499</v>
      </c>
      <c r="D7" t="s">
        <v>497</v>
      </c>
      <c r="E7">
        <v>2</v>
      </c>
      <c r="F7">
        <v>8</v>
      </c>
      <c r="G7">
        <v>180</v>
      </c>
      <c r="H7">
        <v>15.1</v>
      </c>
      <c r="I7" s="55">
        <f t="shared" si="0"/>
        <v>20.057484978342696</v>
      </c>
      <c r="J7">
        <v>12</v>
      </c>
      <c r="K7">
        <v>8</v>
      </c>
      <c r="L7">
        <v>17</v>
      </c>
      <c r="M7">
        <f t="shared" si="1"/>
        <v>165</v>
      </c>
    </row>
    <row r="8" spans="1:16" x14ac:dyDescent="0.25">
      <c r="A8" t="s">
        <v>344</v>
      </c>
      <c r="B8" t="s">
        <v>496</v>
      </c>
      <c r="C8" t="s">
        <v>499</v>
      </c>
      <c r="D8" t="s">
        <v>497</v>
      </c>
      <c r="E8">
        <v>2</v>
      </c>
      <c r="F8">
        <v>8</v>
      </c>
      <c r="G8">
        <v>200</v>
      </c>
      <c r="H8">
        <v>15.1</v>
      </c>
      <c r="I8" s="55">
        <f t="shared" si="0"/>
        <v>20.057484978342696</v>
      </c>
      <c r="J8">
        <v>12</v>
      </c>
      <c r="K8">
        <v>8</v>
      </c>
      <c r="L8">
        <v>17</v>
      </c>
      <c r="M8">
        <f t="shared" si="1"/>
        <v>185</v>
      </c>
    </row>
    <row r="9" spans="1:16" x14ac:dyDescent="0.25">
      <c r="A9" t="s">
        <v>344</v>
      </c>
      <c r="B9" t="s">
        <v>496</v>
      </c>
      <c r="C9" t="s">
        <v>499</v>
      </c>
      <c r="D9" t="s">
        <v>497</v>
      </c>
      <c r="E9">
        <v>2</v>
      </c>
      <c r="F9">
        <v>8</v>
      </c>
      <c r="G9">
        <v>220</v>
      </c>
      <c r="H9">
        <v>15.1</v>
      </c>
      <c r="I9" s="55">
        <f t="shared" si="0"/>
        <v>20.057484978342696</v>
      </c>
      <c r="J9">
        <v>12</v>
      </c>
      <c r="K9">
        <v>8</v>
      </c>
      <c r="L9">
        <v>17</v>
      </c>
      <c r="M9">
        <f t="shared" si="1"/>
        <v>205</v>
      </c>
    </row>
    <row r="10" spans="1:16" x14ac:dyDescent="0.25">
      <c r="A10" t="s">
        <v>344</v>
      </c>
      <c r="B10" t="s">
        <v>496</v>
      </c>
      <c r="C10" t="s">
        <v>499</v>
      </c>
      <c r="D10" t="s">
        <v>497</v>
      </c>
      <c r="E10">
        <v>2</v>
      </c>
      <c r="F10">
        <v>8</v>
      </c>
      <c r="G10">
        <v>240</v>
      </c>
      <c r="H10">
        <v>15.1</v>
      </c>
      <c r="I10" s="55">
        <f t="shared" si="0"/>
        <v>20.057484978342696</v>
      </c>
      <c r="J10">
        <v>12</v>
      </c>
      <c r="K10">
        <v>8</v>
      </c>
      <c r="L10">
        <v>17</v>
      </c>
      <c r="M10">
        <f t="shared" si="1"/>
        <v>225</v>
      </c>
    </row>
    <row r="11" spans="1:16" x14ac:dyDescent="0.25">
      <c r="A11" t="s">
        <v>344</v>
      </c>
      <c r="B11" t="s">
        <v>496</v>
      </c>
      <c r="C11" t="s">
        <v>499</v>
      </c>
      <c r="D11" t="s">
        <v>497</v>
      </c>
      <c r="E11">
        <v>2</v>
      </c>
      <c r="F11">
        <v>8</v>
      </c>
      <c r="G11">
        <v>260</v>
      </c>
      <c r="H11">
        <v>15.1</v>
      </c>
      <c r="I11" s="55">
        <f t="shared" si="0"/>
        <v>20.057484978342696</v>
      </c>
      <c r="J11">
        <v>12</v>
      </c>
      <c r="K11">
        <v>8</v>
      </c>
      <c r="L11">
        <v>17</v>
      </c>
      <c r="M11">
        <f t="shared" si="1"/>
        <v>245</v>
      </c>
    </row>
    <row r="12" spans="1:16" x14ac:dyDescent="0.25">
      <c r="A12" t="s">
        <v>344</v>
      </c>
      <c r="B12" t="s">
        <v>496</v>
      </c>
      <c r="C12" t="s">
        <v>499</v>
      </c>
      <c r="D12" t="s">
        <v>497</v>
      </c>
      <c r="E12">
        <v>2</v>
      </c>
      <c r="F12">
        <v>8</v>
      </c>
      <c r="G12">
        <v>280</v>
      </c>
      <c r="H12">
        <v>15.1</v>
      </c>
      <c r="I12" s="55">
        <f t="shared" si="0"/>
        <v>20.057484978342696</v>
      </c>
      <c r="J12">
        <v>12</v>
      </c>
      <c r="K12">
        <v>8</v>
      </c>
      <c r="L12">
        <v>17</v>
      </c>
      <c r="M12">
        <f t="shared" si="1"/>
        <v>265</v>
      </c>
    </row>
    <row r="13" spans="1:16" x14ac:dyDescent="0.25">
      <c r="A13" t="s">
        <v>344</v>
      </c>
      <c r="B13" t="s">
        <v>496</v>
      </c>
      <c r="C13" t="s">
        <v>499</v>
      </c>
      <c r="D13" t="s">
        <v>497</v>
      </c>
      <c r="E13">
        <v>2</v>
      </c>
      <c r="F13">
        <v>8</v>
      </c>
      <c r="G13">
        <v>300</v>
      </c>
      <c r="H13">
        <v>15.1</v>
      </c>
      <c r="I13" s="55">
        <f t="shared" si="0"/>
        <v>20.057484978342696</v>
      </c>
      <c r="J13">
        <v>12</v>
      </c>
      <c r="K13">
        <v>8</v>
      </c>
      <c r="L13">
        <v>17</v>
      </c>
      <c r="M13">
        <f t="shared" si="1"/>
        <v>285</v>
      </c>
    </row>
    <row r="14" spans="1:16" x14ac:dyDescent="0.25">
      <c r="A14" t="s">
        <v>344</v>
      </c>
      <c r="B14" t="s">
        <v>496</v>
      </c>
      <c r="C14" t="s">
        <v>499</v>
      </c>
      <c r="D14" t="s">
        <v>497</v>
      </c>
      <c r="E14">
        <v>2</v>
      </c>
      <c r="F14">
        <v>8</v>
      </c>
      <c r="G14">
        <v>325</v>
      </c>
      <c r="H14">
        <v>15.1</v>
      </c>
      <c r="I14" s="55">
        <f t="shared" si="0"/>
        <v>20.057484978342696</v>
      </c>
      <c r="J14">
        <v>12</v>
      </c>
      <c r="K14">
        <v>8</v>
      </c>
      <c r="L14">
        <v>17</v>
      </c>
      <c r="M14">
        <f t="shared" si="1"/>
        <v>310</v>
      </c>
    </row>
    <row r="15" spans="1:16" x14ac:dyDescent="0.25">
      <c r="A15" t="s">
        <v>344</v>
      </c>
      <c r="B15" t="s">
        <v>496</v>
      </c>
      <c r="C15" t="s">
        <v>499</v>
      </c>
      <c r="D15" t="s">
        <v>497</v>
      </c>
      <c r="E15">
        <v>2</v>
      </c>
      <c r="F15">
        <v>8</v>
      </c>
      <c r="G15">
        <v>350</v>
      </c>
      <c r="H15">
        <v>15.1</v>
      </c>
      <c r="I15" s="55">
        <f t="shared" si="0"/>
        <v>20.057484978342696</v>
      </c>
      <c r="J15">
        <v>12</v>
      </c>
      <c r="K15">
        <v>8</v>
      </c>
      <c r="L15">
        <v>17</v>
      </c>
      <c r="M15">
        <f t="shared" si="1"/>
        <v>335</v>
      </c>
    </row>
    <row r="16" spans="1:16" x14ac:dyDescent="0.25">
      <c r="A16" t="s">
        <v>344</v>
      </c>
      <c r="B16" t="s">
        <v>496</v>
      </c>
      <c r="C16" t="s">
        <v>499</v>
      </c>
      <c r="D16" t="s">
        <v>497</v>
      </c>
      <c r="E16">
        <v>2</v>
      </c>
      <c r="F16">
        <v>8</v>
      </c>
      <c r="G16">
        <v>375</v>
      </c>
      <c r="H16">
        <v>15.1</v>
      </c>
      <c r="I16" s="55">
        <f t="shared" si="0"/>
        <v>20.057484978342696</v>
      </c>
      <c r="J16">
        <v>12</v>
      </c>
      <c r="K16">
        <v>8</v>
      </c>
      <c r="L16">
        <v>17</v>
      </c>
      <c r="M16">
        <f t="shared" si="1"/>
        <v>360</v>
      </c>
    </row>
    <row r="17" spans="1:13" x14ac:dyDescent="0.25">
      <c r="A17" t="s">
        <v>344</v>
      </c>
      <c r="B17" t="s">
        <v>496</v>
      </c>
      <c r="C17" t="s">
        <v>499</v>
      </c>
      <c r="D17" t="s">
        <v>497</v>
      </c>
      <c r="E17">
        <v>2</v>
      </c>
      <c r="F17">
        <v>8</v>
      </c>
      <c r="G17">
        <v>400</v>
      </c>
      <c r="H17">
        <v>15.1</v>
      </c>
      <c r="I17" s="55">
        <f t="shared" si="0"/>
        <v>20.057484978342696</v>
      </c>
      <c r="J17">
        <v>12</v>
      </c>
      <c r="K17">
        <v>8</v>
      </c>
      <c r="L17">
        <v>17</v>
      </c>
      <c r="M17">
        <f t="shared" si="1"/>
        <v>385</v>
      </c>
    </row>
    <row r="18" spans="1:13" x14ac:dyDescent="0.25">
      <c r="A18" t="s">
        <v>344</v>
      </c>
      <c r="B18" t="s">
        <v>496</v>
      </c>
      <c r="C18" t="s">
        <v>499</v>
      </c>
      <c r="D18" t="s">
        <v>497</v>
      </c>
      <c r="E18">
        <v>2</v>
      </c>
      <c r="F18">
        <v>8</v>
      </c>
      <c r="G18">
        <v>425</v>
      </c>
      <c r="H18">
        <v>15.1</v>
      </c>
      <c r="I18" s="55">
        <f t="shared" si="0"/>
        <v>20.057484978342696</v>
      </c>
      <c r="J18">
        <v>12</v>
      </c>
      <c r="K18">
        <v>8</v>
      </c>
      <c r="L18">
        <v>17</v>
      </c>
      <c r="M18">
        <f t="shared" si="1"/>
        <v>410</v>
      </c>
    </row>
    <row r="19" spans="1:13" x14ac:dyDescent="0.25">
      <c r="A19" t="s">
        <v>344</v>
      </c>
      <c r="B19" t="s">
        <v>496</v>
      </c>
      <c r="C19" t="s">
        <v>499</v>
      </c>
      <c r="D19" t="s">
        <v>497</v>
      </c>
      <c r="E19">
        <v>2</v>
      </c>
      <c r="F19">
        <v>8</v>
      </c>
      <c r="G19">
        <v>450</v>
      </c>
      <c r="H19">
        <v>15.1</v>
      </c>
      <c r="I19" s="55">
        <f t="shared" si="0"/>
        <v>20.057484978342696</v>
      </c>
      <c r="J19">
        <v>12</v>
      </c>
      <c r="K19">
        <v>8</v>
      </c>
      <c r="L19">
        <v>17</v>
      </c>
      <c r="M19">
        <f t="shared" si="1"/>
        <v>435</v>
      </c>
    </row>
    <row r="20" spans="1:13" x14ac:dyDescent="0.25">
      <c r="A20" t="s">
        <v>344</v>
      </c>
      <c r="B20" t="s">
        <v>496</v>
      </c>
      <c r="C20" t="s">
        <v>499</v>
      </c>
      <c r="D20" t="s">
        <v>497</v>
      </c>
      <c r="E20">
        <v>2</v>
      </c>
      <c r="F20">
        <v>8</v>
      </c>
      <c r="G20">
        <v>475</v>
      </c>
      <c r="H20">
        <v>15.1</v>
      </c>
      <c r="I20" s="55">
        <f t="shared" si="0"/>
        <v>20.057484978342696</v>
      </c>
      <c r="J20">
        <v>12</v>
      </c>
      <c r="K20">
        <v>8</v>
      </c>
      <c r="L20">
        <v>17</v>
      </c>
      <c r="M20">
        <f t="shared" si="1"/>
        <v>460</v>
      </c>
    </row>
    <row r="21" spans="1:13" x14ac:dyDescent="0.25">
      <c r="A21" t="s">
        <v>344</v>
      </c>
      <c r="B21" t="s">
        <v>496</v>
      </c>
      <c r="C21" t="s">
        <v>499</v>
      </c>
      <c r="D21" t="s">
        <v>497</v>
      </c>
      <c r="E21">
        <v>2</v>
      </c>
      <c r="F21">
        <v>8</v>
      </c>
      <c r="G21">
        <v>500</v>
      </c>
      <c r="H21">
        <v>15.1</v>
      </c>
      <c r="I21" s="55">
        <f t="shared" si="0"/>
        <v>20.057484978342696</v>
      </c>
      <c r="J21">
        <v>12</v>
      </c>
      <c r="K21">
        <v>8</v>
      </c>
      <c r="L21">
        <v>17</v>
      </c>
      <c r="M21">
        <f t="shared" si="1"/>
        <v>485</v>
      </c>
    </row>
    <row r="22" spans="1:13" x14ac:dyDescent="0.25">
      <c r="A22" t="s">
        <v>344</v>
      </c>
      <c r="B22" t="s">
        <v>496</v>
      </c>
      <c r="C22" t="s">
        <v>499</v>
      </c>
      <c r="D22" t="s">
        <v>497</v>
      </c>
      <c r="E22">
        <v>2</v>
      </c>
      <c r="F22">
        <v>8</v>
      </c>
      <c r="G22">
        <v>550</v>
      </c>
      <c r="H22">
        <v>15.1</v>
      </c>
      <c r="I22" s="55">
        <f t="shared" si="0"/>
        <v>20.057484978342696</v>
      </c>
      <c r="J22">
        <v>12</v>
      </c>
      <c r="K22">
        <v>8</v>
      </c>
      <c r="L22">
        <v>17</v>
      </c>
      <c r="M22">
        <f t="shared" si="1"/>
        <v>535</v>
      </c>
    </row>
    <row r="23" spans="1:13" x14ac:dyDescent="0.25">
      <c r="A23" t="s">
        <v>344</v>
      </c>
      <c r="B23" t="s">
        <v>496</v>
      </c>
      <c r="C23" t="s">
        <v>499</v>
      </c>
      <c r="D23" t="s">
        <v>497</v>
      </c>
      <c r="E23">
        <v>2</v>
      </c>
      <c r="F23">
        <v>8</v>
      </c>
      <c r="G23">
        <v>600</v>
      </c>
      <c r="H23">
        <v>15.1</v>
      </c>
      <c r="I23" s="55">
        <f t="shared" si="0"/>
        <v>20.057484978342696</v>
      </c>
      <c r="J23">
        <v>12</v>
      </c>
      <c r="K23">
        <v>8</v>
      </c>
      <c r="L23">
        <v>17</v>
      </c>
      <c r="M23">
        <f t="shared" si="1"/>
        <v>585</v>
      </c>
    </row>
    <row r="24" spans="1:13" x14ac:dyDescent="0.25">
      <c r="A24" t="s">
        <v>344</v>
      </c>
      <c r="B24" t="s">
        <v>496</v>
      </c>
      <c r="C24" t="s">
        <v>499</v>
      </c>
      <c r="D24" t="s">
        <v>497</v>
      </c>
      <c r="E24">
        <v>2</v>
      </c>
      <c r="F24">
        <v>10</v>
      </c>
      <c r="G24">
        <v>100</v>
      </c>
      <c r="H24">
        <v>18.600000000000001</v>
      </c>
      <c r="I24" s="55">
        <f t="shared" si="0"/>
        <v>35.829645349814783</v>
      </c>
      <c r="J24">
        <v>11.5</v>
      </c>
      <c r="K24">
        <v>8</v>
      </c>
      <c r="L24">
        <v>28</v>
      </c>
      <c r="M24">
        <f t="shared" si="1"/>
        <v>85</v>
      </c>
    </row>
    <row r="25" spans="1:13" x14ac:dyDescent="0.25">
      <c r="A25" t="s">
        <v>344</v>
      </c>
      <c r="B25" t="s">
        <v>496</v>
      </c>
      <c r="C25" t="s">
        <v>499</v>
      </c>
      <c r="D25" t="s">
        <v>497</v>
      </c>
      <c r="E25">
        <v>2</v>
      </c>
      <c r="F25">
        <v>10</v>
      </c>
      <c r="G25">
        <v>120</v>
      </c>
      <c r="H25">
        <v>18.600000000000001</v>
      </c>
      <c r="I25" s="55">
        <f t="shared" ref="I25:I88" si="2">0.15*600*F25^2.6/1000</f>
        <v>35.829645349814783</v>
      </c>
      <c r="J25">
        <v>11.5</v>
      </c>
      <c r="K25">
        <v>8</v>
      </c>
      <c r="L25">
        <v>28</v>
      </c>
      <c r="M25">
        <f t="shared" si="1"/>
        <v>105</v>
      </c>
    </row>
    <row r="26" spans="1:13" x14ac:dyDescent="0.25">
      <c r="A26" t="s">
        <v>344</v>
      </c>
      <c r="B26" t="s">
        <v>496</v>
      </c>
      <c r="C26" t="s">
        <v>499</v>
      </c>
      <c r="D26" t="s">
        <v>497</v>
      </c>
      <c r="E26">
        <v>2</v>
      </c>
      <c r="F26">
        <v>10</v>
      </c>
      <c r="G26">
        <v>140</v>
      </c>
      <c r="H26">
        <v>18.600000000000001</v>
      </c>
      <c r="I26" s="55">
        <f t="shared" si="2"/>
        <v>35.829645349814783</v>
      </c>
      <c r="J26">
        <v>11.5</v>
      </c>
      <c r="K26">
        <v>8</v>
      </c>
      <c r="L26">
        <v>28</v>
      </c>
      <c r="M26">
        <f t="shared" si="1"/>
        <v>125</v>
      </c>
    </row>
    <row r="27" spans="1:13" x14ac:dyDescent="0.25">
      <c r="A27" t="s">
        <v>344</v>
      </c>
      <c r="B27" t="s">
        <v>496</v>
      </c>
      <c r="C27" t="s">
        <v>499</v>
      </c>
      <c r="D27" t="s">
        <v>497</v>
      </c>
      <c r="E27">
        <v>2</v>
      </c>
      <c r="F27">
        <v>10</v>
      </c>
      <c r="G27">
        <v>160</v>
      </c>
      <c r="H27">
        <v>18.600000000000001</v>
      </c>
      <c r="I27" s="55">
        <f t="shared" si="2"/>
        <v>35.829645349814783</v>
      </c>
      <c r="J27">
        <v>11.5</v>
      </c>
      <c r="K27">
        <v>8</v>
      </c>
      <c r="L27">
        <v>28</v>
      </c>
      <c r="M27">
        <f t="shared" si="1"/>
        <v>145</v>
      </c>
    </row>
    <row r="28" spans="1:13" x14ac:dyDescent="0.25">
      <c r="A28" t="s">
        <v>344</v>
      </c>
      <c r="B28" t="s">
        <v>496</v>
      </c>
      <c r="C28" t="s">
        <v>499</v>
      </c>
      <c r="D28" t="s">
        <v>497</v>
      </c>
      <c r="E28">
        <v>2</v>
      </c>
      <c r="F28">
        <v>10</v>
      </c>
      <c r="G28">
        <v>180</v>
      </c>
      <c r="H28">
        <v>18.600000000000001</v>
      </c>
      <c r="I28" s="55">
        <f t="shared" si="2"/>
        <v>35.829645349814783</v>
      </c>
      <c r="J28">
        <v>11.5</v>
      </c>
      <c r="K28">
        <v>8</v>
      </c>
      <c r="L28">
        <v>28</v>
      </c>
      <c r="M28">
        <f t="shared" si="1"/>
        <v>165</v>
      </c>
    </row>
    <row r="29" spans="1:13" x14ac:dyDescent="0.25">
      <c r="A29" t="s">
        <v>344</v>
      </c>
      <c r="B29" t="s">
        <v>496</v>
      </c>
      <c r="C29" t="s">
        <v>499</v>
      </c>
      <c r="D29" t="s">
        <v>497</v>
      </c>
      <c r="E29">
        <v>2</v>
      </c>
      <c r="F29">
        <v>10</v>
      </c>
      <c r="G29">
        <v>200</v>
      </c>
      <c r="H29">
        <v>18.600000000000001</v>
      </c>
      <c r="I29" s="55">
        <f t="shared" si="2"/>
        <v>35.829645349814783</v>
      </c>
      <c r="J29">
        <v>11.5</v>
      </c>
      <c r="K29">
        <v>8</v>
      </c>
      <c r="L29">
        <v>28</v>
      </c>
      <c r="M29">
        <f t="shared" si="1"/>
        <v>185</v>
      </c>
    </row>
    <row r="30" spans="1:13" x14ac:dyDescent="0.25">
      <c r="A30" t="s">
        <v>344</v>
      </c>
      <c r="B30" t="s">
        <v>496</v>
      </c>
      <c r="C30" t="s">
        <v>499</v>
      </c>
      <c r="D30" t="s">
        <v>497</v>
      </c>
      <c r="E30">
        <v>2</v>
      </c>
      <c r="F30">
        <v>10</v>
      </c>
      <c r="G30">
        <v>220</v>
      </c>
      <c r="H30">
        <v>18.600000000000001</v>
      </c>
      <c r="I30" s="55">
        <f t="shared" si="2"/>
        <v>35.829645349814783</v>
      </c>
      <c r="J30">
        <v>11.5</v>
      </c>
      <c r="K30">
        <v>8</v>
      </c>
      <c r="L30">
        <v>28</v>
      </c>
      <c r="M30">
        <f t="shared" si="1"/>
        <v>205</v>
      </c>
    </row>
    <row r="31" spans="1:13" x14ac:dyDescent="0.25">
      <c r="A31" t="s">
        <v>344</v>
      </c>
      <c r="B31" t="s">
        <v>496</v>
      </c>
      <c r="C31" t="s">
        <v>499</v>
      </c>
      <c r="D31" t="s">
        <v>497</v>
      </c>
      <c r="E31">
        <v>2</v>
      </c>
      <c r="F31">
        <v>10</v>
      </c>
      <c r="G31">
        <v>240</v>
      </c>
      <c r="H31">
        <v>18.600000000000001</v>
      </c>
      <c r="I31" s="55">
        <f t="shared" si="2"/>
        <v>35.829645349814783</v>
      </c>
      <c r="J31">
        <v>11.5</v>
      </c>
      <c r="K31">
        <v>8</v>
      </c>
      <c r="L31">
        <v>28</v>
      </c>
      <c r="M31">
        <f t="shared" si="1"/>
        <v>225</v>
      </c>
    </row>
    <row r="32" spans="1:13" x14ac:dyDescent="0.25">
      <c r="A32" t="s">
        <v>344</v>
      </c>
      <c r="B32" t="s">
        <v>496</v>
      </c>
      <c r="C32" t="s">
        <v>499</v>
      </c>
      <c r="D32" t="s">
        <v>497</v>
      </c>
      <c r="E32">
        <v>2</v>
      </c>
      <c r="F32">
        <v>10</v>
      </c>
      <c r="G32">
        <v>260</v>
      </c>
      <c r="H32">
        <v>18.600000000000001</v>
      </c>
      <c r="I32" s="55">
        <f t="shared" si="2"/>
        <v>35.829645349814783</v>
      </c>
      <c r="J32">
        <v>11.5</v>
      </c>
      <c r="K32">
        <v>8</v>
      </c>
      <c r="L32">
        <v>28</v>
      </c>
      <c r="M32">
        <f t="shared" si="1"/>
        <v>245</v>
      </c>
    </row>
    <row r="33" spans="1:13" x14ac:dyDescent="0.25">
      <c r="A33" t="s">
        <v>344</v>
      </c>
      <c r="B33" t="s">
        <v>496</v>
      </c>
      <c r="C33" t="s">
        <v>499</v>
      </c>
      <c r="D33" t="s">
        <v>497</v>
      </c>
      <c r="E33">
        <v>2</v>
      </c>
      <c r="F33">
        <v>10</v>
      </c>
      <c r="G33">
        <v>280</v>
      </c>
      <c r="H33">
        <v>18.600000000000001</v>
      </c>
      <c r="I33" s="55">
        <f t="shared" si="2"/>
        <v>35.829645349814783</v>
      </c>
      <c r="J33">
        <v>11.5</v>
      </c>
      <c r="K33">
        <v>8</v>
      </c>
      <c r="L33">
        <v>28</v>
      </c>
      <c r="M33">
        <f t="shared" si="1"/>
        <v>265</v>
      </c>
    </row>
    <row r="34" spans="1:13" x14ac:dyDescent="0.25">
      <c r="A34" t="s">
        <v>344</v>
      </c>
      <c r="B34" t="s">
        <v>496</v>
      </c>
      <c r="C34" t="s">
        <v>499</v>
      </c>
      <c r="D34" t="s">
        <v>497</v>
      </c>
      <c r="E34">
        <v>2</v>
      </c>
      <c r="F34">
        <v>10</v>
      </c>
      <c r="G34">
        <v>300</v>
      </c>
      <c r="H34">
        <v>18.600000000000001</v>
      </c>
      <c r="I34" s="55">
        <f t="shared" si="2"/>
        <v>35.829645349814783</v>
      </c>
      <c r="J34">
        <v>11.5</v>
      </c>
      <c r="K34">
        <v>8</v>
      </c>
      <c r="L34">
        <v>28</v>
      </c>
      <c r="M34">
        <f t="shared" si="1"/>
        <v>285</v>
      </c>
    </row>
    <row r="35" spans="1:13" x14ac:dyDescent="0.25">
      <c r="A35" t="s">
        <v>344</v>
      </c>
      <c r="B35" t="s">
        <v>496</v>
      </c>
      <c r="C35" t="s">
        <v>499</v>
      </c>
      <c r="D35" t="s">
        <v>497</v>
      </c>
      <c r="E35">
        <v>2</v>
      </c>
      <c r="F35">
        <v>10</v>
      </c>
      <c r="G35">
        <v>325</v>
      </c>
      <c r="H35">
        <v>18.600000000000001</v>
      </c>
      <c r="I35" s="55">
        <f t="shared" si="2"/>
        <v>35.829645349814783</v>
      </c>
      <c r="J35">
        <v>11.5</v>
      </c>
      <c r="K35">
        <v>8</v>
      </c>
      <c r="L35">
        <v>28</v>
      </c>
      <c r="M35">
        <f t="shared" si="1"/>
        <v>310</v>
      </c>
    </row>
    <row r="36" spans="1:13" x14ac:dyDescent="0.25">
      <c r="A36" t="s">
        <v>344</v>
      </c>
      <c r="B36" t="s">
        <v>496</v>
      </c>
      <c r="C36" t="s">
        <v>499</v>
      </c>
      <c r="D36" t="s">
        <v>497</v>
      </c>
      <c r="E36">
        <v>2</v>
      </c>
      <c r="F36">
        <v>10</v>
      </c>
      <c r="G36">
        <v>350</v>
      </c>
      <c r="H36">
        <v>18.600000000000001</v>
      </c>
      <c r="I36" s="55">
        <f t="shared" si="2"/>
        <v>35.829645349814783</v>
      </c>
      <c r="J36">
        <v>11.5</v>
      </c>
      <c r="K36">
        <v>8</v>
      </c>
      <c r="L36">
        <v>28</v>
      </c>
      <c r="M36">
        <f t="shared" si="1"/>
        <v>335</v>
      </c>
    </row>
    <row r="37" spans="1:13" x14ac:dyDescent="0.25">
      <c r="A37" t="s">
        <v>344</v>
      </c>
      <c r="B37" t="s">
        <v>496</v>
      </c>
      <c r="C37" t="s">
        <v>499</v>
      </c>
      <c r="D37" t="s">
        <v>497</v>
      </c>
      <c r="E37">
        <v>2</v>
      </c>
      <c r="F37">
        <v>10</v>
      </c>
      <c r="G37">
        <v>375</v>
      </c>
      <c r="H37">
        <v>18.600000000000001</v>
      </c>
      <c r="I37" s="55">
        <f t="shared" si="2"/>
        <v>35.829645349814783</v>
      </c>
      <c r="J37">
        <v>11.5</v>
      </c>
      <c r="K37">
        <v>8</v>
      </c>
      <c r="L37">
        <v>28</v>
      </c>
      <c r="M37">
        <f t="shared" si="1"/>
        <v>360</v>
      </c>
    </row>
    <row r="38" spans="1:13" x14ac:dyDescent="0.25">
      <c r="A38" t="s">
        <v>344</v>
      </c>
      <c r="B38" t="s">
        <v>496</v>
      </c>
      <c r="C38" t="s">
        <v>499</v>
      </c>
      <c r="D38" t="s">
        <v>497</v>
      </c>
      <c r="E38">
        <v>2</v>
      </c>
      <c r="F38">
        <v>10</v>
      </c>
      <c r="G38">
        <v>400</v>
      </c>
      <c r="H38">
        <v>18.600000000000001</v>
      </c>
      <c r="I38" s="55">
        <f t="shared" si="2"/>
        <v>35.829645349814783</v>
      </c>
      <c r="J38">
        <v>11.5</v>
      </c>
      <c r="K38">
        <v>8</v>
      </c>
      <c r="L38">
        <v>28</v>
      </c>
      <c r="M38">
        <f t="shared" si="1"/>
        <v>385</v>
      </c>
    </row>
    <row r="39" spans="1:13" x14ac:dyDescent="0.25">
      <c r="A39" t="s">
        <v>344</v>
      </c>
      <c r="B39" t="s">
        <v>496</v>
      </c>
      <c r="C39" t="s">
        <v>499</v>
      </c>
      <c r="D39" t="s">
        <v>497</v>
      </c>
      <c r="E39">
        <v>2</v>
      </c>
      <c r="F39">
        <v>10</v>
      </c>
      <c r="G39">
        <v>425</v>
      </c>
      <c r="H39">
        <v>18.600000000000001</v>
      </c>
      <c r="I39" s="55">
        <f t="shared" si="2"/>
        <v>35.829645349814783</v>
      </c>
      <c r="J39">
        <v>11.5</v>
      </c>
      <c r="K39">
        <v>8</v>
      </c>
      <c r="L39">
        <v>28</v>
      </c>
      <c r="M39">
        <f t="shared" si="1"/>
        <v>410</v>
      </c>
    </row>
    <row r="40" spans="1:13" x14ac:dyDescent="0.25">
      <c r="A40" t="s">
        <v>344</v>
      </c>
      <c r="B40" t="s">
        <v>496</v>
      </c>
      <c r="C40" t="s">
        <v>499</v>
      </c>
      <c r="D40" t="s">
        <v>497</v>
      </c>
      <c r="E40">
        <v>2</v>
      </c>
      <c r="F40">
        <v>10</v>
      </c>
      <c r="G40">
        <v>450</v>
      </c>
      <c r="H40">
        <v>18.600000000000001</v>
      </c>
      <c r="I40" s="55">
        <f t="shared" si="2"/>
        <v>35.829645349814783</v>
      </c>
      <c r="J40">
        <v>11.5</v>
      </c>
      <c r="K40">
        <v>8</v>
      </c>
      <c r="L40">
        <v>28</v>
      </c>
      <c r="M40">
        <f t="shared" si="1"/>
        <v>435</v>
      </c>
    </row>
    <row r="41" spans="1:13" x14ac:dyDescent="0.25">
      <c r="A41" t="s">
        <v>344</v>
      </c>
      <c r="B41" t="s">
        <v>496</v>
      </c>
      <c r="C41" t="s">
        <v>499</v>
      </c>
      <c r="D41" t="s">
        <v>497</v>
      </c>
      <c r="E41">
        <v>2</v>
      </c>
      <c r="F41">
        <v>10</v>
      </c>
      <c r="G41">
        <v>500</v>
      </c>
      <c r="H41">
        <v>18.600000000000001</v>
      </c>
      <c r="I41" s="55">
        <f t="shared" si="2"/>
        <v>35.829645349814783</v>
      </c>
      <c r="J41">
        <v>11.5</v>
      </c>
      <c r="K41">
        <v>8</v>
      </c>
      <c r="L41">
        <v>28</v>
      </c>
      <c r="M41">
        <f t="shared" si="1"/>
        <v>485</v>
      </c>
    </row>
    <row r="42" spans="1:13" x14ac:dyDescent="0.25">
      <c r="A42" t="s">
        <v>344</v>
      </c>
      <c r="B42" t="s">
        <v>496</v>
      </c>
      <c r="C42" t="s">
        <v>499</v>
      </c>
      <c r="D42" t="s">
        <v>497</v>
      </c>
      <c r="E42">
        <v>2</v>
      </c>
      <c r="F42">
        <v>10</v>
      </c>
      <c r="G42">
        <v>550</v>
      </c>
      <c r="H42">
        <v>18.600000000000001</v>
      </c>
      <c r="I42" s="55">
        <f t="shared" si="2"/>
        <v>35.829645349814783</v>
      </c>
      <c r="J42">
        <v>11.5</v>
      </c>
      <c r="K42">
        <v>8</v>
      </c>
      <c r="L42">
        <v>28</v>
      </c>
      <c r="M42">
        <f t="shared" si="1"/>
        <v>535</v>
      </c>
    </row>
    <row r="43" spans="1:13" x14ac:dyDescent="0.25">
      <c r="A43" t="s">
        <v>344</v>
      </c>
      <c r="B43" t="s">
        <v>496</v>
      </c>
      <c r="C43" t="s">
        <v>499</v>
      </c>
      <c r="D43" t="s">
        <v>497</v>
      </c>
      <c r="E43">
        <v>2</v>
      </c>
      <c r="F43">
        <v>10</v>
      </c>
      <c r="G43">
        <v>600</v>
      </c>
      <c r="H43">
        <v>18.600000000000001</v>
      </c>
      <c r="I43" s="55">
        <f t="shared" si="2"/>
        <v>35.829645349814783</v>
      </c>
      <c r="J43">
        <v>11.5</v>
      </c>
      <c r="K43">
        <v>8</v>
      </c>
      <c r="L43">
        <v>28</v>
      </c>
      <c r="M43">
        <f t="shared" si="1"/>
        <v>585</v>
      </c>
    </row>
    <row r="44" spans="1:13" x14ac:dyDescent="0.25">
      <c r="A44" t="s">
        <v>344</v>
      </c>
      <c r="B44" t="s">
        <v>496</v>
      </c>
      <c r="C44" t="s">
        <v>499</v>
      </c>
      <c r="D44" t="s">
        <v>497</v>
      </c>
      <c r="E44">
        <v>2</v>
      </c>
      <c r="F44">
        <v>10</v>
      </c>
      <c r="G44">
        <v>650</v>
      </c>
      <c r="H44">
        <v>18.600000000000001</v>
      </c>
      <c r="I44" s="55">
        <f t="shared" si="2"/>
        <v>35.829645349814783</v>
      </c>
      <c r="J44">
        <v>11.5</v>
      </c>
      <c r="K44">
        <v>8</v>
      </c>
      <c r="L44">
        <v>28</v>
      </c>
      <c r="M44">
        <f t="shared" si="1"/>
        <v>635</v>
      </c>
    </row>
    <row r="45" spans="1:13" x14ac:dyDescent="0.25">
      <c r="A45" t="s">
        <v>344</v>
      </c>
      <c r="B45" t="s">
        <v>496</v>
      </c>
      <c r="C45" t="s">
        <v>499</v>
      </c>
      <c r="D45" t="s">
        <v>497</v>
      </c>
      <c r="E45">
        <v>2</v>
      </c>
      <c r="F45">
        <v>10</v>
      </c>
      <c r="G45">
        <v>700</v>
      </c>
      <c r="H45">
        <v>18.600000000000001</v>
      </c>
      <c r="I45" s="55">
        <f t="shared" si="2"/>
        <v>35.829645349814783</v>
      </c>
      <c r="J45">
        <v>11.5</v>
      </c>
      <c r="K45">
        <v>8</v>
      </c>
      <c r="L45">
        <v>28</v>
      </c>
      <c r="M45">
        <f t="shared" si="1"/>
        <v>685</v>
      </c>
    </row>
    <row r="46" spans="1:13" x14ac:dyDescent="0.25">
      <c r="A46" t="s">
        <v>344</v>
      </c>
      <c r="B46" t="s">
        <v>496</v>
      </c>
      <c r="C46" t="s">
        <v>499</v>
      </c>
      <c r="D46" t="s">
        <v>497</v>
      </c>
      <c r="E46">
        <v>2</v>
      </c>
      <c r="F46">
        <v>10</v>
      </c>
      <c r="G46">
        <v>750</v>
      </c>
      <c r="H46">
        <v>18.600000000000001</v>
      </c>
      <c r="I46" s="55">
        <f t="shared" si="2"/>
        <v>35.829645349814783</v>
      </c>
      <c r="J46">
        <v>11.5</v>
      </c>
      <c r="K46">
        <v>8</v>
      </c>
      <c r="L46">
        <v>28</v>
      </c>
      <c r="M46">
        <f t="shared" si="1"/>
        <v>735</v>
      </c>
    </row>
    <row r="47" spans="1:13" x14ac:dyDescent="0.25">
      <c r="A47" t="s">
        <v>344</v>
      </c>
      <c r="B47" t="s">
        <v>496</v>
      </c>
      <c r="C47" t="s">
        <v>499</v>
      </c>
      <c r="D47" t="s">
        <v>497</v>
      </c>
      <c r="E47">
        <v>2</v>
      </c>
      <c r="F47">
        <v>10</v>
      </c>
      <c r="G47">
        <v>800</v>
      </c>
      <c r="H47">
        <v>18.600000000000001</v>
      </c>
      <c r="I47" s="55">
        <f t="shared" si="2"/>
        <v>35.829645349814783</v>
      </c>
      <c r="J47">
        <v>11.5</v>
      </c>
      <c r="K47">
        <v>8</v>
      </c>
      <c r="L47">
        <v>28</v>
      </c>
      <c r="M47">
        <f t="shared" si="1"/>
        <v>785</v>
      </c>
    </row>
    <row r="48" spans="1:13" x14ac:dyDescent="0.25">
      <c r="A48" t="s">
        <v>344</v>
      </c>
      <c r="B48" t="s">
        <v>496</v>
      </c>
      <c r="C48" t="s">
        <v>499</v>
      </c>
      <c r="D48" t="s">
        <v>497</v>
      </c>
      <c r="E48">
        <v>2</v>
      </c>
      <c r="F48">
        <v>12</v>
      </c>
      <c r="G48">
        <v>200</v>
      </c>
      <c r="H48">
        <v>18.600000000000001</v>
      </c>
      <c r="I48" s="55">
        <f t="shared" si="2"/>
        <v>57.559067465202105</v>
      </c>
      <c r="J48">
        <v>11</v>
      </c>
      <c r="K48">
        <v>8</v>
      </c>
      <c r="L48">
        <v>38</v>
      </c>
      <c r="M48">
        <f t="shared" si="1"/>
        <v>185</v>
      </c>
    </row>
    <row r="49" spans="1:13" x14ac:dyDescent="0.25">
      <c r="A49" t="s">
        <v>344</v>
      </c>
      <c r="B49" t="s">
        <v>496</v>
      </c>
      <c r="C49" t="s">
        <v>499</v>
      </c>
      <c r="D49" t="s">
        <v>497</v>
      </c>
      <c r="E49">
        <v>2</v>
      </c>
      <c r="F49">
        <v>12</v>
      </c>
      <c r="G49">
        <v>240</v>
      </c>
      <c r="H49">
        <v>18.600000000000001</v>
      </c>
      <c r="I49" s="55">
        <f t="shared" si="2"/>
        <v>57.559067465202105</v>
      </c>
      <c r="J49">
        <v>11</v>
      </c>
      <c r="K49">
        <v>8</v>
      </c>
      <c r="L49">
        <v>38</v>
      </c>
      <c r="M49">
        <f t="shared" si="1"/>
        <v>225</v>
      </c>
    </row>
    <row r="50" spans="1:13" x14ac:dyDescent="0.25">
      <c r="A50" t="s">
        <v>344</v>
      </c>
      <c r="B50" t="s">
        <v>496</v>
      </c>
      <c r="C50" t="s">
        <v>499</v>
      </c>
      <c r="D50" t="s">
        <v>497</v>
      </c>
      <c r="E50">
        <v>2</v>
      </c>
      <c r="F50">
        <v>12</v>
      </c>
      <c r="G50">
        <v>280</v>
      </c>
      <c r="H50">
        <v>18.600000000000001</v>
      </c>
      <c r="I50" s="55">
        <f t="shared" si="2"/>
        <v>57.559067465202105</v>
      </c>
      <c r="J50">
        <v>11</v>
      </c>
      <c r="K50">
        <v>8</v>
      </c>
      <c r="L50">
        <v>38</v>
      </c>
      <c r="M50">
        <f t="shared" si="1"/>
        <v>265</v>
      </c>
    </row>
    <row r="51" spans="1:13" x14ac:dyDescent="0.25">
      <c r="A51" t="s">
        <v>344</v>
      </c>
      <c r="B51" t="s">
        <v>496</v>
      </c>
      <c r="C51" t="s">
        <v>499</v>
      </c>
      <c r="D51" t="s">
        <v>497</v>
      </c>
      <c r="E51">
        <v>2</v>
      </c>
      <c r="F51">
        <v>12</v>
      </c>
      <c r="G51">
        <v>300</v>
      </c>
      <c r="H51">
        <v>18.600000000000001</v>
      </c>
      <c r="I51" s="55">
        <f t="shared" si="2"/>
        <v>57.559067465202105</v>
      </c>
      <c r="J51">
        <v>11</v>
      </c>
      <c r="K51">
        <v>8</v>
      </c>
      <c r="L51">
        <v>38</v>
      </c>
      <c r="M51">
        <f t="shared" si="1"/>
        <v>285</v>
      </c>
    </row>
    <row r="52" spans="1:13" x14ac:dyDescent="0.25">
      <c r="A52" t="s">
        <v>344</v>
      </c>
      <c r="B52" t="s">
        <v>496</v>
      </c>
      <c r="C52" t="s">
        <v>499</v>
      </c>
      <c r="D52" t="s">
        <v>497</v>
      </c>
      <c r="E52">
        <v>2</v>
      </c>
      <c r="F52">
        <v>12</v>
      </c>
      <c r="G52">
        <v>350</v>
      </c>
      <c r="H52">
        <v>18.600000000000001</v>
      </c>
      <c r="I52" s="55">
        <f t="shared" si="2"/>
        <v>57.559067465202105</v>
      </c>
      <c r="J52">
        <v>11</v>
      </c>
      <c r="K52">
        <v>8</v>
      </c>
      <c r="L52">
        <v>38</v>
      </c>
      <c r="M52">
        <f t="shared" si="1"/>
        <v>335</v>
      </c>
    </row>
    <row r="53" spans="1:13" x14ac:dyDescent="0.25">
      <c r="A53" t="s">
        <v>344</v>
      </c>
      <c r="B53" t="s">
        <v>496</v>
      </c>
      <c r="C53" t="s">
        <v>499</v>
      </c>
      <c r="D53" t="s">
        <v>497</v>
      </c>
      <c r="E53">
        <v>2</v>
      </c>
      <c r="F53">
        <v>12</v>
      </c>
      <c r="G53">
        <v>400</v>
      </c>
      <c r="H53">
        <v>18.600000000000001</v>
      </c>
      <c r="I53" s="55">
        <f t="shared" si="2"/>
        <v>57.559067465202105</v>
      </c>
      <c r="J53">
        <v>11</v>
      </c>
      <c r="K53">
        <v>8</v>
      </c>
      <c r="L53">
        <v>38</v>
      </c>
      <c r="M53">
        <f t="shared" si="1"/>
        <v>385</v>
      </c>
    </row>
    <row r="54" spans="1:13" x14ac:dyDescent="0.25">
      <c r="A54" t="s">
        <v>344</v>
      </c>
      <c r="B54" t="s">
        <v>496</v>
      </c>
      <c r="C54" t="s">
        <v>499</v>
      </c>
      <c r="D54" t="s">
        <v>497</v>
      </c>
      <c r="E54">
        <v>2</v>
      </c>
      <c r="F54">
        <v>12</v>
      </c>
      <c r="G54">
        <v>450</v>
      </c>
      <c r="H54">
        <v>18.600000000000001</v>
      </c>
      <c r="I54" s="55">
        <f t="shared" si="2"/>
        <v>57.559067465202105</v>
      </c>
      <c r="J54">
        <v>11</v>
      </c>
      <c r="K54">
        <v>8</v>
      </c>
      <c r="L54">
        <v>38</v>
      </c>
      <c r="M54">
        <f t="shared" si="1"/>
        <v>435</v>
      </c>
    </row>
    <row r="55" spans="1:13" x14ac:dyDescent="0.25">
      <c r="A55" t="s">
        <v>344</v>
      </c>
      <c r="B55" t="s">
        <v>496</v>
      </c>
      <c r="C55" t="s">
        <v>499</v>
      </c>
      <c r="D55" t="s">
        <v>497</v>
      </c>
      <c r="E55">
        <v>2</v>
      </c>
      <c r="F55">
        <v>12</v>
      </c>
      <c r="G55">
        <v>500</v>
      </c>
      <c r="H55">
        <v>18.600000000000001</v>
      </c>
      <c r="I55" s="55">
        <f t="shared" si="2"/>
        <v>57.559067465202105</v>
      </c>
      <c r="J55">
        <v>11</v>
      </c>
      <c r="K55">
        <v>8</v>
      </c>
      <c r="L55">
        <v>38</v>
      </c>
      <c r="M55">
        <f t="shared" si="1"/>
        <v>485</v>
      </c>
    </row>
    <row r="56" spans="1:13" x14ac:dyDescent="0.25">
      <c r="A56" t="s">
        <v>344</v>
      </c>
      <c r="B56" t="s">
        <v>496</v>
      </c>
      <c r="C56" t="s">
        <v>499</v>
      </c>
      <c r="D56" t="s">
        <v>497</v>
      </c>
      <c r="E56">
        <v>2</v>
      </c>
      <c r="F56">
        <v>12</v>
      </c>
      <c r="G56">
        <v>550</v>
      </c>
      <c r="H56">
        <v>18.600000000000001</v>
      </c>
      <c r="I56" s="55">
        <f t="shared" si="2"/>
        <v>57.559067465202105</v>
      </c>
      <c r="J56">
        <v>11</v>
      </c>
      <c r="K56">
        <v>8</v>
      </c>
      <c r="L56">
        <v>38</v>
      </c>
      <c r="M56">
        <f t="shared" si="1"/>
        <v>535</v>
      </c>
    </row>
    <row r="57" spans="1:13" x14ac:dyDescent="0.25">
      <c r="A57" t="s">
        <v>344</v>
      </c>
      <c r="B57" t="s">
        <v>496</v>
      </c>
      <c r="C57" t="s">
        <v>499</v>
      </c>
      <c r="D57" t="s">
        <v>497</v>
      </c>
      <c r="E57">
        <v>2</v>
      </c>
      <c r="F57">
        <v>12</v>
      </c>
      <c r="G57">
        <v>600</v>
      </c>
      <c r="H57">
        <v>18.600000000000001</v>
      </c>
      <c r="I57" s="55">
        <f t="shared" si="2"/>
        <v>57.559067465202105</v>
      </c>
      <c r="J57">
        <v>11</v>
      </c>
      <c r="K57">
        <v>8</v>
      </c>
      <c r="L57">
        <v>38</v>
      </c>
      <c r="M57">
        <f t="shared" si="1"/>
        <v>585</v>
      </c>
    </row>
    <row r="58" spans="1:13" x14ac:dyDescent="0.25">
      <c r="A58" t="s">
        <v>344</v>
      </c>
      <c r="B58" t="s">
        <v>496</v>
      </c>
      <c r="C58" t="s">
        <v>498</v>
      </c>
      <c r="D58" t="s">
        <v>497</v>
      </c>
      <c r="E58">
        <v>3</v>
      </c>
      <c r="F58">
        <v>8</v>
      </c>
      <c r="G58">
        <v>100</v>
      </c>
      <c r="H58">
        <v>15.1</v>
      </c>
      <c r="I58" s="55">
        <f t="shared" si="2"/>
        <v>20.057484978342696</v>
      </c>
      <c r="J58">
        <v>12</v>
      </c>
      <c r="K58">
        <v>8</v>
      </c>
      <c r="L58">
        <v>13</v>
      </c>
      <c r="M58">
        <f t="shared" si="1"/>
        <v>85</v>
      </c>
    </row>
    <row r="59" spans="1:13" x14ac:dyDescent="0.25">
      <c r="A59" t="s">
        <v>344</v>
      </c>
      <c r="B59" t="s">
        <v>496</v>
      </c>
      <c r="C59" t="s">
        <v>498</v>
      </c>
      <c r="D59" t="s">
        <v>497</v>
      </c>
      <c r="E59">
        <v>3</v>
      </c>
      <c r="F59">
        <v>8</v>
      </c>
      <c r="G59">
        <v>120</v>
      </c>
      <c r="H59">
        <v>15.1</v>
      </c>
      <c r="I59" s="55">
        <f t="shared" si="2"/>
        <v>20.057484978342696</v>
      </c>
      <c r="J59">
        <v>12</v>
      </c>
      <c r="K59">
        <v>8</v>
      </c>
      <c r="L59">
        <v>13</v>
      </c>
      <c r="M59">
        <f t="shared" si="1"/>
        <v>105</v>
      </c>
    </row>
    <row r="60" spans="1:13" x14ac:dyDescent="0.25">
      <c r="A60" t="s">
        <v>344</v>
      </c>
      <c r="B60" t="s">
        <v>496</v>
      </c>
      <c r="C60" t="s">
        <v>498</v>
      </c>
      <c r="D60" t="s">
        <v>497</v>
      </c>
      <c r="E60">
        <v>3</v>
      </c>
      <c r="F60">
        <v>8</v>
      </c>
      <c r="G60">
        <v>140</v>
      </c>
      <c r="H60">
        <v>15.1</v>
      </c>
      <c r="I60" s="55">
        <f t="shared" si="2"/>
        <v>20.057484978342696</v>
      </c>
      <c r="J60">
        <v>12</v>
      </c>
      <c r="K60">
        <v>8</v>
      </c>
      <c r="L60">
        <v>13</v>
      </c>
      <c r="M60">
        <f t="shared" si="1"/>
        <v>125</v>
      </c>
    </row>
    <row r="61" spans="1:13" x14ac:dyDescent="0.25">
      <c r="A61" t="s">
        <v>344</v>
      </c>
      <c r="B61" t="s">
        <v>496</v>
      </c>
      <c r="C61" t="s">
        <v>498</v>
      </c>
      <c r="D61" t="s">
        <v>497</v>
      </c>
      <c r="E61">
        <v>3</v>
      </c>
      <c r="F61">
        <v>8</v>
      </c>
      <c r="G61">
        <v>160</v>
      </c>
      <c r="H61">
        <v>15.1</v>
      </c>
      <c r="I61" s="55">
        <f t="shared" si="2"/>
        <v>20.057484978342696</v>
      </c>
      <c r="J61">
        <v>12</v>
      </c>
      <c r="K61">
        <v>8</v>
      </c>
      <c r="L61">
        <v>13</v>
      </c>
      <c r="M61">
        <f t="shared" si="1"/>
        <v>145</v>
      </c>
    </row>
    <row r="62" spans="1:13" x14ac:dyDescent="0.25">
      <c r="A62" t="s">
        <v>344</v>
      </c>
      <c r="B62" t="s">
        <v>496</v>
      </c>
      <c r="C62" t="s">
        <v>498</v>
      </c>
      <c r="D62" t="s">
        <v>497</v>
      </c>
      <c r="E62">
        <v>3</v>
      </c>
      <c r="F62">
        <v>8</v>
      </c>
      <c r="G62">
        <v>180</v>
      </c>
      <c r="H62">
        <v>15.1</v>
      </c>
      <c r="I62" s="55">
        <f t="shared" si="2"/>
        <v>20.057484978342696</v>
      </c>
      <c r="J62">
        <v>12</v>
      </c>
      <c r="K62">
        <v>8</v>
      </c>
      <c r="L62">
        <v>13</v>
      </c>
      <c r="M62">
        <f t="shared" si="1"/>
        <v>165</v>
      </c>
    </row>
    <row r="63" spans="1:13" x14ac:dyDescent="0.25">
      <c r="A63" t="s">
        <v>344</v>
      </c>
      <c r="B63" t="s">
        <v>496</v>
      </c>
      <c r="C63" t="s">
        <v>498</v>
      </c>
      <c r="D63" t="s">
        <v>497</v>
      </c>
      <c r="E63">
        <v>3</v>
      </c>
      <c r="F63">
        <v>8</v>
      </c>
      <c r="G63">
        <v>200</v>
      </c>
      <c r="H63">
        <v>15.1</v>
      </c>
      <c r="I63" s="55">
        <f t="shared" si="2"/>
        <v>20.057484978342696</v>
      </c>
      <c r="J63">
        <v>12</v>
      </c>
      <c r="K63">
        <v>8</v>
      </c>
      <c r="L63">
        <v>13</v>
      </c>
      <c r="M63">
        <f t="shared" si="1"/>
        <v>185</v>
      </c>
    </row>
    <row r="64" spans="1:13" x14ac:dyDescent="0.25">
      <c r="A64" t="s">
        <v>344</v>
      </c>
      <c r="B64" t="s">
        <v>496</v>
      </c>
      <c r="C64" t="s">
        <v>498</v>
      </c>
      <c r="D64" t="s">
        <v>497</v>
      </c>
      <c r="E64">
        <v>3</v>
      </c>
      <c r="F64">
        <v>8</v>
      </c>
      <c r="G64">
        <v>220</v>
      </c>
      <c r="H64">
        <v>15.1</v>
      </c>
      <c r="I64" s="55">
        <f t="shared" si="2"/>
        <v>20.057484978342696</v>
      </c>
      <c r="J64">
        <v>12</v>
      </c>
      <c r="K64">
        <v>8</v>
      </c>
      <c r="L64">
        <v>13</v>
      </c>
      <c r="M64">
        <f t="shared" si="1"/>
        <v>205</v>
      </c>
    </row>
    <row r="65" spans="1:13" x14ac:dyDescent="0.25">
      <c r="A65" t="s">
        <v>344</v>
      </c>
      <c r="B65" t="s">
        <v>496</v>
      </c>
      <c r="C65" t="s">
        <v>498</v>
      </c>
      <c r="D65" t="s">
        <v>497</v>
      </c>
      <c r="E65">
        <v>3</v>
      </c>
      <c r="F65">
        <v>8</v>
      </c>
      <c r="G65">
        <v>240</v>
      </c>
      <c r="H65">
        <v>15.1</v>
      </c>
      <c r="I65" s="55">
        <f t="shared" si="2"/>
        <v>20.057484978342696</v>
      </c>
      <c r="J65">
        <v>12</v>
      </c>
      <c r="K65">
        <v>8</v>
      </c>
      <c r="L65">
        <v>13</v>
      </c>
      <c r="M65">
        <f t="shared" si="1"/>
        <v>225</v>
      </c>
    </row>
    <row r="66" spans="1:13" x14ac:dyDescent="0.25">
      <c r="A66" t="s">
        <v>344</v>
      </c>
      <c r="B66" t="s">
        <v>496</v>
      </c>
      <c r="C66" t="s">
        <v>498</v>
      </c>
      <c r="D66" t="s">
        <v>497</v>
      </c>
      <c r="E66">
        <v>3</v>
      </c>
      <c r="F66">
        <v>8</v>
      </c>
      <c r="G66">
        <v>260</v>
      </c>
      <c r="H66">
        <v>15.1</v>
      </c>
      <c r="I66" s="55">
        <f t="shared" si="2"/>
        <v>20.057484978342696</v>
      </c>
      <c r="J66">
        <v>12</v>
      </c>
      <c r="K66">
        <v>8</v>
      </c>
      <c r="L66">
        <v>13</v>
      </c>
      <c r="M66">
        <f t="shared" si="1"/>
        <v>245</v>
      </c>
    </row>
    <row r="67" spans="1:13" x14ac:dyDescent="0.25">
      <c r="A67" t="s">
        <v>344</v>
      </c>
      <c r="B67" t="s">
        <v>496</v>
      </c>
      <c r="C67" t="s">
        <v>498</v>
      </c>
      <c r="D67" t="s">
        <v>497</v>
      </c>
      <c r="E67">
        <v>3</v>
      </c>
      <c r="F67">
        <v>8</v>
      </c>
      <c r="G67">
        <v>280</v>
      </c>
      <c r="H67">
        <v>15.1</v>
      </c>
      <c r="I67" s="55">
        <f t="shared" si="2"/>
        <v>20.057484978342696</v>
      </c>
      <c r="J67">
        <v>12</v>
      </c>
      <c r="K67">
        <v>8</v>
      </c>
      <c r="L67">
        <v>13</v>
      </c>
      <c r="M67">
        <f t="shared" ref="M67:M100" si="3">G67-15</f>
        <v>265</v>
      </c>
    </row>
    <row r="68" spans="1:13" x14ac:dyDescent="0.25">
      <c r="A68" t="s">
        <v>344</v>
      </c>
      <c r="B68" t="s">
        <v>496</v>
      </c>
      <c r="C68" t="s">
        <v>498</v>
      </c>
      <c r="D68" t="s">
        <v>497</v>
      </c>
      <c r="E68">
        <v>3</v>
      </c>
      <c r="F68">
        <v>8</v>
      </c>
      <c r="G68">
        <v>300</v>
      </c>
      <c r="H68">
        <v>15.1</v>
      </c>
      <c r="I68" s="55">
        <f t="shared" si="2"/>
        <v>20.057484978342696</v>
      </c>
      <c r="J68">
        <v>12</v>
      </c>
      <c r="K68">
        <v>8</v>
      </c>
      <c r="L68">
        <v>13</v>
      </c>
      <c r="M68">
        <f t="shared" si="3"/>
        <v>285</v>
      </c>
    </row>
    <row r="69" spans="1:13" x14ac:dyDescent="0.25">
      <c r="A69" t="s">
        <v>344</v>
      </c>
      <c r="B69" t="s">
        <v>496</v>
      </c>
      <c r="C69" t="s">
        <v>498</v>
      </c>
      <c r="D69" t="s">
        <v>497</v>
      </c>
      <c r="E69">
        <v>3</v>
      </c>
      <c r="F69">
        <v>8</v>
      </c>
      <c r="G69">
        <v>325</v>
      </c>
      <c r="H69">
        <v>15.1</v>
      </c>
      <c r="I69" s="55">
        <f t="shared" si="2"/>
        <v>20.057484978342696</v>
      </c>
      <c r="J69">
        <v>12</v>
      </c>
      <c r="K69">
        <v>8</v>
      </c>
      <c r="L69">
        <v>13</v>
      </c>
      <c r="M69">
        <f t="shared" si="3"/>
        <v>310</v>
      </c>
    </row>
    <row r="70" spans="1:13" x14ac:dyDescent="0.25">
      <c r="A70" t="s">
        <v>344</v>
      </c>
      <c r="B70" t="s">
        <v>496</v>
      </c>
      <c r="C70" t="s">
        <v>498</v>
      </c>
      <c r="D70" t="s">
        <v>497</v>
      </c>
      <c r="E70">
        <v>3</v>
      </c>
      <c r="F70">
        <v>8</v>
      </c>
      <c r="G70">
        <v>350</v>
      </c>
      <c r="H70">
        <v>15.1</v>
      </c>
      <c r="I70" s="55">
        <f t="shared" si="2"/>
        <v>20.057484978342696</v>
      </c>
      <c r="J70">
        <v>12</v>
      </c>
      <c r="K70">
        <v>8</v>
      </c>
      <c r="L70">
        <v>13</v>
      </c>
      <c r="M70">
        <f t="shared" si="3"/>
        <v>335</v>
      </c>
    </row>
    <row r="71" spans="1:13" x14ac:dyDescent="0.25">
      <c r="A71" t="s">
        <v>344</v>
      </c>
      <c r="B71" t="s">
        <v>496</v>
      </c>
      <c r="C71" t="s">
        <v>498</v>
      </c>
      <c r="D71" t="s">
        <v>497</v>
      </c>
      <c r="E71">
        <v>3</v>
      </c>
      <c r="F71">
        <v>8</v>
      </c>
      <c r="G71">
        <v>375</v>
      </c>
      <c r="H71">
        <v>15.1</v>
      </c>
      <c r="I71" s="55">
        <f t="shared" si="2"/>
        <v>20.057484978342696</v>
      </c>
      <c r="J71">
        <v>12</v>
      </c>
      <c r="K71">
        <v>8</v>
      </c>
      <c r="L71">
        <v>13</v>
      </c>
      <c r="M71">
        <f t="shared" si="3"/>
        <v>360</v>
      </c>
    </row>
    <row r="72" spans="1:13" x14ac:dyDescent="0.25">
      <c r="A72" t="s">
        <v>344</v>
      </c>
      <c r="B72" t="s">
        <v>496</v>
      </c>
      <c r="C72" t="s">
        <v>498</v>
      </c>
      <c r="D72" t="s">
        <v>497</v>
      </c>
      <c r="E72">
        <v>3</v>
      </c>
      <c r="F72">
        <v>8</v>
      </c>
      <c r="G72">
        <v>400</v>
      </c>
      <c r="H72">
        <v>15.1</v>
      </c>
      <c r="I72" s="55">
        <f t="shared" si="2"/>
        <v>20.057484978342696</v>
      </c>
      <c r="J72">
        <v>12</v>
      </c>
      <c r="K72">
        <v>8</v>
      </c>
      <c r="L72">
        <v>13</v>
      </c>
      <c r="M72">
        <f t="shared" si="3"/>
        <v>385</v>
      </c>
    </row>
    <row r="73" spans="1:13" x14ac:dyDescent="0.25">
      <c r="A73" t="s">
        <v>344</v>
      </c>
      <c r="B73" t="s">
        <v>496</v>
      </c>
      <c r="C73" t="s">
        <v>500</v>
      </c>
      <c r="D73" t="s">
        <v>497</v>
      </c>
      <c r="E73">
        <v>3</v>
      </c>
      <c r="F73">
        <v>8</v>
      </c>
      <c r="G73">
        <v>100</v>
      </c>
      <c r="H73">
        <v>15.1</v>
      </c>
      <c r="I73" s="55">
        <f t="shared" si="2"/>
        <v>20.057484978342696</v>
      </c>
      <c r="J73">
        <v>12</v>
      </c>
      <c r="K73">
        <v>8</v>
      </c>
      <c r="L73">
        <v>13</v>
      </c>
      <c r="M73">
        <f t="shared" si="3"/>
        <v>85</v>
      </c>
    </row>
    <row r="74" spans="1:13" x14ac:dyDescent="0.25">
      <c r="A74" t="s">
        <v>344</v>
      </c>
      <c r="B74" t="s">
        <v>496</v>
      </c>
      <c r="C74" t="s">
        <v>500</v>
      </c>
      <c r="D74" t="s">
        <v>497</v>
      </c>
      <c r="E74">
        <v>3</v>
      </c>
      <c r="F74">
        <v>8</v>
      </c>
      <c r="G74">
        <v>120</v>
      </c>
      <c r="H74">
        <v>15.1</v>
      </c>
      <c r="I74" s="55">
        <f t="shared" si="2"/>
        <v>20.057484978342696</v>
      </c>
      <c r="J74">
        <v>12</v>
      </c>
      <c r="K74">
        <v>8</v>
      </c>
      <c r="L74">
        <v>13</v>
      </c>
      <c r="M74">
        <f t="shared" si="3"/>
        <v>105</v>
      </c>
    </row>
    <row r="75" spans="1:13" x14ac:dyDescent="0.25">
      <c r="A75" t="s">
        <v>344</v>
      </c>
      <c r="B75" t="s">
        <v>496</v>
      </c>
      <c r="C75" t="s">
        <v>500</v>
      </c>
      <c r="D75" t="s">
        <v>497</v>
      </c>
      <c r="E75">
        <v>3</v>
      </c>
      <c r="F75">
        <v>8</v>
      </c>
      <c r="G75">
        <v>140</v>
      </c>
      <c r="H75">
        <v>15.1</v>
      </c>
      <c r="I75" s="55">
        <f t="shared" si="2"/>
        <v>20.057484978342696</v>
      </c>
      <c r="J75">
        <v>12</v>
      </c>
      <c r="K75">
        <v>8</v>
      </c>
      <c r="L75">
        <v>13</v>
      </c>
      <c r="M75">
        <f t="shared" si="3"/>
        <v>125</v>
      </c>
    </row>
    <row r="76" spans="1:13" x14ac:dyDescent="0.25">
      <c r="A76" t="s">
        <v>344</v>
      </c>
      <c r="B76" t="s">
        <v>496</v>
      </c>
      <c r="C76" t="s">
        <v>500</v>
      </c>
      <c r="D76" t="s">
        <v>497</v>
      </c>
      <c r="E76">
        <v>3</v>
      </c>
      <c r="F76">
        <v>8</v>
      </c>
      <c r="G76">
        <v>160</v>
      </c>
      <c r="H76">
        <v>15.1</v>
      </c>
      <c r="I76" s="55">
        <f t="shared" si="2"/>
        <v>20.057484978342696</v>
      </c>
      <c r="J76">
        <v>12</v>
      </c>
      <c r="K76">
        <v>8</v>
      </c>
      <c r="L76">
        <v>13</v>
      </c>
      <c r="M76">
        <f t="shared" si="3"/>
        <v>145</v>
      </c>
    </row>
    <row r="77" spans="1:13" x14ac:dyDescent="0.25">
      <c r="A77" t="s">
        <v>344</v>
      </c>
      <c r="B77" t="s">
        <v>496</v>
      </c>
      <c r="C77" t="s">
        <v>500</v>
      </c>
      <c r="D77" t="s">
        <v>497</v>
      </c>
      <c r="E77">
        <v>3</v>
      </c>
      <c r="F77">
        <v>8</v>
      </c>
      <c r="G77">
        <v>180</v>
      </c>
      <c r="H77">
        <v>15.1</v>
      </c>
      <c r="I77" s="55">
        <f t="shared" si="2"/>
        <v>20.057484978342696</v>
      </c>
      <c r="J77">
        <v>12</v>
      </c>
      <c r="K77">
        <v>8</v>
      </c>
      <c r="L77">
        <v>13</v>
      </c>
      <c r="M77">
        <f t="shared" si="3"/>
        <v>165</v>
      </c>
    </row>
    <row r="78" spans="1:13" x14ac:dyDescent="0.25">
      <c r="A78" t="s">
        <v>344</v>
      </c>
      <c r="B78" t="s">
        <v>496</v>
      </c>
      <c r="C78" t="s">
        <v>500</v>
      </c>
      <c r="D78" t="s">
        <v>497</v>
      </c>
      <c r="E78">
        <v>3</v>
      </c>
      <c r="F78">
        <v>8</v>
      </c>
      <c r="G78">
        <v>200</v>
      </c>
      <c r="H78">
        <v>15.1</v>
      </c>
      <c r="I78" s="55">
        <f t="shared" si="2"/>
        <v>20.057484978342696</v>
      </c>
      <c r="J78">
        <v>12</v>
      </c>
      <c r="K78">
        <v>8</v>
      </c>
      <c r="L78">
        <v>13</v>
      </c>
      <c r="M78">
        <f t="shared" si="3"/>
        <v>185</v>
      </c>
    </row>
    <row r="79" spans="1:13" x14ac:dyDescent="0.25">
      <c r="A79" t="s">
        <v>344</v>
      </c>
      <c r="B79" t="s">
        <v>496</v>
      </c>
      <c r="C79" t="s">
        <v>500</v>
      </c>
      <c r="D79" t="s">
        <v>497</v>
      </c>
      <c r="E79">
        <v>3</v>
      </c>
      <c r="F79">
        <v>8</v>
      </c>
      <c r="G79">
        <v>220</v>
      </c>
      <c r="H79">
        <v>15.1</v>
      </c>
      <c r="I79" s="55">
        <f t="shared" si="2"/>
        <v>20.057484978342696</v>
      </c>
      <c r="J79">
        <v>12</v>
      </c>
      <c r="K79">
        <v>8</v>
      </c>
      <c r="L79">
        <v>13</v>
      </c>
      <c r="M79">
        <f t="shared" si="3"/>
        <v>205</v>
      </c>
    </row>
    <row r="80" spans="1:13" x14ac:dyDescent="0.25">
      <c r="A80" t="s">
        <v>344</v>
      </c>
      <c r="B80" t="s">
        <v>496</v>
      </c>
      <c r="C80" t="s">
        <v>500</v>
      </c>
      <c r="D80" t="s">
        <v>497</v>
      </c>
      <c r="E80">
        <v>3</v>
      </c>
      <c r="F80">
        <v>8</v>
      </c>
      <c r="G80">
        <v>240</v>
      </c>
      <c r="H80">
        <v>15.1</v>
      </c>
      <c r="I80" s="55">
        <f t="shared" si="2"/>
        <v>20.057484978342696</v>
      </c>
      <c r="J80">
        <v>12</v>
      </c>
      <c r="K80">
        <v>8</v>
      </c>
      <c r="L80">
        <v>13</v>
      </c>
      <c r="M80">
        <f t="shared" si="3"/>
        <v>225</v>
      </c>
    </row>
    <row r="81" spans="1:13" x14ac:dyDescent="0.25">
      <c r="A81" t="s">
        <v>344</v>
      </c>
      <c r="B81" t="s">
        <v>496</v>
      </c>
      <c r="C81" t="s">
        <v>500</v>
      </c>
      <c r="D81" t="s">
        <v>497</v>
      </c>
      <c r="E81">
        <v>3</v>
      </c>
      <c r="F81">
        <v>8</v>
      </c>
      <c r="G81">
        <v>260</v>
      </c>
      <c r="H81">
        <v>15.1</v>
      </c>
      <c r="I81" s="55">
        <f t="shared" si="2"/>
        <v>20.057484978342696</v>
      </c>
      <c r="J81">
        <v>12</v>
      </c>
      <c r="K81">
        <v>8</v>
      </c>
      <c r="L81">
        <v>13</v>
      </c>
      <c r="M81">
        <f t="shared" si="3"/>
        <v>245</v>
      </c>
    </row>
    <row r="82" spans="1:13" x14ac:dyDescent="0.25">
      <c r="A82" t="s">
        <v>344</v>
      </c>
      <c r="B82" t="s">
        <v>496</v>
      </c>
      <c r="C82" t="s">
        <v>500</v>
      </c>
      <c r="D82" t="s">
        <v>497</v>
      </c>
      <c r="E82">
        <v>3</v>
      </c>
      <c r="F82">
        <v>8</v>
      </c>
      <c r="G82">
        <v>280</v>
      </c>
      <c r="H82">
        <v>15.1</v>
      </c>
      <c r="I82" s="55">
        <f t="shared" si="2"/>
        <v>20.057484978342696</v>
      </c>
      <c r="J82">
        <v>12</v>
      </c>
      <c r="K82">
        <v>8</v>
      </c>
      <c r="L82">
        <v>13</v>
      </c>
      <c r="M82">
        <f t="shared" si="3"/>
        <v>265</v>
      </c>
    </row>
    <row r="83" spans="1:13" x14ac:dyDescent="0.25">
      <c r="A83" t="s">
        <v>344</v>
      </c>
      <c r="B83" t="s">
        <v>496</v>
      </c>
      <c r="C83" t="s">
        <v>500</v>
      </c>
      <c r="D83" t="s">
        <v>497</v>
      </c>
      <c r="E83">
        <v>3</v>
      </c>
      <c r="F83">
        <v>8</v>
      </c>
      <c r="G83">
        <v>300</v>
      </c>
      <c r="H83">
        <v>15.1</v>
      </c>
      <c r="I83" s="55">
        <f t="shared" si="2"/>
        <v>20.057484978342696</v>
      </c>
      <c r="J83">
        <v>12</v>
      </c>
      <c r="K83">
        <v>8</v>
      </c>
      <c r="L83">
        <v>13</v>
      </c>
      <c r="M83">
        <f t="shared" si="3"/>
        <v>285</v>
      </c>
    </row>
    <row r="84" spans="1:13" x14ac:dyDescent="0.25">
      <c r="A84" t="s">
        <v>344</v>
      </c>
      <c r="B84" t="s">
        <v>496</v>
      </c>
      <c r="C84" t="s">
        <v>500</v>
      </c>
      <c r="D84" t="s">
        <v>497</v>
      </c>
      <c r="E84">
        <v>3</v>
      </c>
      <c r="F84">
        <v>8</v>
      </c>
      <c r="G84">
        <v>325</v>
      </c>
      <c r="H84">
        <v>15.1</v>
      </c>
      <c r="I84" s="55">
        <f t="shared" si="2"/>
        <v>20.057484978342696</v>
      </c>
      <c r="J84">
        <v>12</v>
      </c>
      <c r="K84">
        <v>8</v>
      </c>
      <c r="L84">
        <v>13</v>
      </c>
      <c r="M84">
        <f t="shared" si="3"/>
        <v>310</v>
      </c>
    </row>
    <row r="85" spans="1:13" x14ac:dyDescent="0.25">
      <c r="A85" t="s">
        <v>344</v>
      </c>
      <c r="B85" t="s">
        <v>496</v>
      </c>
      <c r="C85" t="s">
        <v>500</v>
      </c>
      <c r="D85" t="s">
        <v>497</v>
      </c>
      <c r="E85">
        <v>3</v>
      </c>
      <c r="F85">
        <v>8</v>
      </c>
      <c r="G85">
        <v>350</v>
      </c>
      <c r="H85">
        <v>15.1</v>
      </c>
      <c r="I85" s="55">
        <f t="shared" si="2"/>
        <v>20.057484978342696</v>
      </c>
      <c r="J85">
        <v>12</v>
      </c>
      <c r="K85">
        <v>8</v>
      </c>
      <c r="L85">
        <v>13</v>
      </c>
      <c r="M85">
        <f t="shared" si="3"/>
        <v>335</v>
      </c>
    </row>
    <row r="86" spans="1:13" x14ac:dyDescent="0.25">
      <c r="A86" t="s">
        <v>344</v>
      </c>
      <c r="B86" t="s">
        <v>496</v>
      </c>
      <c r="C86" t="s">
        <v>500</v>
      </c>
      <c r="D86" t="s">
        <v>497</v>
      </c>
      <c r="E86">
        <v>3</v>
      </c>
      <c r="F86">
        <v>8</v>
      </c>
      <c r="G86">
        <v>375</v>
      </c>
      <c r="H86">
        <v>15.1</v>
      </c>
      <c r="I86" s="55">
        <f t="shared" si="2"/>
        <v>20.057484978342696</v>
      </c>
      <c r="J86">
        <v>12</v>
      </c>
      <c r="K86">
        <v>8</v>
      </c>
      <c r="L86">
        <v>13</v>
      </c>
      <c r="M86">
        <f t="shared" si="3"/>
        <v>360</v>
      </c>
    </row>
    <row r="87" spans="1:13" x14ac:dyDescent="0.25">
      <c r="A87" t="s">
        <v>344</v>
      </c>
      <c r="B87" t="s">
        <v>496</v>
      </c>
      <c r="C87" t="s">
        <v>500</v>
      </c>
      <c r="D87" t="s">
        <v>497</v>
      </c>
      <c r="E87">
        <v>3</v>
      </c>
      <c r="F87">
        <v>8</v>
      </c>
      <c r="G87">
        <v>400</v>
      </c>
      <c r="H87">
        <v>15.1</v>
      </c>
      <c r="I87" s="55">
        <f t="shared" si="2"/>
        <v>20.057484978342696</v>
      </c>
      <c r="J87">
        <v>12</v>
      </c>
      <c r="K87">
        <v>8</v>
      </c>
      <c r="L87">
        <v>13</v>
      </c>
      <c r="M87">
        <f t="shared" si="3"/>
        <v>385</v>
      </c>
    </row>
    <row r="88" spans="1:13" x14ac:dyDescent="0.25">
      <c r="A88" t="s">
        <v>344</v>
      </c>
      <c r="B88" t="s">
        <v>496</v>
      </c>
      <c r="C88" t="s">
        <v>500</v>
      </c>
      <c r="D88" t="s">
        <v>497</v>
      </c>
      <c r="E88">
        <v>3</v>
      </c>
      <c r="F88">
        <v>10</v>
      </c>
      <c r="G88">
        <v>160</v>
      </c>
      <c r="H88">
        <v>18.600000000000001</v>
      </c>
      <c r="I88" s="55">
        <f t="shared" si="2"/>
        <v>35.829645349814783</v>
      </c>
      <c r="J88">
        <v>11.5</v>
      </c>
      <c r="K88">
        <v>8</v>
      </c>
      <c r="L88">
        <v>20</v>
      </c>
      <c r="M88">
        <f t="shared" si="3"/>
        <v>145</v>
      </c>
    </row>
    <row r="89" spans="1:13" x14ac:dyDescent="0.25">
      <c r="A89" t="s">
        <v>344</v>
      </c>
      <c r="B89" t="s">
        <v>496</v>
      </c>
      <c r="C89" t="s">
        <v>500</v>
      </c>
      <c r="D89" t="s">
        <v>497</v>
      </c>
      <c r="E89">
        <v>3</v>
      </c>
      <c r="F89">
        <v>10</v>
      </c>
      <c r="G89">
        <v>200</v>
      </c>
      <c r="H89">
        <v>18.600000000000001</v>
      </c>
      <c r="I89" s="55">
        <f t="shared" ref="I89:I100" si="4">0.15*600*F89^2.6/1000</f>
        <v>35.829645349814783</v>
      </c>
      <c r="J89">
        <v>11.5</v>
      </c>
      <c r="K89">
        <v>8</v>
      </c>
      <c r="L89">
        <v>20</v>
      </c>
      <c r="M89">
        <f t="shared" si="3"/>
        <v>185</v>
      </c>
    </row>
    <row r="90" spans="1:13" x14ac:dyDescent="0.25">
      <c r="A90" t="s">
        <v>344</v>
      </c>
      <c r="B90" t="s">
        <v>496</v>
      </c>
      <c r="C90" t="s">
        <v>500</v>
      </c>
      <c r="D90" t="s">
        <v>497</v>
      </c>
      <c r="E90">
        <v>3</v>
      </c>
      <c r="F90">
        <v>10</v>
      </c>
      <c r="G90">
        <v>220</v>
      </c>
      <c r="H90">
        <v>18.600000000000001</v>
      </c>
      <c r="I90" s="55">
        <f t="shared" si="4"/>
        <v>35.829645349814783</v>
      </c>
      <c r="J90">
        <v>11.5</v>
      </c>
      <c r="K90">
        <v>8</v>
      </c>
      <c r="L90">
        <v>20</v>
      </c>
      <c r="M90">
        <f t="shared" si="3"/>
        <v>205</v>
      </c>
    </row>
    <row r="91" spans="1:13" x14ac:dyDescent="0.25">
      <c r="A91" t="s">
        <v>344</v>
      </c>
      <c r="B91" t="s">
        <v>496</v>
      </c>
      <c r="C91" t="s">
        <v>500</v>
      </c>
      <c r="D91" t="s">
        <v>497</v>
      </c>
      <c r="E91">
        <v>3</v>
      </c>
      <c r="F91">
        <v>10</v>
      </c>
      <c r="G91">
        <v>240</v>
      </c>
      <c r="H91">
        <v>18.600000000000001</v>
      </c>
      <c r="I91" s="55">
        <f t="shared" si="4"/>
        <v>35.829645349814783</v>
      </c>
      <c r="J91">
        <v>11.5</v>
      </c>
      <c r="K91">
        <v>8</v>
      </c>
      <c r="L91">
        <v>20</v>
      </c>
      <c r="M91">
        <f t="shared" si="3"/>
        <v>225</v>
      </c>
    </row>
    <row r="92" spans="1:13" x14ac:dyDescent="0.25">
      <c r="A92" t="s">
        <v>344</v>
      </c>
      <c r="B92" t="s">
        <v>496</v>
      </c>
      <c r="C92" t="s">
        <v>500</v>
      </c>
      <c r="D92" t="s">
        <v>497</v>
      </c>
      <c r="E92">
        <v>3</v>
      </c>
      <c r="F92">
        <v>10</v>
      </c>
      <c r="G92">
        <v>260</v>
      </c>
      <c r="H92">
        <v>18.600000000000001</v>
      </c>
      <c r="I92" s="55">
        <f t="shared" si="4"/>
        <v>35.829645349814783</v>
      </c>
      <c r="J92">
        <v>11.5</v>
      </c>
      <c r="K92">
        <v>8</v>
      </c>
      <c r="L92">
        <v>20</v>
      </c>
      <c r="M92">
        <f t="shared" si="3"/>
        <v>245</v>
      </c>
    </row>
    <row r="93" spans="1:13" x14ac:dyDescent="0.25">
      <c r="A93" t="s">
        <v>344</v>
      </c>
      <c r="B93" t="s">
        <v>496</v>
      </c>
      <c r="C93" t="s">
        <v>500</v>
      </c>
      <c r="D93" t="s">
        <v>497</v>
      </c>
      <c r="E93">
        <v>3</v>
      </c>
      <c r="F93">
        <v>10</v>
      </c>
      <c r="G93">
        <v>280</v>
      </c>
      <c r="H93">
        <v>18.600000000000001</v>
      </c>
      <c r="I93" s="55">
        <f t="shared" si="4"/>
        <v>35.829645349814783</v>
      </c>
      <c r="J93">
        <v>11.5</v>
      </c>
      <c r="K93">
        <v>8</v>
      </c>
      <c r="L93">
        <v>20</v>
      </c>
      <c r="M93">
        <f t="shared" si="3"/>
        <v>265</v>
      </c>
    </row>
    <row r="94" spans="1:13" x14ac:dyDescent="0.25">
      <c r="A94" t="s">
        <v>344</v>
      </c>
      <c r="B94" t="s">
        <v>496</v>
      </c>
      <c r="C94" t="s">
        <v>500</v>
      </c>
      <c r="D94" t="s">
        <v>497</v>
      </c>
      <c r="E94">
        <v>3</v>
      </c>
      <c r="F94">
        <v>10</v>
      </c>
      <c r="G94">
        <v>300</v>
      </c>
      <c r="H94">
        <v>18.600000000000001</v>
      </c>
      <c r="I94" s="55">
        <f t="shared" si="4"/>
        <v>35.829645349814783</v>
      </c>
      <c r="J94">
        <v>11.5</v>
      </c>
      <c r="K94">
        <v>8</v>
      </c>
      <c r="L94">
        <v>20</v>
      </c>
      <c r="M94">
        <f t="shared" si="3"/>
        <v>285</v>
      </c>
    </row>
    <row r="95" spans="1:13" x14ac:dyDescent="0.25">
      <c r="A95" t="s">
        <v>344</v>
      </c>
      <c r="B95" t="s">
        <v>496</v>
      </c>
      <c r="C95" t="s">
        <v>500</v>
      </c>
      <c r="D95" t="s">
        <v>497</v>
      </c>
      <c r="E95">
        <v>3</v>
      </c>
      <c r="F95">
        <v>10</v>
      </c>
      <c r="G95">
        <v>350</v>
      </c>
      <c r="H95">
        <v>18.600000000000001</v>
      </c>
      <c r="I95" s="55">
        <f t="shared" si="4"/>
        <v>35.829645349814783</v>
      </c>
      <c r="J95">
        <v>11.5</v>
      </c>
      <c r="K95">
        <v>8</v>
      </c>
      <c r="L95">
        <v>20</v>
      </c>
      <c r="M95">
        <f t="shared" si="3"/>
        <v>335</v>
      </c>
    </row>
    <row r="96" spans="1:13" x14ac:dyDescent="0.25">
      <c r="A96" t="s">
        <v>344</v>
      </c>
      <c r="B96" t="s">
        <v>496</v>
      </c>
      <c r="C96" t="s">
        <v>500</v>
      </c>
      <c r="D96" t="s">
        <v>497</v>
      </c>
      <c r="E96">
        <v>3</v>
      </c>
      <c r="F96">
        <v>10</v>
      </c>
      <c r="G96">
        <v>400</v>
      </c>
      <c r="H96">
        <v>18.600000000000001</v>
      </c>
      <c r="I96" s="55">
        <f t="shared" si="4"/>
        <v>35.829645349814783</v>
      </c>
      <c r="J96">
        <v>11.5</v>
      </c>
      <c r="K96">
        <v>8</v>
      </c>
      <c r="L96">
        <v>20</v>
      </c>
      <c r="M96">
        <f t="shared" si="3"/>
        <v>385</v>
      </c>
    </row>
    <row r="97" spans="1:13" x14ac:dyDescent="0.25">
      <c r="A97" t="s">
        <v>344</v>
      </c>
      <c r="B97" t="s">
        <v>496</v>
      </c>
      <c r="C97" t="s">
        <v>500</v>
      </c>
      <c r="D97" t="s">
        <v>497</v>
      </c>
      <c r="E97">
        <v>3</v>
      </c>
      <c r="F97">
        <v>12</v>
      </c>
      <c r="G97">
        <v>400</v>
      </c>
      <c r="H97">
        <v>18.600000000000001</v>
      </c>
      <c r="I97" s="55">
        <f t="shared" si="4"/>
        <v>57.559067465202105</v>
      </c>
      <c r="J97">
        <v>11</v>
      </c>
      <c r="K97">
        <v>8</v>
      </c>
      <c r="L97">
        <v>28</v>
      </c>
      <c r="M97">
        <f t="shared" si="3"/>
        <v>385</v>
      </c>
    </row>
    <row r="98" spans="1:13" x14ac:dyDescent="0.25">
      <c r="A98" t="s">
        <v>344</v>
      </c>
      <c r="B98" t="s">
        <v>496</v>
      </c>
      <c r="C98" t="s">
        <v>500</v>
      </c>
      <c r="D98" t="s">
        <v>497</v>
      </c>
      <c r="E98">
        <v>3</v>
      </c>
      <c r="F98">
        <v>12</v>
      </c>
      <c r="G98">
        <v>450</v>
      </c>
      <c r="H98">
        <v>18.600000000000001</v>
      </c>
      <c r="I98" s="55">
        <f t="shared" si="4"/>
        <v>57.559067465202105</v>
      </c>
      <c r="J98">
        <v>11</v>
      </c>
      <c r="K98">
        <v>8</v>
      </c>
      <c r="L98">
        <v>28</v>
      </c>
      <c r="M98">
        <f t="shared" si="3"/>
        <v>435</v>
      </c>
    </row>
    <row r="99" spans="1:13" x14ac:dyDescent="0.25">
      <c r="A99" t="s">
        <v>344</v>
      </c>
      <c r="B99" t="s">
        <v>496</v>
      </c>
      <c r="C99" t="s">
        <v>500</v>
      </c>
      <c r="D99" t="s">
        <v>497</v>
      </c>
      <c r="E99">
        <v>3</v>
      </c>
      <c r="F99">
        <v>12</v>
      </c>
      <c r="G99">
        <v>500</v>
      </c>
      <c r="H99">
        <v>18.600000000000001</v>
      </c>
      <c r="I99" s="55">
        <f t="shared" si="4"/>
        <v>57.559067465202105</v>
      </c>
      <c r="J99">
        <v>11</v>
      </c>
      <c r="K99">
        <v>8</v>
      </c>
      <c r="L99">
        <v>28</v>
      </c>
      <c r="M99">
        <f t="shared" si="3"/>
        <v>485</v>
      </c>
    </row>
    <row r="100" spans="1:13" x14ac:dyDescent="0.25">
      <c r="A100" t="s">
        <v>344</v>
      </c>
      <c r="B100" t="s">
        <v>496</v>
      </c>
      <c r="C100" t="s">
        <v>500</v>
      </c>
      <c r="D100" t="s">
        <v>497</v>
      </c>
      <c r="E100">
        <v>3</v>
      </c>
      <c r="F100">
        <v>12</v>
      </c>
      <c r="G100">
        <v>550</v>
      </c>
      <c r="H100">
        <v>18.600000000000001</v>
      </c>
      <c r="I100" s="55">
        <f t="shared" si="4"/>
        <v>57.559067465202105</v>
      </c>
      <c r="J100">
        <v>11</v>
      </c>
      <c r="K100">
        <v>8</v>
      </c>
      <c r="L100">
        <v>28</v>
      </c>
      <c r="M100">
        <f t="shared" si="3"/>
        <v>535</v>
      </c>
    </row>
  </sheetData>
  <conditionalFormatting sqref="A1">
    <cfRule type="cellIs" dxfId="0" priority="1" operator="equal">
      <formula>"Spiker"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sheetPr>
    <tabColor theme="3" tint="-0.249977111117893"/>
  </sheetPr>
  <dimension ref="A1:W79"/>
  <sheetViews>
    <sheetView topLeftCell="A4" workbookViewId="0">
      <pane ySplit="900" activePane="bottomLeft"/>
      <selection activeCell="S5" sqref="S5"/>
      <selection pane="bottomLeft" activeCell="A38" sqref="A38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58" t="s">
        <v>424</v>
      </c>
      <c r="B1" s="58" t="s">
        <v>1</v>
      </c>
      <c r="C1" s="58" t="s">
        <v>455</v>
      </c>
      <c r="D1" s="58" t="s">
        <v>433</v>
      </c>
      <c r="E1" s="58" t="s">
        <v>232</v>
      </c>
      <c r="F1" s="58" t="s">
        <v>425</v>
      </c>
      <c r="G1" s="58" t="s">
        <v>19</v>
      </c>
      <c r="H1" s="58" t="s">
        <v>426</v>
      </c>
      <c r="I1" s="58" t="s">
        <v>427</v>
      </c>
      <c r="J1" s="58" t="s">
        <v>428</v>
      </c>
      <c r="K1" s="58" t="s">
        <v>430</v>
      </c>
      <c r="L1" s="58" t="s">
        <v>431</v>
      </c>
      <c r="M1" s="58" t="s">
        <v>432</v>
      </c>
      <c r="N1" s="58" t="s">
        <v>436</v>
      </c>
      <c r="O1" s="58" t="s">
        <v>437</v>
      </c>
      <c r="P1" s="58" t="s">
        <v>431</v>
      </c>
      <c r="Q1" s="58" t="s">
        <v>432</v>
      </c>
      <c r="R1" s="58" t="s">
        <v>438</v>
      </c>
      <c r="S1" s="58" t="s">
        <v>439</v>
      </c>
      <c r="T1" s="58" t="s">
        <v>440</v>
      </c>
      <c r="U1" s="58" t="s">
        <v>441</v>
      </c>
      <c r="V1" s="58" t="s">
        <v>442</v>
      </c>
    </row>
    <row r="2" spans="1:23" x14ac:dyDescent="0.25">
      <c r="A2" s="58"/>
      <c r="B2" s="58"/>
      <c r="C2" s="58"/>
      <c r="D2" s="58"/>
      <c r="E2" s="58"/>
      <c r="F2" s="58" t="s">
        <v>447</v>
      </c>
      <c r="G2" s="58" t="s">
        <v>448</v>
      </c>
      <c r="H2" s="58" t="s">
        <v>449</v>
      </c>
      <c r="I2" s="58" t="s">
        <v>450</v>
      </c>
      <c r="J2" s="58" t="s">
        <v>451</v>
      </c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1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1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1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1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1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22</vt:i4>
      </vt:variant>
    </vt:vector>
  </HeadingPairs>
  <TitlesOfParts>
    <vt:vector size="22" baseType="lpstr">
      <vt:lpstr>TimberFasteners</vt:lpstr>
      <vt:lpstr>Washers</vt:lpstr>
      <vt:lpstr>BoltGrades</vt:lpstr>
      <vt:lpstr>DIN 571</vt:lpstr>
      <vt:lpstr>Dowels</vt:lpstr>
      <vt:lpstr>ESSVE Screws</vt:lpstr>
      <vt:lpstr>Eurotec Screws</vt:lpstr>
      <vt:lpstr>ISO 4014 Bolts</vt:lpstr>
      <vt:lpstr>Motek screws</vt:lpstr>
      <vt:lpstr>Rothoblaas Nails</vt:lpstr>
      <vt:lpstr>Rothoblaas Screws</vt:lpstr>
      <vt:lpstr>Rothoblaas Bolts</vt:lpstr>
      <vt:lpstr>Rothoblaas Washers</vt:lpstr>
      <vt:lpstr>Rothoblaas Sharp Metal</vt:lpstr>
      <vt:lpstr>Simpson SplitRing</vt:lpstr>
      <vt:lpstr>Strongtie Nails</vt:lpstr>
      <vt:lpstr>Strongtie Screws (utgått)</vt:lpstr>
      <vt:lpstr>Strongtie Screws</vt:lpstr>
      <vt:lpstr>Schmid Screws</vt:lpstr>
      <vt:lpstr>Schmid Washers</vt:lpstr>
      <vt:lpstr>Spax Screws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2026-04-22T18:40:36Z</dcterms:modified>
</cp:coreProperties>
</file>