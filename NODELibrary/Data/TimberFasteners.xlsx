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s.NODEING\Maple\NODEMaple\NODELibrary\Data\"/>
    </mc:Choice>
  </mc:AlternateContent>
  <xr:revisionPtr revIDLastSave="0" documentId="13_ncr:1_{85610142-3852-4B22-B919-8D94B94130A2}" xr6:coauthVersionLast="47" xr6:coauthVersionMax="47" xr10:uidLastSave="{00000000-0000-0000-0000-000000000000}"/>
  <bookViews>
    <workbookView xWindow="-28920" yWindow="-120" windowWidth="29040" windowHeight="18240" tabRatio="779" firstSheet="8" activeTab="14" xr2:uid="{00000000-000D-0000-FFFF-FFFF00000000}"/>
  </bookViews>
  <sheets>
    <sheet name="TimberFasteners" sheetId="4" r:id="rId1"/>
    <sheet name="Skiver" sheetId="11" r:id="rId2"/>
    <sheet name="Strongtie Skruer (utgått)" sheetId="1" r:id="rId3"/>
    <sheet name="Strongtie Skruer" sheetId="7" r:id="rId4"/>
    <sheet name="Strongtie Spiker" sheetId="2" r:id="rId5"/>
    <sheet name="Rothoblaas Nails" sheetId="8" r:id="rId6"/>
    <sheet name="Rothoblaas Screws" sheetId="3" r:id="rId7"/>
    <sheet name="Rothoblaas Bolts" sheetId="5" r:id="rId8"/>
    <sheet name="Rothoblaas Washers" sheetId="10" r:id="rId9"/>
    <sheet name="Rothoblaas Sharp Metal" sheetId="12" r:id="rId10"/>
    <sheet name="ESSVE Skruer" sheetId="9" r:id="rId11"/>
    <sheet name="DIN 571" sheetId="14" r:id="rId12"/>
    <sheet name="ISO 4014" sheetId="16" r:id="rId13"/>
    <sheet name="Motek screws" sheetId="15" r:id="rId14"/>
    <sheet name="Eurotec Screws" sheetId="20" r:id="rId15"/>
    <sheet name="Dowels" sheetId="6" r:id="rId16"/>
    <sheet name="BoltGrades" sheetId="17" r:id="rId17"/>
    <sheet name="SplitRing" sheetId="19" r:id="rId18"/>
    <sheet name="ToothedPlateConnectors" sheetId="18" r:id="rId19"/>
  </sheets>
  <definedNames>
    <definedName name="_xlnm._FilterDatabase" localSheetId="11" hidden="1">'DIN 571'!$A$1:$Y$533</definedName>
    <definedName name="_xlnm._FilterDatabase" localSheetId="15" hidden="1">Dowels!$A$1:$H$1</definedName>
    <definedName name="_xlnm._FilterDatabase" localSheetId="10" hidden="1">'ESSVE Skruer'!$A$1:$Y$551</definedName>
    <definedName name="_xlnm._FilterDatabase" localSheetId="12" hidden="1">'ISO 4014'!$A$1:$Y$924</definedName>
    <definedName name="_xlnm._FilterDatabase" localSheetId="13" hidden="1">'Motek screws'!$A$1:$Y$534</definedName>
    <definedName name="_xlnm._FilterDatabase" localSheetId="7" hidden="1">'Rothoblaas Bolts'!$A$1:$Q$168</definedName>
    <definedName name="_xlnm._FilterDatabase" localSheetId="6" hidden="1">'Rothoblaas Screws'!$A$1:$P$309</definedName>
    <definedName name="_xlnm._FilterDatabase" localSheetId="8" hidden="1">'Rothoblaas Washers'!$A$1:$O$30</definedName>
    <definedName name="_xlnm._FilterDatabase" localSheetId="17" hidden="1">SplitRing!$A$1:$N$3</definedName>
    <definedName name="_xlnm._FilterDatabase" localSheetId="3" hidden="1">'Strongtie Skruer'!$A$1:$Y$274</definedName>
    <definedName name="_xlnm._FilterDatabase" localSheetId="0" hidden="1">TimberFasteners!$A$1:$N$2104</definedName>
    <definedName name="_xlnm._FilterDatabase" localSheetId="18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" i="6" l="1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<sst xmlns="http://schemas.openxmlformats.org/spreadsheetml/2006/main" count="17173" uniqueCount="480">
  <si>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</si>
  <si>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</si>
  <si>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</si>
  <si>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</si>
  <si>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</si>
  <si>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</si>
  <si>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</si>
  <si>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</si>
  <si>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</si>
  <si>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</si>
  <si>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</si>
  <si>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</si>
  <si>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</si>
  <si>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</si>
  <si>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</si>
  <si>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</si>
  <si>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</si>
  <si>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</si>
  <si>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</si>
  <si>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</si>
  <si>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</si>
  <si>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</si>
  <si>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</si>
  <si>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</si>
  <si>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</si>
  <si>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</si>
  <si>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</si>
  <si>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</si>
  <si>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</si>
  <si>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</si>
  <si>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</si>
  <si>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</si>
  <si>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</si>
  <si>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</si>
  <si>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</si>
  <si>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</si>
  <si>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</si>
  <si>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</si>
  <si>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</si>
  <si>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</si>
  <si>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</si>
  <si>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</si>
  <si>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</si>
  <si>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</si>
  <si>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</si>
  <si>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</si>
  <si>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</si>
  <si>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</si>
  <si>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</si>
  <si>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</si>
  <si>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</si>
  <si>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</si>
  <si>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</si>
  <si>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</si>
  <si>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</si>
  <si>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</si>
  <si>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</si>
  <si>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</si>
  <si>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</si>
  <si>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</si>
  <si>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</si>
  <si>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</si>
  <si>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</si>
  <si>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</si>
  <si>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</si>
  <si>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</si>
  <si>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</si>
  <si>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</si>
  <si>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</si>
  <si>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</si>
  <si>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</si>
  <si>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</si>
  <si>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</si>
  <si>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</si>
  <si>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</si>
  <si>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</si>
  <si>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</si>
  <si>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</si>
  <si>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</si>
  <si>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</si>
  <si>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</si>
  <si>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</si>
  <si>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</si>
  <si>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</si>
  <si>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</si>
  <si>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</si>
  <si>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</si>
  <si>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</si>
  <si>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</si>
  <si>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</si>
  <si>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</si>
  <si>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</si>
  <si>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</si>
  <si>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</si>
  <si>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</si>
  <si>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</si>
  <si>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</si>
  <si>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</si>
  <si>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</si>
  <si>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</si>
  <si>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</si>
  <si>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</si>
  <si>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</si>
  <si>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</si>
  <si>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</si>
  <si>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</si>
  <si>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</si>
  <si>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</si>
  <si>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</si>
  <si>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</si>
  <si>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</si>
  <si>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</si>
  <si>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</si>
  <si>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</si>
  <si>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</si>
  <si>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</si>
  <si>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</si>
  <si>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</si>
  <si>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</si>
  <si>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</si>
  <si>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</si>
  <si>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</si>
  <si>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</si>
  <si>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</si>
  <si>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</si>
  <si>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</si>
  <si>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</si>
  <si>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</si>
  <si>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</si>
  <si>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</si>
  <si>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</si>
  <si>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</si>
  <si>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</si>
  <si>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</si>
  <si>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</si>
  <si>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</si>
  <si>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</si>
  <si>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</si>
  <si>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</si>
  <si>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</si>
  <si>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</si>
  <si>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</si>
  <si>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</si>
  <si>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</si>
  <si>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</si>
  <si>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</si>
  <si>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</si>
  <si>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</si>
  <si>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</si>
  <si>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</si>
  <si>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</si>
  <si>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</si>
  <si>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</si>
  <si>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</si>
  <si>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</si>
  <si>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</si>
  <si>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</si>
  <si>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</si>
  <si>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</si>
  <si>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</si>
  <si>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</si>
  <si>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</si>
  <si>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</si>
  <si>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</si>
  <si>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</si>
  <si>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</si>
  <si>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</si>
  <si>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</si>
  <si>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</si>
  <si>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</si>
  <si>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</si>
  <si>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</si>
  <si>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</si>
  <si>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</si>
  <si>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</si>
  <si>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</si>
  <si>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</si>
  <si>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</si>
  <si>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</si>
  <si>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</si>
  <si>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</si>
  <si>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</si>
  <si>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</si>
  <si>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</si>
  <si>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</si>
  <si>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</si>
  <si>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</si>
  <si>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</si>
  <si>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</si>
  <si>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</si>
  <si>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</si>
  <si>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</si>
  <si>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</si>
  <si>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</si>
  <si>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</si>
  <si>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</si>
  <si>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</si>
  <si>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</si>
  <si>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</si>
  <si>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</si>
  <si>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</si>
  <si>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</si>
  <si>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</si>
  <si>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</si>
  <si>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</si>
  <si>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</si>
  <si>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</si>
  <si>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</si>
  <si>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</si>
  <si>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</si>
  <si>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</si>
  <si>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</si>
  <si>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</si>
  <si>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</si>
  <si>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</si>
  <si>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</si>
  <si>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</si>
  <si>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</si>
  <si>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</si>
  <si>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</si>
  <si>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</si>
  <si>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</si>
  <si>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</si>
  <si>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</si>
  <si>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</si>
  <si>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</si>
  <si>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</si>
  <si>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</si>
  <si>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</si>
  <si>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</si>
  <si>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</si>
  <si>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</si>
  <si>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</si>
  <si>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</si>
  <si>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</si>
  <si>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</si>
  <si>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</si>
  <si>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</si>
  <si>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</si>
  <si>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</si>
  <si>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</si>
  <si>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</si>
  <si>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</si>
  <si>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</si>
  <si>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</si>
  <si>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</si>
  <si>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</si>
  <si>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</si>
  <si>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</si>
  <si>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</si>
  <si>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</si>
  <si>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</si>
  <si>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</si>
  <si>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</si>
  <si>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</si>
  <si>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</si>
  <si>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</si>
  <si>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</si>
  <si>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</si>
  <si>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</si>
  <si>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</si>
  <si>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</si>
  <si>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</si>
  <si>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</si>
  <si>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</si>
  <si>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</si>
  <si>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</si>
  <si>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</si>
  <si>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</si>
  <si>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</si>
  <si>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</si>
  <si>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</si>
  <si>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</si>
  <si>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</si>
  <si>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</si>
  <si>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</si>
  <si>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</si>
  <si>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</si>
  <si>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</si>
  <si>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</si>
  <si>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</si>
  <si>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</si>
  <si>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</si>
  <si>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</si>
  <si>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</si>
  <si>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</si>
  <si>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</si>
  <si>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</si>
  <si>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</si>
  <si>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</si>
  <si>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</si>
  <si>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</si>
  <si>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</si>
  <si>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</si>
  <si>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</si>
  <si>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</si>
  <si>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</si>
  <si>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</si>
  <si>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</si>
  <si>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</si>
  <si>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</si>
  <si>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</si>
  <si>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</si>
  <si>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</si>
  <si>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</si>
  <si>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</si>
  <si>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</si>
  <si>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</si>
  <si>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</si>
  <si>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</si>
  <si>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</si>
  <si>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</si>
  <si>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</si>
  <si>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</si>
  <si>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</si>
  <si>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</si>
  <si>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</si>
  <si>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</si>
  <si>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</si>
  <si>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</si>
  <si>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</si>
  <si>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</si>
  <si>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</si>
  <si>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</si>
  <si>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</si>
  <si>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</si>
  <si>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</si>
  <si>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</si>
  <si>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</si>
  <si>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</si>
  <si>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</si>
  <si>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</si>
  <si>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</si>
  <si>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</si>
  <si>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</si>
  <si>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</si>
  <si>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</si>
  <si>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</si>
  <si>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</si>
  <si>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</si>
  <si>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</si>
  <si>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</si>
  <si>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</si>
  <si>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</si>
  <si>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</si>
  <si>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</si>
  <si>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</si>
  <si>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</si>
  <si>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</si>
  <si>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</si>
  <si>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</si>
  <si>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</si>
  <si>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</si>
  <si>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</si>
  <si>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</si>
  <si>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</si>
  <si>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</si>
  <si>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</si>
  <si>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</si>
  <si>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</si>
  <si>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</si>
  <si>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</si>
  <si>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</si>
  <si>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</si>
  <si>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</si>
  <si>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</si>
  <si>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</si>
  <si>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</si>
  <si>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</si>
  <si>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</si>
  <si>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</si>
  <si>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</si>
  <si>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</si>
  <si>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</si>
  <si>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</si>
  <si>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</si>
  <si>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</si>
  <si>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</si>
  <si>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</si>
  <si>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</si>
  <si>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</si>
  <si>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</si>
  <si>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</si>
  <si>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</si>
  <si>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</si>
  <si>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</si>
  <si>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</si>
  <si>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</si>
  <si>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</si>
  <si>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</si>
  <si>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</si>
  <si>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</si>
  <si>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</si>
  <si>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</si>
  <si>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</si>
  <si>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</si>
  <si>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</si>
  <si>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</si>
  <si>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</si>
  <si>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</si>
  <si>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</si>
  <si>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</si>
  <si>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</si>
  <si>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</si>
  <si>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</si>
  <si>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</si>
  <si>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</si>
  <si>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</si>
  <si>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</si>
  <si>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</si>
  <si>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</si>
  <si>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</si>
  <si>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</si>
  <si>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</si>
  <si>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</si>
  <si>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</si>
  <si>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</si>
  <si>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</si>
  <si>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</si>
  <si>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</si>
  <si>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</si>
  <si>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</si>
  <si>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</si>
  <si>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</si>
  <si>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</si>
  <si>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</si>
  <si>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</si>
  <si>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</si>
  <si>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</si>
  <si>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</si>
  <si>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</si>
  <si>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</si>
  <si>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</si>
  <si>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</si>
  <si>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</si>
  <si>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</si>
  <si>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</si>
  <si>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</si>
  <si>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</si>
  <si>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</si>
  <si>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</si>
  <si>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</si>
  <si>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</si>
  <si>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</si>
  <si>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</si>
  <si>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</si>
  <si>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</si>
  <si>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</si>
  <si>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</si>
  <si>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</si>
  <si>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</si>
  <si>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</si>
  <si>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</si>
  <si>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</si>
  <si>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</si>
  <si>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</si>
  <si>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</si>
  <si>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</si>
  <si>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</si>
  <si>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</si>
  <si>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</si>
  <si>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</si>
  <si>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</si>
  <si>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</si>
  <si>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</si>
  <si>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</si>
  <si>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</si>
  <si>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</si>
  <si>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</si>
  <si>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</si>
  <si>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</si>
  <si>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</si>
  <si>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Eurotec</t>
  </si>
  <si>
    <t>Fully threaded screw, Cylinder head, galvanised</t>
  </si>
  <si>
    <t>KonstruX ST CH</t>
  </si>
  <si>
    <t>KonstruX ST CS</t>
  </si>
  <si>
    <t>Fully threaded screw, Countersunk head, galvanised</t>
  </si>
  <si>
    <t>KonstruX AG CS</t>
  </si>
  <si>
    <t>KonstruX ST CH A4</t>
  </si>
  <si>
    <t>Fully threaded screw, Cylinder head, stainless steel 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</si>
</sst>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3" fillId="9" borderId="9" xfId="2" applyNumberFormat="1" applyAlignment="1">
      <alignment horizontal="right"/>
    </xf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0" xfId="0" applyFont="1"/>
  </cellXfs>
  <cellStyles count="5">
    <cellStyle name="Beregning" xfId="2" builtinId="22"/>
    <cellStyle name="Dårlig" xfId="4" builtinId="27"/>
    <cellStyle name="Hyperkobling" xfId="1" builtinId="8"/>
    <cellStyle name="Komma" xfId="3" builtinId="3"/>
    <cellStyle name="Normal" xfId="0" builtinId="0"/>
  </cellStyles>
  <dxfs count="2"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0070C0"/>
  </sheetPr>
  <dimension ref="A1:P2104"/>
  <sheetViews>
    <sheetView workbookViewId="0">
      <pane ySplit="1" topLeftCell="A443" activePane="bottomLeft" state="frozen"/>
      <selection pane="bottomLeft" activeCell="O1054" sqref="O1054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6" customFormat="1" ht="45.75" customHeight="1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s="1" customFormat="1" hidden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Spiker'!J2</f>
        <v>1.2889999999999999</v>
      </c>
      <c r="J2" s="43">
        <f>'Strongtie Spiker'!K2</f>
        <v>2.5</v>
      </c>
      <c r="K2" s="43">
        <f>'Strongtie Spiker'!L2</f>
        <v>8.6</v>
      </c>
      <c r="L2" s="43">
        <f>'Strongtie Spiker'!M2</f>
        <v>0</v>
      </c>
    </row>
    <row r="3" spans="1:16" s="1" customFormat="1" hidden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Spiker'!J4</f>
        <v>2.5659999999999998</v>
      </c>
      <c r="J3" s="43">
        <f>'Strongtie Spiker'!K4</f>
        <v>2.5</v>
      </c>
      <c r="K3" s="43">
        <f>'Strongtie Spiker'!L4</f>
        <v>8.6</v>
      </c>
      <c r="L3" s="43">
        <f>'Strongtie Spiker'!M4</f>
        <v>0</v>
      </c>
    </row>
    <row r="4" spans="1:16" s="1" customFormat="1" hidden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Spiker'!J5</f>
        <v>4.1440000000000001</v>
      </c>
      <c r="J4" s="43">
        <f>'Strongtie Spiker'!K5</f>
        <v>2.5</v>
      </c>
      <c r="K4" s="43">
        <f>'Strongtie Spiker'!L5</f>
        <v>8.6</v>
      </c>
      <c r="L4" s="43">
        <f>'Strongtie Spiker'!M5</f>
        <v>0</v>
      </c>
    </row>
    <row r="5" spans="1:16" s="1" customFormat="1" hidden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Spiker'!J13</f>
        <v>3.3</v>
      </c>
      <c r="J5" s="43">
        <f>'Strongtie Spiker'!K13</f>
        <v>2.5</v>
      </c>
      <c r="K5" s="43">
        <f>'Strongtie Spiker'!L13</f>
        <v>8.6</v>
      </c>
      <c r="L5" s="43">
        <f>'Strongtie Spiker'!M13</f>
        <v>0</v>
      </c>
    </row>
    <row r="6" spans="1:16" s="1" customFormat="1" hidden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Spiker'!J14</f>
        <v>4.3</v>
      </c>
      <c r="J6" s="43">
        <f>'Strongtie Spiker'!K14</f>
        <v>2.5</v>
      </c>
      <c r="K6" s="43">
        <f>'Strongtie Spiker'!L14</f>
        <v>8.6</v>
      </c>
      <c r="L6" s="43">
        <f>'Strongtie Spiker'!M14</f>
        <v>0</v>
      </c>
    </row>
    <row r="7" spans="1:16" s="1" customFormat="1" hidden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Spiker'!J15</f>
        <v>4.3</v>
      </c>
      <c r="J7" s="43">
        <f>'Strongtie Spiker'!K15</f>
        <v>2.5</v>
      </c>
      <c r="K7" s="43">
        <f>'Strongtie Spiker'!L15</f>
        <v>8.6</v>
      </c>
      <c r="L7" s="43">
        <f>'Strongtie Spiker'!M15</f>
        <v>0</v>
      </c>
    </row>
    <row r="8" spans="1:16" s="1" customFormat="1" hidden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Spiker'!J16</f>
        <v>4.3</v>
      </c>
      <c r="J8" s="43">
        <f>'Strongtie Spiker'!K16</f>
        <v>2.5</v>
      </c>
      <c r="K8" s="43">
        <f>'Strongtie Spiker'!L16</f>
        <v>8.6</v>
      </c>
      <c r="L8" s="43">
        <f>'Strongtie Spiker'!M16</f>
        <v>0</v>
      </c>
    </row>
    <row r="9" spans="1:16" s="1" customFormat="1" hidden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Spiker'!J17</f>
        <v>7</v>
      </c>
      <c r="J9" s="43">
        <f>'Strongtie Spiker'!K17</f>
        <v>2.5</v>
      </c>
      <c r="K9" s="43">
        <f>'Strongtie Spiker'!L17</f>
        <v>8.6</v>
      </c>
      <c r="L9" s="43">
        <f>'Strongtie Spiker'!M17</f>
        <v>0</v>
      </c>
    </row>
    <row r="10" spans="1:16" s="1" customFormat="1" hidden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Spiker'!J18</f>
        <v>13.7</v>
      </c>
      <c r="J10" s="43">
        <f>'Strongtie Spiker'!K18</f>
        <v>2.5</v>
      </c>
      <c r="K10" s="43">
        <f>'Strongtie Spiker'!L18</f>
        <v>8.6</v>
      </c>
      <c r="L10" s="43">
        <f>'Strongtie Spiker'!M18</f>
        <v>0</v>
      </c>
    </row>
    <row r="11" spans="1:16" s="1" customFormat="1" hidden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Spiker'!J19</f>
        <v>15.1</v>
      </c>
      <c r="J11" s="43">
        <f>'Strongtie Spiker'!K19</f>
        <v>2.5</v>
      </c>
      <c r="K11" s="43">
        <f>'Strongtie Spiker'!L19</f>
        <v>8.6</v>
      </c>
      <c r="L11" s="43">
        <f>'Strongtie Spiker'!M19</f>
        <v>0</v>
      </c>
    </row>
    <row r="12" spans="1:16" s="1" customFormat="1" hidden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Spiker'!J20</f>
        <v>29.3</v>
      </c>
      <c r="J12" s="43">
        <f>'Strongtie Spiker'!K20</f>
        <v>2.5</v>
      </c>
      <c r="K12" s="43">
        <f>'Strongtie Spiker'!L20</f>
        <v>8.6</v>
      </c>
      <c r="L12" s="43">
        <f>'Strongtie Spiker'!M20</f>
        <v>0</v>
      </c>
    </row>
    <row r="13" spans="1:16" s="1" customFormat="1" hidden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Spiker'!J21</f>
        <v>34</v>
      </c>
      <c r="J13" s="43">
        <f>'Strongtie Spiker'!K21</f>
        <v>2.5</v>
      </c>
      <c r="K13" s="43">
        <f>'Strongtie Spiker'!L21</f>
        <v>8.6</v>
      </c>
      <c r="L13" s="43">
        <f>'Strongtie Spiker'!M21</f>
        <v>0</v>
      </c>
    </row>
    <row r="14" spans="1:16" s="1" customFormat="1" hidden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Spiker'!J22</f>
        <v>35.1</v>
      </c>
      <c r="J14" s="43">
        <f>'Strongtie Spiker'!K22</f>
        <v>2.5</v>
      </c>
      <c r="K14" s="43">
        <f>'Strongtie Spiker'!L22</f>
        <v>8.6</v>
      </c>
      <c r="L14" s="43">
        <f>'Strongtie Spiker'!M22</f>
        <v>0</v>
      </c>
    </row>
    <row r="15" spans="1:16" s="1" customFormat="1" hidden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Spiker'!J25</f>
        <v>3.3</v>
      </c>
      <c r="J15" s="43">
        <f>'Strongtie Spiker'!K25</f>
        <v>2.5</v>
      </c>
      <c r="K15" s="43">
        <f>'Strongtie Spiker'!L25</f>
        <v>8.6</v>
      </c>
      <c r="L15" s="43">
        <f>'Strongtie Spiker'!M25</f>
        <v>0</v>
      </c>
    </row>
    <row r="16" spans="1:16" s="1" customFormat="1" hidden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Spiker'!J26</f>
        <v>4.3</v>
      </c>
      <c r="J16" s="43">
        <f>'Strongtie Spiker'!K26</f>
        <v>2.5</v>
      </c>
      <c r="K16" s="43">
        <f>'Strongtie Spiker'!L26</f>
        <v>8.6</v>
      </c>
      <c r="L16" s="43">
        <f>'Strongtie Spiker'!M26</f>
        <v>0</v>
      </c>
    </row>
    <row r="17" spans="1:12" s="1" customFormat="1" hidden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Spiker'!J27</f>
        <v>7</v>
      </c>
      <c r="J17" s="43">
        <f>'Strongtie Spiker'!K27</f>
        <v>2.5</v>
      </c>
      <c r="K17" s="43">
        <f>'Strongtie Spiker'!L27</f>
        <v>8.6</v>
      </c>
      <c r="L17" s="43">
        <f>'Strongtie Spiker'!M27</f>
        <v>0</v>
      </c>
    </row>
    <row r="18" spans="1:12" s="1" customFormat="1" hidden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Spiker'!J37</f>
        <v>2.6</v>
      </c>
      <c r="J18" s="43">
        <f>'Strongtie Spiker'!K37</f>
        <v>4.9000000000000004</v>
      </c>
      <c r="K18" s="43">
        <f>'Strongtie Spiker'!L37</f>
        <v>22.6</v>
      </c>
      <c r="L18" s="43">
        <f>'Strongtie Spiker'!M37</f>
        <v>4</v>
      </c>
    </row>
    <row r="19" spans="1:12" s="1" customFormat="1" hidden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Spiker'!J38</f>
        <v>2.6</v>
      </c>
      <c r="J19" s="43">
        <f>'Strongtie Spiker'!K38</f>
        <v>4.9000000000000004</v>
      </c>
      <c r="K19" s="43">
        <f>'Strongtie Spiker'!L38</f>
        <v>22.6</v>
      </c>
      <c r="L19" s="43">
        <f>'Strongtie Spiker'!M38</f>
        <v>4</v>
      </c>
    </row>
    <row r="20" spans="1:12" s="1" customFormat="1" hidden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Spiker'!J39</f>
        <v>2.6</v>
      </c>
      <c r="J20" s="43">
        <f>'Strongtie Spiker'!K39</f>
        <v>4.9000000000000004</v>
      </c>
      <c r="K20" s="43">
        <f>'Strongtie Spiker'!L39</f>
        <v>22.6</v>
      </c>
      <c r="L20" s="43">
        <f>'Strongtie Spiker'!M39</f>
        <v>4</v>
      </c>
    </row>
    <row r="21" spans="1:12" s="1" customFormat="1" hidden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Spiker'!J40</f>
        <v>2.6</v>
      </c>
      <c r="J21" s="43">
        <f>'Strongtie Spiker'!K40</f>
        <v>4.9000000000000004</v>
      </c>
      <c r="K21" s="43">
        <f>'Strongtie Spiker'!L40</f>
        <v>22.6</v>
      </c>
      <c r="L21" s="43">
        <f>'Strongtie Spiker'!M40</f>
        <v>4</v>
      </c>
    </row>
    <row r="22" spans="1:12" s="1" customFormat="1" hidden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Spiker'!J41</f>
        <v>3.9</v>
      </c>
      <c r="J22" s="43">
        <f>'Strongtie Spiker'!K41</f>
        <v>5.4</v>
      </c>
      <c r="K22" s="43">
        <f>'Strongtie Spiker'!L41</f>
        <v>20.9</v>
      </c>
      <c r="L22" s="43">
        <f>'Strongtie Spiker'!M41</f>
        <v>4.8</v>
      </c>
    </row>
    <row r="23" spans="1:12" s="1" customFormat="1" hidden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Spiker'!J42</f>
        <v>3.7</v>
      </c>
      <c r="J23" s="43">
        <f>'Strongtie Spiker'!K42</f>
        <v>2.5</v>
      </c>
      <c r="K23" s="43">
        <f>'Strongtie Spiker'!L42</f>
        <v>20.5</v>
      </c>
      <c r="L23" s="43">
        <f>'Strongtie Spiker'!M42</f>
        <v>0</v>
      </c>
    </row>
    <row r="24" spans="1:12" s="1" customFormat="1" hidden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Spiker'!J43</f>
        <v>3.7</v>
      </c>
      <c r="J24" s="43">
        <f>'Strongtie Spiker'!K43</f>
        <v>2.5</v>
      </c>
      <c r="K24" s="43">
        <f>'Strongtie Spiker'!L43</f>
        <v>20.5</v>
      </c>
      <c r="L24" s="43">
        <f>'Strongtie Spiker'!M43</f>
        <v>0</v>
      </c>
    </row>
    <row r="25" spans="1:12" s="1" customFormat="1" hidden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Spiker'!J44</f>
        <v>3.7</v>
      </c>
      <c r="J25" s="43">
        <f>'Strongtie Spiker'!K44</f>
        <v>2.5</v>
      </c>
      <c r="K25" s="43">
        <f>'Strongtie Spiker'!L44</f>
        <v>20.5</v>
      </c>
      <c r="L25" s="43">
        <f>'Strongtie Spiker'!M44</f>
        <v>0</v>
      </c>
    </row>
    <row r="26" spans="1:12" s="1" customFormat="1" hidden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Spiker'!J45</f>
        <v>3.2</v>
      </c>
      <c r="J26" s="43">
        <f>'Strongtie Spiker'!K45</f>
        <v>8.9</v>
      </c>
      <c r="K26" s="43">
        <f>'Strongtie Spiker'!L45</f>
        <v>29.4</v>
      </c>
      <c r="L26" s="43">
        <f>'Strongtie Spiker'!M45</f>
        <v>3.4</v>
      </c>
    </row>
    <row r="27" spans="1:12" s="1" customFormat="1" hidden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Spiker'!J46</f>
        <v>3.2</v>
      </c>
      <c r="J27" s="43">
        <f>'Strongtie Spiker'!K46</f>
        <v>8.9</v>
      </c>
      <c r="K27" s="43">
        <f>'Strongtie Spiker'!L46</f>
        <v>29.4</v>
      </c>
      <c r="L27" s="43">
        <f>'Strongtie Spiker'!M46</f>
        <v>3.4</v>
      </c>
    </row>
    <row r="28" spans="1:12" s="1" customFormat="1" hidden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Spiker'!J47</f>
        <v>4.5999999999999996</v>
      </c>
      <c r="J28" s="43">
        <f>'Strongtie Spiker'!K47</f>
        <v>8.3000000000000007</v>
      </c>
      <c r="K28" s="43">
        <f>'Strongtie Spiker'!L47</f>
        <v>18.100000000000001</v>
      </c>
      <c r="L28" s="43">
        <f>'Strongtie Spiker'!M47</f>
        <v>3.8</v>
      </c>
    </row>
    <row r="29" spans="1:12" s="1" customFormat="1" hidden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Spiker'!J48</f>
        <v>4.5999999999999996</v>
      </c>
      <c r="J29" s="43">
        <f>'Strongtie Spiker'!K48</f>
        <v>8.3000000000000007</v>
      </c>
      <c r="K29" s="43">
        <f>'Strongtie Spiker'!L48</f>
        <v>18.100000000000001</v>
      </c>
      <c r="L29" s="43">
        <f>'Strongtie Spiker'!M48</f>
        <v>3.8</v>
      </c>
    </row>
    <row r="30" spans="1:12" s="1" customFormat="1" hidden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Spiker'!J49</f>
        <v>3.2</v>
      </c>
      <c r="J30" s="43">
        <f>'Strongtie Spiker'!K49</f>
        <v>10.7</v>
      </c>
      <c r="K30" s="43">
        <f>'Strongtie Spiker'!L49</f>
        <v>30.1</v>
      </c>
      <c r="L30" s="43">
        <f>'Strongtie Spiker'!M49</f>
        <v>3.1</v>
      </c>
    </row>
    <row r="31" spans="1:12" s="1" customFormat="1" hidden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Spiker'!J50</f>
        <v>3.2</v>
      </c>
      <c r="J31" s="43">
        <f>'Strongtie Spiker'!K50</f>
        <v>10.7</v>
      </c>
      <c r="K31" s="43">
        <f>'Strongtie Spiker'!L50</f>
        <v>30.1</v>
      </c>
      <c r="L31" s="43">
        <f>'Strongtie Spiker'!M50</f>
        <v>3.1</v>
      </c>
    </row>
    <row r="32" spans="1:12" s="1" customFormat="1" hidden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Spiker'!J51</f>
        <v>4.4000000000000004</v>
      </c>
      <c r="J32" s="43">
        <f>'Strongtie Spiker'!K51</f>
        <v>9.5</v>
      </c>
      <c r="K32" s="43">
        <f>'Strongtie Spiker'!L51</f>
        <v>20.8</v>
      </c>
      <c r="L32" s="43">
        <f>'Strongtie Spiker'!M51</f>
        <v>3.1</v>
      </c>
    </row>
    <row r="33" spans="1:14" s="1" customFormat="1" hidden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Spiker'!J52</f>
        <v>3.9</v>
      </c>
      <c r="J33" s="43">
        <f>'Strongtie Spiker'!K52</f>
        <v>2.2999999999999998</v>
      </c>
      <c r="K33" s="43">
        <f>'Strongtie Spiker'!L52</f>
        <v>19.399999999999999</v>
      </c>
      <c r="L33" s="43">
        <f>'Strongtie Spiker'!M52</f>
        <v>6.4</v>
      </c>
    </row>
    <row r="34" spans="1:14" s="1" customFormat="1" hidden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Spiker'!J53</f>
        <v>2</v>
      </c>
      <c r="J34" s="43">
        <f>'Strongtie Spiker'!K53</f>
        <v>5.0999999999999996</v>
      </c>
      <c r="K34" s="43">
        <f>'Strongtie Spiker'!L53</f>
        <v>22</v>
      </c>
      <c r="L34" s="43">
        <f>'Strongtie Spiker'!M53</f>
        <v>3</v>
      </c>
    </row>
    <row r="35" spans="1:14" s="1" customFormat="1" hidden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Spiker'!J54</f>
        <v>2</v>
      </c>
      <c r="J35" s="43">
        <f>'Strongtie Spiker'!K54</f>
        <v>5.0999999999999996</v>
      </c>
      <c r="K35" s="43">
        <f>'Strongtie Spiker'!L54</f>
        <v>22</v>
      </c>
      <c r="L35" s="43">
        <f>'Strongtie Spiker'!M54</f>
        <v>3</v>
      </c>
    </row>
    <row r="36" spans="1:14" s="1" customFormat="1" hidden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Spiker'!J55</f>
        <v>2</v>
      </c>
      <c r="J36" s="43">
        <f>'Strongtie Spiker'!K55</f>
        <v>5.0999999999999996</v>
      </c>
      <c r="K36" s="43">
        <f>'Strongtie Spiker'!L55</f>
        <v>22</v>
      </c>
      <c r="L36" s="43">
        <f>'Strongtie Spiker'!M55</f>
        <v>3</v>
      </c>
    </row>
    <row r="37" spans="1:14" s="1" customFormat="1" hidden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Spiker'!J56</f>
        <v>3.2</v>
      </c>
      <c r="J37" s="43">
        <f>'Strongtie Spiker'!K56</f>
        <v>8.9</v>
      </c>
      <c r="K37" s="43">
        <f>'Strongtie Spiker'!L56</f>
        <v>29.4</v>
      </c>
      <c r="L37" s="43">
        <f>'Strongtie Spiker'!M56</f>
        <v>3.4</v>
      </c>
    </row>
    <row r="38" spans="1:14" s="1" customFormat="1" hidden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Spiker'!J57</f>
        <v>4.5999999999999996</v>
      </c>
      <c r="J38" s="43">
        <f>'Strongtie Spiker'!K57</f>
        <v>8.3000000000000007</v>
      </c>
      <c r="K38" s="43">
        <f>'Strongtie Spiker'!L57</f>
        <v>18.100000000000001</v>
      </c>
      <c r="L38" s="43">
        <f>'Strongtie Spiker'!M57</f>
        <v>3.8</v>
      </c>
    </row>
    <row r="39" spans="1:14" s="1" customFormat="1" hidden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Spiker'!J58</f>
        <v>4.5999999999999996</v>
      </c>
      <c r="J39" s="43">
        <f>'Strongtie Spiker'!K58</f>
        <v>8.3000000000000007</v>
      </c>
      <c r="K39" s="43">
        <f>'Strongtie Spiker'!L58</f>
        <v>18.100000000000001</v>
      </c>
      <c r="L39" s="43">
        <f>'Strongtie Spiker'!M58</f>
        <v>3.8</v>
      </c>
    </row>
    <row r="40" spans="1:14" s="1" customFormat="1" hidden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hidden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hidden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hidden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hidden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hidden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hidden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hidden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hidden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hidden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hidden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hidden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hidden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hidden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hidden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hidden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hidden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hidden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hidden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hidden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hidden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hidden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hidden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hidden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hidden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hidden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hidden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hidden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hidden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hidden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hidden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hidden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hidden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hidden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hidden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hidden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hidden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hidden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hidden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hidden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hidden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hidden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hidden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hidden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hidden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hidden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hidden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hidden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hidden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hidden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hidden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hidden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hidden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hidden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hidden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hidden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hidden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hidden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hidden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hidden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hidden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hidden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hidden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hidden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hidden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hidden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hidden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hidden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hidden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hidden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hidden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hidden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hidden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hidden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hidden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hidden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hidden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hidden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hidden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hidden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hidden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hidden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hidden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hidden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hidden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hidden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hidden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hidden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hidden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hidden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hidden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hidden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hidden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hidden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hidden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hidden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hidden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hidden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hidden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hidden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hidden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hidden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hidden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hidden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hidden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hidden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hidden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hidden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hidden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hidden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hidden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hidden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hidden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hidden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hidden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hidden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hidden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hidden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hidden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hidden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hidden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hidden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hidden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hidden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hidden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hidden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hidden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hidden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hidden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hidden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hidden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hidden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hidden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hidden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hidden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hidden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hidden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hidden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hidden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hidden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hidden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hidden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hidden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hidden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hidden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hidden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hidden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hidden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hidden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hidden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hidden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hidden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hidden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hidden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hidden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hidden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hidden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hidden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hidden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hidden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hidden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hidden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hidden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hidden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hidden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hidden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hidden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hidden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hidden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hidden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hidden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hidden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hidden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hidden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hidden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hidden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hidden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hidden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hidden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hidden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hidden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hidden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hidden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hidden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hidden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hidden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hidden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hidden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hidden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hidden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hidden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hidden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hidden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hidden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hidden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hidden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hidden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hidden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hidden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hidden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hidden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hidden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hidden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hidden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hidden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hidden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hidden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hidden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hidden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hidden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hidden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hidden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hidden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hidden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hidden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hidden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hidden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hidden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hidden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hidden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hidden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hidden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hidden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hidden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hidden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hidden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hidden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hidden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hidden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hidden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hidden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hidden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hidden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hidden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hidden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hidden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hidden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hidden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hidden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hidden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hidden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hidden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hidden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hidden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hidden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hidden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hidden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hidden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hidden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hidden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hidden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hidden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hidden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hidden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hidden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hidden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hidden="1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hidden="1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hidden="1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hidden="1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hidden="1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14.5</v>
      </c>
      <c r="I314" s="50">
        <v>9.4937000000000005</v>
      </c>
      <c r="J314" s="50">
        <v>11.7</v>
      </c>
      <c r="K314" s="50">
        <v>10.5</v>
      </c>
      <c r="L314" s="50">
        <v>11.3</v>
      </c>
      <c r="M314">
        <v>55</v>
      </c>
    </row>
    <row r="315" spans="1:13" hidden="1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14.5</v>
      </c>
      <c r="I315" s="50">
        <v>9.4937000000000005</v>
      </c>
      <c r="J315" s="50">
        <v>11.7</v>
      </c>
      <c r="K315" s="50">
        <v>10.5</v>
      </c>
      <c r="L315" s="50">
        <v>11.3</v>
      </c>
      <c r="M315">
        <v>75</v>
      </c>
    </row>
    <row r="316" spans="1:13" hidden="1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14.5</v>
      </c>
      <c r="I316" s="50">
        <v>9.4937000000000005</v>
      </c>
      <c r="J316" s="50">
        <v>11.7</v>
      </c>
      <c r="K316" s="50">
        <v>10.5</v>
      </c>
      <c r="L316" s="50">
        <v>11.3</v>
      </c>
      <c r="M316">
        <v>95</v>
      </c>
    </row>
    <row r="317" spans="1:13" hidden="1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14.5</v>
      </c>
      <c r="I317" s="50">
        <v>9.4937000000000005</v>
      </c>
      <c r="J317" s="50">
        <v>11.7</v>
      </c>
      <c r="K317" s="50">
        <v>10.5</v>
      </c>
      <c r="L317" s="50">
        <v>11.3</v>
      </c>
      <c r="M317">
        <v>110</v>
      </c>
    </row>
    <row r="318" spans="1:13" hidden="1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14.5</v>
      </c>
      <c r="I318" s="50">
        <v>9.4937000000000005</v>
      </c>
      <c r="J318" s="50">
        <v>11.7</v>
      </c>
      <c r="K318" s="50">
        <v>10.5</v>
      </c>
      <c r="L318" s="50">
        <v>11.3</v>
      </c>
      <c r="M318">
        <v>130</v>
      </c>
    </row>
    <row r="319" spans="1:13" hidden="1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18.25</v>
      </c>
      <c r="I319" s="50">
        <v>20.057500000000001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hidden="1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18.25</v>
      </c>
      <c r="I320" s="50">
        <v>20.057500000000001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hidden="1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18.25</v>
      </c>
      <c r="I321" s="50">
        <v>20.057500000000001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hidden="1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18.25</v>
      </c>
      <c r="I322" s="50">
        <v>20.057500000000001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hidden="1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18.25</v>
      </c>
      <c r="I323" s="50">
        <v>20.057500000000001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hidden="1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20.75</v>
      </c>
      <c r="I324" s="50">
        <v>35.829599999999999</v>
      </c>
      <c r="J324" s="50">
        <v>11.7</v>
      </c>
      <c r="K324" s="50">
        <v>10.5</v>
      </c>
      <c r="L324" s="50">
        <v>31.4</v>
      </c>
      <c r="M324">
        <v>90</v>
      </c>
    </row>
    <row r="325" spans="1:13" hidden="1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20.75</v>
      </c>
      <c r="I325" s="50">
        <v>35.829599999999999</v>
      </c>
      <c r="J325" s="50">
        <v>11.7</v>
      </c>
      <c r="K325" s="50">
        <v>10.5</v>
      </c>
      <c r="L325" s="50">
        <v>31.4</v>
      </c>
      <c r="M325">
        <v>110</v>
      </c>
    </row>
    <row r="326" spans="1:13" hidden="1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20.75</v>
      </c>
      <c r="I326" s="50">
        <v>35.829599999999999</v>
      </c>
      <c r="J326" s="50">
        <v>11.7</v>
      </c>
      <c r="K326" s="50">
        <v>10.5</v>
      </c>
      <c r="L326" s="50">
        <v>31.4</v>
      </c>
      <c r="M326">
        <v>120</v>
      </c>
    </row>
    <row r="327" spans="1:13" hidden="1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20.75</v>
      </c>
      <c r="I327" s="50">
        <v>35.829599999999999</v>
      </c>
      <c r="J327" s="50">
        <v>11.7</v>
      </c>
      <c r="K327" s="50">
        <v>10.5</v>
      </c>
      <c r="L327" s="50">
        <v>31.4</v>
      </c>
      <c r="M327">
        <v>140</v>
      </c>
    </row>
    <row r="328" spans="1:13" hidden="1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20.75</v>
      </c>
      <c r="I328" s="50">
        <v>35.829599999999999</v>
      </c>
      <c r="J328" s="50">
        <v>11.7</v>
      </c>
      <c r="K328" s="50">
        <v>10.5</v>
      </c>
      <c r="L328" s="50">
        <v>31.4</v>
      </c>
      <c r="M328">
        <v>160</v>
      </c>
    </row>
    <row r="329" spans="1:13" hidden="1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18.25</v>
      </c>
      <c r="I329" s="50">
        <v>35.799999999999997</v>
      </c>
      <c r="J329" s="50">
        <v>11.7</v>
      </c>
      <c r="K329" s="50">
        <v>10.5</v>
      </c>
      <c r="L329" s="50">
        <v>31.4</v>
      </c>
      <c r="M329">
        <v>150</v>
      </c>
    </row>
    <row r="330" spans="1:13" hidden="1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18.25</v>
      </c>
      <c r="I330" s="50">
        <v>35.799999999999997</v>
      </c>
      <c r="J330" s="50">
        <v>11.7</v>
      </c>
      <c r="K330" s="50">
        <v>10.5</v>
      </c>
      <c r="L330" s="50">
        <v>31.4</v>
      </c>
      <c r="M330">
        <v>130</v>
      </c>
    </row>
    <row r="331" spans="1:13" hidden="1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18.25</v>
      </c>
      <c r="I331" s="50">
        <v>35.799999999999997</v>
      </c>
      <c r="J331" s="50">
        <v>11.7</v>
      </c>
      <c r="K331" s="50">
        <v>10.5</v>
      </c>
      <c r="L331" s="50">
        <v>31.4</v>
      </c>
      <c r="M331">
        <v>110</v>
      </c>
    </row>
    <row r="332" spans="1:13" hidden="1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18.25</v>
      </c>
      <c r="I332" s="50">
        <v>35.799999999999997</v>
      </c>
      <c r="J332" s="50">
        <v>11.7</v>
      </c>
      <c r="K332" s="50">
        <v>10.5</v>
      </c>
      <c r="L332" s="50">
        <v>31.4</v>
      </c>
      <c r="M332">
        <v>95</v>
      </c>
    </row>
    <row r="333" spans="1:13" hidden="1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18.25</v>
      </c>
      <c r="I333" s="50">
        <v>35.799999999999997</v>
      </c>
      <c r="J333" s="50">
        <v>11.7</v>
      </c>
      <c r="K333" s="50">
        <v>10.5</v>
      </c>
      <c r="L333" s="50">
        <v>31.4</v>
      </c>
      <c r="M333">
        <v>75</v>
      </c>
    </row>
    <row r="334" spans="1:13" hidden="1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18.25</v>
      </c>
      <c r="I334" s="50">
        <v>35.799999999999997</v>
      </c>
      <c r="J334" s="50">
        <v>11.7</v>
      </c>
      <c r="K334" s="50">
        <v>10.5</v>
      </c>
      <c r="L334" s="50">
        <v>31.4</v>
      </c>
      <c r="M334">
        <v>60</v>
      </c>
    </row>
    <row r="335" spans="1:13" hidden="1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18.25</v>
      </c>
      <c r="I335" s="50">
        <v>35.799999999999997</v>
      </c>
      <c r="J335" s="50">
        <v>11.7</v>
      </c>
      <c r="K335" s="50">
        <v>10.5</v>
      </c>
      <c r="L335" s="50">
        <v>31.4</v>
      </c>
      <c r="M335">
        <v>52</v>
      </c>
    </row>
    <row r="336" spans="1:13" hidden="1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14.5</v>
      </c>
      <c r="I336" s="50">
        <v>20.100000000000001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hidden="1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14.5</v>
      </c>
      <c r="I337" s="50">
        <v>20.100000000000001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hidden="1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14.5</v>
      </c>
      <c r="I338" s="50">
        <v>20.100000000000001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hidden="1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14.5</v>
      </c>
      <c r="I339" s="50">
        <v>20.100000000000001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hidden="1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14.5</v>
      </c>
      <c r="I340" s="50">
        <v>20.100000000000001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hidden="1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14.5</v>
      </c>
      <c r="I341" s="50">
        <v>20.100000000000001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hidden="1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14.5</v>
      </c>
      <c r="I342" s="50">
        <v>20.100000000000001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hidden="1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hidden="1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hidden="1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hidden="1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hidden="1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hidden="1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hidden="1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hidden="1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hidden="1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hidden="1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hidden="1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hidden="1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hidden="1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hidden="1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hidden="1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hidden="1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hidden="1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hidden="1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hidden="1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hidden="1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hidden="1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hidden="1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hidden="1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hidden="1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hidden="1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hidden="1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hidden="1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hidden="1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hidden="1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hidden="1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hidden="1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hidden="1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hidden="1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hidden="1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hidden="1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hidden="1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hidden="1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hidden="1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hidden="1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hidden="1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hidden="1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hidden="1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hidden="1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hidden="1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hidden="1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hidden="1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hidden="1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hidden="1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hidden="1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hidden="1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hidden="1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hidden="1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hidden="1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hidden="1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hidden="1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hidden="1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hidden="1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hidden="1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hidden="1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hidden="1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hidden="1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hidden="1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hidden="1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hidden="1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hidden="1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hidden="1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hidden="1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hidden="1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hidden="1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hidden="1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hidden="1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hidden="1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hidden="1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hidden="1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hidden="1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hidden="1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hidden="1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hidden="1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hidden="1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hidden="1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hidden="1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hidden="1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hidden="1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hidden="1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hidden="1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hidden="1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hidden="1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hidden="1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hidden="1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hidden="1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hidden="1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hidden="1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hidden="1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hidden="1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hidden="1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hidden="1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hidden="1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hidden="1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hidden="1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hidden="1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hidden="1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hidden="1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hidden="1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hidden="1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hidden="1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hidden="1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hidden="1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hidden="1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hidden="1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hidden="1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hidden="1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hidden="1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hidden="1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hidden="1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hidden="1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hidden="1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hidden="1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hidden="1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hidden="1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hidden="1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hidden="1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hidden="1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hidden="1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hidden="1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hidden="1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hidden="1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hidden="1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hidden="1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hidden="1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hidden="1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hidden="1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hidden="1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hidden="1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hidden="1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hidden="1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hidden="1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hidden="1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hidden="1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hidden="1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hidden="1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hidden="1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hidden="1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hidden="1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hidden="1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hidden="1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hidden="1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hidden="1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hidden="1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hidden="1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hidden="1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hidden="1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hidden="1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hidden="1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hidden="1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hidden="1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hidden="1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hidden="1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hidden="1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hidden="1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hidden="1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hidden="1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hidden="1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hidden="1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hidden="1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hidden="1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hidden="1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hidden="1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hidden="1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hidden="1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hidden="1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hidden="1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hidden="1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hidden="1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hidden="1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hidden="1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hidden="1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hidden="1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hidden="1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hidden="1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hidden="1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hidden="1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hidden="1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hidden="1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hidden="1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hidden="1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hidden="1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hidden="1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hidden="1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hidden="1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hidden="1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hidden="1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hidden="1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hidden="1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hidden="1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hidden="1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hidden="1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hidden="1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hidden="1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hidden="1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hidden="1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hidden="1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hidden="1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hidden="1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hidden="1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hidden="1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hidden="1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hidden="1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hidden="1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hidden="1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hidden="1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hidden="1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hidden="1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hidden="1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hidden="1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hidden="1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hidden="1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hidden="1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hidden="1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hidden="1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hidden="1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hidden="1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hidden="1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hidden="1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hidden="1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hidden="1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hidden="1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hidden="1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hidden="1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hidden="1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hidden="1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hidden="1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hidden="1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hidden="1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hidden="1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hidden="1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hidden="1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hidden="1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hidden="1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hidden="1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hidden="1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hidden="1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hidden="1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hidden="1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hidden="1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hidden="1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hidden="1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hidden="1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hidden="1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hidden="1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hidden="1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hidden="1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hidden="1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hidden="1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hidden="1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hidden="1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hidden="1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hidden="1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hidden="1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hidden="1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hidden="1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hidden="1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hidden="1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hidden="1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hidden="1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hidden="1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hidden="1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hidden="1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hidden="1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hidden="1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hidden="1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hidden="1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hidden="1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hidden="1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hidden="1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hidden="1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hidden="1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hidden="1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hidden="1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hidden="1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hidden="1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hidden="1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hidden="1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hidden="1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hidden="1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hidden="1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hidden="1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hidden="1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hidden="1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hidden="1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hidden="1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hidden="1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hidden="1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hidden="1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hidden="1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hidden="1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hidden="1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hidden="1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hidden="1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hidden="1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hidden="1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hidden="1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hidden="1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hidden="1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hidden="1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hidden="1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hidden="1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hidden="1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hidden="1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hidden="1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hidden="1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hidden="1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hidden="1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hidden="1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hidden="1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hidden="1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hidden="1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hidden="1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hidden="1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hidden="1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hidden="1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hidden="1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hidden="1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hidden="1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hidden="1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hidden="1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hidden="1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hidden="1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hidden="1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hidden="1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hidden="1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hidden="1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hidden="1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hidden="1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hidden="1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hidden="1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hidden="1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hidden="1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hidden="1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hidden="1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hidden="1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hidden="1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hidden="1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hidden="1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hidden="1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hidden="1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hidden="1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hidden="1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hidden="1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8">
        <v>603.6884559200339</v>
      </c>
      <c r="J693" s="15"/>
      <c r="K693" s="15"/>
      <c r="L693" s="15">
        <v>254.2</v>
      </c>
    </row>
    <row r="694" spans="1:13" hidden="1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8">
        <v>603.6884559200339</v>
      </c>
      <c r="J694" s="15"/>
      <c r="K694" s="15"/>
      <c r="L694" s="15">
        <v>254.2</v>
      </c>
    </row>
    <row r="695" spans="1:13" hidden="1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8">
        <v>603.6884559200339</v>
      </c>
      <c r="J695" s="15"/>
      <c r="K695" s="15"/>
      <c r="L695" s="15">
        <v>254.2</v>
      </c>
    </row>
    <row r="696" spans="1:13" hidden="1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8">
        <v>603.6884559200339</v>
      </c>
      <c r="J696" s="15"/>
      <c r="K696" s="15"/>
      <c r="L696" s="15">
        <v>254.2</v>
      </c>
    </row>
    <row r="697" spans="1:13" hidden="1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8">
        <v>603.6884559200339</v>
      </c>
      <c r="J697" s="15"/>
      <c r="K697" s="15"/>
      <c r="L697" s="15">
        <v>254.2</v>
      </c>
    </row>
    <row r="698" spans="1:13" hidden="1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8">
        <v>603.6884559200339</v>
      </c>
      <c r="J698" s="15"/>
      <c r="K698" s="15"/>
      <c r="L698" s="15">
        <v>254.2</v>
      </c>
    </row>
    <row r="699" spans="1:13" hidden="1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8">
        <v>603.6884559200339</v>
      </c>
      <c r="J699" s="15"/>
      <c r="K699" s="15"/>
      <c r="L699" s="15">
        <v>254.2</v>
      </c>
    </row>
    <row r="700" spans="1:13" hidden="1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8">
        <v>375.59459402917901</v>
      </c>
      <c r="J700" s="15"/>
      <c r="K700" s="15"/>
      <c r="L700" s="15">
        <v>176.4</v>
      </c>
    </row>
    <row r="701" spans="1:13" hidden="1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8">
        <v>375.59459402917901</v>
      </c>
      <c r="J701" s="15"/>
      <c r="K701" s="15"/>
      <c r="L701" s="15">
        <v>176.4</v>
      </c>
    </row>
    <row r="702" spans="1:13" hidden="1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8">
        <v>375.59459402917901</v>
      </c>
      <c r="J702" s="15"/>
      <c r="K702" s="15"/>
      <c r="L702" s="15">
        <v>176.4</v>
      </c>
    </row>
    <row r="703" spans="1:13" hidden="1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8">
        <v>375.59459402917901</v>
      </c>
      <c r="J703" s="15"/>
      <c r="K703" s="15"/>
      <c r="L703" s="15">
        <v>176.4</v>
      </c>
    </row>
    <row r="704" spans="1:13" hidden="1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8">
        <v>375.59459402917901</v>
      </c>
      <c r="J704" s="15"/>
      <c r="K704" s="15"/>
      <c r="L704" s="15">
        <v>176.4</v>
      </c>
    </row>
    <row r="705" spans="1:12" hidden="1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8">
        <v>375.59459402917901</v>
      </c>
      <c r="J705" s="15"/>
      <c r="K705" s="15"/>
      <c r="L705" s="15">
        <v>176.4</v>
      </c>
    </row>
    <row r="706" spans="1:12" hidden="1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8">
        <v>76.745423286936145</v>
      </c>
      <c r="J706" s="15"/>
      <c r="K706" s="15"/>
      <c r="L706" s="15">
        <v>30.3</v>
      </c>
    </row>
    <row r="707" spans="1:12" hidden="1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8">
        <v>76.745423286936145</v>
      </c>
      <c r="J707" s="15"/>
      <c r="K707" s="15"/>
      <c r="L707" s="15">
        <v>30.3</v>
      </c>
    </row>
    <row r="708" spans="1:12" hidden="1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8">
        <v>76.745423286936145</v>
      </c>
      <c r="J708" s="15"/>
      <c r="K708" s="15"/>
      <c r="L708" s="15">
        <v>30.3</v>
      </c>
    </row>
    <row r="709" spans="1:12" hidden="1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8">
        <v>76.745423286936145</v>
      </c>
      <c r="J709" s="15"/>
      <c r="K709" s="15"/>
      <c r="L709" s="15">
        <v>30.3</v>
      </c>
    </row>
    <row r="710" spans="1:12" hidden="1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8">
        <v>76.745423286936145</v>
      </c>
      <c r="J710" s="15"/>
      <c r="K710" s="15"/>
      <c r="L710" s="15">
        <v>30.3</v>
      </c>
    </row>
    <row r="711" spans="1:12" hidden="1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8">
        <v>76.745423286936145</v>
      </c>
      <c r="J711" s="15"/>
      <c r="K711" s="15"/>
      <c r="L711" s="15">
        <v>30.3</v>
      </c>
    </row>
    <row r="712" spans="1:12" hidden="1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8">
        <v>76.745423286936145</v>
      </c>
      <c r="J712" s="15"/>
      <c r="K712" s="15"/>
      <c r="L712" s="15">
        <v>30.3</v>
      </c>
    </row>
    <row r="713" spans="1:12" hidden="1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8">
        <v>76.745423286936145</v>
      </c>
      <c r="J713" s="15"/>
      <c r="K713" s="15"/>
      <c r="L713" s="15">
        <v>30.3</v>
      </c>
    </row>
    <row r="714" spans="1:12" hidden="1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8">
        <v>47.772860466419715</v>
      </c>
      <c r="J714" s="15"/>
      <c r="K714" s="15"/>
      <c r="L714" s="15">
        <v>20.9</v>
      </c>
    </row>
    <row r="715" spans="1:12" hidden="1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8">
        <v>47.772860466419715</v>
      </c>
      <c r="J715" s="15"/>
      <c r="K715" s="15"/>
      <c r="L715" s="15">
        <v>20.9</v>
      </c>
    </row>
    <row r="716" spans="1:12" hidden="1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8">
        <v>47.772860466419715</v>
      </c>
      <c r="J716" s="15"/>
      <c r="K716" s="15"/>
      <c r="L716" s="15">
        <v>20.9</v>
      </c>
    </row>
    <row r="717" spans="1:12" hidden="1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8">
        <v>47.772860466419715</v>
      </c>
      <c r="J717" s="15"/>
      <c r="K717" s="15"/>
      <c r="L717" s="15">
        <v>20.9</v>
      </c>
    </row>
    <row r="718" spans="1:12" hidden="1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8">
        <v>47.772860466419715</v>
      </c>
      <c r="J718" s="15"/>
      <c r="K718" s="15"/>
      <c r="L718" s="15">
        <v>20.9</v>
      </c>
    </row>
    <row r="719" spans="1:12" hidden="1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8">
        <v>47.772860466419715</v>
      </c>
      <c r="J719" s="15"/>
      <c r="K719" s="15"/>
      <c r="L719" s="15">
        <v>20.9</v>
      </c>
    </row>
    <row r="720" spans="1:12" hidden="1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8">
        <v>47.772860466419715</v>
      </c>
      <c r="J720" s="15"/>
      <c r="K720" s="15"/>
      <c r="L720" s="15">
        <v>20.9</v>
      </c>
    </row>
    <row r="721" spans="1:12" hidden="1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8">
        <v>47.772860466419715</v>
      </c>
      <c r="J721" s="15"/>
      <c r="K721" s="15"/>
      <c r="L721" s="15">
        <v>20.9</v>
      </c>
    </row>
    <row r="722" spans="1:12" hidden="1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8">
        <v>26.74331330445693</v>
      </c>
      <c r="J722" s="15"/>
      <c r="K722" s="15"/>
      <c r="L722" s="15">
        <v>13.2</v>
      </c>
    </row>
    <row r="723" spans="1:12" hidden="1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8">
        <v>26.74331330445693</v>
      </c>
      <c r="J723" s="15"/>
      <c r="K723" s="15"/>
      <c r="L723" s="15">
        <v>13.2</v>
      </c>
    </row>
    <row r="724" spans="1:12" hidden="1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8">
        <v>26.74331330445693</v>
      </c>
      <c r="J724" s="15"/>
      <c r="K724" s="15"/>
      <c r="L724" s="15">
        <v>13.2</v>
      </c>
    </row>
    <row r="725" spans="1:12" hidden="1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8">
        <v>26.74331330445693</v>
      </c>
      <c r="J725" s="15"/>
      <c r="K725" s="15"/>
      <c r="L725" s="15">
        <v>13.2</v>
      </c>
    </row>
    <row r="726" spans="1:12" hidden="1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8">
        <v>26.74331330445693</v>
      </c>
      <c r="J726" s="15"/>
      <c r="K726" s="15"/>
      <c r="L726" s="15">
        <v>13.2</v>
      </c>
    </row>
    <row r="727" spans="1:12" hidden="1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8">
        <v>26.74331330445693</v>
      </c>
      <c r="J727" s="15"/>
      <c r="K727" s="15"/>
      <c r="L727" s="15">
        <v>13.2</v>
      </c>
    </row>
    <row r="728" spans="1:12" hidden="1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8">
        <v>26.74331330445693</v>
      </c>
      <c r="J728" s="15"/>
      <c r="K728" s="15"/>
      <c r="L728" s="15">
        <v>13.2</v>
      </c>
    </row>
    <row r="729" spans="1:12" hidden="1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8">
        <v>26.74331330445693</v>
      </c>
      <c r="J729" s="15"/>
      <c r="K729" s="15"/>
      <c r="L729" s="15">
        <v>13.2</v>
      </c>
    </row>
    <row r="730" spans="1:12" hidden="1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8">
        <v>76.745423286936145</v>
      </c>
      <c r="J730" s="15"/>
      <c r="K730" s="15"/>
      <c r="L730" s="15">
        <v>30.3</v>
      </c>
    </row>
    <row r="731" spans="1:12" hidden="1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8">
        <v>76.745423286936145</v>
      </c>
      <c r="J731" s="15"/>
      <c r="K731" s="15"/>
      <c r="L731" s="15">
        <v>30.3</v>
      </c>
    </row>
    <row r="732" spans="1:12" hidden="1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8">
        <v>76.745423286936145</v>
      </c>
      <c r="J732" s="15"/>
      <c r="K732" s="15"/>
      <c r="L732" s="15">
        <v>30.3</v>
      </c>
    </row>
    <row r="733" spans="1:12" hidden="1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8">
        <v>76.745423286936145</v>
      </c>
      <c r="J733" s="15"/>
      <c r="K733" s="15"/>
      <c r="L733" s="15">
        <v>30.3</v>
      </c>
    </row>
    <row r="734" spans="1:12" hidden="1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8">
        <v>76.745423286936145</v>
      </c>
      <c r="J734" s="15"/>
      <c r="K734" s="15"/>
      <c r="L734" s="15">
        <v>30.3</v>
      </c>
    </row>
    <row r="735" spans="1:12" hidden="1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8">
        <v>76.745423286936145</v>
      </c>
      <c r="J735" s="15"/>
      <c r="K735" s="15"/>
      <c r="L735" s="15">
        <v>30.3</v>
      </c>
    </row>
    <row r="736" spans="1:12" hidden="1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8">
        <v>47.772860466419715</v>
      </c>
      <c r="J736" s="15"/>
      <c r="K736" s="15"/>
      <c r="L736" s="15">
        <v>20.9</v>
      </c>
    </row>
    <row r="737" spans="1:12" hidden="1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8">
        <v>47.772860466419715</v>
      </c>
      <c r="J737" s="15"/>
      <c r="K737" s="15"/>
      <c r="L737" s="15">
        <v>20.9</v>
      </c>
    </row>
    <row r="738" spans="1:12" hidden="1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8">
        <v>47.772860466419715</v>
      </c>
      <c r="J738" s="15"/>
      <c r="K738" s="15"/>
      <c r="L738" s="15">
        <v>20.9</v>
      </c>
    </row>
    <row r="739" spans="1:12" hidden="1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8">
        <v>47.772860466419715</v>
      </c>
      <c r="J739" s="15"/>
      <c r="K739" s="15"/>
      <c r="L739" s="15">
        <v>20.9</v>
      </c>
    </row>
    <row r="740" spans="1:12" hidden="1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8">
        <v>47.772860466419715</v>
      </c>
      <c r="J740" s="15"/>
      <c r="K740" s="15"/>
      <c r="L740" s="15">
        <v>20.9</v>
      </c>
    </row>
    <row r="741" spans="1:12" hidden="1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8">
        <v>47.772860466419715</v>
      </c>
      <c r="J741" s="15"/>
      <c r="K741" s="15"/>
      <c r="L741" s="15">
        <v>20.9</v>
      </c>
    </row>
    <row r="742" spans="1:12" hidden="1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8">
        <v>47.772860466419715</v>
      </c>
      <c r="J742" s="15"/>
      <c r="K742" s="15"/>
      <c r="L742" s="15">
        <v>20.9</v>
      </c>
    </row>
    <row r="743" spans="1:12" hidden="1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8">
        <v>47.772860466419715</v>
      </c>
      <c r="J743" s="15"/>
      <c r="K743" s="15"/>
      <c r="L743" s="15">
        <v>20.9</v>
      </c>
    </row>
    <row r="744" spans="1:12" hidden="1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8">
        <v>47.772860466419715</v>
      </c>
      <c r="J744" s="15"/>
      <c r="K744" s="15"/>
      <c r="L744" s="15">
        <v>20.9</v>
      </c>
    </row>
    <row r="745" spans="1:12" hidden="1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8">
        <v>26.74331330445693</v>
      </c>
      <c r="J745" s="15"/>
      <c r="K745" s="15"/>
      <c r="L745" s="15">
        <v>13.2</v>
      </c>
    </row>
    <row r="746" spans="1:12" hidden="1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8">
        <v>26.74331330445693</v>
      </c>
      <c r="J746" s="15"/>
      <c r="K746" s="15"/>
      <c r="L746" s="15">
        <v>13.2</v>
      </c>
    </row>
    <row r="747" spans="1:12" hidden="1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8">
        <v>26.74331330445693</v>
      </c>
      <c r="J747" s="15"/>
      <c r="K747" s="15"/>
      <c r="L747" s="15">
        <v>13.2</v>
      </c>
    </row>
    <row r="748" spans="1:12" hidden="1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8">
        <v>26.74331330445693</v>
      </c>
      <c r="J748" s="15"/>
      <c r="K748" s="15"/>
      <c r="L748" s="15">
        <v>13.2</v>
      </c>
    </row>
    <row r="749" spans="1:12" hidden="1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8">
        <v>26.74331330445693</v>
      </c>
      <c r="J749" s="15"/>
      <c r="K749" s="15"/>
      <c r="L749" s="15">
        <v>13.2</v>
      </c>
    </row>
    <row r="750" spans="1:12" hidden="1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8">
        <v>26.74331330445693</v>
      </c>
      <c r="J750" s="15"/>
      <c r="K750" s="15"/>
      <c r="L750" s="15">
        <v>13.2</v>
      </c>
    </row>
    <row r="751" spans="1:12" hidden="1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8">
        <v>26.74331330445693</v>
      </c>
      <c r="J751" s="15"/>
      <c r="K751" s="15"/>
      <c r="L751" s="15">
        <v>13.2</v>
      </c>
    </row>
    <row r="752" spans="1:12" hidden="1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8">
        <v>26.74331330445693</v>
      </c>
      <c r="J752" s="15"/>
      <c r="K752" s="15"/>
      <c r="L752" s="15">
        <v>13.2</v>
      </c>
    </row>
    <row r="753" spans="1:12" hidden="1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8">
        <v>579</v>
      </c>
      <c r="J753" s="15"/>
      <c r="K753" s="15"/>
      <c r="L753" s="15">
        <v>176.4</v>
      </c>
    </row>
    <row r="754" spans="1:12" hidden="1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8">
        <v>579</v>
      </c>
      <c r="J754" s="15"/>
      <c r="K754" s="15"/>
      <c r="L754" s="15">
        <v>176.4</v>
      </c>
    </row>
    <row r="755" spans="1:12" hidden="1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8">
        <v>579</v>
      </c>
      <c r="J755" s="15"/>
      <c r="K755" s="15"/>
      <c r="L755" s="15">
        <v>176.4</v>
      </c>
    </row>
    <row r="756" spans="1:12" hidden="1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8">
        <v>579</v>
      </c>
      <c r="J756" s="15"/>
      <c r="K756" s="15"/>
      <c r="L756" s="15">
        <v>176.4</v>
      </c>
    </row>
    <row r="757" spans="1:12" hidden="1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8">
        <v>579</v>
      </c>
      <c r="J757" s="15"/>
      <c r="K757" s="15"/>
      <c r="L757" s="15">
        <v>176.4</v>
      </c>
    </row>
    <row r="758" spans="1:12" hidden="1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8">
        <v>579</v>
      </c>
      <c r="J758" s="15"/>
      <c r="K758" s="15"/>
      <c r="L758" s="15">
        <v>176.4</v>
      </c>
    </row>
    <row r="759" spans="1:12" hidden="1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8">
        <v>579</v>
      </c>
      <c r="J759" s="15"/>
      <c r="K759" s="15"/>
      <c r="L759" s="15">
        <v>176.4</v>
      </c>
    </row>
    <row r="760" spans="1:12" hidden="1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8">
        <v>579</v>
      </c>
      <c r="J760" s="15"/>
      <c r="K760" s="15"/>
      <c r="L760" s="15">
        <v>176.4</v>
      </c>
    </row>
    <row r="761" spans="1:12" hidden="1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8">
        <v>579</v>
      </c>
      <c r="J761" s="15"/>
      <c r="K761" s="15"/>
      <c r="L761" s="15">
        <v>176.4</v>
      </c>
    </row>
    <row r="762" spans="1:12" hidden="1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8">
        <v>579</v>
      </c>
      <c r="J762" s="15"/>
      <c r="K762" s="15"/>
      <c r="L762" s="15">
        <v>176.4</v>
      </c>
    </row>
    <row r="763" spans="1:12" hidden="1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8">
        <v>579</v>
      </c>
      <c r="J763" s="15"/>
      <c r="K763" s="15"/>
      <c r="L763" s="15">
        <v>176.4</v>
      </c>
    </row>
    <row r="764" spans="1:12" hidden="1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8">
        <v>579</v>
      </c>
      <c r="J764" s="15"/>
      <c r="K764" s="15"/>
      <c r="L764" s="15">
        <v>176.4</v>
      </c>
    </row>
    <row r="765" spans="1:12" hidden="1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8">
        <v>579</v>
      </c>
      <c r="J765" s="15"/>
      <c r="K765" s="15"/>
      <c r="L765" s="15">
        <v>176.4</v>
      </c>
    </row>
    <row r="766" spans="1:12" hidden="1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8">
        <v>324</v>
      </c>
      <c r="J766" s="15"/>
      <c r="K766" s="15"/>
      <c r="L766" s="15">
        <v>113</v>
      </c>
    </row>
    <row r="767" spans="1:12" hidden="1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8">
        <v>324</v>
      </c>
      <c r="J767" s="15"/>
      <c r="K767" s="15"/>
      <c r="L767" s="15">
        <v>113</v>
      </c>
    </row>
    <row r="768" spans="1:12" hidden="1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8">
        <v>324</v>
      </c>
      <c r="J768" s="15"/>
      <c r="K768" s="15"/>
      <c r="L768" s="15">
        <v>113</v>
      </c>
    </row>
    <row r="769" spans="1:12" hidden="1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8">
        <v>324</v>
      </c>
      <c r="J769" s="15"/>
      <c r="K769" s="15"/>
      <c r="L769" s="15">
        <v>113</v>
      </c>
    </row>
    <row r="770" spans="1:12" hidden="1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8">
        <v>324</v>
      </c>
      <c r="J770" s="15"/>
      <c r="K770" s="15"/>
      <c r="L770" s="15">
        <v>113</v>
      </c>
    </row>
    <row r="771" spans="1:12" hidden="1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8">
        <v>324</v>
      </c>
      <c r="J771" s="15"/>
      <c r="K771" s="15"/>
      <c r="L771" s="15">
        <v>113</v>
      </c>
    </row>
    <row r="772" spans="1:12" hidden="1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8">
        <v>324</v>
      </c>
      <c r="J772" s="15"/>
      <c r="K772" s="15"/>
      <c r="L772" s="15">
        <v>113</v>
      </c>
    </row>
    <row r="773" spans="1:12" hidden="1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8">
        <v>324</v>
      </c>
      <c r="J773" s="15"/>
      <c r="K773" s="15"/>
      <c r="L773" s="15">
        <v>113</v>
      </c>
    </row>
    <row r="774" spans="1:12" hidden="1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8">
        <v>324</v>
      </c>
      <c r="J774" s="15"/>
      <c r="K774" s="15"/>
      <c r="L774" s="15">
        <v>113</v>
      </c>
    </row>
    <row r="775" spans="1:12" hidden="1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8">
        <v>324</v>
      </c>
      <c r="J775" s="15"/>
      <c r="K775" s="15"/>
      <c r="L775" s="15">
        <v>113</v>
      </c>
    </row>
    <row r="776" spans="1:12" hidden="1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8">
        <v>324</v>
      </c>
      <c r="J776" s="15"/>
      <c r="K776" s="15"/>
      <c r="L776" s="15">
        <v>113</v>
      </c>
    </row>
    <row r="777" spans="1:12" hidden="1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8">
        <v>153</v>
      </c>
      <c r="J777" s="15"/>
      <c r="K777" s="15"/>
      <c r="L777" s="15">
        <v>60.7</v>
      </c>
    </row>
    <row r="778" spans="1:12" hidden="1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8">
        <v>153</v>
      </c>
      <c r="J778" s="15"/>
      <c r="K778" s="15"/>
      <c r="L778" s="15">
        <v>60.7</v>
      </c>
    </row>
    <row r="779" spans="1:12" hidden="1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8">
        <v>153</v>
      </c>
      <c r="J779" s="15"/>
      <c r="K779" s="15"/>
      <c r="L779" s="15">
        <v>60.7</v>
      </c>
    </row>
    <row r="780" spans="1:12" hidden="1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8">
        <v>153</v>
      </c>
      <c r="J780" s="15"/>
      <c r="K780" s="15"/>
      <c r="L780" s="15">
        <v>60.7</v>
      </c>
    </row>
    <row r="781" spans="1:12" hidden="1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8">
        <v>153</v>
      </c>
      <c r="J781" s="15"/>
      <c r="K781" s="15"/>
      <c r="L781" s="15">
        <v>60.7</v>
      </c>
    </row>
    <row r="782" spans="1:12" hidden="1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8">
        <v>153</v>
      </c>
      <c r="J782" s="15"/>
      <c r="K782" s="15"/>
      <c r="L782" s="15">
        <v>60.7</v>
      </c>
    </row>
    <row r="783" spans="1:12" hidden="1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8">
        <v>153</v>
      </c>
      <c r="J783" s="15"/>
      <c r="K783" s="15"/>
      <c r="L783" s="15">
        <v>60.7</v>
      </c>
    </row>
    <row r="784" spans="1:12" hidden="1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8">
        <v>153</v>
      </c>
      <c r="J784" s="15"/>
      <c r="K784" s="15"/>
      <c r="L784" s="15">
        <v>60.7</v>
      </c>
    </row>
    <row r="785" spans="1:12" hidden="1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8">
        <v>153</v>
      </c>
      <c r="J785" s="15"/>
      <c r="K785" s="15"/>
      <c r="L785" s="15">
        <v>60.7</v>
      </c>
    </row>
    <row r="786" spans="1:12" hidden="1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8">
        <v>579</v>
      </c>
      <c r="J786" s="15"/>
      <c r="K786" s="15"/>
      <c r="L786" s="15">
        <v>176.4</v>
      </c>
    </row>
    <row r="787" spans="1:12" hidden="1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8">
        <v>579</v>
      </c>
      <c r="J787" s="15"/>
      <c r="K787" s="15"/>
      <c r="L787" s="15">
        <v>176.4</v>
      </c>
    </row>
    <row r="788" spans="1:12" hidden="1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8">
        <v>579</v>
      </c>
      <c r="J788" s="15"/>
      <c r="K788" s="15"/>
      <c r="L788" s="15">
        <v>176.4</v>
      </c>
    </row>
    <row r="789" spans="1:12" hidden="1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8">
        <v>579</v>
      </c>
      <c r="J789" s="15"/>
      <c r="K789" s="15"/>
      <c r="L789" s="15">
        <v>176.4</v>
      </c>
    </row>
    <row r="790" spans="1:12" hidden="1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8">
        <v>579</v>
      </c>
      <c r="J790" s="15"/>
      <c r="K790" s="15"/>
      <c r="L790" s="15">
        <v>176.4</v>
      </c>
    </row>
    <row r="791" spans="1:12" hidden="1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8">
        <v>579</v>
      </c>
      <c r="J791" s="15"/>
      <c r="K791" s="15"/>
      <c r="L791" s="15">
        <v>176.4</v>
      </c>
    </row>
    <row r="792" spans="1:12" hidden="1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8">
        <v>579</v>
      </c>
      <c r="J792" s="15"/>
      <c r="K792" s="15"/>
      <c r="L792" s="15">
        <v>176.4</v>
      </c>
    </row>
    <row r="793" spans="1:12" hidden="1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8">
        <v>579</v>
      </c>
      <c r="J793" s="15"/>
      <c r="K793" s="15"/>
      <c r="L793" s="15">
        <v>176.4</v>
      </c>
    </row>
    <row r="794" spans="1:12" hidden="1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8">
        <v>579</v>
      </c>
      <c r="J794" s="15"/>
      <c r="K794" s="15"/>
      <c r="L794" s="15">
        <v>176.4</v>
      </c>
    </row>
    <row r="795" spans="1:12" hidden="1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8">
        <v>579</v>
      </c>
      <c r="J795" s="15"/>
      <c r="K795" s="15"/>
      <c r="L795" s="15">
        <v>176.4</v>
      </c>
    </row>
    <row r="796" spans="1:12" hidden="1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8">
        <v>579</v>
      </c>
      <c r="J796" s="15"/>
      <c r="K796" s="15"/>
      <c r="L796" s="15">
        <v>176.4</v>
      </c>
    </row>
    <row r="797" spans="1:12" hidden="1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8">
        <v>579</v>
      </c>
      <c r="J797" s="15"/>
      <c r="K797" s="15"/>
      <c r="L797" s="15">
        <v>176.4</v>
      </c>
    </row>
    <row r="798" spans="1:12" hidden="1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8">
        <v>579</v>
      </c>
      <c r="J798" s="15"/>
      <c r="K798" s="15"/>
      <c r="L798" s="15">
        <v>176.4</v>
      </c>
    </row>
    <row r="799" spans="1:12" hidden="1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8">
        <v>579</v>
      </c>
      <c r="J799" s="15"/>
      <c r="K799" s="15"/>
      <c r="L799" s="15">
        <v>176.4</v>
      </c>
    </row>
    <row r="800" spans="1:12" hidden="1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8">
        <v>579</v>
      </c>
      <c r="J800" s="15"/>
      <c r="K800" s="15"/>
      <c r="L800" s="15">
        <v>176.4</v>
      </c>
    </row>
    <row r="801" spans="1:12" hidden="1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8">
        <v>579</v>
      </c>
      <c r="J801" s="15"/>
      <c r="K801" s="15"/>
      <c r="L801" s="15">
        <v>176.4</v>
      </c>
    </row>
    <row r="802" spans="1:12" hidden="1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8">
        <v>579</v>
      </c>
      <c r="J802" s="15"/>
      <c r="K802" s="15"/>
      <c r="L802" s="15">
        <v>176.4</v>
      </c>
    </row>
    <row r="803" spans="1:12" hidden="1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8">
        <v>579</v>
      </c>
      <c r="J803" s="15"/>
      <c r="K803" s="15"/>
      <c r="L803" s="15">
        <v>176.4</v>
      </c>
    </row>
    <row r="804" spans="1:12" hidden="1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8">
        <v>324</v>
      </c>
      <c r="J804" s="15"/>
      <c r="K804" s="15"/>
      <c r="L804" s="15">
        <v>113</v>
      </c>
    </row>
    <row r="805" spans="1:12" hidden="1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8">
        <v>324</v>
      </c>
      <c r="J805" s="15"/>
      <c r="K805" s="15"/>
      <c r="L805" s="15">
        <v>113</v>
      </c>
    </row>
    <row r="806" spans="1:12" hidden="1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8">
        <v>324</v>
      </c>
      <c r="J806" s="15"/>
      <c r="K806" s="15"/>
      <c r="L806" s="15">
        <v>113</v>
      </c>
    </row>
    <row r="807" spans="1:12" hidden="1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8">
        <v>324</v>
      </c>
      <c r="J807" s="15"/>
      <c r="K807" s="15"/>
      <c r="L807" s="15">
        <v>113</v>
      </c>
    </row>
    <row r="808" spans="1:12" hidden="1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8">
        <v>324</v>
      </c>
      <c r="J808" s="15"/>
      <c r="K808" s="15"/>
      <c r="L808" s="15">
        <v>113</v>
      </c>
    </row>
    <row r="809" spans="1:12" hidden="1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8">
        <v>324</v>
      </c>
      <c r="J809" s="15"/>
      <c r="K809" s="15"/>
      <c r="L809" s="15">
        <v>113</v>
      </c>
    </row>
    <row r="810" spans="1:12" hidden="1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8">
        <v>324</v>
      </c>
      <c r="J810" s="15"/>
      <c r="K810" s="15"/>
      <c r="L810" s="15">
        <v>113</v>
      </c>
    </row>
    <row r="811" spans="1:12" hidden="1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8">
        <v>324</v>
      </c>
      <c r="J811" s="15"/>
      <c r="K811" s="15"/>
      <c r="L811" s="15">
        <v>113</v>
      </c>
    </row>
    <row r="812" spans="1:12" hidden="1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8">
        <v>324</v>
      </c>
      <c r="J812" s="15"/>
      <c r="K812" s="15"/>
      <c r="L812" s="15">
        <v>113</v>
      </c>
    </row>
    <row r="813" spans="1:12" hidden="1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8">
        <v>324</v>
      </c>
      <c r="J813" s="15"/>
      <c r="K813" s="15"/>
      <c r="L813" s="15">
        <v>113</v>
      </c>
    </row>
    <row r="814" spans="1:12" hidden="1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8">
        <v>324</v>
      </c>
      <c r="J814" s="15"/>
      <c r="K814" s="15"/>
      <c r="L814" s="15">
        <v>113</v>
      </c>
    </row>
    <row r="815" spans="1:12" hidden="1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8">
        <v>324</v>
      </c>
      <c r="J815" s="15"/>
      <c r="K815" s="15"/>
      <c r="L815" s="15">
        <v>113</v>
      </c>
    </row>
    <row r="816" spans="1:12" hidden="1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8">
        <v>324</v>
      </c>
      <c r="J816" s="15"/>
      <c r="K816" s="15"/>
      <c r="L816" s="15">
        <v>113</v>
      </c>
    </row>
    <row r="817" spans="1:12" hidden="1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8">
        <v>324</v>
      </c>
      <c r="J817" s="15"/>
      <c r="K817" s="15"/>
      <c r="L817" s="15">
        <v>113</v>
      </c>
    </row>
    <row r="818" spans="1:12" hidden="1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8">
        <v>324</v>
      </c>
      <c r="J818" s="15"/>
      <c r="K818" s="15"/>
      <c r="L818" s="15">
        <v>113</v>
      </c>
    </row>
    <row r="819" spans="1:12" hidden="1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8">
        <v>324</v>
      </c>
      <c r="J819" s="15"/>
      <c r="K819" s="15"/>
      <c r="L819" s="15">
        <v>113</v>
      </c>
    </row>
    <row r="820" spans="1:12" hidden="1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8">
        <v>324</v>
      </c>
      <c r="J820" s="15"/>
      <c r="K820" s="15"/>
      <c r="L820" s="15">
        <v>113</v>
      </c>
    </row>
    <row r="821" spans="1:12" hidden="1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8">
        <v>324</v>
      </c>
      <c r="J821" s="15"/>
      <c r="K821" s="15"/>
      <c r="L821" s="15">
        <v>113</v>
      </c>
    </row>
    <row r="822" spans="1:12" hidden="1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8">
        <v>153</v>
      </c>
      <c r="J822" s="15"/>
      <c r="K822" s="15"/>
      <c r="L822" s="15">
        <v>60.7</v>
      </c>
    </row>
    <row r="823" spans="1:12" hidden="1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8">
        <v>153</v>
      </c>
      <c r="J823" s="15"/>
      <c r="K823" s="15"/>
      <c r="L823" s="15">
        <v>60.7</v>
      </c>
    </row>
    <row r="824" spans="1:12" hidden="1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8">
        <v>153</v>
      </c>
      <c r="J824" s="15"/>
      <c r="K824" s="15"/>
      <c r="L824" s="15">
        <v>60.7</v>
      </c>
    </row>
    <row r="825" spans="1:12" hidden="1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8">
        <v>153</v>
      </c>
      <c r="J825" s="15"/>
      <c r="K825" s="15"/>
      <c r="L825" s="15">
        <v>60.7</v>
      </c>
    </row>
    <row r="826" spans="1:12" hidden="1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8">
        <v>153</v>
      </c>
      <c r="J826" s="15"/>
      <c r="K826" s="15"/>
      <c r="L826" s="15">
        <v>60.7</v>
      </c>
    </row>
    <row r="827" spans="1:12" hidden="1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8">
        <v>153</v>
      </c>
      <c r="J827" s="15"/>
      <c r="K827" s="15"/>
      <c r="L827" s="15">
        <v>60.7</v>
      </c>
    </row>
    <row r="828" spans="1:12" hidden="1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8">
        <v>153</v>
      </c>
      <c r="J828" s="15"/>
      <c r="K828" s="15"/>
      <c r="L828" s="15">
        <v>60.7</v>
      </c>
    </row>
    <row r="829" spans="1:12" hidden="1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8">
        <v>153</v>
      </c>
      <c r="J829" s="15"/>
      <c r="K829" s="15"/>
      <c r="L829" s="15">
        <v>60.7</v>
      </c>
    </row>
    <row r="830" spans="1:12" hidden="1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8">
        <v>153</v>
      </c>
      <c r="J830" s="15"/>
      <c r="K830" s="15"/>
      <c r="L830" s="15">
        <v>60.7</v>
      </c>
    </row>
    <row r="831" spans="1:12" hidden="1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8">
        <v>153</v>
      </c>
      <c r="J831" s="15"/>
      <c r="K831" s="15"/>
      <c r="L831" s="15">
        <v>60.7</v>
      </c>
    </row>
    <row r="832" spans="1:12" hidden="1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8">
        <v>153</v>
      </c>
      <c r="J832" s="15"/>
      <c r="K832" s="15"/>
      <c r="L832" s="15">
        <v>60.7</v>
      </c>
    </row>
    <row r="833" spans="1:15" hidden="1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8">
        <v>153</v>
      </c>
      <c r="J833" s="15"/>
      <c r="K833" s="15"/>
      <c r="L833" s="15">
        <v>60.7</v>
      </c>
    </row>
    <row r="834" spans="1:15" hidden="1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8">
        <v>153</v>
      </c>
      <c r="J834" s="15"/>
      <c r="K834" s="15"/>
      <c r="L834" s="15">
        <v>60.7</v>
      </c>
    </row>
    <row r="835" spans="1:15" hidden="1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8">
        <v>153</v>
      </c>
      <c r="J835" s="15"/>
      <c r="K835" s="15"/>
      <c r="L835" s="15">
        <v>60.7</v>
      </c>
    </row>
    <row r="836" spans="1:15" hidden="1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8">
        <v>153</v>
      </c>
      <c r="J836" s="15"/>
      <c r="K836" s="15"/>
      <c r="L836" s="15">
        <v>60.7</v>
      </c>
    </row>
    <row r="837" spans="1:15" hidden="1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8">
        <v>153</v>
      </c>
      <c r="J837" s="15"/>
      <c r="K837" s="15"/>
      <c r="L837" s="15">
        <v>60.7</v>
      </c>
    </row>
    <row r="838" spans="1:15" hidden="1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8">
        <v>15.400413287855466</v>
      </c>
      <c r="J838" s="15"/>
      <c r="K838" s="15"/>
      <c r="L838" s="15">
        <v>13.2</v>
      </c>
      <c r="O838">
        <v>400</v>
      </c>
    </row>
    <row r="839" spans="1:15" hidden="1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8">
        <v>28.15630485769011</v>
      </c>
      <c r="J839" s="15"/>
      <c r="K839" s="15"/>
      <c r="L839" s="15">
        <v>20.9</v>
      </c>
      <c r="O839">
        <v>400</v>
      </c>
    </row>
    <row r="840" spans="1:15" hidden="1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8">
        <v>45.932009432796761</v>
      </c>
      <c r="J840" s="15"/>
      <c r="K840" s="15"/>
      <c r="L840" s="15">
        <v>30.3</v>
      </c>
      <c r="O840">
        <v>400</v>
      </c>
    </row>
    <row r="841" spans="1:15" hidden="1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8">
        <v>69.485534896035929</v>
      </c>
      <c r="J841" s="15"/>
      <c r="K841" s="15"/>
      <c r="L841" s="15">
        <v>41.4</v>
      </c>
      <c r="O841">
        <v>400</v>
      </c>
    </row>
    <row r="842" spans="1:15" hidden="1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8">
        <v>105.25031725389707</v>
      </c>
      <c r="J842" s="15"/>
      <c r="K842" s="15"/>
      <c r="L842" s="15">
        <v>56.5</v>
      </c>
      <c r="O842">
        <v>400</v>
      </c>
    </row>
    <row r="843" spans="1:15" hidden="1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8">
        <v>135.43681936545528</v>
      </c>
      <c r="J843" s="15"/>
      <c r="K843" s="15"/>
      <c r="L843" s="15">
        <v>69.099999999999994</v>
      </c>
      <c r="O843">
        <v>400</v>
      </c>
    </row>
    <row r="844" spans="1:15" hidden="1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8">
        <v>187.7972970145895</v>
      </c>
      <c r="J844" s="15"/>
      <c r="K844" s="15"/>
      <c r="L844" s="15">
        <v>88.2</v>
      </c>
      <c r="O844">
        <v>400</v>
      </c>
    </row>
    <row r="845" spans="1:15" hidden="1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8">
        <v>251.05729333297666</v>
      </c>
      <c r="J845" s="15"/>
      <c r="K845" s="15"/>
      <c r="L845" s="15">
        <v>109.1</v>
      </c>
      <c r="O845">
        <v>400</v>
      </c>
    </row>
    <row r="846" spans="1:15" hidden="1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8">
        <v>301.84422796001695</v>
      </c>
      <c r="J846" s="15"/>
      <c r="K846" s="15"/>
      <c r="L846" s="15">
        <v>127.1</v>
      </c>
      <c r="O846">
        <v>400</v>
      </c>
    </row>
    <row r="847" spans="1:15" hidden="1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8">
        <v>431.79286912937238</v>
      </c>
      <c r="J847" s="15"/>
      <c r="K847" s="15"/>
      <c r="L847" s="15">
        <v>165.2</v>
      </c>
      <c r="O847">
        <v>400</v>
      </c>
    </row>
    <row r="848" spans="1:15" hidden="1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8">
        <v>556.47626489443803</v>
      </c>
      <c r="J848" s="15"/>
      <c r="K848" s="15"/>
      <c r="L848" s="15">
        <v>202</v>
      </c>
      <c r="O848">
        <v>400</v>
      </c>
    </row>
    <row r="849" spans="1:15" hidden="1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8">
        <v>30.800826575710932</v>
      </c>
      <c r="J849" s="15"/>
      <c r="K849" s="15"/>
      <c r="L849" s="15">
        <v>26.4</v>
      </c>
      <c r="O849">
        <v>800</v>
      </c>
    </row>
    <row r="850" spans="1:15" hidden="1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8">
        <v>56.312609715380219</v>
      </c>
      <c r="J850" s="15"/>
      <c r="K850" s="15"/>
      <c r="L850" s="15">
        <v>41.8</v>
      </c>
      <c r="O850">
        <v>800</v>
      </c>
    </row>
    <row r="851" spans="1:15" hidden="1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8">
        <v>91.864018865593522</v>
      </c>
      <c r="J851" s="15"/>
      <c r="K851" s="15"/>
      <c r="L851" s="15">
        <v>60.7</v>
      </c>
      <c r="O851">
        <v>800</v>
      </c>
    </row>
    <row r="852" spans="1:15" hidden="1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8">
        <v>138.97106979207186</v>
      </c>
      <c r="J852" s="15"/>
      <c r="K852" s="15"/>
      <c r="L852" s="15">
        <v>82.8</v>
      </c>
      <c r="O852">
        <v>800</v>
      </c>
    </row>
    <row r="853" spans="1:15" hidden="1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8">
        <v>210.50063450779413</v>
      </c>
      <c r="J853" s="15"/>
      <c r="K853" s="15"/>
      <c r="L853" s="15">
        <v>113</v>
      </c>
      <c r="O853">
        <v>800</v>
      </c>
    </row>
    <row r="854" spans="1:15" hidden="1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8">
        <v>270.87363873091056</v>
      </c>
      <c r="J854" s="15"/>
      <c r="K854" s="15"/>
      <c r="L854" s="15">
        <v>138.19999999999999</v>
      </c>
      <c r="O854">
        <v>800</v>
      </c>
    </row>
    <row r="855" spans="1:15" hidden="1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8">
        <v>375.59459402917901</v>
      </c>
      <c r="J855" s="15"/>
      <c r="K855" s="15"/>
      <c r="L855" s="15">
        <v>176.4</v>
      </c>
      <c r="O855">
        <v>800</v>
      </c>
    </row>
    <row r="856" spans="1:15" hidden="1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8">
        <v>502.11458666595331</v>
      </c>
      <c r="J856" s="15"/>
      <c r="K856" s="15"/>
      <c r="L856" s="15">
        <v>218.2</v>
      </c>
      <c r="O856">
        <v>800</v>
      </c>
    </row>
    <row r="857" spans="1:15" hidden="1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8">
        <v>603.6884559200339</v>
      </c>
      <c r="J857" s="15"/>
      <c r="K857" s="15"/>
      <c r="L857" s="15">
        <v>254.2</v>
      </c>
      <c r="O857">
        <v>800</v>
      </c>
    </row>
    <row r="858" spans="1:15" hidden="1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8">
        <v>863.58573825874475</v>
      </c>
      <c r="J858" s="15"/>
      <c r="K858" s="15"/>
      <c r="L858" s="15">
        <v>330.5</v>
      </c>
      <c r="O858">
        <v>800</v>
      </c>
    </row>
    <row r="859" spans="1:15" hidden="1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8">
        <v>1112.9525297888761</v>
      </c>
      <c r="J859" s="15"/>
      <c r="K859" s="15"/>
      <c r="L859" s="15">
        <v>403.9</v>
      </c>
      <c r="O859">
        <v>800</v>
      </c>
    </row>
    <row r="860" spans="1:15" hidden="1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6.5</v>
      </c>
      <c r="J860" s="51">
        <v>7.5</v>
      </c>
      <c r="K860" s="51"/>
      <c r="L860" s="51">
        <v>6.9</v>
      </c>
    </row>
    <row r="861" spans="1:15" hidden="1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6.5</v>
      </c>
      <c r="J861" s="51">
        <v>7.5</v>
      </c>
      <c r="K861" s="51"/>
      <c r="L861" s="51">
        <v>6.9</v>
      </c>
    </row>
    <row r="862" spans="1:15" hidden="1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6.5</v>
      </c>
      <c r="J862" s="51">
        <v>7.5</v>
      </c>
      <c r="K862" s="51"/>
      <c r="L862" s="51">
        <v>6.9</v>
      </c>
    </row>
    <row r="863" spans="1:15" hidden="1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6.5</v>
      </c>
      <c r="J863" s="51">
        <v>7.5</v>
      </c>
      <c r="K863" s="51"/>
      <c r="L863" s="51">
        <v>6.9</v>
      </c>
    </row>
    <row r="864" spans="1:15" hidden="1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6.5</v>
      </c>
      <c r="J864" s="51">
        <v>7.5</v>
      </c>
      <c r="K864" s="51"/>
      <c r="L864" s="51">
        <v>6.9</v>
      </c>
    </row>
    <row r="865" spans="1:13" hidden="1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19</v>
      </c>
      <c r="J865" s="51">
        <v>7.5</v>
      </c>
      <c r="K865" s="51"/>
      <c r="L865" s="51">
        <v>11.4</v>
      </c>
    </row>
    <row r="866" spans="1:13" hidden="1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19</v>
      </c>
      <c r="J866" s="51">
        <v>7.5</v>
      </c>
      <c r="K866" s="51"/>
      <c r="L866" s="51">
        <v>11.4</v>
      </c>
    </row>
    <row r="867" spans="1:13" hidden="1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19</v>
      </c>
      <c r="J867" s="51">
        <v>7.5</v>
      </c>
      <c r="K867" s="51"/>
      <c r="L867" s="51">
        <v>11.4</v>
      </c>
    </row>
    <row r="868" spans="1:13" hidden="1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6.5</v>
      </c>
      <c r="J868" s="51">
        <v>7.5</v>
      </c>
      <c r="K868" s="51"/>
      <c r="L868" s="51">
        <v>6.9</v>
      </c>
    </row>
    <row r="869" spans="1:13" hidden="1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hidden="1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hidden="1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hidden="1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hidden="1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hidden="1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hidden="1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hidden="1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hidden="1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hidden="1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hidden="1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hidden="1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hidden="1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hidden="1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hidden="1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hidden="1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hidden="1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hidden="1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hidden="1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hidden="1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hidden="1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hidden="1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hidden="1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hidden="1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hidden="1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hidden="1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hidden="1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hidden="1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hidden="1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hidden="1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hidden="1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hidden="1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hidden="1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hidden="1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hidden="1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hidden="1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hidden="1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hidden="1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hidden="1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hidden="1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hidden="1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hidden="1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hidden="1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hidden="1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hidden="1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hidden="1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hidden="1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hidden="1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hidden="1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hidden="1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hidden="1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hidden="1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hidden="1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hidden="1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hidden="1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hidden="1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hidden="1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hidden="1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hidden="1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hidden="1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hidden="1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hidden="1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hidden="1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hidden="1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hidden="1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hidden="1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hidden="1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hidden="1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hidden="1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hidden="1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hidden="1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hidden="1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hidden="1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hidden="1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hidden="1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hidden="1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hidden="1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hidden="1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hidden="1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hidden="1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hidden="1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hidden="1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hidden="1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hidden="1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hidden="1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hidden="1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hidden="1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hidden="1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hidden="1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hidden="1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hidden="1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hidden="1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hidden="1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hidden="1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hidden="1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hidden="1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hidden="1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hidden="1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hidden="1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hidden="1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hidden="1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hidden="1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hidden="1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hidden="1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hidden="1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hidden="1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hidden="1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hidden="1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hidden="1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hidden="1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hidden="1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hidden="1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hidden="1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hidden="1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hidden="1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hidden="1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hidden="1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hidden="1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hidden="1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hidden="1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hidden="1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hidden="1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hidden="1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hidden="1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hidden="1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hidden="1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hidden="1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hidden="1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hidden="1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hidden="1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hidden="1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hidden="1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hidden="1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hidden="1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hidden="1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hidden="1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hidden="1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hidden="1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hidden="1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hidden="1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hidden="1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hidden="1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hidden="1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hidden="1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hidden="1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hidden="1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hidden="1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hidden="1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hidden="1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hidden="1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hidden="1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hidden="1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hidden="1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hidden="1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hidden="1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hidden="1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hidden="1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hidden="1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hidden="1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hidden="1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hidden="1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hidden="1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hidden="1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hidden="1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hidden="1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hidden="1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hidden="1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hidden="1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hidden="1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hidden="1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hidden="1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hidden="1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hidden="1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hidden="1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hidden="1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hidden="1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hidden="1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hidden="1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hidden="1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hidden="1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hidden="1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hidden="1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hidden="1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hidden="1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hidden="1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hidden="1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hidden="1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hidden="1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hidden="1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hidden="1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hidden="1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hidden="1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hidden="1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hidden="1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hidden="1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hidden="1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hidden="1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hidden="1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hidden="1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hidden="1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hidden="1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hidden="1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hidden="1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hidden="1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hidden="1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hidden="1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hidden="1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hidden="1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hidden="1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hidden="1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hidden="1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hidden="1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hidden="1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hidden="1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hidden="1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hidden="1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hidden="1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hidden="1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hidden="1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hidden="1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hidden="1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hidden="1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hidden="1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hidden="1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hidden="1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hidden="1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hidden="1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hidden="1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hidden="1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hidden="1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hidden="1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hidden="1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hidden="1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hidden="1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hidden="1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hidden="1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hidden="1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hidden="1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hidden="1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hidden="1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hidden="1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hidden="1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hidden="1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hidden="1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hidden="1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hidden="1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hidden="1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hidden="1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hidden="1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hidden="1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hidden="1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hidden="1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hidden="1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hidden="1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hidden="1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hidden="1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hidden="1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hidden="1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hidden="1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hidden="1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hidden="1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hidden="1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hidden="1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hidden="1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hidden="1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hidden="1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hidden="1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hidden="1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hidden="1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hidden="1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hidden="1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hidden="1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hidden="1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hidden="1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hidden="1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hidden="1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hidden="1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hidden="1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hidden="1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hidden="1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hidden="1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hidden="1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hidden="1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hidden="1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hidden="1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hidden="1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hidden="1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hidden="1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hidden="1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hidden="1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hidden="1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hidden="1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hidden="1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hidden="1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hidden="1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hidden="1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hidden="1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hidden="1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hidden="1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hidden="1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hidden="1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hidden="1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hidden="1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hidden="1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hidden="1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hidden="1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hidden="1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hidden="1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hidden="1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hidden="1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hidden="1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hidden="1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hidden="1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hidden="1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hidden="1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hidden="1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hidden="1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hidden="1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hidden="1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hidden="1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hidden="1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hidden="1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hidden="1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hidden="1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hidden="1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hidden="1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hidden="1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hidden="1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hidden="1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hidden="1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hidden="1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hidden="1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hidden="1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hidden="1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hidden="1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hidden="1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hidden="1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hidden="1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hidden="1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hidden="1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hidden="1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hidden="1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hidden="1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hidden="1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hidden="1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hidden="1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hidden="1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hidden="1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hidden="1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hidden="1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hidden="1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hidden="1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hidden="1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hidden="1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hidden="1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hidden="1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hidden="1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hidden="1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hidden="1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hidden="1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hidden="1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hidden="1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hidden="1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hidden="1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hidden="1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hidden="1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hidden="1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hidden="1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hidden="1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hidden="1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hidden="1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hidden="1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hidden="1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hidden="1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hidden="1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hidden="1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hidden="1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hidden="1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hidden="1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hidden="1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hidden="1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hidden="1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hidden="1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hidden="1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hidden="1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hidden="1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hidden="1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hidden="1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hidden="1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hidden="1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hidden="1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hidden="1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hidden="1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hidden="1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hidden="1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hidden="1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hidden="1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hidden="1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hidden="1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hidden="1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hidden="1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hidden="1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hidden="1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hidden="1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hidden="1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hidden="1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hidden="1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hidden="1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hidden="1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hidden="1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hidden="1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hidden="1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hidden="1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hidden="1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hidden="1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hidden="1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hidden="1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hidden="1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hidden="1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hidden="1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hidden="1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hidden="1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hidden="1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hidden="1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hidden="1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hidden="1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hidden="1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hidden="1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hidden="1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hidden="1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hidden="1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hidden="1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hidden="1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hidden="1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hidden="1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hidden="1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hidden="1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hidden="1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hidden="1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hidden="1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hidden="1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hidden="1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hidden="1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hidden="1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hidden="1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hidden="1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hidden="1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hidden="1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hidden="1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hidden="1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hidden="1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hidden="1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hidden="1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hidden="1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hidden="1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hidden="1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hidden="1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hidden="1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hidden="1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hidden="1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hidden="1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hidden="1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hidden="1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hidden="1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hidden="1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hidden="1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hidden="1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hidden="1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hidden="1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hidden="1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hidden="1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hidden="1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hidden="1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hidden="1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hidden="1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hidden="1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hidden="1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hidden="1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hidden="1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hidden="1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hidden="1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hidden="1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hidden="1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hidden="1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hidden="1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hidden="1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hidden="1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hidden="1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hidden="1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hidden="1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hidden="1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hidden="1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hidden="1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hidden="1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hidden="1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hidden="1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hidden="1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hidden="1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hidden="1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hidden="1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hidden="1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hidden="1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hidden="1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hidden="1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hidden="1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hidden="1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hidden="1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hidden="1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hidden="1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hidden="1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hidden="1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hidden="1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hidden="1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hidden="1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hidden="1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hidden="1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hidden="1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hidden="1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hidden="1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hidden="1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hidden="1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hidden="1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hidden="1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hidden="1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hidden="1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hidden="1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hidden="1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hidden="1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hidden="1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hidden="1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hidden="1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hidden="1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hidden="1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hidden="1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hidden="1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hidden="1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hidden="1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hidden="1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hidden="1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hidden="1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hidden="1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hidden="1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hidden="1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hidden="1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hidden="1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hidden="1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hidden="1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hidden="1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hidden="1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hidden="1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hidden="1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hidden="1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hidden="1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hidden="1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hidden="1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hidden="1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hidden="1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hidden="1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hidden="1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hidden="1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hidden="1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hidden="1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hidden="1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hidden="1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hidden="1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hidden="1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hidden="1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hidden="1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hidden="1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hidden="1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hidden="1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hidden="1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hidden="1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hidden="1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hidden="1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hidden="1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hidden="1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hidden="1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hidden="1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hidden="1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hidden="1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hidden="1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hidden="1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hidden="1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hidden="1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hidden="1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hidden="1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hidden="1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hidden="1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hidden="1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hidden="1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hidden="1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hidden="1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hidden="1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hidden="1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hidden="1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hidden="1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hidden="1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hidden="1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hidden="1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hidden="1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hidden="1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hidden="1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hidden="1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hidden="1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hidden="1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hidden="1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hidden="1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hidden="1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hidden="1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hidden="1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hidden="1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hidden="1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hidden="1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hidden="1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hidden="1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hidden="1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hidden="1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hidden="1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hidden="1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hidden="1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hidden="1" x14ac:dyDescent="0.25">
      <c r="A1522" s="60" t="s">
        <v>213</v>
      </c>
      <c r="B1522" s="60" t="s">
        <v>377</v>
      </c>
      <c r="C1522" s="60" t="s">
        <v>379</v>
      </c>
      <c r="D1522" s="60" t="s">
        <v>378</v>
      </c>
      <c r="E1522" s="60">
        <v>3</v>
      </c>
      <c r="F1522" s="60">
        <v>6</v>
      </c>
      <c r="G1522" s="60">
        <v>30</v>
      </c>
      <c r="H1522" s="60">
        <v>10</v>
      </c>
      <c r="I1522" s="60"/>
      <c r="J1522" s="60"/>
      <c r="K1522" s="60"/>
      <c r="L1522" s="60"/>
      <c r="M1522" s="60">
        <v>18</v>
      </c>
      <c r="N1522" s="60"/>
    </row>
    <row r="1523" spans="1:14" hidden="1" x14ac:dyDescent="0.25">
      <c r="A1523" s="60" t="s">
        <v>213</v>
      </c>
      <c r="B1523" s="60" t="s">
        <v>377</v>
      </c>
      <c r="C1523" s="60" t="s">
        <v>379</v>
      </c>
      <c r="D1523" s="60" t="s">
        <v>378</v>
      </c>
      <c r="E1523" s="60">
        <v>3</v>
      </c>
      <c r="F1523" s="60">
        <v>6</v>
      </c>
      <c r="G1523" s="60">
        <v>35</v>
      </c>
      <c r="H1523" s="60">
        <v>10</v>
      </c>
      <c r="I1523" s="60"/>
      <c r="J1523" s="60"/>
      <c r="K1523" s="60"/>
      <c r="L1523" s="60"/>
      <c r="M1523" s="60">
        <v>18</v>
      </c>
      <c r="N1523" s="60"/>
    </row>
    <row r="1524" spans="1:14" hidden="1" x14ac:dyDescent="0.25">
      <c r="A1524" s="60" t="s">
        <v>213</v>
      </c>
      <c r="B1524" s="60" t="s">
        <v>377</v>
      </c>
      <c r="C1524" s="60" t="s">
        <v>379</v>
      </c>
      <c r="D1524" s="60" t="s">
        <v>378</v>
      </c>
      <c r="E1524" s="60">
        <v>3</v>
      </c>
      <c r="F1524" s="60">
        <v>6</v>
      </c>
      <c r="G1524" s="60">
        <v>40</v>
      </c>
      <c r="H1524" s="60">
        <v>10</v>
      </c>
      <c r="I1524" s="60"/>
      <c r="J1524" s="60"/>
      <c r="K1524" s="60"/>
      <c r="L1524" s="60"/>
      <c r="M1524" s="60">
        <v>18</v>
      </c>
      <c r="N1524" s="60"/>
    </row>
    <row r="1525" spans="1:14" hidden="1" x14ac:dyDescent="0.25">
      <c r="A1525" s="60" t="s">
        <v>213</v>
      </c>
      <c r="B1525" s="60" t="s">
        <v>377</v>
      </c>
      <c r="C1525" s="60" t="s">
        <v>379</v>
      </c>
      <c r="D1525" s="60" t="s">
        <v>378</v>
      </c>
      <c r="E1525" s="60">
        <v>3</v>
      </c>
      <c r="F1525" s="60">
        <v>6</v>
      </c>
      <c r="G1525" s="60">
        <v>45</v>
      </c>
      <c r="H1525" s="60">
        <v>10</v>
      </c>
      <c r="I1525" s="60"/>
      <c r="J1525" s="60"/>
      <c r="K1525" s="60"/>
      <c r="L1525" s="60"/>
      <c r="M1525" s="60">
        <v>18</v>
      </c>
      <c r="N1525" s="60"/>
    </row>
    <row r="1526" spans="1:14" hidden="1" x14ac:dyDescent="0.25">
      <c r="A1526" s="60" t="s">
        <v>213</v>
      </c>
      <c r="B1526" s="60" t="s">
        <v>377</v>
      </c>
      <c r="C1526" s="60" t="s">
        <v>379</v>
      </c>
      <c r="D1526" s="60" t="s">
        <v>378</v>
      </c>
      <c r="E1526" s="60">
        <v>3</v>
      </c>
      <c r="F1526" s="60">
        <v>6</v>
      </c>
      <c r="G1526" s="60">
        <v>50</v>
      </c>
      <c r="H1526" s="60">
        <v>10</v>
      </c>
      <c r="I1526" s="60"/>
      <c r="J1526" s="60"/>
      <c r="K1526" s="60"/>
      <c r="L1526" s="60"/>
      <c r="M1526" s="60">
        <v>18</v>
      </c>
      <c r="N1526" s="60"/>
    </row>
    <row r="1527" spans="1:14" hidden="1" x14ac:dyDescent="0.25">
      <c r="A1527" s="60" t="s">
        <v>213</v>
      </c>
      <c r="B1527" s="60" t="s">
        <v>377</v>
      </c>
      <c r="C1527" s="60" t="s">
        <v>379</v>
      </c>
      <c r="D1527" s="60" t="s">
        <v>378</v>
      </c>
      <c r="E1527" s="60">
        <v>3</v>
      </c>
      <c r="F1527" s="60">
        <v>6</v>
      </c>
      <c r="G1527" s="60">
        <v>55</v>
      </c>
      <c r="H1527" s="60">
        <v>10</v>
      </c>
      <c r="I1527" s="60"/>
      <c r="J1527" s="60"/>
      <c r="K1527" s="60"/>
      <c r="L1527" s="60"/>
      <c r="M1527" s="60">
        <v>18</v>
      </c>
      <c r="N1527" s="60"/>
    </row>
    <row r="1528" spans="1:14" hidden="1" x14ac:dyDescent="0.25">
      <c r="A1528" s="60" t="s">
        <v>213</v>
      </c>
      <c r="B1528" s="60" t="s">
        <v>377</v>
      </c>
      <c r="C1528" s="60" t="s">
        <v>379</v>
      </c>
      <c r="D1528" s="60" t="s">
        <v>378</v>
      </c>
      <c r="E1528" s="60">
        <v>3</v>
      </c>
      <c r="F1528" s="60">
        <v>6</v>
      </c>
      <c r="G1528" s="60">
        <v>60</v>
      </c>
      <c r="H1528" s="60">
        <v>10</v>
      </c>
      <c r="I1528" s="60"/>
      <c r="J1528" s="60"/>
      <c r="K1528" s="60"/>
      <c r="L1528" s="60"/>
      <c r="M1528" s="60">
        <v>18</v>
      </c>
      <c r="N1528" s="60"/>
    </row>
    <row r="1529" spans="1:14" hidden="1" x14ac:dyDescent="0.25">
      <c r="A1529" s="60" t="s">
        <v>213</v>
      </c>
      <c r="B1529" s="60" t="s">
        <v>377</v>
      </c>
      <c r="C1529" s="60" t="s">
        <v>379</v>
      </c>
      <c r="D1529" s="60" t="s">
        <v>378</v>
      </c>
      <c r="E1529" s="60">
        <v>3</v>
      </c>
      <c r="F1529" s="60">
        <v>6</v>
      </c>
      <c r="G1529" s="60">
        <v>65</v>
      </c>
      <c r="H1529" s="60">
        <v>10</v>
      </c>
      <c r="I1529" s="60"/>
      <c r="J1529" s="60"/>
      <c r="K1529" s="60"/>
      <c r="L1529" s="60"/>
      <c r="M1529" s="60">
        <v>18</v>
      </c>
      <c r="N1529" s="60"/>
    </row>
    <row r="1530" spans="1:14" hidden="1" x14ac:dyDescent="0.25">
      <c r="A1530" s="60" t="s">
        <v>213</v>
      </c>
      <c r="B1530" s="60" t="s">
        <v>377</v>
      </c>
      <c r="C1530" s="60" t="s">
        <v>379</v>
      </c>
      <c r="D1530" s="60" t="s">
        <v>378</v>
      </c>
      <c r="E1530" s="60">
        <v>3</v>
      </c>
      <c r="F1530" s="60">
        <v>6</v>
      </c>
      <c r="G1530" s="60">
        <v>70</v>
      </c>
      <c r="H1530" s="60">
        <v>10</v>
      </c>
      <c r="I1530" s="60"/>
      <c r="J1530" s="60"/>
      <c r="K1530" s="60"/>
      <c r="L1530" s="60"/>
      <c r="M1530" s="60">
        <v>18</v>
      </c>
      <c r="N1530" s="60"/>
    </row>
    <row r="1531" spans="1:14" hidden="1" x14ac:dyDescent="0.25">
      <c r="A1531" s="60" t="s">
        <v>213</v>
      </c>
      <c r="B1531" s="60" t="s">
        <v>377</v>
      </c>
      <c r="C1531" s="60" t="s">
        <v>379</v>
      </c>
      <c r="D1531" s="60" t="s">
        <v>378</v>
      </c>
      <c r="E1531" s="60">
        <v>3</v>
      </c>
      <c r="F1531" s="60">
        <v>6</v>
      </c>
      <c r="G1531" s="60">
        <v>75</v>
      </c>
      <c r="H1531" s="60">
        <v>10</v>
      </c>
      <c r="I1531" s="60"/>
      <c r="J1531" s="60"/>
      <c r="K1531" s="60"/>
      <c r="L1531" s="60"/>
      <c r="M1531" s="60">
        <v>18</v>
      </c>
      <c r="N1531" s="60"/>
    </row>
    <row r="1532" spans="1:14" hidden="1" x14ac:dyDescent="0.25">
      <c r="A1532" s="60" t="s">
        <v>213</v>
      </c>
      <c r="B1532" s="60" t="s">
        <v>377</v>
      </c>
      <c r="C1532" s="60" t="s">
        <v>379</v>
      </c>
      <c r="D1532" s="60" t="s">
        <v>378</v>
      </c>
      <c r="E1532" s="60">
        <v>3</v>
      </c>
      <c r="F1532" s="60">
        <v>6</v>
      </c>
      <c r="G1532" s="60">
        <v>80</v>
      </c>
      <c r="H1532" s="60">
        <v>10</v>
      </c>
      <c r="I1532" s="60"/>
      <c r="J1532" s="60"/>
      <c r="K1532" s="60"/>
      <c r="L1532" s="60"/>
      <c r="M1532" s="60">
        <v>18</v>
      </c>
      <c r="N1532" s="60"/>
    </row>
    <row r="1533" spans="1:14" hidden="1" x14ac:dyDescent="0.25">
      <c r="A1533" s="60" t="s">
        <v>213</v>
      </c>
      <c r="B1533" s="60" t="s">
        <v>377</v>
      </c>
      <c r="C1533" s="60" t="s">
        <v>379</v>
      </c>
      <c r="D1533" s="60" t="s">
        <v>378</v>
      </c>
      <c r="E1533" s="60">
        <v>3</v>
      </c>
      <c r="F1533" s="60">
        <v>6</v>
      </c>
      <c r="G1533" s="60">
        <v>85</v>
      </c>
      <c r="H1533" s="60">
        <v>10</v>
      </c>
      <c r="I1533" s="60"/>
      <c r="J1533" s="60"/>
      <c r="K1533" s="60"/>
      <c r="L1533" s="60"/>
      <c r="M1533" s="60">
        <v>18</v>
      </c>
      <c r="N1533" s="60"/>
    </row>
    <row r="1534" spans="1:14" hidden="1" x14ac:dyDescent="0.25">
      <c r="A1534" s="60" t="s">
        <v>213</v>
      </c>
      <c r="B1534" s="60" t="s">
        <v>377</v>
      </c>
      <c r="C1534" s="60" t="s">
        <v>379</v>
      </c>
      <c r="D1534" s="60" t="s">
        <v>378</v>
      </c>
      <c r="E1534" s="60">
        <v>3</v>
      </c>
      <c r="F1534" s="60">
        <v>6</v>
      </c>
      <c r="G1534" s="60">
        <v>90</v>
      </c>
      <c r="H1534" s="60">
        <v>10</v>
      </c>
      <c r="I1534" s="60"/>
      <c r="J1534" s="60"/>
      <c r="K1534" s="60"/>
      <c r="L1534" s="60"/>
      <c r="M1534" s="60">
        <v>18</v>
      </c>
      <c r="N1534" s="60"/>
    </row>
    <row r="1535" spans="1:14" hidden="1" x14ac:dyDescent="0.25">
      <c r="A1535" s="60" t="s">
        <v>213</v>
      </c>
      <c r="B1535" s="60" t="s">
        <v>377</v>
      </c>
      <c r="C1535" s="60" t="s">
        <v>379</v>
      </c>
      <c r="D1535" s="60" t="s">
        <v>378</v>
      </c>
      <c r="E1535" s="60">
        <v>3</v>
      </c>
      <c r="F1535" s="60">
        <v>6</v>
      </c>
      <c r="G1535" s="60">
        <v>95</v>
      </c>
      <c r="H1535" s="60">
        <v>10</v>
      </c>
      <c r="I1535" s="60"/>
      <c r="J1535" s="60"/>
      <c r="K1535" s="60"/>
      <c r="L1535" s="60"/>
      <c r="M1535" s="60">
        <v>18</v>
      </c>
      <c r="N1535" s="60"/>
    </row>
    <row r="1536" spans="1:14" hidden="1" x14ac:dyDescent="0.25">
      <c r="A1536" s="60" t="s">
        <v>213</v>
      </c>
      <c r="B1536" s="60" t="s">
        <v>377</v>
      </c>
      <c r="C1536" s="60" t="s">
        <v>379</v>
      </c>
      <c r="D1536" s="60" t="s">
        <v>378</v>
      </c>
      <c r="E1536" s="60">
        <v>3</v>
      </c>
      <c r="F1536" s="60">
        <v>6</v>
      </c>
      <c r="G1536" s="60">
        <v>100</v>
      </c>
      <c r="H1536" s="60">
        <v>10</v>
      </c>
      <c r="I1536" s="60"/>
      <c r="J1536" s="60"/>
      <c r="K1536" s="60"/>
      <c r="L1536" s="60"/>
      <c r="M1536" s="60">
        <v>18</v>
      </c>
      <c r="N1536" s="60"/>
    </row>
    <row r="1537" spans="1:14" hidden="1" x14ac:dyDescent="0.25">
      <c r="A1537" s="60" t="s">
        <v>213</v>
      </c>
      <c r="B1537" s="60" t="s">
        <v>377</v>
      </c>
      <c r="C1537" s="60" t="s">
        <v>379</v>
      </c>
      <c r="D1537" s="60" t="s">
        <v>378</v>
      </c>
      <c r="E1537" s="60">
        <v>3</v>
      </c>
      <c r="F1537" s="60">
        <v>6</v>
      </c>
      <c r="G1537" s="60">
        <v>105</v>
      </c>
      <c r="H1537" s="60">
        <v>10</v>
      </c>
      <c r="I1537" s="60"/>
      <c r="J1537" s="60"/>
      <c r="K1537" s="60"/>
      <c r="L1537" s="60"/>
      <c r="M1537" s="60">
        <v>18</v>
      </c>
      <c r="N1537" s="60"/>
    </row>
    <row r="1538" spans="1:14" hidden="1" x14ac:dyDescent="0.25">
      <c r="A1538" s="60" t="s">
        <v>213</v>
      </c>
      <c r="B1538" s="60" t="s">
        <v>377</v>
      </c>
      <c r="C1538" s="60" t="s">
        <v>379</v>
      </c>
      <c r="D1538" s="60" t="s">
        <v>378</v>
      </c>
      <c r="E1538" s="60">
        <v>3</v>
      </c>
      <c r="F1538" s="60">
        <v>6</v>
      </c>
      <c r="G1538" s="60">
        <v>110</v>
      </c>
      <c r="H1538" s="60">
        <v>10</v>
      </c>
      <c r="I1538" s="60"/>
      <c r="J1538" s="60"/>
      <c r="K1538" s="60"/>
      <c r="L1538" s="60"/>
      <c r="M1538" s="60">
        <v>18</v>
      </c>
      <c r="N1538" s="60"/>
    </row>
    <row r="1539" spans="1:14" hidden="1" x14ac:dyDescent="0.25">
      <c r="A1539" s="60" t="s">
        <v>213</v>
      </c>
      <c r="B1539" s="60" t="s">
        <v>377</v>
      </c>
      <c r="C1539" s="60" t="s">
        <v>379</v>
      </c>
      <c r="D1539" s="60" t="s">
        <v>378</v>
      </c>
      <c r="E1539" s="60">
        <v>3</v>
      </c>
      <c r="F1539" s="60">
        <v>6</v>
      </c>
      <c r="G1539" s="60">
        <v>120</v>
      </c>
      <c r="H1539" s="60">
        <v>10</v>
      </c>
      <c r="I1539" s="60"/>
      <c r="J1539" s="60"/>
      <c r="K1539" s="60"/>
      <c r="L1539" s="60"/>
      <c r="M1539" s="60">
        <v>18</v>
      </c>
      <c r="N1539" s="60"/>
    </row>
    <row r="1540" spans="1:14" hidden="1" x14ac:dyDescent="0.25">
      <c r="A1540" s="60" t="s">
        <v>213</v>
      </c>
      <c r="B1540" s="60" t="s">
        <v>377</v>
      </c>
      <c r="C1540" s="60" t="s">
        <v>379</v>
      </c>
      <c r="D1540" s="60" t="s">
        <v>378</v>
      </c>
      <c r="E1540" s="60">
        <v>3</v>
      </c>
      <c r="F1540" s="60">
        <v>6</v>
      </c>
      <c r="G1540" s="60">
        <v>130</v>
      </c>
      <c r="H1540" s="60">
        <v>10</v>
      </c>
      <c r="I1540" s="60"/>
      <c r="J1540" s="60"/>
      <c r="K1540" s="60"/>
      <c r="L1540" s="60"/>
      <c r="M1540" s="60">
        <v>24</v>
      </c>
      <c r="N1540" s="60"/>
    </row>
    <row r="1541" spans="1:14" hidden="1" x14ac:dyDescent="0.25">
      <c r="A1541" s="60" t="s">
        <v>213</v>
      </c>
      <c r="B1541" s="60" t="s">
        <v>377</v>
      </c>
      <c r="C1541" s="60" t="s">
        <v>379</v>
      </c>
      <c r="D1541" s="60" t="s">
        <v>378</v>
      </c>
      <c r="E1541" s="60">
        <v>3</v>
      </c>
      <c r="F1541" s="60">
        <v>6</v>
      </c>
      <c r="G1541" s="60">
        <v>140</v>
      </c>
      <c r="H1541" s="60">
        <v>10</v>
      </c>
      <c r="I1541" s="60"/>
      <c r="J1541" s="60"/>
      <c r="K1541" s="60"/>
      <c r="L1541" s="60"/>
      <c r="M1541" s="60">
        <v>24</v>
      </c>
      <c r="N1541" s="60"/>
    </row>
    <row r="1542" spans="1:14" hidden="1" x14ac:dyDescent="0.25">
      <c r="A1542" s="60" t="s">
        <v>213</v>
      </c>
      <c r="B1542" s="60" t="s">
        <v>377</v>
      </c>
      <c r="C1542" s="60" t="s">
        <v>379</v>
      </c>
      <c r="D1542" s="60" t="s">
        <v>378</v>
      </c>
      <c r="E1542" s="60">
        <v>3</v>
      </c>
      <c r="F1542" s="60">
        <v>6</v>
      </c>
      <c r="G1542" s="60">
        <v>150</v>
      </c>
      <c r="H1542" s="60">
        <v>10</v>
      </c>
      <c r="I1542" s="60"/>
      <c r="J1542" s="60"/>
      <c r="K1542" s="60"/>
      <c r="L1542" s="60"/>
      <c r="M1542" s="60">
        <v>24</v>
      </c>
      <c r="N1542" s="60"/>
    </row>
    <row r="1543" spans="1:14" hidden="1" x14ac:dyDescent="0.25">
      <c r="A1543" s="60" t="s">
        <v>213</v>
      </c>
      <c r="B1543" s="60" t="s">
        <v>377</v>
      </c>
      <c r="C1543" s="60" t="s">
        <v>379</v>
      </c>
      <c r="D1543" s="60" t="s">
        <v>378</v>
      </c>
      <c r="E1543" s="60">
        <v>3</v>
      </c>
      <c r="F1543" s="60">
        <v>6</v>
      </c>
      <c r="G1543" s="60">
        <v>160</v>
      </c>
      <c r="H1543" s="60">
        <v>10</v>
      </c>
      <c r="I1543" s="60"/>
      <c r="J1543" s="60"/>
      <c r="K1543" s="60"/>
      <c r="L1543" s="60"/>
      <c r="M1543" s="60">
        <v>24</v>
      </c>
      <c r="N1543" s="60"/>
    </row>
    <row r="1544" spans="1:14" hidden="1" x14ac:dyDescent="0.25">
      <c r="A1544" s="60" t="s">
        <v>213</v>
      </c>
      <c r="B1544" s="60" t="s">
        <v>377</v>
      </c>
      <c r="C1544" s="60" t="s">
        <v>379</v>
      </c>
      <c r="D1544" s="60" t="s">
        <v>378</v>
      </c>
      <c r="E1544" s="60">
        <v>3</v>
      </c>
      <c r="F1544" s="60">
        <v>6</v>
      </c>
      <c r="G1544" s="60">
        <v>170</v>
      </c>
      <c r="H1544" s="60">
        <v>10</v>
      </c>
      <c r="I1544" s="60"/>
      <c r="J1544" s="60"/>
      <c r="K1544" s="60"/>
      <c r="L1544" s="60"/>
      <c r="M1544" s="60">
        <v>24</v>
      </c>
      <c r="N1544" s="60"/>
    </row>
    <row r="1545" spans="1:14" hidden="1" x14ac:dyDescent="0.25">
      <c r="A1545" s="60" t="s">
        <v>213</v>
      </c>
      <c r="B1545" s="60" t="s">
        <v>377</v>
      </c>
      <c r="C1545" s="60" t="s">
        <v>379</v>
      </c>
      <c r="D1545" s="60" t="s">
        <v>378</v>
      </c>
      <c r="E1545" s="60">
        <v>3</v>
      </c>
      <c r="F1545" s="60">
        <v>6</v>
      </c>
      <c r="G1545" s="60">
        <v>180</v>
      </c>
      <c r="H1545" s="60">
        <v>10</v>
      </c>
      <c r="I1545" s="60"/>
      <c r="J1545" s="60"/>
      <c r="K1545" s="60"/>
      <c r="L1545" s="60"/>
      <c r="M1545" s="60">
        <v>24</v>
      </c>
      <c r="N1545" s="60"/>
    </row>
    <row r="1546" spans="1:14" hidden="1" x14ac:dyDescent="0.25">
      <c r="A1546" s="60" t="s">
        <v>213</v>
      </c>
      <c r="B1546" s="60" t="s">
        <v>377</v>
      </c>
      <c r="C1546" s="60" t="s">
        <v>379</v>
      </c>
      <c r="D1546" s="60" t="s">
        <v>378</v>
      </c>
      <c r="E1546" s="60">
        <v>3</v>
      </c>
      <c r="F1546" s="60">
        <v>6</v>
      </c>
      <c r="G1546" s="60">
        <v>200</v>
      </c>
      <c r="H1546" s="60">
        <v>10</v>
      </c>
      <c r="I1546" s="60"/>
      <c r="J1546" s="60"/>
      <c r="K1546" s="60"/>
      <c r="L1546" s="60"/>
      <c r="M1546" s="60">
        <v>24</v>
      </c>
      <c r="N1546" s="60"/>
    </row>
    <row r="1547" spans="1:14" hidden="1" x14ac:dyDescent="0.25">
      <c r="A1547" s="60" t="s">
        <v>213</v>
      </c>
      <c r="B1547" s="60" t="s">
        <v>377</v>
      </c>
      <c r="C1547" s="60" t="s">
        <v>379</v>
      </c>
      <c r="D1547" s="60" t="s">
        <v>378</v>
      </c>
      <c r="E1547" s="60">
        <v>3</v>
      </c>
      <c r="F1547" s="60">
        <v>8</v>
      </c>
      <c r="G1547" s="60">
        <v>30</v>
      </c>
      <c r="H1547" s="60">
        <v>10</v>
      </c>
      <c r="I1547" s="60"/>
      <c r="J1547" s="60"/>
      <c r="K1547" s="60"/>
      <c r="L1547" s="60"/>
      <c r="M1547" s="60">
        <v>22</v>
      </c>
      <c r="N1547" s="60"/>
    </row>
    <row r="1548" spans="1:14" hidden="1" x14ac:dyDescent="0.25">
      <c r="A1548" s="60" t="s">
        <v>213</v>
      </c>
      <c r="B1548" s="60" t="s">
        <v>377</v>
      </c>
      <c r="C1548" s="60" t="s">
        <v>379</v>
      </c>
      <c r="D1548" s="60" t="s">
        <v>378</v>
      </c>
      <c r="E1548" s="60">
        <v>3</v>
      </c>
      <c r="F1548" s="60">
        <v>8</v>
      </c>
      <c r="G1548" s="60">
        <v>35</v>
      </c>
      <c r="H1548" s="60">
        <v>10</v>
      </c>
      <c r="I1548" s="60"/>
      <c r="J1548" s="60"/>
      <c r="K1548" s="60"/>
      <c r="L1548" s="60"/>
      <c r="M1548" s="60">
        <v>22</v>
      </c>
      <c r="N1548" s="60"/>
    </row>
    <row r="1549" spans="1:14" hidden="1" x14ac:dyDescent="0.25">
      <c r="A1549" s="60" t="s">
        <v>213</v>
      </c>
      <c r="B1549" s="60" t="s">
        <v>377</v>
      </c>
      <c r="C1549" s="60" t="s">
        <v>379</v>
      </c>
      <c r="D1549" s="60" t="s">
        <v>378</v>
      </c>
      <c r="E1549" s="60">
        <v>3</v>
      </c>
      <c r="F1549" s="60">
        <v>8</v>
      </c>
      <c r="G1549" s="60">
        <v>40</v>
      </c>
      <c r="H1549" s="60">
        <v>10</v>
      </c>
      <c r="I1549" s="60"/>
      <c r="J1549" s="60"/>
      <c r="K1549" s="60"/>
      <c r="L1549" s="60"/>
      <c r="M1549" s="60">
        <v>22</v>
      </c>
      <c r="N1549" s="60"/>
    </row>
    <row r="1550" spans="1:14" hidden="1" x14ac:dyDescent="0.25">
      <c r="A1550" s="60" t="s">
        <v>213</v>
      </c>
      <c r="B1550" s="60" t="s">
        <v>377</v>
      </c>
      <c r="C1550" s="60" t="s">
        <v>379</v>
      </c>
      <c r="D1550" s="60" t="s">
        <v>378</v>
      </c>
      <c r="E1550" s="60">
        <v>3</v>
      </c>
      <c r="F1550" s="60">
        <v>8</v>
      </c>
      <c r="G1550" s="60">
        <v>45</v>
      </c>
      <c r="H1550" s="60">
        <v>10</v>
      </c>
      <c r="I1550" s="60"/>
      <c r="J1550" s="60"/>
      <c r="K1550" s="60"/>
      <c r="L1550" s="60"/>
      <c r="M1550" s="60">
        <v>22</v>
      </c>
      <c r="N1550" s="60"/>
    </row>
    <row r="1551" spans="1:14" hidden="1" x14ac:dyDescent="0.25">
      <c r="A1551" s="60" t="s">
        <v>213</v>
      </c>
      <c r="B1551" s="60" t="s">
        <v>377</v>
      </c>
      <c r="C1551" s="60" t="s">
        <v>379</v>
      </c>
      <c r="D1551" s="60" t="s">
        <v>378</v>
      </c>
      <c r="E1551" s="60">
        <v>3</v>
      </c>
      <c r="F1551" s="60">
        <v>8</v>
      </c>
      <c r="G1551" s="60">
        <v>50</v>
      </c>
      <c r="H1551" s="60">
        <v>10</v>
      </c>
      <c r="I1551" s="60"/>
      <c r="J1551" s="60"/>
      <c r="K1551" s="60"/>
      <c r="L1551" s="60"/>
      <c r="M1551" s="60">
        <v>22</v>
      </c>
      <c r="N1551" s="60"/>
    </row>
    <row r="1552" spans="1:14" hidden="1" x14ac:dyDescent="0.25">
      <c r="A1552" s="60" t="s">
        <v>213</v>
      </c>
      <c r="B1552" s="60" t="s">
        <v>377</v>
      </c>
      <c r="C1552" s="60" t="s">
        <v>379</v>
      </c>
      <c r="D1552" s="60" t="s">
        <v>378</v>
      </c>
      <c r="E1552" s="60">
        <v>3</v>
      </c>
      <c r="F1552" s="60">
        <v>8</v>
      </c>
      <c r="G1552" s="60">
        <v>55</v>
      </c>
      <c r="H1552" s="60">
        <v>10</v>
      </c>
      <c r="I1552" s="60"/>
      <c r="J1552" s="60"/>
      <c r="K1552" s="60"/>
      <c r="L1552" s="60"/>
      <c r="M1552" s="60">
        <v>22</v>
      </c>
      <c r="N1552" s="60"/>
    </row>
    <row r="1553" spans="1:14" hidden="1" x14ac:dyDescent="0.25">
      <c r="A1553" s="60" t="s">
        <v>213</v>
      </c>
      <c r="B1553" s="60" t="s">
        <v>377</v>
      </c>
      <c r="C1553" s="60" t="s">
        <v>379</v>
      </c>
      <c r="D1553" s="60" t="s">
        <v>378</v>
      </c>
      <c r="E1553" s="60">
        <v>3</v>
      </c>
      <c r="F1553" s="60">
        <v>8</v>
      </c>
      <c r="G1553" s="60">
        <v>60</v>
      </c>
      <c r="H1553" s="60">
        <v>10</v>
      </c>
      <c r="I1553" s="60"/>
      <c r="J1553" s="60"/>
      <c r="K1553" s="60"/>
      <c r="L1553" s="60"/>
      <c r="M1553" s="60">
        <v>22</v>
      </c>
      <c r="N1553" s="60"/>
    </row>
    <row r="1554" spans="1:14" hidden="1" x14ac:dyDescent="0.25">
      <c r="A1554" s="60" t="s">
        <v>213</v>
      </c>
      <c r="B1554" s="60" t="s">
        <v>377</v>
      </c>
      <c r="C1554" s="60" t="s">
        <v>379</v>
      </c>
      <c r="D1554" s="60" t="s">
        <v>378</v>
      </c>
      <c r="E1554" s="60">
        <v>3</v>
      </c>
      <c r="F1554" s="60">
        <v>8</v>
      </c>
      <c r="G1554" s="60">
        <v>65</v>
      </c>
      <c r="H1554" s="60">
        <v>10</v>
      </c>
      <c r="I1554" s="60"/>
      <c r="J1554" s="60"/>
      <c r="K1554" s="60"/>
      <c r="L1554" s="60"/>
      <c r="M1554" s="60">
        <v>22</v>
      </c>
      <c r="N1554" s="60"/>
    </row>
    <row r="1555" spans="1:14" hidden="1" x14ac:dyDescent="0.25">
      <c r="A1555" s="60" t="s">
        <v>213</v>
      </c>
      <c r="B1555" s="60" t="s">
        <v>377</v>
      </c>
      <c r="C1555" s="60" t="s">
        <v>379</v>
      </c>
      <c r="D1555" s="60" t="s">
        <v>378</v>
      </c>
      <c r="E1555" s="60">
        <v>3</v>
      </c>
      <c r="F1555" s="60">
        <v>8</v>
      </c>
      <c r="G1555" s="60">
        <v>70</v>
      </c>
      <c r="H1555" s="60">
        <v>10</v>
      </c>
      <c r="I1555" s="60"/>
      <c r="J1555" s="60"/>
      <c r="K1555" s="60"/>
      <c r="L1555" s="60"/>
      <c r="M1555" s="60">
        <v>22</v>
      </c>
      <c r="N1555" s="60"/>
    </row>
    <row r="1556" spans="1:14" hidden="1" x14ac:dyDescent="0.25">
      <c r="A1556" s="60" t="s">
        <v>213</v>
      </c>
      <c r="B1556" s="60" t="s">
        <v>377</v>
      </c>
      <c r="C1556" s="60" t="s">
        <v>379</v>
      </c>
      <c r="D1556" s="60" t="s">
        <v>378</v>
      </c>
      <c r="E1556" s="60">
        <v>3</v>
      </c>
      <c r="F1556" s="60">
        <v>8</v>
      </c>
      <c r="G1556" s="60">
        <v>75</v>
      </c>
      <c r="H1556" s="60">
        <v>10</v>
      </c>
      <c r="I1556" s="60"/>
      <c r="J1556" s="60"/>
      <c r="K1556" s="60"/>
      <c r="L1556" s="60"/>
      <c r="M1556" s="60">
        <v>22</v>
      </c>
      <c r="N1556" s="60"/>
    </row>
    <row r="1557" spans="1:14" hidden="1" x14ac:dyDescent="0.25">
      <c r="A1557" s="60" t="s">
        <v>213</v>
      </c>
      <c r="B1557" s="60" t="s">
        <v>377</v>
      </c>
      <c r="C1557" s="60" t="s">
        <v>379</v>
      </c>
      <c r="D1557" s="60" t="s">
        <v>378</v>
      </c>
      <c r="E1557" s="60">
        <v>3</v>
      </c>
      <c r="F1557" s="60">
        <v>8</v>
      </c>
      <c r="G1557" s="60">
        <v>80</v>
      </c>
      <c r="H1557" s="60">
        <v>10</v>
      </c>
      <c r="I1557" s="60"/>
      <c r="J1557" s="60"/>
      <c r="K1557" s="60"/>
      <c r="L1557" s="60"/>
      <c r="M1557" s="60">
        <v>22</v>
      </c>
      <c r="N1557" s="60"/>
    </row>
    <row r="1558" spans="1:14" hidden="1" x14ac:dyDescent="0.25">
      <c r="A1558" s="60" t="s">
        <v>213</v>
      </c>
      <c r="B1558" s="60" t="s">
        <v>377</v>
      </c>
      <c r="C1558" s="60" t="s">
        <v>379</v>
      </c>
      <c r="D1558" s="60" t="s">
        <v>378</v>
      </c>
      <c r="E1558" s="60">
        <v>3</v>
      </c>
      <c r="F1558" s="60">
        <v>8</v>
      </c>
      <c r="G1558" s="60">
        <v>85</v>
      </c>
      <c r="H1558" s="60">
        <v>10</v>
      </c>
      <c r="I1558" s="60"/>
      <c r="J1558" s="60"/>
      <c r="K1558" s="60"/>
      <c r="L1558" s="60"/>
      <c r="M1558" s="60">
        <v>22</v>
      </c>
      <c r="N1558" s="60"/>
    </row>
    <row r="1559" spans="1:14" hidden="1" x14ac:dyDescent="0.25">
      <c r="A1559" s="60" t="s">
        <v>213</v>
      </c>
      <c r="B1559" s="60" t="s">
        <v>377</v>
      </c>
      <c r="C1559" s="60" t="s">
        <v>379</v>
      </c>
      <c r="D1559" s="60" t="s">
        <v>378</v>
      </c>
      <c r="E1559" s="60">
        <v>3</v>
      </c>
      <c r="F1559" s="60">
        <v>8</v>
      </c>
      <c r="G1559" s="60">
        <v>90</v>
      </c>
      <c r="H1559" s="60">
        <v>10</v>
      </c>
      <c r="I1559" s="60"/>
      <c r="J1559" s="60"/>
      <c r="K1559" s="60"/>
      <c r="L1559" s="60"/>
      <c r="M1559" s="60">
        <v>22</v>
      </c>
      <c r="N1559" s="60"/>
    </row>
    <row r="1560" spans="1:14" hidden="1" x14ac:dyDescent="0.25">
      <c r="A1560" s="60" t="s">
        <v>213</v>
      </c>
      <c r="B1560" s="60" t="s">
        <v>377</v>
      </c>
      <c r="C1560" s="60" t="s">
        <v>379</v>
      </c>
      <c r="D1560" s="60" t="s">
        <v>378</v>
      </c>
      <c r="E1560" s="60">
        <v>3</v>
      </c>
      <c r="F1560" s="60">
        <v>8</v>
      </c>
      <c r="G1560" s="60">
        <v>95</v>
      </c>
      <c r="H1560" s="60">
        <v>10</v>
      </c>
      <c r="I1560" s="60"/>
      <c r="J1560" s="60"/>
      <c r="K1560" s="60"/>
      <c r="L1560" s="60"/>
      <c r="M1560" s="60">
        <v>22</v>
      </c>
      <c r="N1560" s="60"/>
    </row>
    <row r="1561" spans="1:14" hidden="1" x14ac:dyDescent="0.25">
      <c r="A1561" s="60" t="s">
        <v>213</v>
      </c>
      <c r="B1561" s="60" t="s">
        <v>377</v>
      </c>
      <c r="C1561" s="60" t="s">
        <v>379</v>
      </c>
      <c r="D1561" s="60" t="s">
        <v>378</v>
      </c>
      <c r="E1561" s="60">
        <v>3</v>
      </c>
      <c r="F1561" s="60">
        <v>8</v>
      </c>
      <c r="G1561" s="60">
        <v>100</v>
      </c>
      <c r="H1561" s="60">
        <v>13</v>
      </c>
      <c r="I1561" s="60"/>
      <c r="J1561" s="60"/>
      <c r="K1561" s="60"/>
      <c r="L1561" s="60"/>
      <c r="M1561" s="60">
        <v>22</v>
      </c>
      <c r="N1561" s="60"/>
    </row>
    <row r="1562" spans="1:14" hidden="1" x14ac:dyDescent="0.25">
      <c r="A1562" s="60" t="s">
        <v>213</v>
      </c>
      <c r="B1562" s="60" t="s">
        <v>377</v>
      </c>
      <c r="C1562" s="60" t="s">
        <v>379</v>
      </c>
      <c r="D1562" s="60" t="s">
        <v>378</v>
      </c>
      <c r="E1562" s="60">
        <v>3</v>
      </c>
      <c r="F1562" s="60">
        <v>8</v>
      </c>
      <c r="G1562" s="60">
        <v>110</v>
      </c>
      <c r="H1562" s="60">
        <v>13</v>
      </c>
      <c r="I1562" s="60"/>
      <c r="J1562" s="60"/>
      <c r="K1562" s="60"/>
      <c r="L1562" s="60"/>
      <c r="M1562" s="60">
        <v>22</v>
      </c>
      <c r="N1562" s="60"/>
    </row>
    <row r="1563" spans="1:14" hidden="1" x14ac:dyDescent="0.25">
      <c r="A1563" s="60" t="s">
        <v>213</v>
      </c>
      <c r="B1563" s="60" t="s">
        <v>377</v>
      </c>
      <c r="C1563" s="60" t="s">
        <v>379</v>
      </c>
      <c r="D1563" s="60" t="s">
        <v>378</v>
      </c>
      <c r="E1563" s="60">
        <v>3</v>
      </c>
      <c r="F1563" s="60">
        <v>8</v>
      </c>
      <c r="G1563" s="60">
        <v>120</v>
      </c>
      <c r="H1563" s="60">
        <v>13</v>
      </c>
      <c r="I1563" s="60"/>
      <c r="J1563" s="60"/>
      <c r="K1563" s="60"/>
      <c r="L1563" s="60"/>
      <c r="M1563" s="60">
        <v>22</v>
      </c>
      <c r="N1563" s="60"/>
    </row>
    <row r="1564" spans="1:14" hidden="1" x14ac:dyDescent="0.25">
      <c r="A1564" s="60" t="s">
        <v>213</v>
      </c>
      <c r="B1564" s="60" t="s">
        <v>377</v>
      </c>
      <c r="C1564" s="60" t="s">
        <v>379</v>
      </c>
      <c r="D1564" s="60" t="s">
        <v>378</v>
      </c>
      <c r="E1564" s="60">
        <v>3</v>
      </c>
      <c r="F1564" s="60">
        <v>8</v>
      </c>
      <c r="G1564" s="60">
        <v>130</v>
      </c>
      <c r="H1564" s="60">
        <v>13</v>
      </c>
      <c r="I1564" s="60"/>
      <c r="J1564" s="60"/>
      <c r="K1564" s="60"/>
      <c r="L1564" s="60"/>
      <c r="M1564" s="60">
        <v>28</v>
      </c>
      <c r="N1564" s="60"/>
    </row>
    <row r="1565" spans="1:14" hidden="1" x14ac:dyDescent="0.25">
      <c r="A1565" s="60" t="s">
        <v>213</v>
      </c>
      <c r="B1565" s="60" t="s">
        <v>377</v>
      </c>
      <c r="C1565" s="60" t="s">
        <v>379</v>
      </c>
      <c r="D1565" s="60" t="s">
        <v>378</v>
      </c>
      <c r="E1565" s="60">
        <v>3</v>
      </c>
      <c r="F1565" s="60">
        <v>8</v>
      </c>
      <c r="G1565" s="60">
        <v>140</v>
      </c>
      <c r="H1565" s="60">
        <v>13</v>
      </c>
      <c r="I1565" s="60"/>
      <c r="J1565" s="60"/>
      <c r="K1565" s="60"/>
      <c r="L1565" s="60"/>
      <c r="M1565" s="60">
        <v>28</v>
      </c>
      <c r="N1565" s="60"/>
    </row>
    <row r="1566" spans="1:14" hidden="1" x14ac:dyDescent="0.25">
      <c r="A1566" s="60" t="s">
        <v>213</v>
      </c>
      <c r="B1566" s="60" t="s">
        <v>377</v>
      </c>
      <c r="C1566" s="60" t="s">
        <v>379</v>
      </c>
      <c r="D1566" s="60" t="s">
        <v>378</v>
      </c>
      <c r="E1566" s="60">
        <v>3</v>
      </c>
      <c r="F1566" s="60">
        <v>8</v>
      </c>
      <c r="G1566" s="60">
        <v>150</v>
      </c>
      <c r="H1566" s="60">
        <v>13</v>
      </c>
      <c r="I1566" s="60"/>
      <c r="J1566" s="60"/>
      <c r="K1566" s="60"/>
      <c r="L1566" s="60"/>
      <c r="M1566" s="60">
        <v>28</v>
      </c>
      <c r="N1566" s="60"/>
    </row>
    <row r="1567" spans="1:14" hidden="1" x14ac:dyDescent="0.25">
      <c r="A1567" s="60" t="s">
        <v>213</v>
      </c>
      <c r="B1567" s="60" t="s">
        <v>377</v>
      </c>
      <c r="C1567" s="60" t="s">
        <v>379</v>
      </c>
      <c r="D1567" s="60" t="s">
        <v>378</v>
      </c>
      <c r="E1567" s="60">
        <v>3</v>
      </c>
      <c r="F1567" s="60">
        <v>8</v>
      </c>
      <c r="G1567" s="60">
        <v>160</v>
      </c>
      <c r="H1567" s="60">
        <v>13</v>
      </c>
      <c r="I1567" s="60"/>
      <c r="J1567" s="60"/>
      <c r="K1567" s="60"/>
      <c r="L1567" s="60"/>
      <c r="M1567" s="60">
        <v>28</v>
      </c>
      <c r="N1567" s="60"/>
    </row>
    <row r="1568" spans="1:14" hidden="1" x14ac:dyDescent="0.25">
      <c r="A1568" s="60" t="s">
        <v>213</v>
      </c>
      <c r="B1568" s="60" t="s">
        <v>377</v>
      </c>
      <c r="C1568" s="60" t="s">
        <v>379</v>
      </c>
      <c r="D1568" s="60" t="s">
        <v>378</v>
      </c>
      <c r="E1568" s="60">
        <v>3</v>
      </c>
      <c r="F1568" s="60">
        <v>8</v>
      </c>
      <c r="G1568" s="60">
        <v>170</v>
      </c>
      <c r="H1568" s="60">
        <v>13</v>
      </c>
      <c r="I1568" s="60"/>
      <c r="J1568" s="60"/>
      <c r="K1568" s="60"/>
      <c r="L1568" s="60"/>
      <c r="M1568" s="60">
        <v>28</v>
      </c>
      <c r="N1568" s="60"/>
    </row>
    <row r="1569" spans="1:14" hidden="1" x14ac:dyDescent="0.25">
      <c r="A1569" s="60" t="s">
        <v>213</v>
      </c>
      <c r="B1569" s="60" t="s">
        <v>377</v>
      </c>
      <c r="C1569" s="60" t="s">
        <v>379</v>
      </c>
      <c r="D1569" s="60" t="s">
        <v>378</v>
      </c>
      <c r="E1569" s="60">
        <v>3</v>
      </c>
      <c r="F1569" s="60">
        <v>8</v>
      </c>
      <c r="G1569" s="60">
        <v>180</v>
      </c>
      <c r="H1569" s="60">
        <v>13</v>
      </c>
      <c r="I1569" s="60"/>
      <c r="J1569" s="60"/>
      <c r="K1569" s="60"/>
      <c r="L1569" s="60"/>
      <c r="M1569" s="60">
        <v>28</v>
      </c>
      <c r="N1569" s="60"/>
    </row>
    <row r="1570" spans="1:14" hidden="1" x14ac:dyDescent="0.25">
      <c r="A1570" s="60" t="s">
        <v>213</v>
      </c>
      <c r="B1570" s="60" t="s">
        <v>377</v>
      </c>
      <c r="C1570" s="60" t="s">
        <v>379</v>
      </c>
      <c r="D1570" s="60" t="s">
        <v>378</v>
      </c>
      <c r="E1570" s="60">
        <v>3</v>
      </c>
      <c r="F1570" s="60">
        <v>8</v>
      </c>
      <c r="G1570" s="60">
        <v>190</v>
      </c>
      <c r="H1570" s="60">
        <v>13</v>
      </c>
      <c r="I1570" s="60"/>
      <c r="J1570" s="60"/>
      <c r="K1570" s="60"/>
      <c r="L1570" s="60"/>
      <c r="M1570" s="60">
        <v>28</v>
      </c>
      <c r="N1570" s="60"/>
    </row>
    <row r="1571" spans="1:14" hidden="1" x14ac:dyDescent="0.25">
      <c r="A1571" s="60" t="s">
        <v>213</v>
      </c>
      <c r="B1571" s="60" t="s">
        <v>377</v>
      </c>
      <c r="C1571" s="60" t="s">
        <v>379</v>
      </c>
      <c r="D1571" s="60" t="s">
        <v>378</v>
      </c>
      <c r="E1571" s="60">
        <v>3</v>
      </c>
      <c r="F1571" s="60">
        <v>8</v>
      </c>
      <c r="G1571" s="60">
        <v>200</v>
      </c>
      <c r="H1571" s="60">
        <v>13</v>
      </c>
      <c r="I1571" s="60"/>
      <c r="J1571" s="60"/>
      <c r="K1571" s="60"/>
      <c r="L1571" s="60"/>
      <c r="M1571" s="60">
        <v>28</v>
      </c>
      <c r="N1571" s="60"/>
    </row>
    <row r="1572" spans="1:14" hidden="1" x14ac:dyDescent="0.25">
      <c r="A1572" s="60" t="s">
        <v>213</v>
      </c>
      <c r="B1572" s="60" t="s">
        <v>377</v>
      </c>
      <c r="C1572" s="60" t="s">
        <v>379</v>
      </c>
      <c r="D1572" s="60" t="s">
        <v>378</v>
      </c>
      <c r="E1572" s="60">
        <v>3</v>
      </c>
      <c r="F1572" s="60">
        <v>8</v>
      </c>
      <c r="G1572" s="60">
        <v>210</v>
      </c>
      <c r="H1572" s="60">
        <v>13</v>
      </c>
      <c r="I1572" s="60"/>
      <c r="J1572" s="60"/>
      <c r="K1572" s="60"/>
      <c r="L1572" s="60"/>
      <c r="M1572" s="60">
        <v>28</v>
      </c>
      <c r="N1572" s="60"/>
    </row>
    <row r="1573" spans="1:14" hidden="1" x14ac:dyDescent="0.25">
      <c r="A1573" s="60" t="s">
        <v>213</v>
      </c>
      <c r="B1573" s="60" t="s">
        <v>377</v>
      </c>
      <c r="C1573" s="60" t="s">
        <v>379</v>
      </c>
      <c r="D1573" s="60" t="s">
        <v>378</v>
      </c>
      <c r="E1573" s="60">
        <v>3</v>
      </c>
      <c r="F1573" s="60">
        <v>8</v>
      </c>
      <c r="G1573" s="60">
        <v>220</v>
      </c>
      <c r="H1573" s="60">
        <v>13</v>
      </c>
      <c r="I1573" s="60"/>
      <c r="J1573" s="60"/>
      <c r="K1573" s="60"/>
      <c r="L1573" s="60"/>
      <c r="M1573" s="60">
        <v>28</v>
      </c>
      <c r="N1573" s="60"/>
    </row>
    <row r="1574" spans="1:14" hidden="1" x14ac:dyDescent="0.25">
      <c r="A1574" s="60" t="s">
        <v>213</v>
      </c>
      <c r="B1574" s="60" t="s">
        <v>377</v>
      </c>
      <c r="C1574" s="60" t="s">
        <v>379</v>
      </c>
      <c r="D1574" s="60" t="s">
        <v>378</v>
      </c>
      <c r="E1574" s="60">
        <v>3</v>
      </c>
      <c r="F1574" s="60">
        <v>10</v>
      </c>
      <c r="G1574" s="60">
        <v>40</v>
      </c>
      <c r="H1574" s="60">
        <v>13</v>
      </c>
      <c r="I1574" s="60"/>
      <c r="J1574" s="60"/>
      <c r="K1574" s="60"/>
      <c r="L1574" s="60"/>
      <c r="M1574" s="60">
        <v>26</v>
      </c>
      <c r="N1574" s="60"/>
    </row>
    <row r="1575" spans="1:14" hidden="1" x14ac:dyDescent="0.25">
      <c r="A1575" s="60" t="s">
        <v>213</v>
      </c>
      <c r="B1575" s="60" t="s">
        <v>377</v>
      </c>
      <c r="C1575" s="60" t="s">
        <v>379</v>
      </c>
      <c r="D1575" s="60" t="s">
        <v>378</v>
      </c>
      <c r="E1575" s="60">
        <v>3</v>
      </c>
      <c r="F1575" s="60">
        <v>10</v>
      </c>
      <c r="G1575" s="60">
        <v>45</v>
      </c>
      <c r="H1575" s="60">
        <v>13</v>
      </c>
      <c r="I1575" s="60"/>
      <c r="J1575" s="60"/>
      <c r="K1575" s="60"/>
      <c r="L1575" s="60"/>
      <c r="M1575" s="60">
        <v>26</v>
      </c>
      <c r="N1575" s="60"/>
    </row>
    <row r="1576" spans="1:14" hidden="1" x14ac:dyDescent="0.25">
      <c r="A1576" s="60" t="s">
        <v>213</v>
      </c>
      <c r="B1576" s="60" t="s">
        <v>377</v>
      </c>
      <c r="C1576" s="60" t="s">
        <v>379</v>
      </c>
      <c r="D1576" s="60" t="s">
        <v>378</v>
      </c>
      <c r="E1576" s="60">
        <v>3</v>
      </c>
      <c r="F1576" s="60">
        <v>10</v>
      </c>
      <c r="G1576" s="60">
        <v>50</v>
      </c>
      <c r="H1576" s="60">
        <v>13</v>
      </c>
      <c r="I1576" s="60"/>
      <c r="J1576" s="60"/>
      <c r="K1576" s="60"/>
      <c r="L1576" s="60"/>
      <c r="M1576" s="60">
        <v>26</v>
      </c>
      <c r="N1576" s="60"/>
    </row>
    <row r="1577" spans="1:14" hidden="1" x14ac:dyDescent="0.25">
      <c r="A1577" s="60" t="s">
        <v>213</v>
      </c>
      <c r="B1577" s="60" t="s">
        <v>377</v>
      </c>
      <c r="C1577" s="60" t="s">
        <v>379</v>
      </c>
      <c r="D1577" s="60" t="s">
        <v>378</v>
      </c>
      <c r="E1577" s="60">
        <v>3</v>
      </c>
      <c r="F1577" s="60">
        <v>10</v>
      </c>
      <c r="G1577" s="60">
        <v>55</v>
      </c>
      <c r="H1577" s="60">
        <v>13</v>
      </c>
      <c r="I1577" s="60"/>
      <c r="J1577" s="60"/>
      <c r="K1577" s="60"/>
      <c r="L1577" s="60"/>
      <c r="M1577" s="60">
        <v>26</v>
      </c>
      <c r="N1577" s="60"/>
    </row>
    <row r="1578" spans="1:14" hidden="1" x14ac:dyDescent="0.25">
      <c r="A1578" s="60" t="s">
        <v>213</v>
      </c>
      <c r="B1578" s="60" t="s">
        <v>377</v>
      </c>
      <c r="C1578" s="60" t="s">
        <v>379</v>
      </c>
      <c r="D1578" s="60" t="s">
        <v>378</v>
      </c>
      <c r="E1578" s="60">
        <v>3</v>
      </c>
      <c r="F1578" s="60">
        <v>10</v>
      </c>
      <c r="G1578" s="60">
        <v>60</v>
      </c>
      <c r="H1578" s="60">
        <v>13</v>
      </c>
      <c r="I1578" s="60"/>
      <c r="J1578" s="60"/>
      <c r="K1578" s="60"/>
      <c r="L1578" s="60"/>
      <c r="M1578" s="60">
        <v>26</v>
      </c>
      <c r="N1578" s="60"/>
    </row>
    <row r="1579" spans="1:14" hidden="1" x14ac:dyDescent="0.25">
      <c r="A1579" s="60" t="s">
        <v>213</v>
      </c>
      <c r="B1579" s="60" t="s">
        <v>377</v>
      </c>
      <c r="C1579" s="60" t="s">
        <v>379</v>
      </c>
      <c r="D1579" s="60" t="s">
        <v>378</v>
      </c>
      <c r="E1579" s="60">
        <v>3</v>
      </c>
      <c r="F1579" s="60">
        <v>10</v>
      </c>
      <c r="G1579" s="60">
        <v>65</v>
      </c>
      <c r="H1579" s="60">
        <v>13</v>
      </c>
      <c r="I1579" s="60"/>
      <c r="J1579" s="60"/>
      <c r="K1579" s="60"/>
      <c r="L1579" s="60"/>
      <c r="M1579" s="60">
        <v>26</v>
      </c>
      <c r="N1579" s="60"/>
    </row>
    <row r="1580" spans="1:14" hidden="1" x14ac:dyDescent="0.25">
      <c r="A1580" s="60" t="s">
        <v>213</v>
      </c>
      <c r="B1580" s="60" t="s">
        <v>377</v>
      </c>
      <c r="C1580" s="60" t="s">
        <v>379</v>
      </c>
      <c r="D1580" s="60" t="s">
        <v>378</v>
      </c>
      <c r="E1580" s="60">
        <v>3</v>
      </c>
      <c r="F1580" s="60">
        <v>10</v>
      </c>
      <c r="G1580" s="60">
        <v>70</v>
      </c>
      <c r="H1580" s="60">
        <v>13</v>
      </c>
      <c r="I1580" s="60"/>
      <c r="J1580" s="60"/>
      <c r="K1580" s="60"/>
      <c r="L1580" s="60"/>
      <c r="M1580" s="60">
        <v>26</v>
      </c>
      <c r="N1580" s="60"/>
    </row>
    <row r="1581" spans="1:14" hidden="1" x14ac:dyDescent="0.25">
      <c r="A1581" s="60" t="s">
        <v>213</v>
      </c>
      <c r="B1581" s="60" t="s">
        <v>377</v>
      </c>
      <c r="C1581" s="60" t="s">
        <v>379</v>
      </c>
      <c r="D1581" s="60" t="s">
        <v>378</v>
      </c>
      <c r="E1581" s="60">
        <v>3</v>
      </c>
      <c r="F1581" s="60">
        <v>10</v>
      </c>
      <c r="G1581" s="60">
        <v>75</v>
      </c>
      <c r="H1581" s="60">
        <v>13</v>
      </c>
      <c r="I1581" s="60"/>
      <c r="J1581" s="60"/>
      <c r="K1581" s="60"/>
      <c r="L1581" s="60"/>
      <c r="M1581" s="60">
        <v>26</v>
      </c>
      <c r="N1581" s="60"/>
    </row>
    <row r="1582" spans="1:14" hidden="1" x14ac:dyDescent="0.25">
      <c r="A1582" s="60" t="s">
        <v>213</v>
      </c>
      <c r="B1582" s="60" t="s">
        <v>377</v>
      </c>
      <c r="C1582" s="60" t="s">
        <v>379</v>
      </c>
      <c r="D1582" s="60" t="s">
        <v>378</v>
      </c>
      <c r="E1582" s="60">
        <v>3</v>
      </c>
      <c r="F1582" s="60">
        <v>10</v>
      </c>
      <c r="G1582" s="60">
        <v>80</v>
      </c>
      <c r="H1582" s="60">
        <v>13</v>
      </c>
      <c r="I1582" s="60"/>
      <c r="J1582" s="60"/>
      <c r="K1582" s="60"/>
      <c r="L1582" s="60"/>
      <c r="M1582" s="60">
        <v>26</v>
      </c>
      <c r="N1582" s="60"/>
    </row>
    <row r="1583" spans="1:14" hidden="1" x14ac:dyDescent="0.25">
      <c r="A1583" s="60" t="s">
        <v>213</v>
      </c>
      <c r="B1583" s="60" t="s">
        <v>377</v>
      </c>
      <c r="C1583" s="60" t="s">
        <v>379</v>
      </c>
      <c r="D1583" s="60" t="s">
        <v>378</v>
      </c>
      <c r="E1583" s="60">
        <v>3</v>
      </c>
      <c r="F1583" s="60">
        <v>10</v>
      </c>
      <c r="G1583" s="60">
        <v>85</v>
      </c>
      <c r="H1583" s="60">
        <v>13</v>
      </c>
      <c r="I1583" s="60"/>
      <c r="J1583" s="60"/>
      <c r="K1583" s="60"/>
      <c r="L1583" s="60"/>
      <c r="M1583" s="60">
        <v>26</v>
      </c>
      <c r="N1583" s="60"/>
    </row>
    <row r="1584" spans="1:14" hidden="1" x14ac:dyDescent="0.25">
      <c r="A1584" s="60" t="s">
        <v>213</v>
      </c>
      <c r="B1584" s="60" t="s">
        <v>377</v>
      </c>
      <c r="C1584" s="60" t="s">
        <v>379</v>
      </c>
      <c r="D1584" s="60" t="s">
        <v>378</v>
      </c>
      <c r="E1584" s="60">
        <v>3</v>
      </c>
      <c r="F1584" s="60">
        <v>10</v>
      </c>
      <c r="G1584" s="60">
        <v>90</v>
      </c>
      <c r="H1584" s="60">
        <v>13</v>
      </c>
      <c r="I1584" s="60"/>
      <c r="J1584" s="60"/>
      <c r="K1584" s="60"/>
      <c r="L1584" s="60"/>
      <c r="M1584" s="60">
        <v>26</v>
      </c>
      <c r="N1584" s="60"/>
    </row>
    <row r="1585" spans="1:14" hidden="1" x14ac:dyDescent="0.25">
      <c r="A1585" s="60" t="s">
        <v>213</v>
      </c>
      <c r="B1585" s="60" t="s">
        <v>377</v>
      </c>
      <c r="C1585" s="60" t="s">
        <v>379</v>
      </c>
      <c r="D1585" s="60" t="s">
        <v>378</v>
      </c>
      <c r="E1585" s="60">
        <v>3</v>
      </c>
      <c r="F1585" s="60">
        <v>10</v>
      </c>
      <c r="G1585" s="60">
        <v>95</v>
      </c>
      <c r="H1585" s="60">
        <v>13</v>
      </c>
      <c r="I1585" s="60"/>
      <c r="J1585" s="60"/>
      <c r="K1585" s="60"/>
      <c r="L1585" s="60"/>
      <c r="M1585" s="60">
        <v>26</v>
      </c>
      <c r="N1585" s="60"/>
    </row>
    <row r="1586" spans="1:14" hidden="1" x14ac:dyDescent="0.25">
      <c r="A1586" s="60" t="s">
        <v>213</v>
      </c>
      <c r="B1586" s="60" t="s">
        <v>377</v>
      </c>
      <c r="C1586" s="60" t="s">
        <v>379</v>
      </c>
      <c r="D1586" s="60" t="s">
        <v>378</v>
      </c>
      <c r="E1586" s="60">
        <v>3</v>
      </c>
      <c r="F1586" s="60">
        <v>10</v>
      </c>
      <c r="G1586" s="60">
        <v>100</v>
      </c>
      <c r="H1586" s="60">
        <v>16</v>
      </c>
      <c r="I1586" s="60"/>
      <c r="J1586" s="60"/>
      <c r="K1586" s="60"/>
      <c r="L1586" s="60"/>
      <c r="M1586" s="60">
        <v>26</v>
      </c>
      <c r="N1586" s="60"/>
    </row>
    <row r="1587" spans="1:14" hidden="1" x14ac:dyDescent="0.25">
      <c r="A1587" s="60" t="s">
        <v>213</v>
      </c>
      <c r="B1587" s="60" t="s">
        <v>377</v>
      </c>
      <c r="C1587" s="60" t="s">
        <v>379</v>
      </c>
      <c r="D1587" s="60" t="s">
        <v>378</v>
      </c>
      <c r="E1587" s="60">
        <v>3</v>
      </c>
      <c r="F1587" s="60">
        <v>10</v>
      </c>
      <c r="G1587" s="60">
        <v>105</v>
      </c>
      <c r="H1587" s="60">
        <v>16</v>
      </c>
      <c r="I1587" s="60"/>
      <c r="J1587" s="60"/>
      <c r="K1587" s="60"/>
      <c r="L1587" s="60"/>
      <c r="M1587" s="60">
        <v>26</v>
      </c>
      <c r="N1587" s="60"/>
    </row>
    <row r="1588" spans="1:14" hidden="1" x14ac:dyDescent="0.25">
      <c r="A1588" s="60" t="s">
        <v>213</v>
      </c>
      <c r="B1588" s="60" t="s">
        <v>377</v>
      </c>
      <c r="C1588" s="60" t="s">
        <v>379</v>
      </c>
      <c r="D1588" s="60" t="s">
        <v>378</v>
      </c>
      <c r="E1588" s="60">
        <v>3</v>
      </c>
      <c r="F1588" s="60">
        <v>10</v>
      </c>
      <c r="G1588" s="60">
        <v>110</v>
      </c>
      <c r="H1588" s="60">
        <v>16</v>
      </c>
      <c r="I1588" s="60"/>
      <c r="J1588" s="60"/>
      <c r="K1588" s="60"/>
      <c r="L1588" s="60"/>
      <c r="M1588" s="60">
        <v>26</v>
      </c>
      <c r="N1588" s="60"/>
    </row>
    <row r="1589" spans="1:14" hidden="1" x14ac:dyDescent="0.25">
      <c r="A1589" s="60" t="s">
        <v>213</v>
      </c>
      <c r="B1589" s="60" t="s">
        <v>377</v>
      </c>
      <c r="C1589" s="60" t="s">
        <v>379</v>
      </c>
      <c r="D1589" s="60" t="s">
        <v>378</v>
      </c>
      <c r="E1589" s="60">
        <v>3</v>
      </c>
      <c r="F1589" s="60">
        <v>10</v>
      </c>
      <c r="G1589" s="60">
        <v>115</v>
      </c>
      <c r="H1589" s="60">
        <v>16</v>
      </c>
      <c r="I1589" s="60"/>
      <c r="J1589" s="60"/>
      <c r="K1589" s="60"/>
      <c r="L1589" s="60"/>
      <c r="M1589" s="60">
        <v>26</v>
      </c>
      <c r="N1589" s="60"/>
    </row>
    <row r="1590" spans="1:14" hidden="1" x14ac:dyDescent="0.25">
      <c r="A1590" s="60" t="s">
        <v>213</v>
      </c>
      <c r="B1590" s="60" t="s">
        <v>377</v>
      </c>
      <c r="C1590" s="60" t="s">
        <v>379</v>
      </c>
      <c r="D1590" s="60" t="s">
        <v>378</v>
      </c>
      <c r="E1590" s="60">
        <v>3</v>
      </c>
      <c r="F1590" s="60">
        <v>10</v>
      </c>
      <c r="G1590" s="60">
        <v>120</v>
      </c>
      <c r="H1590" s="60">
        <v>16</v>
      </c>
      <c r="I1590" s="60"/>
      <c r="J1590" s="60"/>
      <c r="K1590" s="60"/>
      <c r="L1590" s="60"/>
      <c r="M1590" s="60">
        <v>26</v>
      </c>
      <c r="N1590" s="60"/>
    </row>
    <row r="1591" spans="1:14" hidden="1" x14ac:dyDescent="0.25">
      <c r="A1591" s="60" t="s">
        <v>213</v>
      </c>
      <c r="B1591" s="60" t="s">
        <v>377</v>
      </c>
      <c r="C1591" s="60" t="s">
        <v>379</v>
      </c>
      <c r="D1591" s="60" t="s">
        <v>378</v>
      </c>
      <c r="E1591" s="60">
        <v>3</v>
      </c>
      <c r="F1591" s="60">
        <v>10</v>
      </c>
      <c r="G1591" s="60">
        <v>130</v>
      </c>
      <c r="H1591" s="60">
        <v>16</v>
      </c>
      <c r="I1591" s="60"/>
      <c r="J1591" s="60"/>
      <c r="K1591" s="60"/>
      <c r="L1591" s="60"/>
      <c r="M1591" s="60">
        <v>32</v>
      </c>
      <c r="N1591" s="60"/>
    </row>
    <row r="1592" spans="1:14" hidden="1" x14ac:dyDescent="0.25">
      <c r="A1592" s="60" t="s">
        <v>213</v>
      </c>
      <c r="B1592" s="60" t="s">
        <v>377</v>
      </c>
      <c r="C1592" s="60" t="s">
        <v>379</v>
      </c>
      <c r="D1592" s="60" t="s">
        <v>378</v>
      </c>
      <c r="E1592" s="60">
        <v>3</v>
      </c>
      <c r="F1592" s="60">
        <v>10</v>
      </c>
      <c r="G1592" s="60">
        <v>140</v>
      </c>
      <c r="H1592" s="60">
        <v>16</v>
      </c>
      <c r="I1592" s="60"/>
      <c r="J1592" s="60"/>
      <c r="K1592" s="60"/>
      <c r="L1592" s="60"/>
      <c r="M1592" s="60">
        <v>32</v>
      </c>
      <c r="N1592" s="60"/>
    </row>
    <row r="1593" spans="1:14" hidden="1" x14ac:dyDescent="0.25">
      <c r="A1593" s="60" t="s">
        <v>213</v>
      </c>
      <c r="B1593" s="60" t="s">
        <v>377</v>
      </c>
      <c r="C1593" s="60" t="s">
        <v>379</v>
      </c>
      <c r="D1593" s="60" t="s">
        <v>378</v>
      </c>
      <c r="E1593" s="60">
        <v>3</v>
      </c>
      <c r="F1593" s="60">
        <v>10</v>
      </c>
      <c r="G1593" s="60">
        <v>150</v>
      </c>
      <c r="H1593" s="60">
        <v>16</v>
      </c>
      <c r="I1593" s="60"/>
      <c r="J1593" s="60"/>
      <c r="K1593" s="60"/>
      <c r="L1593" s="60"/>
      <c r="M1593" s="60">
        <v>32</v>
      </c>
      <c r="N1593" s="60"/>
    </row>
    <row r="1594" spans="1:14" hidden="1" x14ac:dyDescent="0.25">
      <c r="A1594" s="60" t="s">
        <v>213</v>
      </c>
      <c r="B1594" s="60" t="s">
        <v>377</v>
      </c>
      <c r="C1594" s="60" t="s">
        <v>379</v>
      </c>
      <c r="D1594" s="60" t="s">
        <v>378</v>
      </c>
      <c r="E1594" s="60">
        <v>3</v>
      </c>
      <c r="F1594" s="60">
        <v>10</v>
      </c>
      <c r="G1594" s="60">
        <v>160</v>
      </c>
      <c r="H1594" s="60">
        <v>16</v>
      </c>
      <c r="I1594" s="60"/>
      <c r="J1594" s="60"/>
      <c r="K1594" s="60"/>
      <c r="L1594" s="60"/>
      <c r="M1594" s="60">
        <v>32</v>
      </c>
      <c r="N1594" s="60"/>
    </row>
    <row r="1595" spans="1:14" hidden="1" x14ac:dyDescent="0.25">
      <c r="A1595" s="60" t="s">
        <v>213</v>
      </c>
      <c r="B1595" s="60" t="s">
        <v>377</v>
      </c>
      <c r="C1595" s="60" t="s">
        <v>379</v>
      </c>
      <c r="D1595" s="60" t="s">
        <v>378</v>
      </c>
      <c r="E1595" s="60">
        <v>3</v>
      </c>
      <c r="F1595" s="60">
        <v>10</v>
      </c>
      <c r="G1595" s="60">
        <v>170</v>
      </c>
      <c r="H1595" s="60">
        <v>16</v>
      </c>
      <c r="I1595" s="60"/>
      <c r="J1595" s="60"/>
      <c r="K1595" s="60"/>
      <c r="L1595" s="60"/>
      <c r="M1595" s="60">
        <v>32</v>
      </c>
      <c r="N1595" s="60"/>
    </row>
    <row r="1596" spans="1:14" hidden="1" x14ac:dyDescent="0.25">
      <c r="A1596" s="60" t="s">
        <v>213</v>
      </c>
      <c r="B1596" s="60" t="s">
        <v>377</v>
      </c>
      <c r="C1596" s="60" t="s">
        <v>379</v>
      </c>
      <c r="D1596" s="60" t="s">
        <v>378</v>
      </c>
      <c r="E1596" s="60">
        <v>3</v>
      </c>
      <c r="F1596" s="60">
        <v>10</v>
      </c>
      <c r="G1596" s="60">
        <v>180</v>
      </c>
      <c r="H1596" s="60">
        <v>16</v>
      </c>
      <c r="I1596" s="60"/>
      <c r="J1596" s="60"/>
      <c r="K1596" s="60"/>
      <c r="L1596" s="60"/>
      <c r="M1596" s="60">
        <v>32</v>
      </c>
      <c r="N1596" s="60"/>
    </row>
    <row r="1597" spans="1:14" hidden="1" x14ac:dyDescent="0.25">
      <c r="A1597" s="60" t="s">
        <v>213</v>
      </c>
      <c r="B1597" s="60" t="s">
        <v>377</v>
      </c>
      <c r="C1597" s="60" t="s">
        <v>379</v>
      </c>
      <c r="D1597" s="60" t="s">
        <v>378</v>
      </c>
      <c r="E1597" s="60">
        <v>3</v>
      </c>
      <c r="F1597" s="60">
        <v>10</v>
      </c>
      <c r="G1597" s="60">
        <v>190</v>
      </c>
      <c r="H1597" s="60">
        <v>16</v>
      </c>
      <c r="I1597" s="60"/>
      <c r="J1597" s="60"/>
      <c r="K1597" s="60"/>
      <c r="L1597" s="60"/>
      <c r="M1597" s="60">
        <v>32</v>
      </c>
      <c r="N1597" s="60"/>
    </row>
    <row r="1598" spans="1:14" hidden="1" x14ac:dyDescent="0.25">
      <c r="A1598" s="60" t="s">
        <v>213</v>
      </c>
      <c r="B1598" s="60" t="s">
        <v>377</v>
      </c>
      <c r="C1598" s="60" t="s">
        <v>379</v>
      </c>
      <c r="D1598" s="60" t="s">
        <v>378</v>
      </c>
      <c r="E1598" s="60">
        <v>3</v>
      </c>
      <c r="F1598" s="60">
        <v>10</v>
      </c>
      <c r="G1598" s="60">
        <v>200</v>
      </c>
      <c r="H1598" s="60">
        <v>16</v>
      </c>
      <c r="I1598" s="60"/>
      <c r="J1598" s="60"/>
      <c r="K1598" s="60"/>
      <c r="L1598" s="60"/>
      <c r="M1598" s="60">
        <v>32</v>
      </c>
      <c r="N1598" s="60"/>
    </row>
    <row r="1599" spans="1:14" hidden="1" x14ac:dyDescent="0.25">
      <c r="A1599" s="60" t="s">
        <v>213</v>
      </c>
      <c r="B1599" s="60" t="s">
        <v>377</v>
      </c>
      <c r="C1599" s="60" t="s">
        <v>379</v>
      </c>
      <c r="D1599" s="60" t="s">
        <v>378</v>
      </c>
      <c r="E1599" s="60">
        <v>3</v>
      </c>
      <c r="F1599" s="60">
        <v>10</v>
      </c>
      <c r="G1599" s="60">
        <v>210</v>
      </c>
      <c r="H1599" s="60">
        <v>16</v>
      </c>
      <c r="I1599" s="61"/>
      <c r="J1599" s="61"/>
      <c r="K1599" s="61"/>
      <c r="L1599" s="61"/>
      <c r="M1599" s="60">
        <v>45</v>
      </c>
      <c r="N1599" s="61"/>
    </row>
    <row r="1600" spans="1:14" hidden="1" x14ac:dyDescent="0.25">
      <c r="A1600" s="60" t="s">
        <v>213</v>
      </c>
      <c r="B1600" s="60" t="s">
        <v>377</v>
      </c>
      <c r="C1600" s="60" t="s">
        <v>379</v>
      </c>
      <c r="D1600" s="60" t="s">
        <v>378</v>
      </c>
      <c r="E1600" s="60">
        <v>3</v>
      </c>
      <c r="F1600" s="60">
        <v>10</v>
      </c>
      <c r="G1600" s="60">
        <v>220</v>
      </c>
      <c r="H1600" s="60">
        <v>16</v>
      </c>
      <c r="I1600" s="61"/>
      <c r="J1600" s="61"/>
      <c r="K1600" s="61"/>
      <c r="L1600" s="61"/>
      <c r="M1600" s="60">
        <v>45</v>
      </c>
      <c r="N1600" s="61"/>
    </row>
    <row r="1601" spans="1:14" hidden="1" x14ac:dyDescent="0.25">
      <c r="A1601" s="60" t="s">
        <v>213</v>
      </c>
      <c r="B1601" s="60" t="s">
        <v>377</v>
      </c>
      <c r="C1601" s="60" t="s">
        <v>379</v>
      </c>
      <c r="D1601" s="60" t="s">
        <v>378</v>
      </c>
      <c r="E1601" s="60">
        <v>3</v>
      </c>
      <c r="F1601" s="60">
        <v>10</v>
      </c>
      <c r="G1601" s="60">
        <v>230</v>
      </c>
      <c r="H1601" s="60">
        <v>16</v>
      </c>
      <c r="I1601" s="61"/>
      <c r="J1601" s="61"/>
      <c r="K1601" s="61"/>
      <c r="L1601" s="61"/>
      <c r="M1601" s="60">
        <v>45</v>
      </c>
      <c r="N1601" s="61"/>
    </row>
    <row r="1602" spans="1:14" hidden="1" x14ac:dyDescent="0.25">
      <c r="A1602" s="60" t="s">
        <v>213</v>
      </c>
      <c r="B1602" s="60" t="s">
        <v>377</v>
      </c>
      <c r="C1602" s="60" t="s">
        <v>379</v>
      </c>
      <c r="D1602" s="60" t="s">
        <v>378</v>
      </c>
      <c r="E1602" s="60">
        <v>3</v>
      </c>
      <c r="F1602" s="60">
        <v>10</v>
      </c>
      <c r="G1602" s="60">
        <v>240</v>
      </c>
      <c r="H1602" s="60">
        <v>16</v>
      </c>
      <c r="I1602" s="61"/>
      <c r="J1602" s="61"/>
      <c r="K1602" s="61"/>
      <c r="L1602" s="61"/>
      <c r="M1602" s="60">
        <v>45</v>
      </c>
      <c r="N1602" s="61"/>
    </row>
    <row r="1603" spans="1:14" hidden="1" x14ac:dyDescent="0.25">
      <c r="A1603" s="60" t="s">
        <v>213</v>
      </c>
      <c r="B1603" s="60" t="s">
        <v>377</v>
      </c>
      <c r="C1603" s="60" t="s">
        <v>379</v>
      </c>
      <c r="D1603" s="60" t="s">
        <v>378</v>
      </c>
      <c r="E1603" s="60">
        <v>3</v>
      </c>
      <c r="F1603" s="60">
        <v>10</v>
      </c>
      <c r="G1603" s="60">
        <v>250</v>
      </c>
      <c r="H1603" s="60">
        <v>16</v>
      </c>
      <c r="I1603" s="61"/>
      <c r="J1603" s="61"/>
      <c r="K1603" s="61"/>
      <c r="L1603" s="61"/>
      <c r="M1603" s="60">
        <v>45</v>
      </c>
      <c r="N1603" s="61"/>
    </row>
    <row r="1604" spans="1:14" hidden="1" x14ac:dyDescent="0.25">
      <c r="A1604" s="60" t="s">
        <v>213</v>
      </c>
      <c r="B1604" s="60" t="s">
        <v>377</v>
      </c>
      <c r="C1604" s="60" t="s">
        <v>379</v>
      </c>
      <c r="D1604" s="60" t="s">
        <v>378</v>
      </c>
      <c r="E1604" s="60">
        <v>3</v>
      </c>
      <c r="F1604" s="60">
        <v>10</v>
      </c>
      <c r="G1604" s="60">
        <v>260</v>
      </c>
      <c r="H1604" s="60">
        <v>16</v>
      </c>
      <c r="I1604" s="61"/>
      <c r="J1604" s="61"/>
      <c r="K1604" s="61"/>
      <c r="L1604" s="61"/>
      <c r="M1604" s="60">
        <v>45</v>
      </c>
      <c r="N1604" s="61"/>
    </row>
    <row r="1605" spans="1:14" hidden="1" x14ac:dyDescent="0.25">
      <c r="A1605" s="60" t="s">
        <v>213</v>
      </c>
      <c r="B1605" s="60" t="s">
        <v>377</v>
      </c>
      <c r="C1605" s="60" t="s">
        <v>379</v>
      </c>
      <c r="D1605" s="60" t="s">
        <v>378</v>
      </c>
      <c r="E1605" s="60">
        <v>3</v>
      </c>
      <c r="F1605" s="60">
        <v>10</v>
      </c>
      <c r="G1605" s="60">
        <v>270</v>
      </c>
      <c r="H1605" s="60">
        <v>16</v>
      </c>
      <c r="I1605" s="61"/>
      <c r="J1605" s="61"/>
      <c r="K1605" s="61"/>
      <c r="L1605" s="61"/>
      <c r="M1605" s="60">
        <v>45</v>
      </c>
      <c r="N1605" s="61"/>
    </row>
    <row r="1606" spans="1:14" hidden="1" x14ac:dyDescent="0.25">
      <c r="A1606" s="60" t="s">
        <v>213</v>
      </c>
      <c r="B1606" s="60" t="s">
        <v>377</v>
      </c>
      <c r="C1606" s="60" t="s">
        <v>379</v>
      </c>
      <c r="D1606" s="60" t="s">
        <v>378</v>
      </c>
      <c r="E1606" s="60">
        <v>3</v>
      </c>
      <c r="F1606" s="60">
        <v>10</v>
      </c>
      <c r="G1606" s="60">
        <v>280</v>
      </c>
      <c r="H1606" s="60">
        <v>16</v>
      </c>
      <c r="I1606" s="61"/>
      <c r="J1606" s="61"/>
      <c r="K1606" s="61"/>
      <c r="L1606" s="61"/>
      <c r="M1606" s="60">
        <v>45</v>
      </c>
      <c r="N1606" s="61"/>
    </row>
    <row r="1607" spans="1:14" hidden="1" x14ac:dyDescent="0.25">
      <c r="A1607" s="60" t="s">
        <v>213</v>
      </c>
      <c r="B1607" s="60" t="s">
        <v>377</v>
      </c>
      <c r="C1607" s="60" t="s">
        <v>379</v>
      </c>
      <c r="D1607" s="60" t="s">
        <v>378</v>
      </c>
      <c r="E1607" s="60">
        <v>3</v>
      </c>
      <c r="F1607" s="60">
        <v>10</v>
      </c>
      <c r="G1607" s="60">
        <v>300</v>
      </c>
      <c r="H1607" s="60">
        <v>16</v>
      </c>
      <c r="I1607" s="61"/>
      <c r="J1607" s="61"/>
      <c r="K1607" s="61"/>
      <c r="L1607" s="61"/>
      <c r="M1607" s="60">
        <v>45</v>
      </c>
      <c r="N1607" s="61"/>
    </row>
    <row r="1608" spans="1:14" hidden="1" x14ac:dyDescent="0.25">
      <c r="A1608" s="60" t="s">
        <v>213</v>
      </c>
      <c r="B1608" s="60" t="s">
        <v>377</v>
      </c>
      <c r="C1608" s="60" t="s">
        <v>379</v>
      </c>
      <c r="D1608" s="60" t="s">
        <v>378</v>
      </c>
      <c r="E1608" s="60">
        <v>3</v>
      </c>
      <c r="F1608" s="60">
        <v>12</v>
      </c>
      <c r="G1608" s="60">
        <v>45</v>
      </c>
      <c r="H1608" s="60">
        <v>16</v>
      </c>
      <c r="I1608" s="61"/>
      <c r="J1608" s="61"/>
      <c r="K1608" s="61"/>
      <c r="L1608" s="61"/>
      <c r="M1608" s="60">
        <v>30</v>
      </c>
      <c r="N1608" s="61"/>
    </row>
    <row r="1609" spans="1:14" hidden="1" x14ac:dyDescent="0.25">
      <c r="A1609" s="60" t="s">
        <v>213</v>
      </c>
      <c r="B1609" s="60" t="s">
        <v>377</v>
      </c>
      <c r="C1609" s="60" t="s">
        <v>379</v>
      </c>
      <c r="D1609" s="60" t="s">
        <v>378</v>
      </c>
      <c r="E1609" s="60">
        <v>3</v>
      </c>
      <c r="F1609" s="60">
        <v>12</v>
      </c>
      <c r="G1609" s="60">
        <v>50</v>
      </c>
      <c r="H1609" s="60">
        <v>16</v>
      </c>
      <c r="I1609" s="61"/>
      <c r="J1609" s="61"/>
      <c r="K1609" s="61"/>
      <c r="L1609" s="61"/>
      <c r="M1609" s="60">
        <v>30</v>
      </c>
      <c r="N1609" s="61"/>
    </row>
    <row r="1610" spans="1:14" hidden="1" x14ac:dyDescent="0.25">
      <c r="A1610" s="60" t="s">
        <v>213</v>
      </c>
      <c r="B1610" s="60" t="s">
        <v>377</v>
      </c>
      <c r="C1610" s="60" t="s">
        <v>379</v>
      </c>
      <c r="D1610" s="60" t="s">
        <v>378</v>
      </c>
      <c r="E1610" s="60">
        <v>3</v>
      </c>
      <c r="F1610" s="60">
        <v>12</v>
      </c>
      <c r="G1610" s="60">
        <v>55</v>
      </c>
      <c r="H1610" s="60">
        <v>16</v>
      </c>
      <c r="I1610" s="61"/>
      <c r="J1610" s="61"/>
      <c r="K1610" s="61"/>
      <c r="L1610" s="61"/>
      <c r="M1610" s="60">
        <v>30</v>
      </c>
      <c r="N1610" s="61"/>
    </row>
    <row r="1611" spans="1:14" hidden="1" x14ac:dyDescent="0.25">
      <c r="A1611" s="60" t="s">
        <v>213</v>
      </c>
      <c r="B1611" s="60" t="s">
        <v>377</v>
      </c>
      <c r="C1611" s="60" t="s">
        <v>379</v>
      </c>
      <c r="D1611" s="60" t="s">
        <v>378</v>
      </c>
      <c r="E1611" s="60">
        <v>3</v>
      </c>
      <c r="F1611" s="60">
        <v>12</v>
      </c>
      <c r="G1611" s="60">
        <v>60</v>
      </c>
      <c r="H1611" s="60">
        <v>16</v>
      </c>
      <c r="I1611" s="61"/>
      <c r="J1611" s="61"/>
      <c r="K1611" s="61"/>
      <c r="L1611" s="61"/>
      <c r="M1611" s="60">
        <v>30</v>
      </c>
      <c r="N1611" s="61"/>
    </row>
    <row r="1612" spans="1:14" hidden="1" x14ac:dyDescent="0.25">
      <c r="A1612" s="60" t="s">
        <v>213</v>
      </c>
      <c r="B1612" s="60" t="s">
        <v>377</v>
      </c>
      <c r="C1612" s="60" t="s">
        <v>379</v>
      </c>
      <c r="D1612" s="60" t="s">
        <v>378</v>
      </c>
      <c r="E1612" s="60">
        <v>3</v>
      </c>
      <c r="F1612" s="60">
        <v>12</v>
      </c>
      <c r="G1612" s="60">
        <v>65</v>
      </c>
      <c r="H1612" s="60">
        <v>16</v>
      </c>
      <c r="I1612" s="61"/>
      <c r="J1612" s="61"/>
      <c r="K1612" s="61"/>
      <c r="L1612" s="61"/>
      <c r="M1612" s="60">
        <v>30</v>
      </c>
      <c r="N1612" s="61"/>
    </row>
    <row r="1613" spans="1:14" hidden="1" x14ac:dyDescent="0.25">
      <c r="A1613" s="60" t="s">
        <v>213</v>
      </c>
      <c r="B1613" s="60" t="s">
        <v>377</v>
      </c>
      <c r="C1613" s="60" t="s">
        <v>379</v>
      </c>
      <c r="D1613" s="60" t="s">
        <v>378</v>
      </c>
      <c r="E1613" s="60">
        <v>3</v>
      </c>
      <c r="F1613" s="60">
        <v>12</v>
      </c>
      <c r="G1613" s="60">
        <v>70</v>
      </c>
      <c r="H1613" s="60">
        <v>16</v>
      </c>
      <c r="I1613" s="61"/>
      <c r="J1613" s="61"/>
      <c r="K1613" s="61"/>
      <c r="L1613" s="61"/>
      <c r="M1613" s="60">
        <v>30</v>
      </c>
      <c r="N1613" s="61"/>
    </row>
    <row r="1614" spans="1:14" hidden="1" x14ac:dyDescent="0.25">
      <c r="A1614" s="60" t="s">
        <v>213</v>
      </c>
      <c r="B1614" s="60" t="s">
        <v>377</v>
      </c>
      <c r="C1614" s="60" t="s">
        <v>379</v>
      </c>
      <c r="D1614" s="60" t="s">
        <v>378</v>
      </c>
      <c r="E1614" s="60">
        <v>3</v>
      </c>
      <c r="F1614" s="60">
        <v>12</v>
      </c>
      <c r="G1614" s="60">
        <v>75</v>
      </c>
      <c r="H1614" s="60">
        <v>16</v>
      </c>
      <c r="I1614" s="61"/>
      <c r="J1614" s="61"/>
      <c r="K1614" s="61"/>
      <c r="L1614" s="61"/>
      <c r="M1614" s="60">
        <v>30</v>
      </c>
      <c r="N1614" s="61"/>
    </row>
    <row r="1615" spans="1:14" hidden="1" x14ac:dyDescent="0.25">
      <c r="A1615" s="60" t="s">
        <v>213</v>
      </c>
      <c r="B1615" s="60" t="s">
        <v>377</v>
      </c>
      <c r="C1615" s="60" t="s">
        <v>379</v>
      </c>
      <c r="D1615" s="60" t="s">
        <v>378</v>
      </c>
      <c r="E1615" s="60">
        <v>3</v>
      </c>
      <c r="F1615" s="60">
        <v>12</v>
      </c>
      <c r="G1615" s="60">
        <v>80</v>
      </c>
      <c r="H1615" s="60">
        <v>16</v>
      </c>
      <c r="I1615" s="61"/>
      <c r="J1615" s="61"/>
      <c r="K1615" s="61"/>
      <c r="L1615" s="61"/>
      <c r="M1615" s="60">
        <v>30</v>
      </c>
      <c r="N1615" s="61"/>
    </row>
    <row r="1616" spans="1:14" hidden="1" x14ac:dyDescent="0.25">
      <c r="A1616" s="60" t="s">
        <v>213</v>
      </c>
      <c r="B1616" s="60" t="s">
        <v>377</v>
      </c>
      <c r="C1616" s="60" t="s">
        <v>379</v>
      </c>
      <c r="D1616" s="60" t="s">
        <v>378</v>
      </c>
      <c r="E1616" s="60">
        <v>3</v>
      </c>
      <c r="F1616" s="60">
        <v>12</v>
      </c>
      <c r="G1616" s="60">
        <v>85</v>
      </c>
      <c r="H1616" s="60">
        <v>16</v>
      </c>
      <c r="I1616" s="61"/>
      <c r="J1616" s="61"/>
      <c r="K1616" s="61"/>
      <c r="L1616" s="61"/>
      <c r="M1616" s="60">
        <v>30</v>
      </c>
      <c r="N1616" s="61"/>
    </row>
    <row r="1617" spans="1:14" hidden="1" x14ac:dyDescent="0.25">
      <c r="A1617" s="60" t="s">
        <v>213</v>
      </c>
      <c r="B1617" s="60" t="s">
        <v>377</v>
      </c>
      <c r="C1617" s="60" t="s">
        <v>379</v>
      </c>
      <c r="D1617" s="60" t="s">
        <v>378</v>
      </c>
      <c r="E1617" s="60">
        <v>3</v>
      </c>
      <c r="F1617" s="60">
        <v>12</v>
      </c>
      <c r="G1617" s="60">
        <v>90</v>
      </c>
      <c r="H1617" s="60">
        <v>16</v>
      </c>
      <c r="I1617" s="61"/>
      <c r="J1617" s="61"/>
      <c r="K1617" s="61"/>
      <c r="L1617" s="61"/>
      <c r="M1617" s="60">
        <v>30</v>
      </c>
      <c r="N1617" s="61"/>
    </row>
    <row r="1618" spans="1:14" hidden="1" x14ac:dyDescent="0.25">
      <c r="A1618" s="60" t="s">
        <v>213</v>
      </c>
      <c r="B1618" s="60" t="s">
        <v>377</v>
      </c>
      <c r="C1618" s="60" t="s">
        <v>379</v>
      </c>
      <c r="D1618" s="60" t="s">
        <v>378</v>
      </c>
      <c r="E1618" s="60">
        <v>3</v>
      </c>
      <c r="F1618" s="60">
        <v>12</v>
      </c>
      <c r="G1618" s="60">
        <v>95</v>
      </c>
      <c r="H1618" s="60">
        <v>16</v>
      </c>
      <c r="I1618" s="61"/>
      <c r="J1618" s="61"/>
      <c r="K1618" s="61"/>
      <c r="L1618" s="61"/>
      <c r="M1618" s="60">
        <v>30</v>
      </c>
      <c r="N1618" s="61"/>
    </row>
    <row r="1619" spans="1:14" hidden="1" x14ac:dyDescent="0.25">
      <c r="A1619" s="60" t="s">
        <v>213</v>
      </c>
      <c r="B1619" s="60" t="s">
        <v>377</v>
      </c>
      <c r="C1619" s="60" t="s">
        <v>379</v>
      </c>
      <c r="D1619" s="60" t="s">
        <v>378</v>
      </c>
      <c r="E1619" s="60">
        <v>3</v>
      </c>
      <c r="F1619" s="60">
        <v>12</v>
      </c>
      <c r="G1619" s="60">
        <v>100</v>
      </c>
      <c r="H1619" s="60">
        <v>18</v>
      </c>
      <c r="I1619" s="60"/>
      <c r="J1619" s="60"/>
      <c r="K1619" s="60"/>
      <c r="L1619" s="60"/>
      <c r="M1619" s="60">
        <v>30</v>
      </c>
      <c r="N1619" s="60"/>
    </row>
    <row r="1620" spans="1:14" hidden="1" x14ac:dyDescent="0.25">
      <c r="A1620" s="60" t="s">
        <v>213</v>
      </c>
      <c r="B1620" s="60" t="s">
        <v>377</v>
      </c>
      <c r="C1620" s="60" t="s">
        <v>379</v>
      </c>
      <c r="D1620" s="60" t="s">
        <v>378</v>
      </c>
      <c r="E1620" s="60">
        <v>3</v>
      </c>
      <c r="F1620" s="60">
        <v>12</v>
      </c>
      <c r="G1620" s="60">
        <v>110</v>
      </c>
      <c r="H1620" s="60">
        <v>18</v>
      </c>
      <c r="I1620" s="60"/>
      <c r="J1620" s="60"/>
      <c r="K1620" s="60"/>
      <c r="L1620" s="60"/>
      <c r="M1620" s="60">
        <v>30</v>
      </c>
      <c r="N1620" s="60"/>
    </row>
    <row r="1621" spans="1:14" hidden="1" x14ac:dyDescent="0.25">
      <c r="A1621" s="60" t="s">
        <v>213</v>
      </c>
      <c r="B1621" s="60" t="s">
        <v>377</v>
      </c>
      <c r="C1621" s="60" t="s">
        <v>379</v>
      </c>
      <c r="D1621" s="60" t="s">
        <v>378</v>
      </c>
      <c r="E1621" s="60">
        <v>3</v>
      </c>
      <c r="F1621" s="60">
        <v>12</v>
      </c>
      <c r="G1621" s="60">
        <v>115</v>
      </c>
      <c r="H1621" s="60">
        <v>18</v>
      </c>
      <c r="I1621" s="60"/>
      <c r="J1621" s="60"/>
      <c r="K1621" s="60"/>
      <c r="L1621" s="60"/>
      <c r="M1621" s="60">
        <v>30</v>
      </c>
      <c r="N1621" s="60"/>
    </row>
    <row r="1622" spans="1:14" hidden="1" x14ac:dyDescent="0.25">
      <c r="A1622" s="60" t="s">
        <v>213</v>
      </c>
      <c r="B1622" s="60" t="s">
        <v>377</v>
      </c>
      <c r="C1622" s="60" t="s">
        <v>379</v>
      </c>
      <c r="D1622" s="60" t="s">
        <v>378</v>
      </c>
      <c r="E1622" s="60">
        <v>3</v>
      </c>
      <c r="F1622" s="60">
        <v>12</v>
      </c>
      <c r="G1622" s="60">
        <v>120</v>
      </c>
      <c r="H1622" s="60">
        <v>18</v>
      </c>
      <c r="I1622" s="60"/>
      <c r="J1622" s="60"/>
      <c r="K1622" s="60"/>
      <c r="L1622" s="60"/>
      <c r="M1622" s="60">
        <v>30</v>
      </c>
      <c r="N1622" s="60"/>
    </row>
    <row r="1623" spans="1:14" hidden="1" x14ac:dyDescent="0.25">
      <c r="A1623" s="60" t="s">
        <v>213</v>
      </c>
      <c r="B1623" s="60" t="s">
        <v>377</v>
      </c>
      <c r="C1623" s="60" t="s">
        <v>379</v>
      </c>
      <c r="D1623" s="60" t="s">
        <v>378</v>
      </c>
      <c r="E1623" s="60">
        <v>3</v>
      </c>
      <c r="F1623" s="60">
        <v>12</v>
      </c>
      <c r="G1623" s="60">
        <v>130</v>
      </c>
      <c r="H1623" s="60">
        <v>18</v>
      </c>
      <c r="I1623" s="60"/>
      <c r="J1623" s="60"/>
      <c r="K1623" s="60"/>
      <c r="L1623" s="60"/>
      <c r="M1623" s="60">
        <v>36</v>
      </c>
      <c r="N1623" s="60"/>
    </row>
    <row r="1624" spans="1:14" hidden="1" x14ac:dyDescent="0.25">
      <c r="A1624" s="60" t="s">
        <v>213</v>
      </c>
      <c r="B1624" s="60" t="s">
        <v>377</v>
      </c>
      <c r="C1624" s="60" t="s">
        <v>379</v>
      </c>
      <c r="D1624" s="60" t="s">
        <v>378</v>
      </c>
      <c r="E1624" s="60">
        <v>3</v>
      </c>
      <c r="F1624" s="60">
        <v>12</v>
      </c>
      <c r="G1624" s="60">
        <v>140</v>
      </c>
      <c r="H1624" s="60">
        <v>18</v>
      </c>
      <c r="I1624" s="60"/>
      <c r="J1624" s="60"/>
      <c r="K1624" s="60"/>
      <c r="L1624" s="60"/>
      <c r="M1624" s="60">
        <v>36</v>
      </c>
      <c r="N1624" s="60"/>
    </row>
    <row r="1625" spans="1:14" hidden="1" x14ac:dyDescent="0.25">
      <c r="A1625" s="60" t="s">
        <v>213</v>
      </c>
      <c r="B1625" s="60" t="s">
        <v>377</v>
      </c>
      <c r="C1625" s="60" t="s">
        <v>379</v>
      </c>
      <c r="D1625" s="60" t="s">
        <v>378</v>
      </c>
      <c r="E1625" s="60">
        <v>3</v>
      </c>
      <c r="F1625" s="60">
        <v>12</v>
      </c>
      <c r="G1625" s="60">
        <v>150</v>
      </c>
      <c r="H1625" s="60">
        <v>18</v>
      </c>
      <c r="I1625" s="60"/>
      <c r="J1625" s="60"/>
      <c r="K1625" s="60"/>
      <c r="L1625" s="60"/>
      <c r="M1625" s="60">
        <v>36</v>
      </c>
      <c r="N1625" s="60"/>
    </row>
    <row r="1626" spans="1:14" hidden="1" x14ac:dyDescent="0.25">
      <c r="A1626" s="60" t="s">
        <v>213</v>
      </c>
      <c r="B1626" s="60" t="s">
        <v>377</v>
      </c>
      <c r="C1626" s="60" t="s">
        <v>379</v>
      </c>
      <c r="D1626" s="60" t="s">
        <v>378</v>
      </c>
      <c r="E1626" s="60">
        <v>3</v>
      </c>
      <c r="F1626" s="60">
        <v>12</v>
      </c>
      <c r="G1626" s="60">
        <v>160</v>
      </c>
      <c r="H1626" s="60">
        <v>18</v>
      </c>
      <c r="I1626" s="60"/>
      <c r="J1626" s="60"/>
      <c r="K1626" s="60"/>
      <c r="L1626" s="60"/>
      <c r="M1626" s="60">
        <v>36</v>
      </c>
      <c r="N1626" s="60"/>
    </row>
    <row r="1627" spans="1:14" hidden="1" x14ac:dyDescent="0.25">
      <c r="A1627" s="60" t="s">
        <v>213</v>
      </c>
      <c r="B1627" s="60" t="s">
        <v>377</v>
      </c>
      <c r="C1627" s="60" t="s">
        <v>379</v>
      </c>
      <c r="D1627" s="60" t="s">
        <v>378</v>
      </c>
      <c r="E1627" s="60">
        <v>3</v>
      </c>
      <c r="F1627" s="60">
        <v>12</v>
      </c>
      <c r="G1627" s="60">
        <v>170</v>
      </c>
      <c r="H1627" s="60">
        <v>18</v>
      </c>
      <c r="I1627" s="60"/>
      <c r="J1627" s="60"/>
      <c r="K1627" s="60"/>
      <c r="L1627" s="60"/>
      <c r="M1627" s="60">
        <v>36</v>
      </c>
      <c r="N1627" s="60"/>
    </row>
    <row r="1628" spans="1:14" hidden="1" x14ac:dyDescent="0.25">
      <c r="A1628" s="60" t="s">
        <v>213</v>
      </c>
      <c r="B1628" s="60" t="s">
        <v>377</v>
      </c>
      <c r="C1628" s="60" t="s">
        <v>379</v>
      </c>
      <c r="D1628" s="60" t="s">
        <v>378</v>
      </c>
      <c r="E1628" s="60">
        <v>3</v>
      </c>
      <c r="F1628" s="60">
        <v>12</v>
      </c>
      <c r="G1628" s="60">
        <v>180</v>
      </c>
      <c r="H1628" s="60">
        <v>18</v>
      </c>
      <c r="I1628" s="60"/>
      <c r="J1628" s="60"/>
      <c r="K1628" s="60"/>
      <c r="L1628" s="60"/>
      <c r="M1628" s="60">
        <v>36</v>
      </c>
      <c r="N1628" s="60"/>
    </row>
    <row r="1629" spans="1:14" hidden="1" x14ac:dyDescent="0.25">
      <c r="A1629" s="60" t="s">
        <v>213</v>
      </c>
      <c r="B1629" s="60" t="s">
        <v>377</v>
      </c>
      <c r="C1629" s="60" t="s">
        <v>379</v>
      </c>
      <c r="D1629" s="60" t="s">
        <v>378</v>
      </c>
      <c r="E1629" s="60">
        <v>3</v>
      </c>
      <c r="F1629" s="60">
        <v>12</v>
      </c>
      <c r="G1629" s="60">
        <v>190</v>
      </c>
      <c r="H1629" s="60">
        <v>18</v>
      </c>
      <c r="I1629" s="60"/>
      <c r="J1629" s="60"/>
      <c r="K1629" s="60"/>
      <c r="L1629" s="60"/>
      <c r="M1629" s="60">
        <v>36</v>
      </c>
      <c r="N1629" s="60"/>
    </row>
    <row r="1630" spans="1:14" hidden="1" x14ac:dyDescent="0.25">
      <c r="A1630" s="60" t="s">
        <v>213</v>
      </c>
      <c r="B1630" s="60" t="s">
        <v>377</v>
      </c>
      <c r="C1630" s="60" t="s">
        <v>379</v>
      </c>
      <c r="D1630" s="60" t="s">
        <v>378</v>
      </c>
      <c r="E1630" s="60">
        <v>3</v>
      </c>
      <c r="F1630" s="60">
        <v>12</v>
      </c>
      <c r="G1630" s="60">
        <v>200</v>
      </c>
      <c r="H1630" s="60">
        <v>18</v>
      </c>
      <c r="I1630" s="60"/>
      <c r="J1630" s="60"/>
      <c r="K1630" s="60"/>
      <c r="L1630" s="60"/>
      <c r="M1630" s="60">
        <v>36</v>
      </c>
      <c r="N1630" s="60"/>
    </row>
    <row r="1631" spans="1:14" hidden="1" x14ac:dyDescent="0.25">
      <c r="A1631" s="60" t="s">
        <v>213</v>
      </c>
      <c r="B1631" s="60" t="s">
        <v>377</v>
      </c>
      <c r="C1631" s="60" t="s">
        <v>379</v>
      </c>
      <c r="D1631" s="60" t="s">
        <v>378</v>
      </c>
      <c r="E1631" s="60">
        <v>3</v>
      </c>
      <c r="F1631" s="60">
        <v>12</v>
      </c>
      <c r="G1631" s="60">
        <v>210</v>
      </c>
      <c r="H1631" s="60">
        <v>18</v>
      </c>
      <c r="I1631" s="60"/>
      <c r="J1631" s="60"/>
      <c r="K1631" s="60"/>
      <c r="L1631" s="60"/>
      <c r="M1631" s="60">
        <v>49</v>
      </c>
      <c r="N1631" s="60"/>
    </row>
    <row r="1632" spans="1:14" hidden="1" x14ac:dyDescent="0.25">
      <c r="A1632" s="60" t="s">
        <v>213</v>
      </c>
      <c r="B1632" s="60" t="s">
        <v>377</v>
      </c>
      <c r="C1632" s="60" t="s">
        <v>379</v>
      </c>
      <c r="D1632" s="60" t="s">
        <v>378</v>
      </c>
      <c r="E1632" s="60">
        <v>3</v>
      </c>
      <c r="F1632" s="60">
        <v>12</v>
      </c>
      <c r="G1632" s="60">
        <v>220</v>
      </c>
      <c r="H1632" s="60">
        <v>18</v>
      </c>
      <c r="I1632" s="60"/>
      <c r="J1632" s="60"/>
      <c r="K1632" s="60"/>
      <c r="L1632" s="60"/>
      <c r="M1632" s="60">
        <v>49</v>
      </c>
      <c r="N1632" s="60"/>
    </row>
    <row r="1633" spans="1:14" hidden="1" x14ac:dyDescent="0.25">
      <c r="A1633" s="60" t="s">
        <v>213</v>
      </c>
      <c r="B1633" s="60" t="s">
        <v>377</v>
      </c>
      <c r="C1633" s="60" t="s">
        <v>379</v>
      </c>
      <c r="D1633" s="60" t="s">
        <v>378</v>
      </c>
      <c r="E1633" s="60">
        <v>3</v>
      </c>
      <c r="F1633" s="60">
        <v>12</v>
      </c>
      <c r="G1633" s="60">
        <v>230</v>
      </c>
      <c r="H1633" s="60">
        <v>18</v>
      </c>
      <c r="I1633" s="60"/>
      <c r="J1633" s="60"/>
      <c r="K1633" s="60"/>
      <c r="L1633" s="60"/>
      <c r="M1633" s="60">
        <v>49</v>
      </c>
      <c r="N1633" s="60"/>
    </row>
    <row r="1634" spans="1:14" hidden="1" x14ac:dyDescent="0.25">
      <c r="A1634" s="60" t="s">
        <v>213</v>
      </c>
      <c r="B1634" s="60" t="s">
        <v>377</v>
      </c>
      <c r="C1634" s="60" t="s">
        <v>379</v>
      </c>
      <c r="D1634" s="60" t="s">
        <v>378</v>
      </c>
      <c r="E1634" s="60">
        <v>3</v>
      </c>
      <c r="F1634" s="60">
        <v>12</v>
      </c>
      <c r="G1634" s="60">
        <v>240</v>
      </c>
      <c r="H1634" s="60">
        <v>18</v>
      </c>
      <c r="I1634" s="60"/>
      <c r="J1634" s="60"/>
      <c r="K1634" s="60"/>
      <c r="L1634" s="60"/>
      <c r="M1634" s="60">
        <v>49</v>
      </c>
      <c r="N1634" s="60"/>
    </row>
    <row r="1635" spans="1:14" hidden="1" x14ac:dyDescent="0.25">
      <c r="A1635" s="60" t="s">
        <v>213</v>
      </c>
      <c r="B1635" s="60" t="s">
        <v>377</v>
      </c>
      <c r="C1635" s="60" t="s">
        <v>379</v>
      </c>
      <c r="D1635" s="60" t="s">
        <v>378</v>
      </c>
      <c r="E1635" s="60">
        <v>3</v>
      </c>
      <c r="F1635" s="60">
        <v>12</v>
      </c>
      <c r="G1635" s="60">
        <v>250</v>
      </c>
      <c r="H1635" s="60">
        <v>18</v>
      </c>
      <c r="I1635" s="60"/>
      <c r="J1635" s="60"/>
      <c r="K1635" s="60"/>
      <c r="L1635" s="60"/>
      <c r="M1635" s="60">
        <v>49</v>
      </c>
      <c r="N1635" s="60"/>
    </row>
    <row r="1636" spans="1:14" hidden="1" x14ac:dyDescent="0.25">
      <c r="A1636" s="60" t="s">
        <v>213</v>
      </c>
      <c r="B1636" s="60" t="s">
        <v>377</v>
      </c>
      <c r="C1636" s="60" t="s">
        <v>379</v>
      </c>
      <c r="D1636" s="60" t="s">
        <v>378</v>
      </c>
      <c r="E1636" s="60">
        <v>3</v>
      </c>
      <c r="F1636" s="60">
        <v>12</v>
      </c>
      <c r="G1636" s="60">
        <v>260</v>
      </c>
      <c r="H1636" s="60">
        <v>18</v>
      </c>
      <c r="I1636" s="60"/>
      <c r="J1636" s="60"/>
      <c r="K1636" s="60"/>
      <c r="L1636" s="60"/>
      <c r="M1636" s="60">
        <v>49</v>
      </c>
      <c r="N1636" s="60"/>
    </row>
    <row r="1637" spans="1:14" hidden="1" x14ac:dyDescent="0.25">
      <c r="A1637" s="60" t="s">
        <v>213</v>
      </c>
      <c r="B1637" s="60" t="s">
        <v>377</v>
      </c>
      <c r="C1637" s="60" t="s">
        <v>379</v>
      </c>
      <c r="D1637" s="60" t="s">
        <v>378</v>
      </c>
      <c r="E1637" s="60">
        <v>3</v>
      </c>
      <c r="F1637" s="60">
        <v>12</v>
      </c>
      <c r="G1637" s="60">
        <v>270</v>
      </c>
      <c r="H1637" s="60">
        <v>18</v>
      </c>
      <c r="I1637" s="60"/>
      <c r="J1637" s="60"/>
      <c r="K1637" s="60"/>
      <c r="L1637" s="60"/>
      <c r="M1637" s="60">
        <v>49</v>
      </c>
      <c r="N1637" s="60"/>
    </row>
    <row r="1638" spans="1:14" hidden="1" x14ac:dyDescent="0.25">
      <c r="A1638" s="60" t="s">
        <v>213</v>
      </c>
      <c r="B1638" s="60" t="s">
        <v>377</v>
      </c>
      <c r="C1638" s="60" t="s">
        <v>379</v>
      </c>
      <c r="D1638" s="60" t="s">
        <v>378</v>
      </c>
      <c r="E1638" s="60">
        <v>3</v>
      </c>
      <c r="F1638" s="60">
        <v>12</v>
      </c>
      <c r="G1638" s="60">
        <v>280</v>
      </c>
      <c r="H1638" s="60">
        <v>18</v>
      </c>
      <c r="I1638" s="60"/>
      <c r="J1638" s="60"/>
      <c r="K1638" s="60"/>
      <c r="L1638" s="60"/>
      <c r="M1638" s="60">
        <v>49</v>
      </c>
      <c r="N1638" s="60"/>
    </row>
    <row r="1639" spans="1:14" hidden="1" x14ac:dyDescent="0.25">
      <c r="A1639" s="60" t="s">
        <v>213</v>
      </c>
      <c r="B1639" s="60" t="s">
        <v>377</v>
      </c>
      <c r="C1639" s="60" t="s">
        <v>379</v>
      </c>
      <c r="D1639" s="60" t="s">
        <v>378</v>
      </c>
      <c r="E1639" s="60">
        <v>3</v>
      </c>
      <c r="F1639" s="60">
        <v>12</v>
      </c>
      <c r="G1639" s="60">
        <v>290</v>
      </c>
      <c r="H1639" s="60">
        <v>18</v>
      </c>
      <c r="I1639" s="60"/>
      <c r="J1639" s="60"/>
      <c r="K1639" s="60"/>
      <c r="L1639" s="60"/>
      <c r="M1639" s="60">
        <v>49</v>
      </c>
      <c r="N1639" s="60"/>
    </row>
    <row r="1640" spans="1:14" hidden="1" x14ac:dyDescent="0.25">
      <c r="A1640" s="60" t="s">
        <v>213</v>
      </c>
      <c r="B1640" s="60" t="s">
        <v>377</v>
      </c>
      <c r="C1640" s="60" t="s">
        <v>379</v>
      </c>
      <c r="D1640" s="60" t="s">
        <v>378</v>
      </c>
      <c r="E1640" s="60">
        <v>3</v>
      </c>
      <c r="F1640" s="60">
        <v>12</v>
      </c>
      <c r="G1640" s="60">
        <v>300</v>
      </c>
      <c r="H1640" s="60">
        <v>18</v>
      </c>
      <c r="I1640" s="60"/>
      <c r="J1640" s="60"/>
      <c r="K1640" s="60"/>
      <c r="L1640" s="60"/>
      <c r="M1640" s="60">
        <v>49</v>
      </c>
      <c r="N1640" s="60"/>
    </row>
    <row r="1641" spans="1:14" hidden="1" x14ac:dyDescent="0.25">
      <c r="A1641" s="60" t="s">
        <v>213</v>
      </c>
      <c r="B1641" s="60" t="s">
        <v>377</v>
      </c>
      <c r="C1641" s="60" t="s">
        <v>379</v>
      </c>
      <c r="D1641" s="60" t="s">
        <v>378</v>
      </c>
      <c r="E1641" s="60">
        <v>3</v>
      </c>
      <c r="F1641" s="60">
        <v>12</v>
      </c>
      <c r="G1641" s="60">
        <v>310</v>
      </c>
      <c r="H1641" s="60">
        <v>18</v>
      </c>
      <c r="I1641" s="60"/>
      <c r="J1641" s="60"/>
      <c r="K1641" s="60"/>
      <c r="L1641" s="60"/>
      <c r="M1641" s="60">
        <v>49</v>
      </c>
      <c r="N1641" s="60"/>
    </row>
    <row r="1642" spans="1:14" hidden="1" x14ac:dyDescent="0.25">
      <c r="A1642" s="60" t="s">
        <v>213</v>
      </c>
      <c r="B1642" s="60" t="s">
        <v>377</v>
      </c>
      <c r="C1642" s="60" t="s">
        <v>379</v>
      </c>
      <c r="D1642" s="60" t="s">
        <v>378</v>
      </c>
      <c r="E1642" s="60">
        <v>3</v>
      </c>
      <c r="F1642" s="60">
        <v>12</v>
      </c>
      <c r="G1642" s="60">
        <v>320</v>
      </c>
      <c r="H1642" s="60">
        <v>18</v>
      </c>
      <c r="I1642" s="60"/>
      <c r="J1642" s="60"/>
      <c r="K1642" s="60"/>
      <c r="L1642" s="60"/>
      <c r="M1642" s="60">
        <v>49</v>
      </c>
      <c r="N1642" s="60"/>
    </row>
    <row r="1643" spans="1:14" hidden="1" x14ac:dyDescent="0.25">
      <c r="A1643" s="60" t="s">
        <v>213</v>
      </c>
      <c r="B1643" s="60" t="s">
        <v>377</v>
      </c>
      <c r="C1643" s="60" t="s">
        <v>379</v>
      </c>
      <c r="D1643" s="60" t="s">
        <v>378</v>
      </c>
      <c r="E1643" s="60">
        <v>3</v>
      </c>
      <c r="F1643" s="60">
        <v>12</v>
      </c>
      <c r="G1643" s="60">
        <v>330</v>
      </c>
      <c r="H1643" s="60">
        <v>18</v>
      </c>
      <c r="I1643" s="60"/>
      <c r="J1643" s="60"/>
      <c r="K1643" s="60"/>
      <c r="L1643" s="60"/>
      <c r="M1643" s="60">
        <v>49</v>
      </c>
      <c r="N1643" s="60"/>
    </row>
    <row r="1644" spans="1:14" hidden="1" x14ac:dyDescent="0.25">
      <c r="A1644" s="60" t="s">
        <v>213</v>
      </c>
      <c r="B1644" s="60" t="s">
        <v>377</v>
      </c>
      <c r="C1644" s="60" t="s">
        <v>379</v>
      </c>
      <c r="D1644" s="60" t="s">
        <v>378</v>
      </c>
      <c r="E1644" s="60">
        <v>3</v>
      </c>
      <c r="F1644" s="60">
        <v>14</v>
      </c>
      <c r="G1644" s="60">
        <v>50</v>
      </c>
      <c r="H1644" s="60">
        <v>18</v>
      </c>
      <c r="I1644" s="60"/>
      <c r="J1644" s="60"/>
      <c r="K1644" s="60"/>
      <c r="L1644" s="60"/>
      <c r="M1644" s="60">
        <v>34</v>
      </c>
      <c r="N1644" s="60"/>
    </row>
    <row r="1645" spans="1:14" hidden="1" x14ac:dyDescent="0.25">
      <c r="A1645" s="60" t="s">
        <v>213</v>
      </c>
      <c r="B1645" s="60" t="s">
        <v>377</v>
      </c>
      <c r="C1645" s="60" t="s">
        <v>379</v>
      </c>
      <c r="D1645" s="60" t="s">
        <v>378</v>
      </c>
      <c r="E1645" s="60">
        <v>3</v>
      </c>
      <c r="F1645" s="60">
        <v>14</v>
      </c>
      <c r="G1645" s="60">
        <v>55</v>
      </c>
      <c r="H1645" s="60">
        <v>18</v>
      </c>
      <c r="I1645" s="60"/>
      <c r="J1645" s="60"/>
      <c r="K1645" s="60"/>
      <c r="L1645" s="60"/>
      <c r="M1645" s="60">
        <v>34</v>
      </c>
      <c r="N1645" s="60"/>
    </row>
    <row r="1646" spans="1:14" hidden="1" x14ac:dyDescent="0.25">
      <c r="A1646" s="60" t="s">
        <v>213</v>
      </c>
      <c r="B1646" s="60" t="s">
        <v>377</v>
      </c>
      <c r="C1646" s="60" t="s">
        <v>379</v>
      </c>
      <c r="D1646" s="60" t="s">
        <v>378</v>
      </c>
      <c r="E1646" s="60">
        <v>3</v>
      </c>
      <c r="F1646" s="60">
        <v>14</v>
      </c>
      <c r="G1646" s="60">
        <v>60</v>
      </c>
      <c r="H1646" s="60">
        <v>18</v>
      </c>
      <c r="I1646" s="60"/>
      <c r="J1646" s="60"/>
      <c r="K1646" s="60"/>
      <c r="L1646" s="60"/>
      <c r="M1646" s="60">
        <v>34</v>
      </c>
      <c r="N1646" s="60"/>
    </row>
    <row r="1647" spans="1:14" hidden="1" x14ac:dyDescent="0.25">
      <c r="A1647" s="60" t="s">
        <v>213</v>
      </c>
      <c r="B1647" s="60" t="s">
        <v>377</v>
      </c>
      <c r="C1647" s="60" t="s">
        <v>379</v>
      </c>
      <c r="D1647" s="60" t="s">
        <v>378</v>
      </c>
      <c r="E1647" s="60">
        <v>3</v>
      </c>
      <c r="F1647" s="60">
        <v>14</v>
      </c>
      <c r="G1647" s="60">
        <v>65</v>
      </c>
      <c r="H1647" s="60">
        <v>18</v>
      </c>
      <c r="I1647" s="60"/>
      <c r="J1647" s="60"/>
      <c r="K1647" s="60"/>
      <c r="L1647" s="60"/>
      <c r="M1647" s="60">
        <v>34</v>
      </c>
      <c r="N1647" s="60"/>
    </row>
    <row r="1648" spans="1:14" hidden="1" x14ac:dyDescent="0.25">
      <c r="A1648" s="60" t="s">
        <v>213</v>
      </c>
      <c r="B1648" s="60" t="s">
        <v>377</v>
      </c>
      <c r="C1648" s="60" t="s">
        <v>379</v>
      </c>
      <c r="D1648" s="60" t="s">
        <v>378</v>
      </c>
      <c r="E1648" s="60">
        <v>3</v>
      </c>
      <c r="F1648" s="60">
        <v>14</v>
      </c>
      <c r="G1648" s="60">
        <v>70</v>
      </c>
      <c r="H1648" s="60">
        <v>18</v>
      </c>
      <c r="I1648" s="60"/>
      <c r="J1648" s="60"/>
      <c r="K1648" s="60"/>
      <c r="L1648" s="60"/>
      <c r="M1648" s="60">
        <v>34</v>
      </c>
      <c r="N1648" s="60"/>
    </row>
    <row r="1649" spans="1:14" hidden="1" x14ac:dyDescent="0.25">
      <c r="A1649" s="60" t="s">
        <v>213</v>
      </c>
      <c r="B1649" s="60" t="s">
        <v>377</v>
      </c>
      <c r="C1649" s="60" t="s">
        <v>379</v>
      </c>
      <c r="D1649" s="60" t="s">
        <v>378</v>
      </c>
      <c r="E1649" s="60">
        <v>3</v>
      </c>
      <c r="F1649" s="60">
        <v>14</v>
      </c>
      <c r="G1649" s="60">
        <v>75</v>
      </c>
      <c r="H1649" s="60">
        <v>18</v>
      </c>
      <c r="I1649" s="60"/>
      <c r="J1649" s="60"/>
      <c r="K1649" s="60"/>
      <c r="L1649" s="60"/>
      <c r="M1649" s="60">
        <v>34</v>
      </c>
      <c r="N1649" s="60"/>
    </row>
    <row r="1650" spans="1:14" hidden="1" x14ac:dyDescent="0.25">
      <c r="A1650" s="60" t="s">
        <v>213</v>
      </c>
      <c r="B1650" s="60" t="s">
        <v>377</v>
      </c>
      <c r="C1650" s="60" t="s">
        <v>379</v>
      </c>
      <c r="D1650" s="60" t="s">
        <v>378</v>
      </c>
      <c r="E1650" s="60">
        <v>3</v>
      </c>
      <c r="F1650" s="60">
        <v>14</v>
      </c>
      <c r="G1650" s="60">
        <v>80</v>
      </c>
      <c r="H1650" s="60">
        <v>18</v>
      </c>
      <c r="I1650" s="60"/>
      <c r="J1650" s="60"/>
      <c r="K1650" s="60"/>
      <c r="L1650" s="60"/>
      <c r="M1650" s="60">
        <v>34</v>
      </c>
      <c r="N1650" s="60"/>
    </row>
    <row r="1651" spans="1:14" hidden="1" x14ac:dyDescent="0.25">
      <c r="A1651" s="60" t="s">
        <v>213</v>
      </c>
      <c r="B1651" s="60" t="s">
        <v>377</v>
      </c>
      <c r="C1651" s="60" t="s">
        <v>379</v>
      </c>
      <c r="D1651" s="60" t="s">
        <v>378</v>
      </c>
      <c r="E1651" s="60">
        <v>3</v>
      </c>
      <c r="F1651" s="60">
        <v>14</v>
      </c>
      <c r="G1651" s="60">
        <v>85</v>
      </c>
      <c r="H1651" s="60">
        <v>18</v>
      </c>
      <c r="I1651" s="60"/>
      <c r="J1651" s="60"/>
      <c r="K1651" s="60"/>
      <c r="L1651" s="60"/>
      <c r="M1651" s="60">
        <v>34</v>
      </c>
      <c r="N1651" s="60"/>
    </row>
    <row r="1652" spans="1:14" hidden="1" x14ac:dyDescent="0.25">
      <c r="A1652" s="60" t="s">
        <v>213</v>
      </c>
      <c r="B1652" s="60" t="s">
        <v>377</v>
      </c>
      <c r="C1652" s="60" t="s">
        <v>379</v>
      </c>
      <c r="D1652" s="60" t="s">
        <v>378</v>
      </c>
      <c r="E1652" s="60">
        <v>3</v>
      </c>
      <c r="F1652" s="60">
        <v>14</v>
      </c>
      <c r="G1652" s="60">
        <v>90</v>
      </c>
      <c r="H1652" s="60">
        <v>18</v>
      </c>
      <c r="I1652" s="60"/>
      <c r="J1652" s="60"/>
      <c r="K1652" s="60"/>
      <c r="L1652" s="60"/>
      <c r="M1652" s="60">
        <v>34</v>
      </c>
      <c r="N1652" s="60"/>
    </row>
    <row r="1653" spans="1:14" hidden="1" x14ac:dyDescent="0.25">
      <c r="A1653" s="60" t="s">
        <v>213</v>
      </c>
      <c r="B1653" s="60" t="s">
        <v>377</v>
      </c>
      <c r="C1653" s="60" t="s">
        <v>379</v>
      </c>
      <c r="D1653" s="60" t="s">
        <v>378</v>
      </c>
      <c r="E1653" s="60">
        <v>3</v>
      </c>
      <c r="F1653" s="60">
        <v>14</v>
      </c>
      <c r="G1653" s="60">
        <v>95</v>
      </c>
      <c r="H1653" s="60">
        <v>18</v>
      </c>
      <c r="I1653" s="60"/>
      <c r="J1653" s="60"/>
      <c r="K1653" s="60"/>
      <c r="L1653" s="60"/>
      <c r="M1653" s="60">
        <v>34</v>
      </c>
      <c r="N1653" s="60"/>
    </row>
    <row r="1654" spans="1:14" hidden="1" x14ac:dyDescent="0.25">
      <c r="A1654" s="60" t="s">
        <v>213</v>
      </c>
      <c r="B1654" s="60" t="s">
        <v>377</v>
      </c>
      <c r="C1654" s="60" t="s">
        <v>379</v>
      </c>
      <c r="D1654" s="60" t="s">
        <v>378</v>
      </c>
      <c r="E1654" s="60">
        <v>3</v>
      </c>
      <c r="F1654" s="60">
        <v>14</v>
      </c>
      <c r="G1654" s="60">
        <v>100</v>
      </c>
      <c r="H1654" s="60">
        <v>21</v>
      </c>
      <c r="I1654" s="60"/>
      <c r="J1654" s="60"/>
      <c r="K1654" s="60"/>
      <c r="L1654" s="60"/>
      <c r="M1654" s="60">
        <v>34</v>
      </c>
      <c r="N1654" s="60"/>
    </row>
    <row r="1655" spans="1:14" hidden="1" x14ac:dyDescent="0.25">
      <c r="A1655" s="60" t="s">
        <v>213</v>
      </c>
      <c r="B1655" s="60" t="s">
        <v>377</v>
      </c>
      <c r="C1655" s="60" t="s">
        <v>379</v>
      </c>
      <c r="D1655" s="60" t="s">
        <v>378</v>
      </c>
      <c r="E1655" s="60">
        <v>3</v>
      </c>
      <c r="F1655" s="60">
        <v>14</v>
      </c>
      <c r="G1655" s="60">
        <v>110</v>
      </c>
      <c r="H1655" s="60">
        <v>21</v>
      </c>
      <c r="I1655" s="60"/>
      <c r="J1655" s="60"/>
      <c r="K1655" s="60"/>
      <c r="L1655" s="60"/>
      <c r="M1655" s="60">
        <v>34</v>
      </c>
      <c r="N1655" s="60"/>
    </row>
    <row r="1656" spans="1:14" hidden="1" x14ac:dyDescent="0.25">
      <c r="A1656" s="60" t="s">
        <v>213</v>
      </c>
      <c r="B1656" s="60" t="s">
        <v>377</v>
      </c>
      <c r="C1656" s="60" t="s">
        <v>379</v>
      </c>
      <c r="D1656" s="60" t="s">
        <v>378</v>
      </c>
      <c r="E1656" s="60">
        <v>3</v>
      </c>
      <c r="F1656" s="60">
        <v>14</v>
      </c>
      <c r="G1656" s="60">
        <v>120</v>
      </c>
      <c r="H1656" s="60">
        <v>21</v>
      </c>
      <c r="I1656" s="60"/>
      <c r="J1656" s="60"/>
      <c r="K1656" s="60"/>
      <c r="L1656" s="60"/>
      <c r="M1656" s="60">
        <v>34</v>
      </c>
      <c r="N1656" s="60"/>
    </row>
    <row r="1657" spans="1:14" hidden="1" x14ac:dyDescent="0.25">
      <c r="A1657" s="60" t="s">
        <v>213</v>
      </c>
      <c r="B1657" s="60" t="s">
        <v>377</v>
      </c>
      <c r="C1657" s="60" t="s">
        <v>379</v>
      </c>
      <c r="D1657" s="60" t="s">
        <v>378</v>
      </c>
      <c r="E1657" s="60">
        <v>3</v>
      </c>
      <c r="F1657" s="60">
        <v>14</v>
      </c>
      <c r="G1657" s="60">
        <v>130</v>
      </c>
      <c r="H1657" s="60">
        <v>21</v>
      </c>
      <c r="I1657" s="60"/>
      <c r="J1657" s="60"/>
      <c r="K1657" s="60"/>
      <c r="L1657" s="60"/>
      <c r="M1657" s="60">
        <v>40</v>
      </c>
      <c r="N1657" s="60"/>
    </row>
    <row r="1658" spans="1:14" hidden="1" x14ac:dyDescent="0.25">
      <c r="A1658" s="60" t="s">
        <v>213</v>
      </c>
      <c r="B1658" s="60" t="s">
        <v>377</v>
      </c>
      <c r="C1658" s="60" t="s">
        <v>379</v>
      </c>
      <c r="D1658" s="60" t="s">
        <v>378</v>
      </c>
      <c r="E1658" s="60">
        <v>3</v>
      </c>
      <c r="F1658" s="60">
        <v>14</v>
      </c>
      <c r="G1658" s="60">
        <v>140</v>
      </c>
      <c r="H1658" s="60">
        <v>21</v>
      </c>
      <c r="I1658" s="60"/>
      <c r="J1658" s="60"/>
      <c r="K1658" s="60"/>
      <c r="L1658" s="60"/>
      <c r="M1658" s="60">
        <v>40</v>
      </c>
      <c r="N1658" s="60"/>
    </row>
    <row r="1659" spans="1:14" hidden="1" x14ac:dyDescent="0.25">
      <c r="A1659" s="60" t="s">
        <v>213</v>
      </c>
      <c r="B1659" s="60" t="s">
        <v>377</v>
      </c>
      <c r="C1659" s="60" t="s">
        <v>379</v>
      </c>
      <c r="D1659" s="60" t="s">
        <v>378</v>
      </c>
      <c r="E1659" s="60">
        <v>3</v>
      </c>
      <c r="F1659" s="60">
        <v>14</v>
      </c>
      <c r="G1659" s="60">
        <v>150</v>
      </c>
      <c r="H1659" s="60">
        <v>21</v>
      </c>
      <c r="I1659" s="60"/>
      <c r="J1659" s="60"/>
      <c r="K1659" s="60"/>
      <c r="L1659" s="60"/>
      <c r="M1659" s="60">
        <v>40</v>
      </c>
      <c r="N1659" s="60"/>
    </row>
    <row r="1660" spans="1:14" hidden="1" x14ac:dyDescent="0.25">
      <c r="A1660" s="60" t="s">
        <v>213</v>
      </c>
      <c r="B1660" s="60" t="s">
        <v>377</v>
      </c>
      <c r="C1660" s="60" t="s">
        <v>379</v>
      </c>
      <c r="D1660" s="60" t="s">
        <v>378</v>
      </c>
      <c r="E1660" s="60">
        <v>3</v>
      </c>
      <c r="F1660" s="60">
        <v>14</v>
      </c>
      <c r="G1660" s="60">
        <v>160</v>
      </c>
      <c r="H1660" s="60">
        <v>21</v>
      </c>
      <c r="I1660" s="60"/>
      <c r="J1660" s="60"/>
      <c r="K1660" s="60"/>
      <c r="L1660" s="60"/>
      <c r="M1660" s="60">
        <v>40</v>
      </c>
      <c r="N1660" s="60"/>
    </row>
    <row r="1661" spans="1:14" hidden="1" x14ac:dyDescent="0.25">
      <c r="A1661" s="60" t="s">
        <v>213</v>
      </c>
      <c r="B1661" s="60" t="s">
        <v>377</v>
      </c>
      <c r="C1661" s="60" t="s">
        <v>379</v>
      </c>
      <c r="D1661" s="60" t="s">
        <v>378</v>
      </c>
      <c r="E1661" s="60">
        <v>3</v>
      </c>
      <c r="F1661" s="60">
        <v>14</v>
      </c>
      <c r="G1661" s="60">
        <v>170</v>
      </c>
      <c r="H1661" s="60">
        <v>21</v>
      </c>
      <c r="I1661" s="60"/>
      <c r="J1661" s="60"/>
      <c r="K1661" s="60"/>
      <c r="L1661" s="60"/>
      <c r="M1661" s="60">
        <v>40</v>
      </c>
      <c r="N1661" s="60"/>
    </row>
    <row r="1662" spans="1:14" hidden="1" x14ac:dyDescent="0.25">
      <c r="A1662" s="60" t="s">
        <v>213</v>
      </c>
      <c r="B1662" s="60" t="s">
        <v>377</v>
      </c>
      <c r="C1662" s="60" t="s">
        <v>379</v>
      </c>
      <c r="D1662" s="60" t="s">
        <v>378</v>
      </c>
      <c r="E1662" s="60">
        <v>3</v>
      </c>
      <c r="F1662" s="60">
        <v>14</v>
      </c>
      <c r="G1662" s="60">
        <v>180</v>
      </c>
      <c r="H1662" s="60">
        <v>21</v>
      </c>
      <c r="I1662" s="60"/>
      <c r="J1662" s="60"/>
      <c r="K1662" s="60"/>
      <c r="L1662" s="60"/>
      <c r="M1662" s="60">
        <v>40</v>
      </c>
      <c r="N1662" s="60"/>
    </row>
    <row r="1663" spans="1:14" hidden="1" x14ac:dyDescent="0.25">
      <c r="A1663" s="60" t="s">
        <v>213</v>
      </c>
      <c r="B1663" s="60" t="s">
        <v>377</v>
      </c>
      <c r="C1663" s="60" t="s">
        <v>379</v>
      </c>
      <c r="D1663" s="60" t="s">
        <v>378</v>
      </c>
      <c r="E1663" s="60">
        <v>3</v>
      </c>
      <c r="F1663" s="60">
        <v>14</v>
      </c>
      <c r="G1663" s="60">
        <v>190</v>
      </c>
      <c r="H1663" s="60">
        <v>21</v>
      </c>
      <c r="I1663" s="60"/>
      <c r="J1663" s="60"/>
      <c r="K1663" s="60"/>
      <c r="L1663" s="60"/>
      <c r="M1663" s="60">
        <v>40</v>
      </c>
      <c r="N1663" s="60"/>
    </row>
    <row r="1664" spans="1:14" hidden="1" x14ac:dyDescent="0.25">
      <c r="A1664" s="60" t="s">
        <v>213</v>
      </c>
      <c r="B1664" s="60" t="s">
        <v>377</v>
      </c>
      <c r="C1664" s="60" t="s">
        <v>379</v>
      </c>
      <c r="D1664" s="60" t="s">
        <v>378</v>
      </c>
      <c r="E1664" s="60">
        <v>3</v>
      </c>
      <c r="F1664" s="60">
        <v>14</v>
      </c>
      <c r="G1664" s="60">
        <v>200</v>
      </c>
      <c r="H1664" s="60">
        <v>21</v>
      </c>
      <c r="I1664" s="60"/>
      <c r="J1664" s="60"/>
      <c r="K1664" s="60"/>
      <c r="L1664" s="60"/>
      <c r="M1664" s="60">
        <v>40</v>
      </c>
      <c r="N1664" s="60"/>
    </row>
    <row r="1665" spans="1:14" hidden="1" x14ac:dyDescent="0.25">
      <c r="A1665" s="60" t="s">
        <v>213</v>
      </c>
      <c r="B1665" s="60" t="s">
        <v>377</v>
      </c>
      <c r="C1665" s="60" t="s">
        <v>379</v>
      </c>
      <c r="D1665" s="60" t="s">
        <v>378</v>
      </c>
      <c r="E1665" s="60">
        <v>3</v>
      </c>
      <c r="F1665" s="60">
        <v>14</v>
      </c>
      <c r="G1665" s="60">
        <v>220</v>
      </c>
      <c r="H1665" s="60">
        <v>21</v>
      </c>
      <c r="I1665" s="60"/>
      <c r="J1665" s="60"/>
      <c r="K1665" s="60"/>
      <c r="L1665" s="60"/>
      <c r="M1665" s="60">
        <v>53</v>
      </c>
      <c r="N1665" s="60"/>
    </row>
    <row r="1666" spans="1:14" hidden="1" x14ac:dyDescent="0.25">
      <c r="A1666" s="60" t="s">
        <v>213</v>
      </c>
      <c r="B1666" s="60" t="s">
        <v>377</v>
      </c>
      <c r="C1666" s="60" t="s">
        <v>379</v>
      </c>
      <c r="D1666" s="60" t="s">
        <v>378</v>
      </c>
      <c r="E1666" s="60">
        <v>3</v>
      </c>
      <c r="F1666" s="60">
        <v>14</v>
      </c>
      <c r="G1666" s="60">
        <v>240</v>
      </c>
      <c r="H1666" s="60">
        <v>21</v>
      </c>
      <c r="I1666" s="60"/>
      <c r="J1666" s="60"/>
      <c r="K1666" s="60"/>
      <c r="L1666" s="60"/>
      <c r="M1666" s="60">
        <v>53</v>
      </c>
      <c r="N1666" s="60"/>
    </row>
    <row r="1667" spans="1:14" hidden="1" x14ac:dyDescent="0.25">
      <c r="A1667" s="60" t="s">
        <v>213</v>
      </c>
      <c r="B1667" s="60" t="s">
        <v>377</v>
      </c>
      <c r="C1667" s="60" t="s">
        <v>379</v>
      </c>
      <c r="D1667" s="60" t="s">
        <v>378</v>
      </c>
      <c r="E1667" s="60">
        <v>3</v>
      </c>
      <c r="F1667" s="60">
        <v>16</v>
      </c>
      <c r="G1667" s="60">
        <v>50</v>
      </c>
      <c r="H1667" s="60">
        <v>21</v>
      </c>
      <c r="I1667" s="60"/>
      <c r="J1667" s="60"/>
      <c r="K1667" s="60"/>
      <c r="L1667" s="60"/>
      <c r="M1667" s="60">
        <v>38</v>
      </c>
      <c r="N1667" s="60"/>
    </row>
    <row r="1668" spans="1:14" hidden="1" x14ac:dyDescent="0.25">
      <c r="A1668" s="60" t="s">
        <v>213</v>
      </c>
      <c r="B1668" s="60" t="s">
        <v>377</v>
      </c>
      <c r="C1668" s="60" t="s">
        <v>379</v>
      </c>
      <c r="D1668" s="60" t="s">
        <v>378</v>
      </c>
      <c r="E1668" s="60">
        <v>3</v>
      </c>
      <c r="F1668" s="60">
        <v>16</v>
      </c>
      <c r="G1668" s="60">
        <v>55</v>
      </c>
      <c r="H1668" s="60">
        <v>21</v>
      </c>
      <c r="I1668" s="60"/>
      <c r="J1668" s="60"/>
      <c r="K1668" s="60"/>
      <c r="L1668" s="60"/>
      <c r="M1668" s="60">
        <v>38</v>
      </c>
      <c r="N1668" s="60"/>
    </row>
    <row r="1669" spans="1:14" hidden="1" x14ac:dyDescent="0.25">
      <c r="A1669" s="60" t="s">
        <v>213</v>
      </c>
      <c r="B1669" s="60" t="s">
        <v>377</v>
      </c>
      <c r="C1669" s="60" t="s">
        <v>379</v>
      </c>
      <c r="D1669" s="60" t="s">
        <v>378</v>
      </c>
      <c r="E1669" s="60">
        <v>3</v>
      </c>
      <c r="F1669" s="60">
        <v>16</v>
      </c>
      <c r="G1669" s="60">
        <v>60</v>
      </c>
      <c r="H1669" s="60">
        <v>21</v>
      </c>
      <c r="I1669" s="60"/>
      <c r="J1669" s="60"/>
      <c r="K1669" s="60"/>
      <c r="L1669" s="60"/>
      <c r="M1669" s="60">
        <v>38</v>
      </c>
      <c r="N1669" s="60"/>
    </row>
    <row r="1670" spans="1:14" hidden="1" x14ac:dyDescent="0.25">
      <c r="A1670" s="60" t="s">
        <v>213</v>
      </c>
      <c r="B1670" s="60" t="s">
        <v>377</v>
      </c>
      <c r="C1670" s="60" t="s">
        <v>379</v>
      </c>
      <c r="D1670" s="60" t="s">
        <v>378</v>
      </c>
      <c r="E1670" s="60">
        <v>3</v>
      </c>
      <c r="F1670" s="60">
        <v>16</v>
      </c>
      <c r="G1670" s="60">
        <v>65</v>
      </c>
      <c r="H1670" s="60">
        <v>21</v>
      </c>
      <c r="I1670" s="60"/>
      <c r="J1670" s="60"/>
      <c r="K1670" s="60"/>
      <c r="L1670" s="60"/>
      <c r="M1670" s="60">
        <v>38</v>
      </c>
      <c r="N1670" s="60"/>
    </row>
    <row r="1671" spans="1:14" hidden="1" x14ac:dyDescent="0.25">
      <c r="A1671" s="60" t="s">
        <v>213</v>
      </c>
      <c r="B1671" s="60" t="s">
        <v>377</v>
      </c>
      <c r="C1671" s="60" t="s">
        <v>379</v>
      </c>
      <c r="D1671" s="60" t="s">
        <v>378</v>
      </c>
      <c r="E1671" s="60">
        <v>3</v>
      </c>
      <c r="F1671" s="60">
        <v>16</v>
      </c>
      <c r="G1671" s="60">
        <v>70</v>
      </c>
      <c r="H1671" s="60">
        <v>21</v>
      </c>
      <c r="I1671" s="60"/>
      <c r="J1671" s="60"/>
      <c r="K1671" s="60"/>
      <c r="L1671" s="60"/>
      <c r="M1671" s="60">
        <v>38</v>
      </c>
      <c r="N1671" s="60"/>
    </row>
    <row r="1672" spans="1:14" hidden="1" x14ac:dyDescent="0.25">
      <c r="A1672" s="60" t="s">
        <v>213</v>
      </c>
      <c r="B1672" s="60" t="s">
        <v>377</v>
      </c>
      <c r="C1672" s="60" t="s">
        <v>379</v>
      </c>
      <c r="D1672" s="60" t="s">
        <v>378</v>
      </c>
      <c r="E1672" s="60">
        <v>3</v>
      </c>
      <c r="F1672" s="60">
        <v>16</v>
      </c>
      <c r="G1672" s="60">
        <v>75</v>
      </c>
      <c r="H1672" s="60">
        <v>21</v>
      </c>
      <c r="I1672" s="60"/>
      <c r="J1672" s="60"/>
      <c r="K1672" s="60"/>
      <c r="L1672" s="60"/>
      <c r="M1672" s="60">
        <v>38</v>
      </c>
      <c r="N1672" s="60"/>
    </row>
    <row r="1673" spans="1:14" hidden="1" x14ac:dyDescent="0.25">
      <c r="A1673" s="60" t="s">
        <v>213</v>
      </c>
      <c r="B1673" s="60" t="s">
        <v>377</v>
      </c>
      <c r="C1673" s="60" t="s">
        <v>379</v>
      </c>
      <c r="D1673" s="60" t="s">
        <v>378</v>
      </c>
      <c r="E1673" s="60">
        <v>3</v>
      </c>
      <c r="F1673" s="60">
        <v>16</v>
      </c>
      <c r="G1673" s="60">
        <v>80</v>
      </c>
      <c r="H1673" s="60">
        <v>21</v>
      </c>
      <c r="I1673" s="60"/>
      <c r="J1673" s="60"/>
      <c r="K1673" s="60"/>
      <c r="L1673" s="60"/>
      <c r="M1673" s="60">
        <v>38</v>
      </c>
      <c r="N1673" s="60"/>
    </row>
    <row r="1674" spans="1:14" hidden="1" x14ac:dyDescent="0.25">
      <c r="A1674" s="60" t="s">
        <v>213</v>
      </c>
      <c r="B1674" s="60" t="s">
        <v>377</v>
      </c>
      <c r="C1674" s="60" t="s">
        <v>379</v>
      </c>
      <c r="D1674" s="60" t="s">
        <v>378</v>
      </c>
      <c r="E1674" s="60">
        <v>3</v>
      </c>
      <c r="F1674" s="60">
        <v>16</v>
      </c>
      <c r="G1674" s="60">
        <v>85</v>
      </c>
      <c r="H1674" s="60">
        <v>21</v>
      </c>
      <c r="I1674" s="60"/>
      <c r="J1674" s="60"/>
      <c r="K1674" s="60"/>
      <c r="L1674" s="60"/>
      <c r="M1674" s="60">
        <v>38</v>
      </c>
      <c r="N1674" s="60"/>
    </row>
    <row r="1675" spans="1:14" hidden="1" x14ac:dyDescent="0.25">
      <c r="A1675" s="60" t="s">
        <v>213</v>
      </c>
      <c r="B1675" s="60" t="s">
        <v>377</v>
      </c>
      <c r="C1675" s="60" t="s">
        <v>379</v>
      </c>
      <c r="D1675" s="60" t="s">
        <v>378</v>
      </c>
      <c r="E1675" s="60">
        <v>3</v>
      </c>
      <c r="F1675" s="60">
        <v>16</v>
      </c>
      <c r="G1675" s="60">
        <v>90</v>
      </c>
      <c r="H1675" s="60">
        <v>21</v>
      </c>
      <c r="I1675" s="60"/>
      <c r="J1675" s="60"/>
      <c r="K1675" s="60"/>
      <c r="L1675" s="60"/>
      <c r="M1675" s="60">
        <v>38</v>
      </c>
      <c r="N1675" s="60"/>
    </row>
    <row r="1676" spans="1:14" hidden="1" x14ac:dyDescent="0.25">
      <c r="A1676" s="60" t="s">
        <v>213</v>
      </c>
      <c r="B1676" s="60" t="s">
        <v>377</v>
      </c>
      <c r="C1676" s="60" t="s">
        <v>379</v>
      </c>
      <c r="D1676" s="60" t="s">
        <v>378</v>
      </c>
      <c r="E1676" s="60">
        <v>3</v>
      </c>
      <c r="F1676" s="60">
        <v>16</v>
      </c>
      <c r="G1676" s="60">
        <v>95</v>
      </c>
      <c r="H1676" s="60">
        <v>21</v>
      </c>
      <c r="I1676" s="60"/>
      <c r="J1676" s="60"/>
      <c r="K1676" s="60"/>
      <c r="L1676" s="60"/>
      <c r="M1676" s="60">
        <v>38</v>
      </c>
      <c r="N1676" s="60"/>
    </row>
    <row r="1677" spans="1:14" hidden="1" x14ac:dyDescent="0.25">
      <c r="A1677" s="60" t="s">
        <v>213</v>
      </c>
      <c r="B1677" s="60" t="s">
        <v>377</v>
      </c>
      <c r="C1677" s="60" t="s">
        <v>379</v>
      </c>
      <c r="D1677" s="60" t="s">
        <v>378</v>
      </c>
      <c r="E1677" s="60">
        <v>3</v>
      </c>
      <c r="F1677" s="60">
        <v>16</v>
      </c>
      <c r="G1677" s="60">
        <v>100</v>
      </c>
      <c r="H1677" s="60">
        <v>24</v>
      </c>
      <c r="I1677" s="60"/>
      <c r="J1677" s="60"/>
      <c r="K1677" s="60"/>
      <c r="L1677" s="60"/>
      <c r="M1677" s="60">
        <v>38</v>
      </c>
      <c r="N1677" s="60"/>
    </row>
    <row r="1678" spans="1:14" hidden="1" x14ac:dyDescent="0.25">
      <c r="A1678" s="60" t="s">
        <v>213</v>
      </c>
      <c r="B1678" s="60" t="s">
        <v>377</v>
      </c>
      <c r="C1678" s="60" t="s">
        <v>379</v>
      </c>
      <c r="D1678" s="60" t="s">
        <v>378</v>
      </c>
      <c r="E1678" s="60">
        <v>3</v>
      </c>
      <c r="F1678" s="60">
        <v>16</v>
      </c>
      <c r="G1678" s="60">
        <v>110</v>
      </c>
      <c r="H1678" s="60">
        <v>24</v>
      </c>
      <c r="I1678" s="60"/>
      <c r="J1678" s="60"/>
      <c r="K1678" s="60"/>
      <c r="L1678" s="60"/>
      <c r="M1678" s="60">
        <v>38</v>
      </c>
      <c r="N1678" s="60"/>
    </row>
    <row r="1679" spans="1:14" hidden="1" x14ac:dyDescent="0.25">
      <c r="A1679" s="60" t="s">
        <v>213</v>
      </c>
      <c r="B1679" s="60" t="s">
        <v>377</v>
      </c>
      <c r="C1679" s="60" t="s">
        <v>379</v>
      </c>
      <c r="D1679" s="60" t="s">
        <v>378</v>
      </c>
      <c r="E1679" s="60">
        <v>3</v>
      </c>
      <c r="F1679" s="60">
        <v>16</v>
      </c>
      <c r="G1679" s="60">
        <v>120</v>
      </c>
      <c r="H1679" s="60">
        <v>24</v>
      </c>
      <c r="I1679" s="60"/>
      <c r="J1679" s="60"/>
      <c r="K1679" s="60"/>
      <c r="L1679" s="60"/>
      <c r="M1679" s="60">
        <v>38</v>
      </c>
      <c r="N1679" s="60"/>
    </row>
    <row r="1680" spans="1:14" hidden="1" x14ac:dyDescent="0.25">
      <c r="A1680" s="60" t="s">
        <v>213</v>
      </c>
      <c r="B1680" s="60" t="s">
        <v>377</v>
      </c>
      <c r="C1680" s="60" t="s">
        <v>379</v>
      </c>
      <c r="D1680" s="60" t="s">
        <v>378</v>
      </c>
      <c r="E1680" s="60">
        <v>3</v>
      </c>
      <c r="F1680" s="60">
        <v>16</v>
      </c>
      <c r="G1680" s="60">
        <v>130</v>
      </c>
      <c r="H1680" s="60">
        <v>24</v>
      </c>
      <c r="I1680" s="60"/>
      <c r="J1680" s="60"/>
      <c r="K1680" s="60"/>
      <c r="L1680" s="60"/>
      <c r="M1680" s="60">
        <v>44</v>
      </c>
      <c r="N1680" s="60"/>
    </row>
    <row r="1681" spans="1:14" hidden="1" x14ac:dyDescent="0.25">
      <c r="A1681" s="60" t="s">
        <v>213</v>
      </c>
      <c r="B1681" s="60" t="s">
        <v>377</v>
      </c>
      <c r="C1681" s="60" t="s">
        <v>379</v>
      </c>
      <c r="D1681" s="60" t="s">
        <v>378</v>
      </c>
      <c r="E1681" s="60">
        <v>3</v>
      </c>
      <c r="F1681" s="60">
        <v>16</v>
      </c>
      <c r="G1681" s="60">
        <v>140</v>
      </c>
      <c r="H1681" s="60">
        <v>24</v>
      </c>
      <c r="I1681" s="60"/>
      <c r="J1681" s="60"/>
      <c r="K1681" s="60"/>
      <c r="L1681" s="60"/>
      <c r="M1681" s="60">
        <v>44</v>
      </c>
      <c r="N1681" s="60"/>
    </row>
    <row r="1682" spans="1:14" hidden="1" x14ac:dyDescent="0.25">
      <c r="A1682" s="60" t="s">
        <v>213</v>
      </c>
      <c r="B1682" s="60" t="s">
        <v>377</v>
      </c>
      <c r="C1682" s="60" t="s">
        <v>379</v>
      </c>
      <c r="D1682" s="60" t="s">
        <v>378</v>
      </c>
      <c r="E1682" s="60">
        <v>3</v>
      </c>
      <c r="F1682" s="60">
        <v>16</v>
      </c>
      <c r="G1682" s="60">
        <v>150</v>
      </c>
      <c r="H1682" s="60">
        <v>24</v>
      </c>
      <c r="I1682" s="60"/>
      <c r="J1682" s="60"/>
      <c r="K1682" s="60"/>
      <c r="L1682" s="60"/>
      <c r="M1682" s="60">
        <v>44</v>
      </c>
      <c r="N1682" s="60"/>
    </row>
    <row r="1683" spans="1:14" hidden="1" x14ac:dyDescent="0.25">
      <c r="A1683" s="60" t="s">
        <v>213</v>
      </c>
      <c r="B1683" s="60" t="s">
        <v>377</v>
      </c>
      <c r="C1683" s="60" t="s">
        <v>379</v>
      </c>
      <c r="D1683" s="60" t="s">
        <v>378</v>
      </c>
      <c r="E1683" s="60">
        <v>3</v>
      </c>
      <c r="F1683" s="60">
        <v>16</v>
      </c>
      <c r="G1683" s="60">
        <v>160</v>
      </c>
      <c r="H1683" s="60">
        <v>24</v>
      </c>
      <c r="I1683" s="60"/>
      <c r="J1683" s="60"/>
      <c r="K1683" s="60"/>
      <c r="L1683" s="60"/>
      <c r="M1683" s="60">
        <v>44</v>
      </c>
      <c r="N1683" s="60"/>
    </row>
    <row r="1684" spans="1:14" hidden="1" x14ac:dyDescent="0.25">
      <c r="A1684" s="60" t="s">
        <v>213</v>
      </c>
      <c r="B1684" s="60" t="s">
        <v>377</v>
      </c>
      <c r="C1684" s="60" t="s">
        <v>379</v>
      </c>
      <c r="D1684" s="60" t="s">
        <v>378</v>
      </c>
      <c r="E1684" s="60">
        <v>3</v>
      </c>
      <c r="F1684" s="60">
        <v>16</v>
      </c>
      <c r="G1684" s="60">
        <v>180</v>
      </c>
      <c r="H1684" s="60">
        <v>24</v>
      </c>
      <c r="I1684" s="60"/>
      <c r="J1684" s="60"/>
      <c r="K1684" s="60"/>
      <c r="L1684" s="60"/>
      <c r="M1684" s="60">
        <v>44</v>
      </c>
      <c r="N1684" s="60"/>
    </row>
    <row r="1685" spans="1:14" hidden="1" x14ac:dyDescent="0.25">
      <c r="A1685" s="60" t="s">
        <v>213</v>
      </c>
      <c r="B1685" s="60" t="s">
        <v>377</v>
      </c>
      <c r="C1685" s="60" t="s">
        <v>379</v>
      </c>
      <c r="D1685" s="60" t="s">
        <v>378</v>
      </c>
      <c r="E1685" s="60">
        <v>3</v>
      </c>
      <c r="F1685" s="60">
        <v>16</v>
      </c>
      <c r="G1685" s="60">
        <v>190</v>
      </c>
      <c r="H1685" s="60">
        <v>24</v>
      </c>
      <c r="I1685" s="60"/>
      <c r="J1685" s="60"/>
      <c r="K1685" s="60"/>
      <c r="L1685" s="60"/>
      <c r="M1685" s="60">
        <v>44</v>
      </c>
      <c r="N1685" s="60"/>
    </row>
    <row r="1686" spans="1:14" hidden="1" x14ac:dyDescent="0.25">
      <c r="A1686" s="60" t="s">
        <v>213</v>
      </c>
      <c r="B1686" s="60" t="s">
        <v>377</v>
      </c>
      <c r="C1686" s="60" t="s">
        <v>379</v>
      </c>
      <c r="D1686" s="60" t="s">
        <v>378</v>
      </c>
      <c r="E1686" s="60">
        <v>3</v>
      </c>
      <c r="F1686" s="60">
        <v>16</v>
      </c>
      <c r="G1686" s="60">
        <v>200</v>
      </c>
      <c r="H1686" s="60">
        <v>24</v>
      </c>
      <c r="I1686" s="60"/>
      <c r="J1686" s="60"/>
      <c r="K1686" s="60"/>
      <c r="L1686" s="60"/>
      <c r="M1686" s="60">
        <v>44</v>
      </c>
      <c r="N1686" s="60"/>
    </row>
    <row r="1687" spans="1:14" hidden="1" x14ac:dyDescent="0.25">
      <c r="A1687" s="60" t="s">
        <v>213</v>
      </c>
      <c r="B1687" s="60" t="s">
        <v>377</v>
      </c>
      <c r="C1687" s="60" t="s">
        <v>379</v>
      </c>
      <c r="D1687" s="60" t="s">
        <v>378</v>
      </c>
      <c r="E1687" s="60">
        <v>3</v>
      </c>
      <c r="F1687" s="60">
        <v>16</v>
      </c>
      <c r="G1687" s="60">
        <v>220</v>
      </c>
      <c r="H1687" s="60">
        <v>24</v>
      </c>
      <c r="I1687" s="60"/>
      <c r="J1687" s="60"/>
      <c r="K1687" s="60"/>
      <c r="L1687" s="60"/>
      <c r="M1687" s="60">
        <v>57</v>
      </c>
      <c r="N1687" s="60"/>
    </row>
    <row r="1688" spans="1:14" hidden="1" x14ac:dyDescent="0.25">
      <c r="A1688" s="60" t="s">
        <v>213</v>
      </c>
      <c r="B1688" s="60" t="s">
        <v>377</v>
      </c>
      <c r="C1688" s="60" t="s">
        <v>379</v>
      </c>
      <c r="D1688" s="60" t="s">
        <v>378</v>
      </c>
      <c r="E1688" s="60">
        <v>3</v>
      </c>
      <c r="F1688" s="60">
        <v>16</v>
      </c>
      <c r="G1688" s="60">
        <v>230</v>
      </c>
      <c r="H1688" s="60">
        <v>24</v>
      </c>
      <c r="I1688" s="60"/>
      <c r="J1688" s="60"/>
      <c r="K1688" s="60"/>
      <c r="L1688" s="60"/>
      <c r="M1688" s="60">
        <v>57</v>
      </c>
      <c r="N1688" s="60"/>
    </row>
    <row r="1689" spans="1:14" hidden="1" x14ac:dyDescent="0.25">
      <c r="A1689" s="60" t="s">
        <v>213</v>
      </c>
      <c r="B1689" s="60" t="s">
        <v>377</v>
      </c>
      <c r="C1689" s="60" t="s">
        <v>379</v>
      </c>
      <c r="D1689" s="60" t="s">
        <v>378</v>
      </c>
      <c r="E1689" s="60">
        <v>3</v>
      </c>
      <c r="F1689" s="60">
        <v>16</v>
      </c>
      <c r="G1689" s="60">
        <v>240</v>
      </c>
      <c r="H1689" s="60">
        <v>24</v>
      </c>
      <c r="I1689" s="60"/>
      <c r="J1689" s="60"/>
      <c r="K1689" s="60"/>
      <c r="L1689" s="60"/>
      <c r="M1689" s="60">
        <v>57</v>
      </c>
      <c r="N1689" s="60"/>
    </row>
    <row r="1690" spans="1:14" hidden="1" x14ac:dyDescent="0.25">
      <c r="A1690" s="60" t="s">
        <v>213</v>
      </c>
      <c r="B1690" s="60" t="s">
        <v>377</v>
      </c>
      <c r="C1690" s="60" t="s">
        <v>379</v>
      </c>
      <c r="D1690" s="60" t="s">
        <v>378</v>
      </c>
      <c r="E1690" s="60">
        <v>3</v>
      </c>
      <c r="F1690" s="60">
        <v>16</v>
      </c>
      <c r="G1690" s="60">
        <v>250</v>
      </c>
      <c r="H1690" s="60">
        <v>24</v>
      </c>
      <c r="I1690" s="60"/>
      <c r="J1690" s="60"/>
      <c r="K1690" s="60"/>
      <c r="L1690" s="60"/>
      <c r="M1690" s="60">
        <v>57</v>
      </c>
      <c r="N1690" s="60"/>
    </row>
    <row r="1691" spans="1:14" hidden="1" x14ac:dyDescent="0.25">
      <c r="A1691" s="60" t="s">
        <v>213</v>
      </c>
      <c r="B1691" s="60" t="s">
        <v>377</v>
      </c>
      <c r="C1691" s="60" t="s">
        <v>379</v>
      </c>
      <c r="D1691" s="60" t="s">
        <v>378</v>
      </c>
      <c r="E1691" s="60">
        <v>3</v>
      </c>
      <c r="F1691" s="60">
        <v>16</v>
      </c>
      <c r="G1691" s="60">
        <v>260</v>
      </c>
      <c r="H1691" s="60">
        <v>24</v>
      </c>
      <c r="I1691" s="60"/>
      <c r="J1691" s="60"/>
      <c r="K1691" s="60"/>
      <c r="L1691" s="60"/>
      <c r="M1691" s="60">
        <v>57</v>
      </c>
      <c r="N1691" s="60"/>
    </row>
    <row r="1692" spans="1:14" hidden="1" x14ac:dyDescent="0.25">
      <c r="A1692" s="60" t="s">
        <v>213</v>
      </c>
      <c r="B1692" s="60" t="s">
        <v>377</v>
      </c>
      <c r="C1692" s="60" t="s">
        <v>379</v>
      </c>
      <c r="D1692" s="60" t="s">
        <v>378</v>
      </c>
      <c r="E1692" s="60">
        <v>3</v>
      </c>
      <c r="F1692" s="60">
        <v>16</v>
      </c>
      <c r="G1692" s="60">
        <v>270</v>
      </c>
      <c r="H1692" s="60">
        <v>24</v>
      </c>
      <c r="I1692" s="60"/>
      <c r="J1692" s="60"/>
      <c r="K1692" s="60"/>
      <c r="L1692" s="60"/>
      <c r="M1692" s="60">
        <v>57</v>
      </c>
      <c r="N1692" s="60"/>
    </row>
    <row r="1693" spans="1:14" hidden="1" x14ac:dyDescent="0.25">
      <c r="A1693" s="60" t="s">
        <v>213</v>
      </c>
      <c r="B1693" s="60" t="s">
        <v>377</v>
      </c>
      <c r="C1693" s="60" t="s">
        <v>379</v>
      </c>
      <c r="D1693" s="60" t="s">
        <v>378</v>
      </c>
      <c r="E1693" s="60">
        <v>3</v>
      </c>
      <c r="F1693" s="60">
        <v>16</v>
      </c>
      <c r="G1693" s="60">
        <v>280</v>
      </c>
      <c r="H1693" s="60">
        <v>24</v>
      </c>
      <c r="I1693" s="60"/>
      <c r="J1693" s="60"/>
      <c r="K1693" s="60"/>
      <c r="L1693" s="60"/>
      <c r="M1693" s="60">
        <v>57</v>
      </c>
      <c r="N1693" s="60"/>
    </row>
    <row r="1694" spans="1:14" hidden="1" x14ac:dyDescent="0.25">
      <c r="A1694" s="60" t="s">
        <v>213</v>
      </c>
      <c r="B1694" s="60" t="s">
        <v>377</v>
      </c>
      <c r="C1694" s="60" t="s">
        <v>379</v>
      </c>
      <c r="D1694" s="60" t="s">
        <v>378</v>
      </c>
      <c r="E1694" s="60">
        <v>3</v>
      </c>
      <c r="F1694" s="60">
        <v>16</v>
      </c>
      <c r="G1694" s="60">
        <v>290</v>
      </c>
      <c r="H1694" s="60">
        <v>24</v>
      </c>
      <c r="I1694" s="60"/>
      <c r="J1694" s="60"/>
      <c r="K1694" s="60"/>
      <c r="L1694" s="60"/>
      <c r="M1694" s="60">
        <v>57</v>
      </c>
      <c r="N1694" s="60"/>
    </row>
    <row r="1695" spans="1:14" hidden="1" x14ac:dyDescent="0.25">
      <c r="A1695" s="60" t="s">
        <v>213</v>
      </c>
      <c r="B1695" s="60" t="s">
        <v>377</v>
      </c>
      <c r="C1695" s="60" t="s">
        <v>379</v>
      </c>
      <c r="D1695" s="60" t="s">
        <v>378</v>
      </c>
      <c r="E1695" s="60">
        <v>3</v>
      </c>
      <c r="F1695" s="60">
        <v>16</v>
      </c>
      <c r="G1695" s="60">
        <v>300</v>
      </c>
      <c r="H1695" s="60">
        <v>24</v>
      </c>
      <c r="I1695" s="60"/>
      <c r="J1695" s="60"/>
      <c r="K1695" s="60"/>
      <c r="L1695" s="60"/>
      <c r="M1695" s="60">
        <v>57</v>
      </c>
      <c r="N1695" s="60"/>
    </row>
    <row r="1696" spans="1:14" hidden="1" x14ac:dyDescent="0.25">
      <c r="A1696" s="60" t="s">
        <v>213</v>
      </c>
      <c r="B1696" s="60" t="s">
        <v>377</v>
      </c>
      <c r="C1696" s="60" t="s">
        <v>379</v>
      </c>
      <c r="D1696" s="60" t="s">
        <v>378</v>
      </c>
      <c r="E1696" s="60">
        <v>3</v>
      </c>
      <c r="F1696" s="60">
        <v>16</v>
      </c>
      <c r="G1696" s="60">
        <v>310</v>
      </c>
      <c r="H1696" s="60">
        <v>24</v>
      </c>
      <c r="I1696" s="60"/>
      <c r="J1696" s="60"/>
      <c r="K1696" s="60"/>
      <c r="L1696" s="60"/>
      <c r="M1696" s="60">
        <v>57</v>
      </c>
      <c r="N1696" s="60"/>
    </row>
    <row r="1697" spans="1:14" hidden="1" x14ac:dyDescent="0.25">
      <c r="A1697" s="60" t="s">
        <v>213</v>
      </c>
      <c r="B1697" s="60" t="s">
        <v>377</v>
      </c>
      <c r="C1697" s="60" t="s">
        <v>379</v>
      </c>
      <c r="D1697" s="60" t="s">
        <v>378</v>
      </c>
      <c r="E1697" s="60">
        <v>3</v>
      </c>
      <c r="F1697" s="60">
        <v>16</v>
      </c>
      <c r="G1697" s="60">
        <v>320</v>
      </c>
      <c r="H1697" s="60">
        <v>24</v>
      </c>
      <c r="I1697" s="60"/>
      <c r="J1697" s="60"/>
      <c r="K1697" s="60"/>
      <c r="L1697" s="60"/>
      <c r="M1697" s="60">
        <v>57</v>
      </c>
      <c r="N1697" s="60"/>
    </row>
    <row r="1698" spans="1:14" hidden="1" x14ac:dyDescent="0.25">
      <c r="A1698" s="60" t="s">
        <v>213</v>
      </c>
      <c r="B1698" s="60" t="s">
        <v>377</v>
      </c>
      <c r="C1698" s="60" t="s">
        <v>379</v>
      </c>
      <c r="D1698" s="60" t="s">
        <v>378</v>
      </c>
      <c r="E1698" s="60">
        <v>3</v>
      </c>
      <c r="F1698" s="60">
        <v>16</v>
      </c>
      <c r="G1698" s="60">
        <v>330</v>
      </c>
      <c r="H1698" s="60">
        <v>24</v>
      </c>
      <c r="I1698" s="60"/>
      <c r="J1698" s="60"/>
      <c r="K1698" s="60"/>
      <c r="L1698" s="60"/>
      <c r="M1698" s="60">
        <v>57</v>
      </c>
      <c r="N1698" s="60"/>
    </row>
    <row r="1699" spans="1:14" hidden="1" x14ac:dyDescent="0.25">
      <c r="A1699" s="60" t="s">
        <v>213</v>
      </c>
      <c r="B1699" s="60" t="s">
        <v>377</v>
      </c>
      <c r="C1699" s="60" t="s">
        <v>379</v>
      </c>
      <c r="D1699" s="60" t="s">
        <v>378</v>
      </c>
      <c r="E1699" s="60">
        <v>3</v>
      </c>
      <c r="F1699" s="60">
        <v>16</v>
      </c>
      <c r="G1699" s="60">
        <v>340</v>
      </c>
      <c r="H1699" s="60">
        <v>24</v>
      </c>
      <c r="I1699" s="60"/>
      <c r="J1699" s="60"/>
      <c r="K1699" s="60"/>
      <c r="L1699" s="60"/>
      <c r="M1699" s="60">
        <v>57</v>
      </c>
      <c r="N1699" s="60"/>
    </row>
    <row r="1700" spans="1:14" hidden="1" x14ac:dyDescent="0.25">
      <c r="A1700" s="60" t="s">
        <v>213</v>
      </c>
      <c r="B1700" s="60" t="s">
        <v>377</v>
      </c>
      <c r="C1700" s="60" t="s">
        <v>379</v>
      </c>
      <c r="D1700" s="60" t="s">
        <v>378</v>
      </c>
      <c r="E1700" s="60">
        <v>3</v>
      </c>
      <c r="F1700" s="60">
        <v>16</v>
      </c>
      <c r="G1700" s="60">
        <v>350</v>
      </c>
      <c r="H1700" s="60">
        <v>24</v>
      </c>
      <c r="I1700" s="60"/>
      <c r="J1700" s="60"/>
      <c r="K1700" s="60"/>
      <c r="L1700" s="60"/>
      <c r="M1700" s="60">
        <v>57</v>
      </c>
      <c r="N1700" s="60"/>
    </row>
    <row r="1701" spans="1:14" hidden="1" x14ac:dyDescent="0.25">
      <c r="A1701" s="60" t="s">
        <v>213</v>
      </c>
      <c r="B1701" s="60" t="s">
        <v>377</v>
      </c>
      <c r="C1701" s="60" t="s">
        <v>379</v>
      </c>
      <c r="D1701" s="60" t="s">
        <v>378</v>
      </c>
      <c r="E1701" s="60">
        <v>3</v>
      </c>
      <c r="F1701" s="60">
        <v>16</v>
      </c>
      <c r="G1701" s="60">
        <v>360</v>
      </c>
      <c r="H1701" s="60">
        <v>24</v>
      </c>
      <c r="I1701" s="60"/>
      <c r="J1701" s="60"/>
      <c r="K1701" s="60"/>
      <c r="L1701" s="60"/>
      <c r="M1701" s="60">
        <v>57</v>
      </c>
      <c r="N1701" s="60"/>
    </row>
    <row r="1702" spans="1:14" hidden="1" x14ac:dyDescent="0.25">
      <c r="A1702" s="60" t="s">
        <v>213</v>
      </c>
      <c r="B1702" s="60" t="s">
        <v>377</v>
      </c>
      <c r="C1702" s="60" t="s">
        <v>379</v>
      </c>
      <c r="D1702" s="60" t="s">
        <v>378</v>
      </c>
      <c r="E1702" s="60">
        <v>3</v>
      </c>
      <c r="F1702" s="60">
        <v>16</v>
      </c>
      <c r="G1702" s="60">
        <v>370</v>
      </c>
      <c r="H1702" s="60">
        <v>24</v>
      </c>
      <c r="I1702" s="60"/>
      <c r="J1702" s="60"/>
      <c r="K1702" s="60"/>
      <c r="L1702" s="60"/>
      <c r="M1702" s="60">
        <v>57</v>
      </c>
      <c r="N1702" s="60"/>
    </row>
    <row r="1703" spans="1:14" hidden="1" x14ac:dyDescent="0.25">
      <c r="A1703" s="60" t="s">
        <v>213</v>
      </c>
      <c r="B1703" s="60" t="s">
        <v>377</v>
      </c>
      <c r="C1703" s="60" t="s">
        <v>379</v>
      </c>
      <c r="D1703" s="60" t="s">
        <v>378</v>
      </c>
      <c r="E1703" s="60">
        <v>3</v>
      </c>
      <c r="F1703" s="60">
        <v>16</v>
      </c>
      <c r="G1703" s="60">
        <v>380</v>
      </c>
      <c r="H1703" s="60">
        <v>24</v>
      </c>
      <c r="I1703" s="60"/>
      <c r="J1703" s="60"/>
      <c r="K1703" s="60"/>
      <c r="L1703" s="60"/>
      <c r="M1703" s="60">
        <v>57</v>
      </c>
      <c r="N1703" s="60"/>
    </row>
    <row r="1704" spans="1:14" hidden="1" x14ac:dyDescent="0.25">
      <c r="A1704" s="60" t="s">
        <v>213</v>
      </c>
      <c r="B1704" s="60" t="s">
        <v>377</v>
      </c>
      <c r="C1704" s="60" t="s">
        <v>379</v>
      </c>
      <c r="D1704" s="60" t="s">
        <v>378</v>
      </c>
      <c r="E1704" s="60">
        <v>3</v>
      </c>
      <c r="F1704" s="60">
        <v>16</v>
      </c>
      <c r="G1704" s="60">
        <v>390</v>
      </c>
      <c r="H1704" s="60">
        <v>24</v>
      </c>
      <c r="I1704" s="60"/>
      <c r="J1704" s="60"/>
      <c r="K1704" s="60"/>
      <c r="L1704" s="60"/>
      <c r="M1704" s="60">
        <v>57</v>
      </c>
      <c r="N1704" s="60"/>
    </row>
    <row r="1705" spans="1:14" hidden="1" x14ac:dyDescent="0.25">
      <c r="A1705" s="60" t="s">
        <v>213</v>
      </c>
      <c r="B1705" s="60" t="s">
        <v>377</v>
      </c>
      <c r="C1705" s="60" t="s">
        <v>379</v>
      </c>
      <c r="D1705" s="60" t="s">
        <v>378</v>
      </c>
      <c r="E1705" s="60">
        <v>3</v>
      </c>
      <c r="F1705" s="60">
        <v>16</v>
      </c>
      <c r="G1705" s="60">
        <v>400</v>
      </c>
      <c r="H1705" s="60">
        <v>24</v>
      </c>
      <c r="I1705" s="60"/>
      <c r="J1705" s="60"/>
      <c r="K1705" s="60"/>
      <c r="L1705" s="60"/>
      <c r="M1705" s="60">
        <v>57</v>
      </c>
      <c r="N1705" s="60"/>
    </row>
    <row r="1706" spans="1:14" hidden="1" x14ac:dyDescent="0.25">
      <c r="A1706" s="60" t="s">
        <v>213</v>
      </c>
      <c r="B1706" s="60" t="s">
        <v>377</v>
      </c>
      <c r="C1706" s="60" t="s">
        <v>379</v>
      </c>
      <c r="D1706" s="60" t="s">
        <v>378</v>
      </c>
      <c r="E1706" s="60">
        <v>3</v>
      </c>
      <c r="F1706" s="60">
        <v>16</v>
      </c>
      <c r="G1706" s="60">
        <v>420</v>
      </c>
      <c r="H1706" s="60">
        <v>24</v>
      </c>
      <c r="I1706" s="60"/>
      <c r="J1706" s="60"/>
      <c r="K1706" s="60"/>
      <c r="L1706" s="60"/>
      <c r="M1706" s="60">
        <v>57</v>
      </c>
      <c r="N1706" s="60"/>
    </row>
    <row r="1707" spans="1:14" hidden="1" x14ac:dyDescent="0.25">
      <c r="A1707" s="60" t="s">
        <v>213</v>
      </c>
      <c r="B1707" s="60" t="s">
        <v>377</v>
      </c>
      <c r="C1707" s="60" t="s">
        <v>379</v>
      </c>
      <c r="D1707" s="60" t="s">
        <v>378</v>
      </c>
      <c r="E1707" s="60">
        <v>3</v>
      </c>
      <c r="F1707" s="60">
        <v>16</v>
      </c>
      <c r="G1707" s="60">
        <v>440</v>
      </c>
      <c r="H1707" s="60">
        <v>24</v>
      </c>
      <c r="I1707" s="60"/>
      <c r="J1707" s="60"/>
      <c r="K1707" s="60"/>
      <c r="L1707" s="60"/>
      <c r="M1707" s="60">
        <v>57</v>
      </c>
      <c r="N1707" s="60"/>
    </row>
    <row r="1708" spans="1:14" hidden="1" x14ac:dyDescent="0.25">
      <c r="A1708" s="60" t="s">
        <v>213</v>
      </c>
      <c r="B1708" s="60" t="s">
        <v>377</v>
      </c>
      <c r="C1708" s="60" t="s">
        <v>379</v>
      </c>
      <c r="D1708" s="60" t="s">
        <v>378</v>
      </c>
      <c r="E1708" s="60">
        <v>3</v>
      </c>
      <c r="F1708" s="60">
        <v>18</v>
      </c>
      <c r="G1708" s="60">
        <v>60</v>
      </c>
      <c r="H1708" s="60">
        <v>24</v>
      </c>
      <c r="I1708" s="60"/>
      <c r="J1708" s="60"/>
      <c r="K1708" s="60"/>
      <c r="L1708" s="60"/>
      <c r="M1708" s="60">
        <v>42</v>
      </c>
      <c r="N1708" s="60"/>
    </row>
    <row r="1709" spans="1:14" hidden="1" x14ac:dyDescent="0.25">
      <c r="A1709" s="60" t="s">
        <v>213</v>
      </c>
      <c r="B1709" s="60" t="s">
        <v>377</v>
      </c>
      <c r="C1709" s="60" t="s">
        <v>379</v>
      </c>
      <c r="D1709" s="60" t="s">
        <v>378</v>
      </c>
      <c r="E1709" s="60">
        <v>3</v>
      </c>
      <c r="F1709" s="60">
        <v>18</v>
      </c>
      <c r="G1709" s="60">
        <v>65</v>
      </c>
      <c r="H1709" s="60">
        <v>24</v>
      </c>
      <c r="I1709" s="60"/>
      <c r="J1709" s="60"/>
      <c r="K1709" s="60"/>
      <c r="L1709" s="60"/>
      <c r="M1709" s="60">
        <v>42</v>
      </c>
      <c r="N1709" s="60"/>
    </row>
    <row r="1710" spans="1:14" hidden="1" x14ac:dyDescent="0.25">
      <c r="A1710" s="60" t="s">
        <v>213</v>
      </c>
      <c r="B1710" s="60" t="s">
        <v>377</v>
      </c>
      <c r="C1710" s="60" t="s">
        <v>379</v>
      </c>
      <c r="D1710" s="60" t="s">
        <v>378</v>
      </c>
      <c r="E1710" s="60">
        <v>3</v>
      </c>
      <c r="F1710" s="60">
        <v>18</v>
      </c>
      <c r="G1710" s="60">
        <v>70</v>
      </c>
      <c r="H1710" s="60">
        <v>24</v>
      </c>
      <c r="I1710" s="60"/>
      <c r="J1710" s="60"/>
      <c r="K1710" s="60"/>
      <c r="L1710" s="60"/>
      <c r="M1710" s="60">
        <v>42</v>
      </c>
      <c r="N1710" s="60"/>
    </row>
    <row r="1711" spans="1:14" hidden="1" x14ac:dyDescent="0.25">
      <c r="A1711" s="60" t="s">
        <v>213</v>
      </c>
      <c r="B1711" s="60" t="s">
        <v>377</v>
      </c>
      <c r="C1711" s="60" t="s">
        <v>379</v>
      </c>
      <c r="D1711" s="60" t="s">
        <v>378</v>
      </c>
      <c r="E1711" s="60">
        <v>3</v>
      </c>
      <c r="F1711" s="60">
        <v>18</v>
      </c>
      <c r="G1711" s="60">
        <v>75</v>
      </c>
      <c r="H1711" s="60">
        <v>24</v>
      </c>
      <c r="I1711" s="60"/>
      <c r="J1711" s="60"/>
      <c r="K1711" s="60"/>
      <c r="L1711" s="60"/>
      <c r="M1711" s="60">
        <v>42</v>
      </c>
      <c r="N1711" s="60"/>
    </row>
    <row r="1712" spans="1:14" hidden="1" x14ac:dyDescent="0.25">
      <c r="A1712" s="60" t="s">
        <v>213</v>
      </c>
      <c r="B1712" s="60" t="s">
        <v>377</v>
      </c>
      <c r="C1712" s="60" t="s">
        <v>379</v>
      </c>
      <c r="D1712" s="60" t="s">
        <v>378</v>
      </c>
      <c r="E1712" s="60">
        <v>3</v>
      </c>
      <c r="F1712" s="60">
        <v>18</v>
      </c>
      <c r="G1712" s="60">
        <v>80</v>
      </c>
      <c r="H1712" s="60">
        <v>24</v>
      </c>
      <c r="I1712" s="60"/>
      <c r="J1712" s="60"/>
      <c r="K1712" s="60"/>
      <c r="L1712" s="60"/>
      <c r="M1712" s="60">
        <v>42</v>
      </c>
      <c r="N1712" s="60"/>
    </row>
    <row r="1713" spans="1:14" hidden="1" x14ac:dyDescent="0.25">
      <c r="A1713" s="60" t="s">
        <v>213</v>
      </c>
      <c r="B1713" s="60" t="s">
        <v>377</v>
      </c>
      <c r="C1713" s="60" t="s">
        <v>379</v>
      </c>
      <c r="D1713" s="60" t="s">
        <v>378</v>
      </c>
      <c r="E1713" s="60">
        <v>3</v>
      </c>
      <c r="F1713" s="60">
        <v>18</v>
      </c>
      <c r="G1713" s="60">
        <v>90</v>
      </c>
      <c r="H1713" s="60">
        <v>24</v>
      </c>
      <c r="I1713" s="60"/>
      <c r="J1713" s="60"/>
      <c r="K1713" s="60"/>
      <c r="L1713" s="60"/>
      <c r="M1713" s="60">
        <v>42</v>
      </c>
      <c r="N1713" s="60"/>
    </row>
    <row r="1714" spans="1:14" hidden="1" x14ac:dyDescent="0.25">
      <c r="A1714" s="60" t="s">
        <v>213</v>
      </c>
      <c r="B1714" s="60" t="s">
        <v>377</v>
      </c>
      <c r="C1714" s="60" t="s">
        <v>379</v>
      </c>
      <c r="D1714" s="60" t="s">
        <v>378</v>
      </c>
      <c r="E1714" s="60">
        <v>3</v>
      </c>
      <c r="F1714" s="60">
        <v>18</v>
      </c>
      <c r="G1714" s="60">
        <v>95</v>
      </c>
      <c r="H1714" s="60">
        <v>24</v>
      </c>
      <c r="I1714" s="60"/>
      <c r="J1714" s="60"/>
      <c r="K1714" s="60"/>
      <c r="L1714" s="60"/>
      <c r="M1714" s="60">
        <v>42</v>
      </c>
      <c r="N1714" s="60"/>
    </row>
    <row r="1715" spans="1:14" hidden="1" x14ac:dyDescent="0.25">
      <c r="A1715" s="60" t="s">
        <v>213</v>
      </c>
      <c r="B1715" s="60" t="s">
        <v>377</v>
      </c>
      <c r="C1715" s="60" t="s">
        <v>379</v>
      </c>
      <c r="D1715" s="60" t="s">
        <v>378</v>
      </c>
      <c r="E1715" s="60">
        <v>3</v>
      </c>
      <c r="F1715" s="60">
        <v>18</v>
      </c>
      <c r="G1715" s="60">
        <v>100</v>
      </c>
      <c r="H1715" s="60">
        <v>27</v>
      </c>
      <c r="I1715" s="60"/>
      <c r="J1715" s="60"/>
      <c r="K1715" s="60"/>
      <c r="L1715" s="60"/>
      <c r="M1715" s="60">
        <v>42</v>
      </c>
      <c r="N1715" s="60"/>
    </row>
    <row r="1716" spans="1:14" hidden="1" x14ac:dyDescent="0.25">
      <c r="A1716" s="60" t="s">
        <v>213</v>
      </c>
      <c r="B1716" s="60" t="s">
        <v>377</v>
      </c>
      <c r="C1716" s="60" t="s">
        <v>379</v>
      </c>
      <c r="D1716" s="60" t="s">
        <v>378</v>
      </c>
      <c r="E1716" s="60">
        <v>3</v>
      </c>
      <c r="F1716" s="60">
        <v>18</v>
      </c>
      <c r="G1716" s="60">
        <v>110</v>
      </c>
      <c r="H1716" s="60">
        <v>27</v>
      </c>
      <c r="I1716" s="60"/>
      <c r="J1716" s="60"/>
      <c r="K1716" s="60"/>
      <c r="L1716" s="60"/>
      <c r="M1716" s="60">
        <v>42</v>
      </c>
      <c r="N1716" s="60"/>
    </row>
    <row r="1717" spans="1:14" hidden="1" x14ac:dyDescent="0.25">
      <c r="A1717" s="60" t="s">
        <v>213</v>
      </c>
      <c r="B1717" s="60" t="s">
        <v>377</v>
      </c>
      <c r="C1717" s="60" t="s">
        <v>379</v>
      </c>
      <c r="D1717" s="60" t="s">
        <v>378</v>
      </c>
      <c r="E1717" s="60">
        <v>3</v>
      </c>
      <c r="F1717" s="60">
        <v>18</v>
      </c>
      <c r="G1717" s="60">
        <v>120</v>
      </c>
      <c r="H1717" s="60">
        <v>27</v>
      </c>
      <c r="I1717" s="60"/>
      <c r="J1717" s="60"/>
      <c r="K1717" s="60"/>
      <c r="L1717" s="60"/>
      <c r="M1717" s="60">
        <v>42</v>
      </c>
      <c r="N1717" s="60"/>
    </row>
    <row r="1718" spans="1:14" hidden="1" x14ac:dyDescent="0.25">
      <c r="A1718" s="60" t="s">
        <v>213</v>
      </c>
      <c r="B1718" s="60" t="s">
        <v>377</v>
      </c>
      <c r="C1718" s="60" t="s">
        <v>379</v>
      </c>
      <c r="D1718" s="60" t="s">
        <v>378</v>
      </c>
      <c r="E1718" s="60">
        <v>3</v>
      </c>
      <c r="F1718" s="60">
        <v>18</v>
      </c>
      <c r="G1718" s="60">
        <v>130</v>
      </c>
      <c r="H1718" s="60">
        <v>27</v>
      </c>
      <c r="I1718" s="60"/>
      <c r="J1718" s="60"/>
      <c r="K1718" s="60"/>
      <c r="L1718" s="60"/>
      <c r="M1718" s="60">
        <v>48</v>
      </c>
      <c r="N1718" s="60"/>
    </row>
    <row r="1719" spans="1:14" hidden="1" x14ac:dyDescent="0.25">
      <c r="A1719" s="60" t="s">
        <v>213</v>
      </c>
      <c r="B1719" s="60" t="s">
        <v>377</v>
      </c>
      <c r="C1719" s="60" t="s">
        <v>379</v>
      </c>
      <c r="D1719" s="60" t="s">
        <v>378</v>
      </c>
      <c r="E1719" s="60">
        <v>3</v>
      </c>
      <c r="F1719" s="60">
        <v>18</v>
      </c>
      <c r="G1719" s="60">
        <v>140</v>
      </c>
      <c r="H1719" s="60">
        <v>27</v>
      </c>
      <c r="I1719" s="60"/>
      <c r="J1719" s="60"/>
      <c r="K1719" s="60"/>
      <c r="L1719" s="60"/>
      <c r="M1719" s="60">
        <v>48</v>
      </c>
      <c r="N1719" s="60"/>
    </row>
    <row r="1720" spans="1:14" hidden="1" x14ac:dyDescent="0.25">
      <c r="A1720" s="60" t="s">
        <v>213</v>
      </c>
      <c r="B1720" s="60" t="s">
        <v>377</v>
      </c>
      <c r="C1720" s="60" t="s">
        <v>379</v>
      </c>
      <c r="D1720" s="60" t="s">
        <v>378</v>
      </c>
      <c r="E1720" s="60">
        <v>3</v>
      </c>
      <c r="F1720" s="60">
        <v>18</v>
      </c>
      <c r="G1720" s="60">
        <v>150</v>
      </c>
      <c r="H1720" s="60">
        <v>27</v>
      </c>
      <c r="I1720" s="60"/>
      <c r="J1720" s="60"/>
      <c r="K1720" s="60"/>
      <c r="L1720" s="60"/>
      <c r="M1720" s="60">
        <v>48</v>
      </c>
      <c r="N1720" s="60"/>
    </row>
    <row r="1721" spans="1:14" hidden="1" x14ac:dyDescent="0.25">
      <c r="A1721" s="60" t="s">
        <v>213</v>
      </c>
      <c r="B1721" s="60" t="s">
        <v>377</v>
      </c>
      <c r="C1721" s="60" t="s">
        <v>379</v>
      </c>
      <c r="D1721" s="60" t="s">
        <v>378</v>
      </c>
      <c r="E1721" s="60">
        <v>3</v>
      </c>
      <c r="F1721" s="60">
        <v>18</v>
      </c>
      <c r="G1721" s="60">
        <v>160</v>
      </c>
      <c r="H1721" s="60">
        <v>27</v>
      </c>
      <c r="I1721" s="60"/>
      <c r="J1721" s="60"/>
      <c r="K1721" s="60"/>
      <c r="L1721" s="60"/>
      <c r="M1721" s="60">
        <v>48</v>
      </c>
      <c r="N1721" s="60"/>
    </row>
    <row r="1722" spans="1:14" hidden="1" x14ac:dyDescent="0.25">
      <c r="A1722" s="60" t="s">
        <v>213</v>
      </c>
      <c r="B1722" s="60" t="s">
        <v>377</v>
      </c>
      <c r="C1722" s="60" t="s">
        <v>379</v>
      </c>
      <c r="D1722" s="60" t="s">
        <v>378</v>
      </c>
      <c r="E1722" s="60">
        <v>3</v>
      </c>
      <c r="F1722" s="60">
        <v>18</v>
      </c>
      <c r="G1722" s="60">
        <v>170</v>
      </c>
      <c r="H1722" s="60">
        <v>27</v>
      </c>
      <c r="I1722" s="60"/>
      <c r="J1722" s="60"/>
      <c r="K1722" s="60"/>
      <c r="L1722" s="60"/>
      <c r="M1722" s="60">
        <v>48</v>
      </c>
      <c r="N1722" s="60"/>
    </row>
    <row r="1723" spans="1:14" hidden="1" x14ac:dyDescent="0.25">
      <c r="A1723" s="60" t="s">
        <v>213</v>
      </c>
      <c r="B1723" s="60" t="s">
        <v>377</v>
      </c>
      <c r="C1723" s="60" t="s">
        <v>379</v>
      </c>
      <c r="D1723" s="60" t="s">
        <v>378</v>
      </c>
      <c r="E1723" s="60">
        <v>3</v>
      </c>
      <c r="F1723" s="60">
        <v>18</v>
      </c>
      <c r="G1723" s="60">
        <v>180</v>
      </c>
      <c r="H1723" s="60">
        <v>27</v>
      </c>
      <c r="I1723" s="60"/>
      <c r="J1723" s="60"/>
      <c r="K1723" s="60"/>
      <c r="L1723" s="60"/>
      <c r="M1723" s="60">
        <v>48</v>
      </c>
      <c r="N1723" s="60"/>
    </row>
    <row r="1724" spans="1:14" hidden="1" x14ac:dyDescent="0.25">
      <c r="A1724" s="60" t="s">
        <v>213</v>
      </c>
      <c r="B1724" s="60" t="s">
        <v>377</v>
      </c>
      <c r="C1724" s="60" t="s">
        <v>379</v>
      </c>
      <c r="D1724" s="60" t="s">
        <v>378</v>
      </c>
      <c r="E1724" s="60">
        <v>3</v>
      </c>
      <c r="F1724" s="60">
        <v>18</v>
      </c>
      <c r="G1724" s="60">
        <v>190</v>
      </c>
      <c r="H1724" s="60">
        <v>27</v>
      </c>
      <c r="I1724" s="60"/>
      <c r="J1724" s="60"/>
      <c r="K1724" s="60"/>
      <c r="L1724" s="60"/>
      <c r="M1724" s="60">
        <v>48</v>
      </c>
      <c r="N1724" s="60"/>
    </row>
    <row r="1725" spans="1:14" hidden="1" x14ac:dyDescent="0.25">
      <c r="A1725" s="60" t="s">
        <v>213</v>
      </c>
      <c r="B1725" s="60" t="s">
        <v>377</v>
      </c>
      <c r="C1725" s="60" t="s">
        <v>379</v>
      </c>
      <c r="D1725" s="60" t="s">
        <v>378</v>
      </c>
      <c r="E1725" s="60">
        <v>3</v>
      </c>
      <c r="F1725" s="60">
        <v>18</v>
      </c>
      <c r="G1725" s="60">
        <v>200</v>
      </c>
      <c r="H1725" s="60">
        <v>27</v>
      </c>
      <c r="I1725" s="60"/>
      <c r="J1725" s="60"/>
      <c r="K1725" s="60"/>
      <c r="L1725" s="60"/>
      <c r="M1725" s="60">
        <v>48</v>
      </c>
      <c r="N1725" s="60"/>
    </row>
    <row r="1726" spans="1:14" hidden="1" x14ac:dyDescent="0.25">
      <c r="A1726" s="60" t="s">
        <v>213</v>
      </c>
      <c r="B1726" s="60" t="s">
        <v>377</v>
      </c>
      <c r="C1726" s="60" t="s">
        <v>379</v>
      </c>
      <c r="D1726" s="60" t="s">
        <v>378</v>
      </c>
      <c r="E1726" s="60">
        <v>3</v>
      </c>
      <c r="F1726" s="60">
        <v>18</v>
      </c>
      <c r="G1726" s="60">
        <v>220</v>
      </c>
      <c r="H1726" s="60">
        <v>27</v>
      </c>
      <c r="I1726" s="60"/>
      <c r="J1726" s="60"/>
      <c r="K1726" s="60"/>
      <c r="L1726" s="60"/>
      <c r="M1726" s="60">
        <v>61</v>
      </c>
      <c r="N1726" s="60"/>
    </row>
    <row r="1727" spans="1:14" hidden="1" x14ac:dyDescent="0.25">
      <c r="A1727" s="60" t="s">
        <v>213</v>
      </c>
      <c r="B1727" s="60" t="s">
        <v>377</v>
      </c>
      <c r="C1727" s="60" t="s">
        <v>379</v>
      </c>
      <c r="D1727" s="60" t="s">
        <v>378</v>
      </c>
      <c r="E1727" s="60">
        <v>3</v>
      </c>
      <c r="F1727" s="60">
        <v>18</v>
      </c>
      <c r="G1727" s="60">
        <v>230</v>
      </c>
      <c r="H1727" s="60">
        <v>27</v>
      </c>
      <c r="I1727" s="60"/>
      <c r="J1727" s="60"/>
      <c r="K1727" s="60"/>
      <c r="L1727" s="60"/>
      <c r="M1727" s="60">
        <v>61</v>
      </c>
      <c r="N1727" s="60"/>
    </row>
    <row r="1728" spans="1:14" hidden="1" x14ac:dyDescent="0.25">
      <c r="A1728" s="60" t="s">
        <v>213</v>
      </c>
      <c r="B1728" s="60" t="s">
        <v>377</v>
      </c>
      <c r="C1728" s="60" t="s">
        <v>379</v>
      </c>
      <c r="D1728" s="60" t="s">
        <v>378</v>
      </c>
      <c r="E1728" s="60">
        <v>3</v>
      </c>
      <c r="F1728" s="60">
        <v>18</v>
      </c>
      <c r="G1728" s="60">
        <v>240</v>
      </c>
      <c r="H1728" s="60">
        <v>27</v>
      </c>
      <c r="I1728" s="60"/>
      <c r="J1728" s="60"/>
      <c r="K1728" s="60"/>
      <c r="L1728" s="60"/>
      <c r="M1728" s="60">
        <v>61</v>
      </c>
      <c r="N1728" s="60"/>
    </row>
    <row r="1729" spans="1:14" hidden="1" x14ac:dyDescent="0.25">
      <c r="A1729" s="60" t="s">
        <v>213</v>
      </c>
      <c r="B1729" s="60" t="s">
        <v>377</v>
      </c>
      <c r="C1729" s="60" t="s">
        <v>379</v>
      </c>
      <c r="D1729" s="60" t="s">
        <v>378</v>
      </c>
      <c r="E1729" s="60">
        <v>3</v>
      </c>
      <c r="F1729" s="60">
        <v>20</v>
      </c>
      <c r="G1729" s="60">
        <v>60</v>
      </c>
      <c r="H1729" s="60">
        <v>27</v>
      </c>
      <c r="I1729" s="60"/>
      <c r="J1729" s="60"/>
      <c r="K1729" s="60"/>
      <c r="L1729" s="60"/>
      <c r="M1729" s="60">
        <v>46</v>
      </c>
      <c r="N1729" s="60"/>
    </row>
    <row r="1730" spans="1:14" hidden="1" x14ac:dyDescent="0.25">
      <c r="A1730" s="60" t="s">
        <v>213</v>
      </c>
      <c r="B1730" s="60" t="s">
        <v>377</v>
      </c>
      <c r="C1730" s="60" t="s">
        <v>379</v>
      </c>
      <c r="D1730" s="60" t="s">
        <v>378</v>
      </c>
      <c r="E1730" s="60">
        <v>3</v>
      </c>
      <c r="F1730" s="60">
        <v>20</v>
      </c>
      <c r="G1730" s="60">
        <v>65</v>
      </c>
      <c r="H1730" s="60">
        <v>27</v>
      </c>
      <c r="I1730" s="60"/>
      <c r="J1730" s="60"/>
      <c r="K1730" s="60"/>
      <c r="L1730" s="60"/>
      <c r="M1730" s="60">
        <v>46</v>
      </c>
      <c r="N1730" s="60"/>
    </row>
    <row r="1731" spans="1:14" hidden="1" x14ac:dyDescent="0.25">
      <c r="A1731" s="60" t="s">
        <v>213</v>
      </c>
      <c r="B1731" s="60" t="s">
        <v>377</v>
      </c>
      <c r="C1731" s="60" t="s">
        <v>379</v>
      </c>
      <c r="D1731" s="60" t="s">
        <v>378</v>
      </c>
      <c r="E1731" s="60">
        <v>3</v>
      </c>
      <c r="F1731" s="60">
        <v>20</v>
      </c>
      <c r="G1731" s="60">
        <v>70</v>
      </c>
      <c r="H1731" s="60">
        <v>27</v>
      </c>
      <c r="I1731" s="60"/>
      <c r="J1731" s="60"/>
      <c r="K1731" s="60"/>
      <c r="L1731" s="60"/>
      <c r="M1731" s="60">
        <v>46</v>
      </c>
      <c r="N1731" s="60"/>
    </row>
    <row r="1732" spans="1:14" hidden="1" x14ac:dyDescent="0.25">
      <c r="A1732" s="60" t="s">
        <v>213</v>
      </c>
      <c r="B1732" s="60" t="s">
        <v>377</v>
      </c>
      <c r="C1732" s="60" t="s">
        <v>379</v>
      </c>
      <c r="D1732" s="60" t="s">
        <v>378</v>
      </c>
      <c r="E1732" s="60">
        <v>3</v>
      </c>
      <c r="F1732" s="60">
        <v>20</v>
      </c>
      <c r="G1732" s="60">
        <v>75</v>
      </c>
      <c r="H1732" s="60">
        <v>27</v>
      </c>
      <c r="I1732" s="60"/>
      <c r="J1732" s="60"/>
      <c r="K1732" s="60"/>
      <c r="L1732" s="60"/>
      <c r="M1732" s="60">
        <v>46</v>
      </c>
      <c r="N1732" s="60"/>
    </row>
    <row r="1733" spans="1:14" hidden="1" x14ac:dyDescent="0.25">
      <c r="A1733" s="60" t="s">
        <v>213</v>
      </c>
      <c r="B1733" s="60" t="s">
        <v>377</v>
      </c>
      <c r="C1733" s="60" t="s">
        <v>379</v>
      </c>
      <c r="D1733" s="60" t="s">
        <v>378</v>
      </c>
      <c r="E1733" s="60">
        <v>3</v>
      </c>
      <c r="F1733" s="60">
        <v>20</v>
      </c>
      <c r="G1733" s="60">
        <v>80</v>
      </c>
      <c r="H1733" s="60">
        <v>27</v>
      </c>
      <c r="I1733" s="60"/>
      <c r="J1733" s="60"/>
      <c r="K1733" s="60"/>
      <c r="L1733" s="60"/>
      <c r="M1733" s="60">
        <v>46</v>
      </c>
      <c r="N1733" s="60"/>
    </row>
    <row r="1734" spans="1:14" hidden="1" x14ac:dyDescent="0.25">
      <c r="A1734" s="60" t="s">
        <v>213</v>
      </c>
      <c r="B1734" s="60" t="s">
        <v>377</v>
      </c>
      <c r="C1734" s="60" t="s">
        <v>379</v>
      </c>
      <c r="D1734" s="60" t="s">
        <v>378</v>
      </c>
      <c r="E1734" s="60">
        <v>3</v>
      </c>
      <c r="F1734" s="60">
        <v>20</v>
      </c>
      <c r="G1734" s="60">
        <v>85</v>
      </c>
      <c r="H1734" s="60">
        <v>27</v>
      </c>
      <c r="I1734" s="60"/>
      <c r="J1734" s="60"/>
      <c r="K1734" s="60"/>
      <c r="L1734" s="60"/>
      <c r="M1734" s="60">
        <v>46</v>
      </c>
      <c r="N1734" s="60"/>
    </row>
    <row r="1735" spans="1:14" hidden="1" x14ac:dyDescent="0.25">
      <c r="A1735" s="60" t="s">
        <v>213</v>
      </c>
      <c r="B1735" s="60" t="s">
        <v>377</v>
      </c>
      <c r="C1735" s="60" t="s">
        <v>379</v>
      </c>
      <c r="D1735" s="60" t="s">
        <v>378</v>
      </c>
      <c r="E1735" s="60">
        <v>3</v>
      </c>
      <c r="F1735" s="60">
        <v>20</v>
      </c>
      <c r="G1735" s="60">
        <v>90</v>
      </c>
      <c r="H1735" s="60">
        <v>27</v>
      </c>
      <c r="I1735" s="60"/>
      <c r="J1735" s="60"/>
      <c r="K1735" s="60"/>
      <c r="L1735" s="60"/>
      <c r="M1735" s="60">
        <v>46</v>
      </c>
      <c r="N1735" s="60"/>
    </row>
    <row r="1736" spans="1:14" hidden="1" x14ac:dyDescent="0.25">
      <c r="A1736" s="60" t="s">
        <v>213</v>
      </c>
      <c r="B1736" s="60" t="s">
        <v>377</v>
      </c>
      <c r="C1736" s="60" t="s">
        <v>379</v>
      </c>
      <c r="D1736" s="60" t="s">
        <v>378</v>
      </c>
      <c r="E1736" s="60">
        <v>3</v>
      </c>
      <c r="F1736" s="60">
        <v>20</v>
      </c>
      <c r="G1736" s="60">
        <v>95</v>
      </c>
      <c r="H1736" s="60">
        <v>27</v>
      </c>
      <c r="I1736" s="60"/>
      <c r="J1736" s="60"/>
      <c r="K1736" s="60"/>
      <c r="L1736" s="60"/>
      <c r="M1736" s="60">
        <v>46</v>
      </c>
      <c r="N1736" s="60"/>
    </row>
    <row r="1737" spans="1:14" hidden="1" x14ac:dyDescent="0.25">
      <c r="A1737" s="60" t="s">
        <v>213</v>
      </c>
      <c r="B1737" s="60" t="s">
        <v>377</v>
      </c>
      <c r="C1737" s="60" t="s">
        <v>379</v>
      </c>
      <c r="D1737" s="60" t="s">
        <v>378</v>
      </c>
      <c r="E1737" s="60">
        <v>3</v>
      </c>
      <c r="F1737" s="60">
        <v>20</v>
      </c>
      <c r="G1737" s="60">
        <v>100</v>
      </c>
      <c r="H1737" s="60">
        <v>30</v>
      </c>
      <c r="I1737" s="60"/>
      <c r="J1737" s="60"/>
      <c r="K1737" s="60"/>
      <c r="L1737" s="60"/>
      <c r="M1737" s="60">
        <v>46</v>
      </c>
      <c r="N1737" s="60"/>
    </row>
    <row r="1738" spans="1:14" hidden="1" x14ac:dyDescent="0.25">
      <c r="A1738" s="60" t="s">
        <v>213</v>
      </c>
      <c r="B1738" s="60" t="s">
        <v>377</v>
      </c>
      <c r="C1738" s="60" t="s">
        <v>379</v>
      </c>
      <c r="D1738" s="60" t="s">
        <v>378</v>
      </c>
      <c r="E1738" s="60">
        <v>3</v>
      </c>
      <c r="F1738" s="60">
        <v>20</v>
      </c>
      <c r="G1738" s="60">
        <v>110</v>
      </c>
      <c r="H1738" s="60">
        <v>30</v>
      </c>
      <c r="I1738" s="60"/>
      <c r="J1738" s="60"/>
      <c r="K1738" s="60"/>
      <c r="L1738" s="60"/>
      <c r="M1738" s="60">
        <v>46</v>
      </c>
      <c r="N1738" s="60"/>
    </row>
    <row r="1739" spans="1:14" hidden="1" x14ac:dyDescent="0.25">
      <c r="A1739" s="60" t="s">
        <v>213</v>
      </c>
      <c r="B1739" s="60" t="s">
        <v>377</v>
      </c>
      <c r="C1739" s="60" t="s">
        <v>379</v>
      </c>
      <c r="D1739" s="60" t="s">
        <v>378</v>
      </c>
      <c r="E1739" s="60">
        <v>3</v>
      </c>
      <c r="F1739" s="60">
        <v>20</v>
      </c>
      <c r="G1739" s="60">
        <v>120</v>
      </c>
      <c r="H1739" s="60">
        <v>30</v>
      </c>
      <c r="I1739" s="60"/>
      <c r="J1739" s="60"/>
      <c r="K1739" s="60"/>
      <c r="L1739" s="60"/>
      <c r="M1739" s="60">
        <v>46</v>
      </c>
      <c r="N1739" s="60"/>
    </row>
    <row r="1740" spans="1:14" hidden="1" x14ac:dyDescent="0.25">
      <c r="A1740" s="60" t="s">
        <v>213</v>
      </c>
      <c r="B1740" s="60" t="s">
        <v>377</v>
      </c>
      <c r="C1740" s="60" t="s">
        <v>379</v>
      </c>
      <c r="D1740" s="60" t="s">
        <v>378</v>
      </c>
      <c r="E1740" s="60">
        <v>3</v>
      </c>
      <c r="F1740" s="60">
        <v>20</v>
      </c>
      <c r="G1740" s="60">
        <v>130</v>
      </c>
      <c r="H1740" s="60">
        <v>30</v>
      </c>
      <c r="I1740" s="60"/>
      <c r="J1740" s="60"/>
      <c r="K1740" s="60"/>
      <c r="L1740" s="60"/>
      <c r="M1740" s="60">
        <v>52</v>
      </c>
      <c r="N1740" s="60"/>
    </row>
    <row r="1741" spans="1:14" hidden="1" x14ac:dyDescent="0.25">
      <c r="A1741" s="60" t="s">
        <v>213</v>
      </c>
      <c r="B1741" s="60" t="s">
        <v>377</v>
      </c>
      <c r="C1741" s="60" t="s">
        <v>379</v>
      </c>
      <c r="D1741" s="60" t="s">
        <v>378</v>
      </c>
      <c r="E1741" s="60">
        <v>3</v>
      </c>
      <c r="F1741" s="60">
        <v>20</v>
      </c>
      <c r="G1741" s="60">
        <v>140</v>
      </c>
      <c r="H1741" s="60">
        <v>30</v>
      </c>
      <c r="I1741" s="60"/>
      <c r="J1741" s="60"/>
      <c r="K1741" s="60"/>
      <c r="L1741" s="60"/>
      <c r="M1741" s="60">
        <v>52</v>
      </c>
      <c r="N1741" s="60"/>
    </row>
    <row r="1742" spans="1:14" hidden="1" x14ac:dyDescent="0.25">
      <c r="A1742" s="60" t="s">
        <v>213</v>
      </c>
      <c r="B1742" s="60" t="s">
        <v>377</v>
      </c>
      <c r="C1742" s="60" t="s">
        <v>379</v>
      </c>
      <c r="D1742" s="60" t="s">
        <v>378</v>
      </c>
      <c r="E1742" s="60">
        <v>3</v>
      </c>
      <c r="F1742" s="60">
        <v>20</v>
      </c>
      <c r="G1742" s="60">
        <v>150</v>
      </c>
      <c r="H1742" s="60">
        <v>30</v>
      </c>
      <c r="I1742" s="60"/>
      <c r="J1742" s="60"/>
      <c r="K1742" s="60"/>
      <c r="L1742" s="60"/>
      <c r="M1742" s="60">
        <v>52</v>
      </c>
      <c r="N1742" s="60"/>
    </row>
    <row r="1743" spans="1:14" hidden="1" x14ac:dyDescent="0.25">
      <c r="A1743" s="60" t="s">
        <v>213</v>
      </c>
      <c r="B1743" s="60" t="s">
        <v>377</v>
      </c>
      <c r="C1743" s="60" t="s">
        <v>379</v>
      </c>
      <c r="D1743" s="60" t="s">
        <v>378</v>
      </c>
      <c r="E1743" s="60">
        <v>3</v>
      </c>
      <c r="F1743" s="60">
        <v>20</v>
      </c>
      <c r="G1743" s="60">
        <v>160</v>
      </c>
      <c r="H1743" s="60">
        <v>30</v>
      </c>
      <c r="I1743" s="60"/>
      <c r="J1743" s="60"/>
      <c r="K1743" s="60"/>
      <c r="L1743" s="60"/>
      <c r="M1743" s="60">
        <v>52</v>
      </c>
      <c r="N1743" s="60"/>
    </row>
    <row r="1744" spans="1:14" hidden="1" x14ac:dyDescent="0.25">
      <c r="A1744" s="60" t="s">
        <v>213</v>
      </c>
      <c r="B1744" s="60" t="s">
        <v>377</v>
      </c>
      <c r="C1744" s="60" t="s">
        <v>379</v>
      </c>
      <c r="D1744" s="60" t="s">
        <v>378</v>
      </c>
      <c r="E1744" s="60">
        <v>3</v>
      </c>
      <c r="F1744" s="60">
        <v>20</v>
      </c>
      <c r="G1744" s="60">
        <v>170</v>
      </c>
      <c r="H1744" s="60">
        <v>30</v>
      </c>
      <c r="I1744" s="60"/>
      <c r="J1744" s="60"/>
      <c r="K1744" s="60"/>
      <c r="L1744" s="60"/>
      <c r="M1744" s="60">
        <v>52</v>
      </c>
      <c r="N1744" s="60"/>
    </row>
    <row r="1745" spans="1:14" hidden="1" x14ac:dyDescent="0.25">
      <c r="A1745" s="60" t="s">
        <v>213</v>
      </c>
      <c r="B1745" s="60" t="s">
        <v>377</v>
      </c>
      <c r="C1745" s="60" t="s">
        <v>379</v>
      </c>
      <c r="D1745" s="60" t="s">
        <v>378</v>
      </c>
      <c r="E1745" s="60">
        <v>3</v>
      </c>
      <c r="F1745" s="60">
        <v>20</v>
      </c>
      <c r="G1745" s="60">
        <v>180</v>
      </c>
      <c r="H1745" s="60">
        <v>30</v>
      </c>
      <c r="I1745" s="60"/>
      <c r="J1745" s="60"/>
      <c r="K1745" s="60"/>
      <c r="L1745" s="60"/>
      <c r="M1745" s="60">
        <v>52</v>
      </c>
      <c r="N1745" s="60"/>
    </row>
    <row r="1746" spans="1:14" hidden="1" x14ac:dyDescent="0.25">
      <c r="A1746" s="60" t="s">
        <v>213</v>
      </c>
      <c r="B1746" s="60" t="s">
        <v>377</v>
      </c>
      <c r="C1746" s="60" t="s">
        <v>379</v>
      </c>
      <c r="D1746" s="60" t="s">
        <v>378</v>
      </c>
      <c r="E1746" s="60">
        <v>3</v>
      </c>
      <c r="F1746" s="60">
        <v>20</v>
      </c>
      <c r="G1746" s="60">
        <v>190</v>
      </c>
      <c r="H1746" s="60">
        <v>30</v>
      </c>
      <c r="I1746" s="60"/>
      <c r="J1746" s="60"/>
      <c r="K1746" s="60"/>
      <c r="L1746" s="60"/>
      <c r="M1746" s="60">
        <v>52</v>
      </c>
      <c r="N1746" s="60"/>
    </row>
    <row r="1747" spans="1:14" hidden="1" x14ac:dyDescent="0.25">
      <c r="A1747" s="60" t="s">
        <v>213</v>
      </c>
      <c r="B1747" s="60" t="s">
        <v>377</v>
      </c>
      <c r="C1747" s="60" t="s">
        <v>379</v>
      </c>
      <c r="D1747" s="60" t="s">
        <v>378</v>
      </c>
      <c r="E1747" s="60">
        <v>3</v>
      </c>
      <c r="F1747" s="60">
        <v>20</v>
      </c>
      <c r="G1747" s="60">
        <v>200</v>
      </c>
      <c r="H1747" s="60">
        <v>30</v>
      </c>
      <c r="I1747" s="60"/>
      <c r="J1747" s="60"/>
      <c r="K1747" s="60"/>
      <c r="L1747" s="60"/>
      <c r="M1747" s="60">
        <v>52</v>
      </c>
      <c r="N1747" s="60"/>
    </row>
    <row r="1748" spans="1:14" hidden="1" x14ac:dyDescent="0.25">
      <c r="A1748" s="60" t="s">
        <v>213</v>
      </c>
      <c r="B1748" s="60" t="s">
        <v>377</v>
      </c>
      <c r="C1748" s="60" t="s">
        <v>379</v>
      </c>
      <c r="D1748" s="60" t="s">
        <v>378</v>
      </c>
      <c r="E1748" s="60">
        <v>3</v>
      </c>
      <c r="F1748" s="60">
        <v>20</v>
      </c>
      <c r="G1748" s="60">
        <v>210</v>
      </c>
      <c r="H1748" s="60">
        <v>30</v>
      </c>
      <c r="I1748" s="60"/>
      <c r="J1748" s="60"/>
      <c r="K1748" s="60"/>
      <c r="L1748" s="60"/>
      <c r="M1748" s="60">
        <v>65</v>
      </c>
      <c r="N1748" s="60"/>
    </row>
    <row r="1749" spans="1:14" hidden="1" x14ac:dyDescent="0.25">
      <c r="A1749" s="60" t="s">
        <v>213</v>
      </c>
      <c r="B1749" s="60" t="s">
        <v>377</v>
      </c>
      <c r="C1749" s="60" t="s">
        <v>379</v>
      </c>
      <c r="D1749" s="60" t="s">
        <v>378</v>
      </c>
      <c r="E1749" s="60">
        <v>3</v>
      </c>
      <c r="F1749" s="60">
        <v>20</v>
      </c>
      <c r="G1749" s="60">
        <v>220</v>
      </c>
      <c r="H1749" s="60">
        <v>30</v>
      </c>
      <c r="I1749" s="60"/>
      <c r="J1749" s="60"/>
      <c r="K1749" s="60"/>
      <c r="L1749" s="60"/>
      <c r="M1749" s="60">
        <v>65</v>
      </c>
      <c r="N1749" s="60"/>
    </row>
    <row r="1750" spans="1:14" hidden="1" x14ac:dyDescent="0.25">
      <c r="A1750" s="60" t="s">
        <v>213</v>
      </c>
      <c r="B1750" s="60" t="s">
        <v>377</v>
      </c>
      <c r="C1750" s="60" t="s">
        <v>379</v>
      </c>
      <c r="D1750" s="60" t="s">
        <v>378</v>
      </c>
      <c r="E1750" s="60">
        <v>3</v>
      </c>
      <c r="F1750" s="60">
        <v>20</v>
      </c>
      <c r="G1750" s="60">
        <v>230</v>
      </c>
      <c r="H1750" s="60">
        <v>30</v>
      </c>
      <c r="I1750" s="60"/>
      <c r="J1750" s="60"/>
      <c r="K1750" s="60"/>
      <c r="L1750" s="60"/>
      <c r="M1750" s="60">
        <v>65</v>
      </c>
      <c r="N1750" s="60"/>
    </row>
    <row r="1751" spans="1:14" hidden="1" x14ac:dyDescent="0.25">
      <c r="A1751" s="60" t="s">
        <v>213</v>
      </c>
      <c r="B1751" s="60" t="s">
        <v>377</v>
      </c>
      <c r="C1751" s="60" t="s">
        <v>379</v>
      </c>
      <c r="D1751" s="60" t="s">
        <v>378</v>
      </c>
      <c r="E1751" s="60">
        <v>3</v>
      </c>
      <c r="F1751" s="60">
        <v>20</v>
      </c>
      <c r="G1751" s="60">
        <v>240</v>
      </c>
      <c r="H1751" s="60">
        <v>30</v>
      </c>
      <c r="I1751" s="60"/>
      <c r="J1751" s="60"/>
      <c r="K1751" s="60"/>
      <c r="L1751" s="60"/>
      <c r="M1751" s="60">
        <v>65</v>
      </c>
      <c r="N1751" s="60"/>
    </row>
    <row r="1752" spans="1:14" hidden="1" x14ac:dyDescent="0.25">
      <c r="A1752" s="60" t="s">
        <v>213</v>
      </c>
      <c r="B1752" s="60" t="s">
        <v>377</v>
      </c>
      <c r="C1752" s="60" t="s">
        <v>379</v>
      </c>
      <c r="D1752" s="60" t="s">
        <v>378</v>
      </c>
      <c r="E1752" s="60">
        <v>3</v>
      </c>
      <c r="F1752" s="60">
        <v>20</v>
      </c>
      <c r="G1752" s="60">
        <v>250</v>
      </c>
      <c r="H1752" s="60">
        <v>30</v>
      </c>
      <c r="I1752" s="60"/>
      <c r="J1752" s="60"/>
      <c r="K1752" s="60"/>
      <c r="L1752" s="60"/>
      <c r="M1752" s="60">
        <v>65</v>
      </c>
      <c r="N1752" s="60"/>
    </row>
    <row r="1753" spans="1:14" hidden="1" x14ac:dyDescent="0.25">
      <c r="A1753" s="60" t="s">
        <v>213</v>
      </c>
      <c r="B1753" s="60" t="s">
        <v>377</v>
      </c>
      <c r="C1753" s="60" t="s">
        <v>379</v>
      </c>
      <c r="D1753" s="60" t="s">
        <v>378</v>
      </c>
      <c r="E1753" s="60">
        <v>3</v>
      </c>
      <c r="F1753" s="60">
        <v>20</v>
      </c>
      <c r="G1753" s="60">
        <v>260</v>
      </c>
      <c r="H1753" s="60">
        <v>30</v>
      </c>
      <c r="I1753" s="60"/>
      <c r="J1753" s="60"/>
      <c r="K1753" s="60"/>
      <c r="L1753" s="60"/>
      <c r="M1753" s="60">
        <v>65</v>
      </c>
      <c r="N1753" s="60"/>
    </row>
    <row r="1754" spans="1:14" hidden="1" x14ac:dyDescent="0.25">
      <c r="A1754" s="60" t="s">
        <v>213</v>
      </c>
      <c r="B1754" s="60" t="s">
        <v>377</v>
      </c>
      <c r="C1754" s="60" t="s">
        <v>379</v>
      </c>
      <c r="D1754" s="60" t="s">
        <v>378</v>
      </c>
      <c r="E1754" s="60">
        <v>3</v>
      </c>
      <c r="F1754" s="60">
        <v>20</v>
      </c>
      <c r="G1754" s="60">
        <v>270</v>
      </c>
      <c r="H1754" s="60">
        <v>30</v>
      </c>
      <c r="I1754" s="60"/>
      <c r="J1754" s="60"/>
      <c r="K1754" s="60"/>
      <c r="L1754" s="60"/>
      <c r="M1754" s="60">
        <v>65</v>
      </c>
      <c r="N1754" s="60"/>
    </row>
    <row r="1755" spans="1:14" hidden="1" x14ac:dyDescent="0.25">
      <c r="A1755" s="60" t="s">
        <v>213</v>
      </c>
      <c r="B1755" s="60" t="s">
        <v>377</v>
      </c>
      <c r="C1755" s="60" t="s">
        <v>379</v>
      </c>
      <c r="D1755" s="60" t="s">
        <v>378</v>
      </c>
      <c r="E1755" s="60">
        <v>3</v>
      </c>
      <c r="F1755" s="60">
        <v>20</v>
      </c>
      <c r="G1755" s="60">
        <v>280</v>
      </c>
      <c r="H1755" s="60">
        <v>30</v>
      </c>
      <c r="I1755" s="60"/>
      <c r="J1755" s="60"/>
      <c r="K1755" s="60"/>
      <c r="L1755" s="60"/>
      <c r="M1755" s="60">
        <v>65</v>
      </c>
      <c r="N1755" s="60"/>
    </row>
    <row r="1756" spans="1:14" hidden="1" x14ac:dyDescent="0.25">
      <c r="A1756" s="60" t="s">
        <v>213</v>
      </c>
      <c r="B1756" s="60" t="s">
        <v>377</v>
      </c>
      <c r="C1756" s="60" t="s">
        <v>379</v>
      </c>
      <c r="D1756" s="60" t="s">
        <v>378</v>
      </c>
      <c r="E1756" s="60">
        <v>3</v>
      </c>
      <c r="F1756" s="60">
        <v>20</v>
      </c>
      <c r="G1756" s="60">
        <v>290</v>
      </c>
      <c r="H1756" s="60">
        <v>30</v>
      </c>
      <c r="I1756" s="60"/>
      <c r="J1756" s="60"/>
      <c r="K1756" s="60"/>
      <c r="L1756" s="60"/>
      <c r="M1756" s="60">
        <v>65</v>
      </c>
      <c r="N1756" s="60"/>
    </row>
    <row r="1757" spans="1:14" hidden="1" x14ac:dyDescent="0.25">
      <c r="A1757" s="60" t="s">
        <v>213</v>
      </c>
      <c r="B1757" s="60" t="s">
        <v>377</v>
      </c>
      <c r="C1757" s="60" t="s">
        <v>379</v>
      </c>
      <c r="D1757" s="60" t="s">
        <v>378</v>
      </c>
      <c r="E1757" s="60">
        <v>3</v>
      </c>
      <c r="F1757" s="60">
        <v>20</v>
      </c>
      <c r="G1757" s="60">
        <v>300</v>
      </c>
      <c r="H1757" s="60">
        <v>30</v>
      </c>
      <c r="I1757" s="60"/>
      <c r="J1757" s="60"/>
      <c r="K1757" s="60"/>
      <c r="L1757" s="60"/>
      <c r="M1757" s="60">
        <v>65</v>
      </c>
      <c r="N1757" s="60"/>
    </row>
    <row r="1758" spans="1:14" hidden="1" x14ac:dyDescent="0.25">
      <c r="A1758" s="60" t="s">
        <v>213</v>
      </c>
      <c r="B1758" s="60" t="s">
        <v>377</v>
      </c>
      <c r="C1758" s="60" t="s">
        <v>379</v>
      </c>
      <c r="D1758" s="60" t="s">
        <v>378</v>
      </c>
      <c r="E1758" s="60">
        <v>3</v>
      </c>
      <c r="F1758" s="60">
        <v>20</v>
      </c>
      <c r="G1758" s="60">
        <v>310</v>
      </c>
      <c r="H1758" s="60">
        <v>30</v>
      </c>
      <c r="I1758" s="60"/>
      <c r="J1758" s="60"/>
      <c r="K1758" s="60"/>
      <c r="L1758" s="60"/>
      <c r="M1758" s="60">
        <v>65</v>
      </c>
      <c r="N1758" s="60"/>
    </row>
    <row r="1759" spans="1:14" hidden="1" x14ac:dyDescent="0.25">
      <c r="A1759" s="60" t="s">
        <v>213</v>
      </c>
      <c r="B1759" s="60" t="s">
        <v>377</v>
      </c>
      <c r="C1759" s="60" t="s">
        <v>379</v>
      </c>
      <c r="D1759" s="60" t="s">
        <v>378</v>
      </c>
      <c r="E1759" s="60">
        <v>3</v>
      </c>
      <c r="F1759" s="60">
        <v>20</v>
      </c>
      <c r="G1759" s="60">
        <v>320</v>
      </c>
      <c r="H1759" s="60">
        <v>30</v>
      </c>
      <c r="I1759" s="60"/>
      <c r="J1759" s="60"/>
      <c r="K1759" s="60"/>
      <c r="L1759" s="60"/>
      <c r="M1759" s="60">
        <v>65</v>
      </c>
      <c r="N1759" s="60"/>
    </row>
    <row r="1760" spans="1:14" hidden="1" x14ac:dyDescent="0.25">
      <c r="A1760" s="60" t="s">
        <v>213</v>
      </c>
      <c r="B1760" s="60" t="s">
        <v>377</v>
      </c>
      <c r="C1760" s="60" t="s">
        <v>379</v>
      </c>
      <c r="D1760" s="60" t="s">
        <v>378</v>
      </c>
      <c r="E1760" s="60">
        <v>3</v>
      </c>
      <c r="F1760" s="60">
        <v>20</v>
      </c>
      <c r="G1760" s="60">
        <v>330</v>
      </c>
      <c r="H1760" s="60">
        <v>30</v>
      </c>
      <c r="I1760" s="60"/>
      <c r="J1760" s="60"/>
      <c r="K1760" s="60"/>
      <c r="L1760" s="60"/>
      <c r="M1760" s="60">
        <v>65</v>
      </c>
      <c r="N1760" s="60"/>
    </row>
    <row r="1761" spans="1:14" hidden="1" x14ac:dyDescent="0.25">
      <c r="A1761" s="60" t="s">
        <v>213</v>
      </c>
      <c r="B1761" s="60" t="s">
        <v>377</v>
      </c>
      <c r="C1761" s="60" t="s">
        <v>379</v>
      </c>
      <c r="D1761" s="60" t="s">
        <v>378</v>
      </c>
      <c r="E1761" s="60">
        <v>3</v>
      </c>
      <c r="F1761" s="60">
        <v>20</v>
      </c>
      <c r="G1761" s="60">
        <v>340</v>
      </c>
      <c r="H1761" s="60">
        <v>30</v>
      </c>
      <c r="I1761" s="60"/>
      <c r="J1761" s="60"/>
      <c r="K1761" s="60"/>
      <c r="L1761" s="60"/>
      <c r="M1761" s="60">
        <v>65</v>
      </c>
      <c r="N1761" s="60"/>
    </row>
    <row r="1762" spans="1:14" hidden="1" x14ac:dyDescent="0.25">
      <c r="A1762" s="60" t="s">
        <v>213</v>
      </c>
      <c r="B1762" s="60" t="s">
        <v>377</v>
      </c>
      <c r="C1762" s="60" t="s">
        <v>379</v>
      </c>
      <c r="D1762" s="60" t="s">
        <v>378</v>
      </c>
      <c r="E1762" s="60">
        <v>3</v>
      </c>
      <c r="F1762" s="60">
        <v>20</v>
      </c>
      <c r="G1762" s="60">
        <v>350</v>
      </c>
      <c r="H1762" s="60">
        <v>30</v>
      </c>
      <c r="I1762" s="60"/>
      <c r="J1762" s="60"/>
      <c r="K1762" s="60"/>
      <c r="L1762" s="60"/>
      <c r="M1762" s="60">
        <v>65</v>
      </c>
      <c r="N1762" s="60"/>
    </row>
    <row r="1763" spans="1:14" hidden="1" x14ac:dyDescent="0.25">
      <c r="A1763" s="60" t="s">
        <v>213</v>
      </c>
      <c r="B1763" s="60" t="s">
        <v>377</v>
      </c>
      <c r="C1763" s="60" t="s">
        <v>379</v>
      </c>
      <c r="D1763" s="60" t="s">
        <v>378</v>
      </c>
      <c r="E1763" s="60">
        <v>3</v>
      </c>
      <c r="F1763" s="60">
        <v>20</v>
      </c>
      <c r="G1763" s="60">
        <v>360</v>
      </c>
      <c r="H1763" s="60">
        <v>30</v>
      </c>
      <c r="I1763" s="60"/>
      <c r="J1763" s="60"/>
      <c r="K1763" s="60"/>
      <c r="L1763" s="60"/>
      <c r="M1763" s="60">
        <v>65</v>
      </c>
      <c r="N1763" s="60"/>
    </row>
    <row r="1764" spans="1:14" hidden="1" x14ac:dyDescent="0.25">
      <c r="A1764" s="60" t="s">
        <v>213</v>
      </c>
      <c r="B1764" s="60" t="s">
        <v>377</v>
      </c>
      <c r="C1764" s="60" t="s">
        <v>379</v>
      </c>
      <c r="D1764" s="60" t="s">
        <v>378</v>
      </c>
      <c r="E1764" s="60">
        <v>3</v>
      </c>
      <c r="F1764" s="60">
        <v>20</v>
      </c>
      <c r="G1764" s="60">
        <v>380</v>
      </c>
      <c r="H1764" s="60">
        <v>30</v>
      </c>
      <c r="I1764" s="60"/>
      <c r="J1764" s="60"/>
      <c r="K1764" s="60"/>
      <c r="L1764" s="60"/>
      <c r="M1764" s="60">
        <v>65</v>
      </c>
      <c r="N1764" s="60"/>
    </row>
    <row r="1765" spans="1:14" hidden="1" x14ac:dyDescent="0.25">
      <c r="A1765" s="60" t="s">
        <v>213</v>
      </c>
      <c r="B1765" s="60" t="s">
        <v>377</v>
      </c>
      <c r="C1765" s="60" t="s">
        <v>379</v>
      </c>
      <c r="D1765" s="60" t="s">
        <v>378</v>
      </c>
      <c r="E1765" s="60">
        <v>3</v>
      </c>
      <c r="F1765" s="60">
        <v>20</v>
      </c>
      <c r="G1765" s="60">
        <v>400</v>
      </c>
      <c r="H1765" s="60">
        <v>30</v>
      </c>
      <c r="I1765" s="60"/>
      <c r="J1765" s="60"/>
      <c r="K1765" s="60"/>
      <c r="L1765" s="60"/>
      <c r="M1765" s="60">
        <v>65</v>
      </c>
      <c r="N1765" s="60"/>
    </row>
    <row r="1766" spans="1:14" hidden="1" x14ac:dyDescent="0.25">
      <c r="A1766" s="60" t="s">
        <v>213</v>
      </c>
      <c r="B1766" s="60" t="s">
        <v>377</v>
      </c>
      <c r="C1766" s="60" t="s">
        <v>379</v>
      </c>
      <c r="D1766" s="60" t="s">
        <v>378</v>
      </c>
      <c r="E1766" s="60">
        <v>3</v>
      </c>
      <c r="F1766" s="60">
        <v>20</v>
      </c>
      <c r="G1766" s="60">
        <v>420</v>
      </c>
      <c r="H1766" s="60">
        <v>30</v>
      </c>
      <c r="I1766" s="60"/>
      <c r="J1766" s="60"/>
      <c r="K1766" s="60"/>
      <c r="L1766" s="60"/>
      <c r="M1766" s="60">
        <v>65</v>
      </c>
      <c r="N1766" s="60"/>
    </row>
    <row r="1767" spans="1:14" hidden="1" x14ac:dyDescent="0.25">
      <c r="A1767" s="60" t="s">
        <v>213</v>
      </c>
      <c r="B1767" s="60" t="s">
        <v>377</v>
      </c>
      <c r="C1767" s="60" t="s">
        <v>379</v>
      </c>
      <c r="D1767" s="60" t="s">
        <v>378</v>
      </c>
      <c r="E1767" s="60">
        <v>3</v>
      </c>
      <c r="F1767" s="60">
        <v>20</v>
      </c>
      <c r="G1767" s="60">
        <v>430</v>
      </c>
      <c r="H1767" s="60">
        <v>30</v>
      </c>
      <c r="I1767" s="60"/>
      <c r="J1767" s="60"/>
      <c r="K1767" s="60"/>
      <c r="L1767" s="60"/>
      <c r="M1767" s="60">
        <v>65</v>
      </c>
      <c r="N1767" s="60"/>
    </row>
    <row r="1768" spans="1:14" hidden="1" x14ac:dyDescent="0.25">
      <c r="A1768" s="60" t="s">
        <v>213</v>
      </c>
      <c r="B1768" s="60" t="s">
        <v>377</v>
      </c>
      <c r="C1768" s="60" t="s">
        <v>379</v>
      </c>
      <c r="D1768" s="60" t="s">
        <v>378</v>
      </c>
      <c r="E1768" s="60">
        <v>3</v>
      </c>
      <c r="F1768" s="60">
        <v>20</v>
      </c>
      <c r="G1768" s="60">
        <v>440</v>
      </c>
      <c r="H1768" s="60">
        <v>30</v>
      </c>
      <c r="I1768" s="60"/>
      <c r="J1768" s="60"/>
      <c r="K1768" s="60"/>
      <c r="L1768" s="60"/>
      <c r="M1768" s="60">
        <v>65</v>
      </c>
      <c r="N1768" s="60"/>
    </row>
    <row r="1769" spans="1:14" hidden="1" x14ac:dyDescent="0.25">
      <c r="A1769" s="60" t="s">
        <v>213</v>
      </c>
      <c r="B1769" s="60" t="s">
        <v>377</v>
      </c>
      <c r="C1769" s="60" t="s">
        <v>379</v>
      </c>
      <c r="D1769" s="60" t="s">
        <v>378</v>
      </c>
      <c r="E1769" s="60">
        <v>3</v>
      </c>
      <c r="F1769" s="60">
        <v>20</v>
      </c>
      <c r="G1769" s="60">
        <v>450</v>
      </c>
      <c r="H1769" s="60">
        <v>30</v>
      </c>
      <c r="I1769" s="60"/>
      <c r="J1769" s="60"/>
      <c r="K1769" s="60"/>
      <c r="L1769" s="60"/>
      <c r="M1769" s="60">
        <v>65</v>
      </c>
      <c r="N1769" s="60"/>
    </row>
    <row r="1770" spans="1:14" hidden="1" x14ac:dyDescent="0.25">
      <c r="A1770" s="60" t="s">
        <v>213</v>
      </c>
      <c r="B1770" s="60" t="s">
        <v>377</v>
      </c>
      <c r="C1770" s="60" t="s">
        <v>379</v>
      </c>
      <c r="D1770" s="60" t="s">
        <v>378</v>
      </c>
      <c r="E1770" s="60">
        <v>3</v>
      </c>
      <c r="F1770" s="60">
        <v>20</v>
      </c>
      <c r="G1770" s="60">
        <v>460</v>
      </c>
      <c r="H1770" s="60">
        <v>30</v>
      </c>
      <c r="I1770" s="60"/>
      <c r="J1770" s="60"/>
      <c r="K1770" s="60"/>
      <c r="L1770" s="60"/>
      <c r="M1770" s="60">
        <v>65</v>
      </c>
      <c r="N1770" s="60"/>
    </row>
    <row r="1771" spans="1:14" hidden="1" x14ac:dyDescent="0.25">
      <c r="A1771" s="60" t="s">
        <v>213</v>
      </c>
      <c r="B1771" s="60" t="s">
        <v>377</v>
      </c>
      <c r="C1771" s="60" t="s">
        <v>379</v>
      </c>
      <c r="D1771" s="60" t="s">
        <v>378</v>
      </c>
      <c r="E1771" s="60">
        <v>3</v>
      </c>
      <c r="F1771" s="60">
        <v>20</v>
      </c>
      <c r="G1771" s="60">
        <v>480</v>
      </c>
      <c r="H1771" s="60">
        <v>30</v>
      </c>
      <c r="I1771" s="60"/>
      <c r="J1771" s="60"/>
      <c r="K1771" s="60"/>
      <c r="L1771" s="60"/>
      <c r="M1771" s="60">
        <v>65</v>
      </c>
      <c r="N1771" s="60"/>
    </row>
    <row r="1772" spans="1:14" hidden="1" x14ac:dyDescent="0.25">
      <c r="A1772" s="60" t="s">
        <v>213</v>
      </c>
      <c r="B1772" s="60" t="s">
        <v>377</v>
      </c>
      <c r="C1772" s="60" t="s">
        <v>379</v>
      </c>
      <c r="D1772" s="60" t="s">
        <v>378</v>
      </c>
      <c r="E1772" s="60">
        <v>3</v>
      </c>
      <c r="F1772" s="60">
        <v>20</v>
      </c>
      <c r="G1772" s="60">
        <v>500</v>
      </c>
      <c r="H1772" s="60">
        <v>30</v>
      </c>
      <c r="I1772" s="60"/>
      <c r="J1772" s="60"/>
      <c r="K1772" s="60"/>
      <c r="L1772" s="60"/>
      <c r="M1772" s="60">
        <v>65</v>
      </c>
      <c r="N1772" s="60"/>
    </row>
    <row r="1773" spans="1:14" hidden="1" x14ac:dyDescent="0.25">
      <c r="A1773" s="60" t="s">
        <v>213</v>
      </c>
      <c r="B1773" s="60" t="s">
        <v>377</v>
      </c>
      <c r="C1773" s="60" t="s">
        <v>379</v>
      </c>
      <c r="D1773" s="60" t="s">
        <v>378</v>
      </c>
      <c r="E1773" s="60">
        <v>3</v>
      </c>
      <c r="F1773" s="60">
        <v>22</v>
      </c>
      <c r="G1773" s="60">
        <v>70</v>
      </c>
      <c r="H1773" s="60">
        <v>30</v>
      </c>
      <c r="I1773" s="60"/>
      <c r="J1773" s="60"/>
      <c r="K1773" s="60"/>
      <c r="L1773" s="60"/>
      <c r="M1773" s="60">
        <v>50</v>
      </c>
      <c r="N1773" s="60"/>
    </row>
    <row r="1774" spans="1:14" hidden="1" x14ac:dyDescent="0.25">
      <c r="A1774" s="60" t="s">
        <v>213</v>
      </c>
      <c r="B1774" s="60" t="s">
        <v>377</v>
      </c>
      <c r="C1774" s="60" t="s">
        <v>379</v>
      </c>
      <c r="D1774" s="60" t="s">
        <v>378</v>
      </c>
      <c r="E1774" s="60">
        <v>3</v>
      </c>
      <c r="F1774" s="60">
        <v>22</v>
      </c>
      <c r="G1774" s="60">
        <v>75</v>
      </c>
      <c r="H1774" s="60">
        <v>30</v>
      </c>
      <c r="I1774" s="60"/>
      <c r="J1774" s="60"/>
      <c r="K1774" s="60"/>
      <c r="L1774" s="60"/>
      <c r="M1774" s="60">
        <v>50</v>
      </c>
      <c r="N1774" s="60"/>
    </row>
    <row r="1775" spans="1:14" hidden="1" x14ac:dyDescent="0.25">
      <c r="A1775" s="60" t="s">
        <v>213</v>
      </c>
      <c r="B1775" s="60" t="s">
        <v>377</v>
      </c>
      <c r="C1775" s="60" t="s">
        <v>379</v>
      </c>
      <c r="D1775" s="60" t="s">
        <v>378</v>
      </c>
      <c r="E1775" s="60">
        <v>3</v>
      </c>
      <c r="F1775" s="60">
        <v>22</v>
      </c>
      <c r="G1775" s="60">
        <v>80</v>
      </c>
      <c r="H1775" s="60">
        <v>30</v>
      </c>
      <c r="I1775" s="60"/>
      <c r="J1775" s="60"/>
      <c r="K1775" s="60"/>
      <c r="L1775" s="60"/>
      <c r="M1775" s="60">
        <v>50</v>
      </c>
      <c r="N1775" s="60"/>
    </row>
    <row r="1776" spans="1:14" hidden="1" x14ac:dyDescent="0.25">
      <c r="A1776" s="60" t="s">
        <v>213</v>
      </c>
      <c r="B1776" s="60" t="s">
        <v>377</v>
      </c>
      <c r="C1776" s="60" t="s">
        <v>379</v>
      </c>
      <c r="D1776" s="60" t="s">
        <v>378</v>
      </c>
      <c r="E1776" s="60">
        <v>3</v>
      </c>
      <c r="F1776" s="60">
        <v>22</v>
      </c>
      <c r="G1776" s="60">
        <v>90</v>
      </c>
      <c r="H1776" s="60">
        <v>30</v>
      </c>
      <c r="I1776" s="60"/>
      <c r="J1776" s="60"/>
      <c r="K1776" s="60"/>
      <c r="L1776" s="60"/>
      <c r="M1776" s="60">
        <v>50</v>
      </c>
      <c r="N1776" s="60"/>
    </row>
    <row r="1777" spans="1:14" hidden="1" x14ac:dyDescent="0.25">
      <c r="A1777" s="60" t="s">
        <v>213</v>
      </c>
      <c r="B1777" s="60" t="s">
        <v>377</v>
      </c>
      <c r="C1777" s="60" t="s">
        <v>379</v>
      </c>
      <c r="D1777" s="60" t="s">
        <v>378</v>
      </c>
      <c r="E1777" s="60">
        <v>3</v>
      </c>
      <c r="F1777" s="60">
        <v>22</v>
      </c>
      <c r="G1777" s="60">
        <v>100</v>
      </c>
      <c r="H1777" s="60">
        <v>30</v>
      </c>
      <c r="I1777" s="60"/>
      <c r="J1777" s="60"/>
      <c r="K1777" s="60"/>
      <c r="L1777" s="60"/>
      <c r="M1777" s="60">
        <v>50</v>
      </c>
      <c r="N1777" s="60"/>
    </row>
    <row r="1778" spans="1:14" hidden="1" x14ac:dyDescent="0.25">
      <c r="A1778" s="60" t="s">
        <v>213</v>
      </c>
      <c r="B1778" s="60" t="s">
        <v>377</v>
      </c>
      <c r="C1778" s="60" t="s">
        <v>379</v>
      </c>
      <c r="D1778" s="60" t="s">
        <v>378</v>
      </c>
      <c r="E1778" s="60">
        <v>3</v>
      </c>
      <c r="F1778" s="60">
        <v>22</v>
      </c>
      <c r="G1778" s="60">
        <v>110</v>
      </c>
      <c r="H1778" s="60">
        <v>30</v>
      </c>
      <c r="I1778" s="60"/>
      <c r="J1778" s="60"/>
      <c r="K1778" s="60"/>
      <c r="L1778" s="60"/>
      <c r="M1778" s="60">
        <v>50</v>
      </c>
      <c r="N1778" s="60"/>
    </row>
    <row r="1779" spans="1:14" hidden="1" x14ac:dyDescent="0.25">
      <c r="A1779" s="60" t="s">
        <v>213</v>
      </c>
      <c r="B1779" s="60" t="s">
        <v>377</v>
      </c>
      <c r="C1779" s="60" t="s">
        <v>379</v>
      </c>
      <c r="D1779" s="60" t="s">
        <v>378</v>
      </c>
      <c r="E1779" s="60">
        <v>3</v>
      </c>
      <c r="F1779" s="60">
        <v>22</v>
      </c>
      <c r="G1779" s="60">
        <v>120</v>
      </c>
      <c r="H1779" s="60">
        <v>30</v>
      </c>
      <c r="I1779" s="60"/>
      <c r="J1779" s="60"/>
      <c r="K1779" s="60"/>
      <c r="L1779" s="60"/>
      <c r="M1779" s="60">
        <v>50</v>
      </c>
      <c r="N1779" s="60"/>
    </row>
    <row r="1780" spans="1:14" hidden="1" x14ac:dyDescent="0.25">
      <c r="A1780" s="60" t="s">
        <v>213</v>
      </c>
      <c r="B1780" s="60" t="s">
        <v>377</v>
      </c>
      <c r="C1780" s="60" t="s">
        <v>379</v>
      </c>
      <c r="D1780" s="60" t="s">
        <v>378</v>
      </c>
      <c r="E1780" s="60">
        <v>3</v>
      </c>
      <c r="F1780" s="60">
        <v>22</v>
      </c>
      <c r="G1780" s="60">
        <v>130</v>
      </c>
      <c r="H1780" s="60">
        <v>30</v>
      </c>
      <c r="I1780" s="60"/>
      <c r="J1780" s="60"/>
      <c r="K1780" s="60"/>
      <c r="L1780" s="60"/>
      <c r="M1780" s="60">
        <v>56</v>
      </c>
      <c r="N1780" s="60"/>
    </row>
    <row r="1781" spans="1:14" hidden="1" x14ac:dyDescent="0.25">
      <c r="A1781" s="60" t="s">
        <v>213</v>
      </c>
      <c r="B1781" s="60" t="s">
        <v>377</v>
      </c>
      <c r="C1781" s="60" t="s">
        <v>379</v>
      </c>
      <c r="D1781" s="60" t="s">
        <v>378</v>
      </c>
      <c r="E1781" s="60">
        <v>3</v>
      </c>
      <c r="F1781" s="60">
        <v>22</v>
      </c>
      <c r="G1781" s="60">
        <v>140</v>
      </c>
      <c r="H1781" s="60">
        <v>30</v>
      </c>
      <c r="I1781" s="60"/>
      <c r="J1781" s="60"/>
      <c r="K1781" s="60"/>
      <c r="L1781" s="60"/>
      <c r="M1781" s="60">
        <v>56</v>
      </c>
      <c r="N1781" s="60"/>
    </row>
    <row r="1782" spans="1:14" hidden="1" x14ac:dyDescent="0.25">
      <c r="A1782" s="60" t="s">
        <v>213</v>
      </c>
      <c r="B1782" s="60" t="s">
        <v>377</v>
      </c>
      <c r="C1782" s="60" t="s">
        <v>379</v>
      </c>
      <c r="D1782" s="60" t="s">
        <v>378</v>
      </c>
      <c r="E1782" s="60">
        <v>3</v>
      </c>
      <c r="F1782" s="60">
        <v>22</v>
      </c>
      <c r="G1782" s="60">
        <v>150</v>
      </c>
      <c r="H1782" s="60">
        <v>30</v>
      </c>
      <c r="I1782" s="60"/>
      <c r="J1782" s="60"/>
      <c r="K1782" s="60"/>
      <c r="L1782" s="60"/>
      <c r="M1782" s="60">
        <v>56</v>
      </c>
      <c r="N1782" s="60"/>
    </row>
    <row r="1783" spans="1:14" hidden="1" x14ac:dyDescent="0.25">
      <c r="A1783" s="60" t="s">
        <v>213</v>
      </c>
      <c r="B1783" s="60" t="s">
        <v>377</v>
      </c>
      <c r="C1783" s="60" t="s">
        <v>379</v>
      </c>
      <c r="D1783" s="60" t="s">
        <v>378</v>
      </c>
      <c r="E1783" s="60">
        <v>3</v>
      </c>
      <c r="F1783" s="60">
        <v>22</v>
      </c>
      <c r="G1783" s="60">
        <v>160</v>
      </c>
      <c r="H1783" s="60">
        <v>30</v>
      </c>
      <c r="I1783" s="60"/>
      <c r="J1783" s="60"/>
      <c r="K1783" s="60"/>
      <c r="L1783" s="60"/>
      <c r="M1783" s="60">
        <v>56</v>
      </c>
      <c r="N1783" s="60"/>
    </row>
    <row r="1784" spans="1:14" hidden="1" x14ac:dyDescent="0.25">
      <c r="A1784" s="60" t="s">
        <v>213</v>
      </c>
      <c r="B1784" s="60" t="s">
        <v>377</v>
      </c>
      <c r="C1784" s="60" t="s">
        <v>379</v>
      </c>
      <c r="D1784" s="60" t="s">
        <v>378</v>
      </c>
      <c r="E1784" s="60">
        <v>3</v>
      </c>
      <c r="F1784" s="60">
        <v>22</v>
      </c>
      <c r="G1784" s="60">
        <v>180</v>
      </c>
      <c r="H1784" s="60">
        <v>30</v>
      </c>
      <c r="I1784" s="60"/>
      <c r="J1784" s="60"/>
      <c r="K1784" s="60"/>
      <c r="L1784" s="60"/>
      <c r="M1784" s="60">
        <v>56</v>
      </c>
      <c r="N1784" s="60"/>
    </row>
    <row r="1785" spans="1:14" hidden="1" x14ac:dyDescent="0.25">
      <c r="A1785" s="60" t="s">
        <v>213</v>
      </c>
      <c r="B1785" s="60" t="s">
        <v>377</v>
      </c>
      <c r="C1785" s="60" t="s">
        <v>379</v>
      </c>
      <c r="D1785" s="60" t="s">
        <v>378</v>
      </c>
      <c r="E1785" s="60">
        <v>3</v>
      </c>
      <c r="F1785" s="60">
        <v>22</v>
      </c>
      <c r="G1785" s="60">
        <v>200</v>
      </c>
      <c r="H1785" s="60">
        <v>30</v>
      </c>
      <c r="I1785" s="60"/>
      <c r="J1785" s="60"/>
      <c r="K1785" s="60"/>
      <c r="L1785" s="60"/>
      <c r="M1785" s="60">
        <v>56</v>
      </c>
      <c r="N1785" s="60"/>
    </row>
    <row r="1786" spans="1:14" hidden="1" x14ac:dyDescent="0.25">
      <c r="A1786" s="60" t="s">
        <v>213</v>
      </c>
      <c r="B1786" s="60" t="s">
        <v>377</v>
      </c>
      <c r="C1786" s="60" t="s">
        <v>379</v>
      </c>
      <c r="D1786" s="60" t="s">
        <v>378</v>
      </c>
      <c r="E1786" s="60">
        <v>3</v>
      </c>
      <c r="F1786" s="60">
        <v>22</v>
      </c>
      <c r="G1786" s="60">
        <v>240</v>
      </c>
      <c r="H1786" s="60">
        <v>30</v>
      </c>
      <c r="I1786" s="60"/>
      <c r="J1786" s="60"/>
      <c r="K1786" s="60"/>
      <c r="L1786" s="60"/>
      <c r="M1786" s="60">
        <v>69</v>
      </c>
      <c r="N1786" s="60"/>
    </row>
    <row r="1787" spans="1:14" hidden="1" x14ac:dyDescent="0.25">
      <c r="A1787" s="60" t="s">
        <v>213</v>
      </c>
      <c r="B1787" s="60" t="s">
        <v>377</v>
      </c>
      <c r="C1787" s="60" t="s">
        <v>379</v>
      </c>
      <c r="D1787" s="60" t="s">
        <v>378</v>
      </c>
      <c r="E1787" s="60">
        <v>3</v>
      </c>
      <c r="F1787" s="60">
        <v>22</v>
      </c>
      <c r="G1787" s="60">
        <v>260</v>
      </c>
      <c r="H1787" s="60">
        <v>30</v>
      </c>
      <c r="I1787" s="60"/>
      <c r="J1787" s="60"/>
      <c r="K1787" s="60"/>
      <c r="L1787" s="60"/>
      <c r="M1787" s="60">
        <v>69</v>
      </c>
      <c r="N1787" s="60"/>
    </row>
    <row r="1788" spans="1:14" hidden="1" x14ac:dyDescent="0.25">
      <c r="A1788" s="60" t="s">
        <v>213</v>
      </c>
      <c r="B1788" s="60" t="s">
        <v>377</v>
      </c>
      <c r="C1788" s="60" t="s">
        <v>379</v>
      </c>
      <c r="D1788" s="60" t="s">
        <v>378</v>
      </c>
      <c r="E1788" s="60">
        <v>3</v>
      </c>
      <c r="F1788" s="60">
        <v>22</v>
      </c>
      <c r="G1788" s="60">
        <v>280</v>
      </c>
      <c r="H1788" s="60">
        <v>30</v>
      </c>
      <c r="I1788" s="60"/>
      <c r="J1788" s="60"/>
      <c r="K1788" s="60"/>
      <c r="L1788" s="60"/>
      <c r="M1788" s="60">
        <v>69</v>
      </c>
      <c r="N1788" s="60"/>
    </row>
    <row r="1789" spans="1:14" hidden="1" x14ac:dyDescent="0.25">
      <c r="A1789" s="60" t="s">
        <v>213</v>
      </c>
      <c r="B1789" s="60" t="s">
        <v>377</v>
      </c>
      <c r="C1789" s="60" t="s">
        <v>379</v>
      </c>
      <c r="D1789" s="60" t="s">
        <v>378</v>
      </c>
      <c r="E1789" s="60">
        <v>3</v>
      </c>
      <c r="F1789" s="60">
        <v>22</v>
      </c>
      <c r="G1789" s="60">
        <v>300</v>
      </c>
      <c r="H1789" s="60">
        <v>30</v>
      </c>
      <c r="I1789" s="60"/>
      <c r="J1789" s="60"/>
      <c r="K1789" s="60"/>
      <c r="L1789" s="60"/>
      <c r="M1789" s="60">
        <v>69</v>
      </c>
      <c r="N1789" s="60"/>
    </row>
    <row r="1790" spans="1:14" hidden="1" x14ac:dyDescent="0.25">
      <c r="A1790" s="60" t="s">
        <v>213</v>
      </c>
      <c r="B1790" s="60" t="s">
        <v>377</v>
      </c>
      <c r="C1790" s="60" t="s">
        <v>379</v>
      </c>
      <c r="D1790" s="60" t="s">
        <v>378</v>
      </c>
      <c r="E1790" s="60">
        <v>3</v>
      </c>
      <c r="F1790" s="60">
        <v>24</v>
      </c>
      <c r="G1790" s="60">
        <v>70</v>
      </c>
      <c r="H1790" s="60">
        <v>30</v>
      </c>
      <c r="I1790" s="60"/>
      <c r="J1790" s="60"/>
      <c r="K1790" s="60"/>
      <c r="L1790" s="60"/>
      <c r="M1790" s="60">
        <v>54</v>
      </c>
      <c r="N1790" s="60"/>
    </row>
    <row r="1791" spans="1:14" hidden="1" x14ac:dyDescent="0.25">
      <c r="A1791" s="60" t="s">
        <v>213</v>
      </c>
      <c r="B1791" s="60" t="s">
        <v>377</v>
      </c>
      <c r="C1791" s="60" t="s">
        <v>379</v>
      </c>
      <c r="D1791" s="60" t="s">
        <v>378</v>
      </c>
      <c r="E1791" s="60">
        <v>3</v>
      </c>
      <c r="F1791" s="60">
        <v>24</v>
      </c>
      <c r="G1791" s="60">
        <v>75</v>
      </c>
      <c r="H1791" s="60">
        <v>30</v>
      </c>
      <c r="I1791" s="60"/>
      <c r="J1791" s="60"/>
      <c r="K1791" s="60"/>
      <c r="L1791" s="60"/>
      <c r="M1791" s="60">
        <v>54</v>
      </c>
      <c r="N1791" s="60"/>
    </row>
    <row r="1792" spans="1:14" hidden="1" x14ac:dyDescent="0.25">
      <c r="A1792" s="60" t="s">
        <v>213</v>
      </c>
      <c r="B1792" s="60" t="s">
        <v>377</v>
      </c>
      <c r="C1792" s="60" t="s">
        <v>379</v>
      </c>
      <c r="D1792" s="60" t="s">
        <v>378</v>
      </c>
      <c r="E1792" s="60">
        <v>3</v>
      </c>
      <c r="F1792" s="60">
        <v>24</v>
      </c>
      <c r="G1792" s="60">
        <v>80</v>
      </c>
      <c r="H1792" s="60">
        <v>30</v>
      </c>
      <c r="I1792" s="60"/>
      <c r="J1792" s="60"/>
      <c r="K1792" s="60"/>
      <c r="L1792" s="60"/>
      <c r="M1792" s="60">
        <v>54</v>
      </c>
      <c r="N1792" s="60"/>
    </row>
    <row r="1793" spans="1:14" hidden="1" x14ac:dyDescent="0.25">
      <c r="A1793" s="60" t="s">
        <v>213</v>
      </c>
      <c r="B1793" s="60" t="s">
        <v>377</v>
      </c>
      <c r="C1793" s="60" t="s">
        <v>379</v>
      </c>
      <c r="D1793" s="60" t="s">
        <v>378</v>
      </c>
      <c r="E1793" s="60">
        <v>3</v>
      </c>
      <c r="F1793" s="60">
        <v>24</v>
      </c>
      <c r="G1793" s="60">
        <v>85</v>
      </c>
      <c r="H1793" s="60">
        <v>30</v>
      </c>
      <c r="I1793" s="60"/>
      <c r="J1793" s="60"/>
      <c r="K1793" s="60"/>
      <c r="L1793" s="60"/>
      <c r="M1793" s="60">
        <v>54</v>
      </c>
      <c r="N1793" s="60"/>
    </row>
    <row r="1794" spans="1:14" hidden="1" x14ac:dyDescent="0.25">
      <c r="A1794" s="60" t="s">
        <v>213</v>
      </c>
      <c r="B1794" s="60" t="s">
        <v>377</v>
      </c>
      <c r="C1794" s="60" t="s">
        <v>379</v>
      </c>
      <c r="D1794" s="60" t="s">
        <v>378</v>
      </c>
      <c r="E1794" s="60">
        <v>3</v>
      </c>
      <c r="F1794" s="60">
        <v>24</v>
      </c>
      <c r="G1794" s="60">
        <v>90</v>
      </c>
      <c r="H1794" s="60">
        <v>30</v>
      </c>
      <c r="I1794" s="60"/>
      <c r="J1794" s="60"/>
      <c r="K1794" s="60"/>
      <c r="L1794" s="60"/>
      <c r="M1794" s="60">
        <v>54</v>
      </c>
      <c r="N1794" s="60"/>
    </row>
    <row r="1795" spans="1:14" hidden="1" x14ac:dyDescent="0.25">
      <c r="A1795" s="60" t="s">
        <v>213</v>
      </c>
      <c r="B1795" s="60" t="s">
        <v>377</v>
      </c>
      <c r="C1795" s="60" t="s">
        <v>379</v>
      </c>
      <c r="D1795" s="60" t="s">
        <v>378</v>
      </c>
      <c r="E1795" s="60">
        <v>3</v>
      </c>
      <c r="F1795" s="60">
        <v>24</v>
      </c>
      <c r="G1795" s="60">
        <v>95</v>
      </c>
      <c r="H1795" s="60">
        <v>30</v>
      </c>
      <c r="I1795" s="60"/>
      <c r="J1795" s="60"/>
      <c r="K1795" s="60"/>
      <c r="L1795" s="60"/>
      <c r="M1795" s="60">
        <v>54</v>
      </c>
      <c r="N1795" s="60"/>
    </row>
    <row r="1796" spans="1:14" hidden="1" x14ac:dyDescent="0.25">
      <c r="A1796" s="60" t="s">
        <v>213</v>
      </c>
      <c r="B1796" s="60" t="s">
        <v>377</v>
      </c>
      <c r="C1796" s="60" t="s">
        <v>379</v>
      </c>
      <c r="D1796" s="60" t="s">
        <v>378</v>
      </c>
      <c r="E1796" s="60">
        <v>3</v>
      </c>
      <c r="F1796" s="60">
        <v>24</v>
      </c>
      <c r="G1796" s="60">
        <v>100</v>
      </c>
      <c r="H1796" s="60">
        <v>36</v>
      </c>
      <c r="I1796" s="60"/>
      <c r="J1796" s="60"/>
      <c r="K1796" s="60"/>
      <c r="L1796" s="60"/>
      <c r="M1796" s="60">
        <v>54</v>
      </c>
      <c r="N1796" s="60"/>
    </row>
    <row r="1797" spans="1:14" hidden="1" x14ac:dyDescent="0.25">
      <c r="A1797" s="60" t="s">
        <v>213</v>
      </c>
      <c r="B1797" s="60" t="s">
        <v>377</v>
      </c>
      <c r="C1797" s="60" t="s">
        <v>379</v>
      </c>
      <c r="D1797" s="60" t="s">
        <v>378</v>
      </c>
      <c r="E1797" s="60">
        <v>3</v>
      </c>
      <c r="F1797" s="60">
        <v>24</v>
      </c>
      <c r="G1797" s="60">
        <v>110</v>
      </c>
      <c r="H1797" s="60">
        <v>36</v>
      </c>
      <c r="I1797" s="60"/>
      <c r="J1797" s="60"/>
      <c r="K1797" s="60"/>
      <c r="L1797" s="60"/>
      <c r="M1797" s="60">
        <v>54</v>
      </c>
      <c r="N1797" s="60"/>
    </row>
    <row r="1798" spans="1:14" hidden="1" x14ac:dyDescent="0.25">
      <c r="A1798" s="60" t="s">
        <v>213</v>
      </c>
      <c r="B1798" s="60" t="s">
        <v>377</v>
      </c>
      <c r="C1798" s="60" t="s">
        <v>379</v>
      </c>
      <c r="D1798" s="60" t="s">
        <v>378</v>
      </c>
      <c r="E1798" s="60">
        <v>3</v>
      </c>
      <c r="F1798" s="60">
        <v>24</v>
      </c>
      <c r="G1798" s="60">
        <v>120</v>
      </c>
      <c r="H1798" s="60">
        <v>36</v>
      </c>
      <c r="I1798" s="60"/>
      <c r="J1798" s="60"/>
      <c r="K1798" s="60"/>
      <c r="L1798" s="60"/>
      <c r="M1798" s="60">
        <v>54</v>
      </c>
      <c r="N1798" s="60"/>
    </row>
    <row r="1799" spans="1:14" hidden="1" x14ac:dyDescent="0.25">
      <c r="A1799" s="60" t="s">
        <v>213</v>
      </c>
      <c r="B1799" s="60" t="s">
        <v>377</v>
      </c>
      <c r="C1799" s="60" t="s">
        <v>379</v>
      </c>
      <c r="D1799" s="60" t="s">
        <v>378</v>
      </c>
      <c r="E1799" s="60">
        <v>3</v>
      </c>
      <c r="F1799" s="60">
        <v>24</v>
      </c>
      <c r="G1799" s="60">
        <v>130</v>
      </c>
      <c r="H1799" s="60">
        <v>36</v>
      </c>
      <c r="I1799" s="60"/>
      <c r="J1799" s="60"/>
      <c r="K1799" s="60"/>
      <c r="L1799" s="60"/>
      <c r="M1799" s="60">
        <v>60</v>
      </c>
      <c r="N1799" s="60"/>
    </row>
    <row r="1800" spans="1:14" hidden="1" x14ac:dyDescent="0.25">
      <c r="A1800" s="60" t="s">
        <v>213</v>
      </c>
      <c r="B1800" s="60" t="s">
        <v>377</v>
      </c>
      <c r="C1800" s="60" t="s">
        <v>379</v>
      </c>
      <c r="D1800" s="60" t="s">
        <v>378</v>
      </c>
      <c r="E1800" s="60">
        <v>3</v>
      </c>
      <c r="F1800" s="60">
        <v>24</v>
      </c>
      <c r="G1800" s="60">
        <v>140</v>
      </c>
      <c r="H1800" s="60">
        <v>36</v>
      </c>
      <c r="I1800" s="60"/>
      <c r="J1800" s="60"/>
      <c r="K1800" s="60"/>
      <c r="L1800" s="60"/>
      <c r="M1800" s="60">
        <v>60</v>
      </c>
      <c r="N1800" s="60"/>
    </row>
    <row r="1801" spans="1:14" hidden="1" x14ac:dyDescent="0.25">
      <c r="A1801" s="60" t="s">
        <v>213</v>
      </c>
      <c r="B1801" s="60" t="s">
        <v>377</v>
      </c>
      <c r="C1801" s="60" t="s">
        <v>379</v>
      </c>
      <c r="D1801" s="60" t="s">
        <v>378</v>
      </c>
      <c r="E1801" s="60">
        <v>3</v>
      </c>
      <c r="F1801" s="60">
        <v>24</v>
      </c>
      <c r="G1801" s="60">
        <v>150</v>
      </c>
      <c r="H1801" s="60">
        <v>36</v>
      </c>
      <c r="I1801" s="60"/>
      <c r="J1801" s="60"/>
      <c r="K1801" s="60"/>
      <c r="L1801" s="60"/>
      <c r="M1801" s="60">
        <v>60</v>
      </c>
      <c r="N1801" s="60"/>
    </row>
    <row r="1802" spans="1:14" hidden="1" x14ac:dyDescent="0.25">
      <c r="A1802" s="60" t="s">
        <v>213</v>
      </c>
      <c r="B1802" s="60" t="s">
        <v>377</v>
      </c>
      <c r="C1802" s="60" t="s">
        <v>379</v>
      </c>
      <c r="D1802" s="60" t="s">
        <v>378</v>
      </c>
      <c r="E1802" s="60">
        <v>3</v>
      </c>
      <c r="F1802" s="60">
        <v>24</v>
      </c>
      <c r="G1802" s="60">
        <v>160</v>
      </c>
      <c r="H1802" s="60">
        <v>36</v>
      </c>
      <c r="I1802" s="60"/>
      <c r="J1802" s="60"/>
      <c r="K1802" s="60"/>
      <c r="L1802" s="60"/>
      <c r="M1802" s="60">
        <v>60</v>
      </c>
      <c r="N1802" s="60"/>
    </row>
    <row r="1803" spans="1:14" hidden="1" x14ac:dyDescent="0.25">
      <c r="A1803" s="60" t="s">
        <v>213</v>
      </c>
      <c r="B1803" s="60" t="s">
        <v>377</v>
      </c>
      <c r="C1803" s="60" t="s">
        <v>379</v>
      </c>
      <c r="D1803" s="60" t="s">
        <v>378</v>
      </c>
      <c r="E1803" s="60">
        <v>3</v>
      </c>
      <c r="F1803" s="60">
        <v>24</v>
      </c>
      <c r="G1803" s="60">
        <v>170</v>
      </c>
      <c r="H1803" s="60">
        <v>36</v>
      </c>
      <c r="I1803" s="60"/>
      <c r="J1803" s="60"/>
      <c r="K1803" s="60"/>
      <c r="L1803" s="60"/>
      <c r="M1803" s="60">
        <v>60</v>
      </c>
      <c r="N1803" s="60"/>
    </row>
    <row r="1804" spans="1:14" hidden="1" x14ac:dyDescent="0.25">
      <c r="A1804" s="60" t="s">
        <v>213</v>
      </c>
      <c r="B1804" s="60" t="s">
        <v>377</v>
      </c>
      <c r="C1804" s="60" t="s">
        <v>379</v>
      </c>
      <c r="D1804" s="60" t="s">
        <v>378</v>
      </c>
      <c r="E1804" s="60">
        <v>3</v>
      </c>
      <c r="F1804" s="60">
        <v>24</v>
      </c>
      <c r="G1804" s="60">
        <v>180</v>
      </c>
      <c r="H1804" s="60">
        <v>36</v>
      </c>
      <c r="I1804" s="60"/>
      <c r="J1804" s="60"/>
      <c r="K1804" s="60"/>
      <c r="L1804" s="60"/>
      <c r="M1804" s="60">
        <v>60</v>
      </c>
      <c r="N1804" s="60"/>
    </row>
    <row r="1805" spans="1:14" hidden="1" x14ac:dyDescent="0.25">
      <c r="A1805" s="60" t="s">
        <v>213</v>
      </c>
      <c r="B1805" s="60" t="s">
        <v>377</v>
      </c>
      <c r="C1805" s="60" t="s">
        <v>379</v>
      </c>
      <c r="D1805" s="60" t="s">
        <v>378</v>
      </c>
      <c r="E1805" s="60">
        <v>3</v>
      </c>
      <c r="F1805" s="60">
        <v>24</v>
      </c>
      <c r="G1805" s="60">
        <v>190</v>
      </c>
      <c r="H1805" s="60">
        <v>36</v>
      </c>
      <c r="I1805" s="60"/>
      <c r="J1805" s="60"/>
      <c r="K1805" s="60"/>
      <c r="L1805" s="60"/>
      <c r="M1805" s="60">
        <v>60</v>
      </c>
      <c r="N1805" s="60"/>
    </row>
    <row r="1806" spans="1:14" hidden="1" x14ac:dyDescent="0.25">
      <c r="A1806" s="60" t="s">
        <v>213</v>
      </c>
      <c r="B1806" s="60" t="s">
        <v>377</v>
      </c>
      <c r="C1806" s="60" t="s">
        <v>379</v>
      </c>
      <c r="D1806" s="60" t="s">
        <v>378</v>
      </c>
      <c r="E1806" s="60">
        <v>3</v>
      </c>
      <c r="F1806" s="60">
        <v>24</v>
      </c>
      <c r="G1806" s="60">
        <v>200</v>
      </c>
      <c r="H1806" s="60">
        <v>36</v>
      </c>
      <c r="I1806" s="60"/>
      <c r="J1806" s="60"/>
      <c r="K1806" s="60"/>
      <c r="L1806" s="60"/>
      <c r="M1806" s="60">
        <v>60</v>
      </c>
      <c r="N1806" s="60"/>
    </row>
    <row r="1807" spans="1:14" hidden="1" x14ac:dyDescent="0.25">
      <c r="A1807" s="60" t="s">
        <v>213</v>
      </c>
      <c r="B1807" s="60" t="s">
        <v>377</v>
      </c>
      <c r="C1807" s="60" t="s">
        <v>379</v>
      </c>
      <c r="D1807" s="60" t="s">
        <v>378</v>
      </c>
      <c r="E1807" s="60">
        <v>3</v>
      </c>
      <c r="F1807" s="60">
        <v>24</v>
      </c>
      <c r="G1807" s="60">
        <v>210</v>
      </c>
      <c r="H1807" s="60">
        <v>36</v>
      </c>
      <c r="I1807" s="60"/>
      <c r="J1807" s="60"/>
      <c r="K1807" s="60"/>
      <c r="L1807" s="60"/>
      <c r="M1807" s="60">
        <v>73</v>
      </c>
      <c r="N1807" s="60"/>
    </row>
    <row r="1808" spans="1:14" hidden="1" x14ac:dyDescent="0.25">
      <c r="A1808" s="60" t="s">
        <v>213</v>
      </c>
      <c r="B1808" s="60" t="s">
        <v>377</v>
      </c>
      <c r="C1808" s="60" t="s">
        <v>379</v>
      </c>
      <c r="D1808" s="60" t="s">
        <v>378</v>
      </c>
      <c r="E1808" s="60">
        <v>3</v>
      </c>
      <c r="F1808" s="60">
        <v>24</v>
      </c>
      <c r="G1808" s="60">
        <v>220</v>
      </c>
      <c r="H1808" s="60">
        <v>36</v>
      </c>
      <c r="I1808" s="60"/>
      <c r="J1808" s="60"/>
      <c r="K1808" s="60"/>
      <c r="L1808" s="60"/>
      <c r="M1808" s="60">
        <v>73</v>
      </c>
      <c r="N1808" s="60"/>
    </row>
    <row r="1809" spans="1:14" hidden="1" x14ac:dyDescent="0.25">
      <c r="A1809" s="60" t="s">
        <v>213</v>
      </c>
      <c r="B1809" s="60" t="s">
        <v>377</v>
      </c>
      <c r="C1809" s="60" t="s">
        <v>379</v>
      </c>
      <c r="D1809" s="60" t="s">
        <v>378</v>
      </c>
      <c r="E1809" s="60">
        <v>3</v>
      </c>
      <c r="F1809" s="60">
        <v>24</v>
      </c>
      <c r="G1809" s="60">
        <v>230</v>
      </c>
      <c r="H1809" s="60">
        <v>36</v>
      </c>
      <c r="I1809" s="60"/>
      <c r="J1809" s="60"/>
      <c r="K1809" s="60"/>
      <c r="L1809" s="60"/>
      <c r="M1809" s="60">
        <v>73</v>
      </c>
      <c r="N1809" s="60"/>
    </row>
    <row r="1810" spans="1:14" hidden="1" x14ac:dyDescent="0.25">
      <c r="A1810" s="60" t="s">
        <v>213</v>
      </c>
      <c r="B1810" s="60" t="s">
        <v>377</v>
      </c>
      <c r="C1810" s="60" t="s">
        <v>379</v>
      </c>
      <c r="D1810" s="60" t="s">
        <v>378</v>
      </c>
      <c r="E1810" s="60">
        <v>3</v>
      </c>
      <c r="F1810" s="60">
        <v>24</v>
      </c>
      <c r="G1810" s="60">
        <v>240</v>
      </c>
      <c r="H1810" s="60">
        <v>36</v>
      </c>
      <c r="I1810" s="60"/>
      <c r="J1810" s="60"/>
      <c r="K1810" s="60"/>
      <c r="L1810" s="60"/>
      <c r="M1810" s="60">
        <v>73</v>
      </c>
      <c r="N1810" s="60"/>
    </row>
    <row r="1811" spans="1:14" hidden="1" x14ac:dyDescent="0.25">
      <c r="A1811" s="60" t="s">
        <v>213</v>
      </c>
      <c r="B1811" s="60" t="s">
        <v>377</v>
      </c>
      <c r="C1811" s="60" t="s">
        <v>379</v>
      </c>
      <c r="D1811" s="60" t="s">
        <v>378</v>
      </c>
      <c r="E1811" s="60">
        <v>3</v>
      </c>
      <c r="F1811" s="60">
        <v>24</v>
      </c>
      <c r="G1811" s="60">
        <v>250</v>
      </c>
      <c r="H1811" s="60">
        <v>36</v>
      </c>
      <c r="I1811" s="60"/>
      <c r="J1811" s="60"/>
      <c r="K1811" s="60"/>
      <c r="L1811" s="60"/>
      <c r="M1811" s="60">
        <v>73</v>
      </c>
      <c r="N1811" s="60"/>
    </row>
    <row r="1812" spans="1:14" hidden="1" x14ac:dyDescent="0.25">
      <c r="A1812" s="60" t="s">
        <v>213</v>
      </c>
      <c r="B1812" s="60" t="s">
        <v>377</v>
      </c>
      <c r="C1812" s="60" t="s">
        <v>379</v>
      </c>
      <c r="D1812" s="60" t="s">
        <v>378</v>
      </c>
      <c r="E1812" s="60">
        <v>3</v>
      </c>
      <c r="F1812" s="60">
        <v>24</v>
      </c>
      <c r="G1812" s="60">
        <v>260</v>
      </c>
      <c r="H1812" s="60">
        <v>36</v>
      </c>
      <c r="I1812" s="60"/>
      <c r="J1812" s="60"/>
      <c r="K1812" s="60"/>
      <c r="L1812" s="60"/>
      <c r="M1812" s="60">
        <v>73</v>
      </c>
      <c r="N1812" s="60"/>
    </row>
    <row r="1813" spans="1:14" hidden="1" x14ac:dyDescent="0.25">
      <c r="A1813" s="60" t="s">
        <v>213</v>
      </c>
      <c r="B1813" s="60" t="s">
        <v>377</v>
      </c>
      <c r="C1813" s="60" t="s">
        <v>379</v>
      </c>
      <c r="D1813" s="60" t="s">
        <v>378</v>
      </c>
      <c r="E1813" s="60">
        <v>3</v>
      </c>
      <c r="F1813" s="60">
        <v>24</v>
      </c>
      <c r="G1813" s="60">
        <v>270</v>
      </c>
      <c r="H1813" s="60">
        <v>36</v>
      </c>
      <c r="I1813" s="60"/>
      <c r="J1813" s="60"/>
      <c r="K1813" s="60"/>
      <c r="L1813" s="60"/>
      <c r="M1813" s="60">
        <v>73</v>
      </c>
      <c r="N1813" s="60"/>
    </row>
    <row r="1814" spans="1:14" hidden="1" x14ac:dyDescent="0.25">
      <c r="A1814" s="60" t="s">
        <v>213</v>
      </c>
      <c r="B1814" s="60" t="s">
        <v>377</v>
      </c>
      <c r="C1814" s="60" t="s">
        <v>379</v>
      </c>
      <c r="D1814" s="60" t="s">
        <v>378</v>
      </c>
      <c r="E1814" s="60">
        <v>3</v>
      </c>
      <c r="F1814" s="60">
        <v>24</v>
      </c>
      <c r="G1814" s="60">
        <v>280</v>
      </c>
      <c r="H1814" s="60">
        <v>36</v>
      </c>
      <c r="I1814" s="60"/>
      <c r="J1814" s="60"/>
      <c r="K1814" s="60"/>
      <c r="L1814" s="60"/>
      <c r="M1814" s="60">
        <v>73</v>
      </c>
      <c r="N1814" s="60"/>
    </row>
    <row r="1815" spans="1:14" hidden="1" x14ac:dyDescent="0.25">
      <c r="A1815" s="60" t="s">
        <v>213</v>
      </c>
      <c r="B1815" s="60" t="s">
        <v>377</v>
      </c>
      <c r="C1815" s="60" t="s">
        <v>379</v>
      </c>
      <c r="D1815" s="60" t="s">
        <v>378</v>
      </c>
      <c r="E1815" s="60">
        <v>3</v>
      </c>
      <c r="F1815" s="60">
        <v>24</v>
      </c>
      <c r="G1815" s="60">
        <v>300</v>
      </c>
      <c r="H1815" s="60">
        <v>36</v>
      </c>
      <c r="I1815" s="60"/>
      <c r="J1815" s="60"/>
      <c r="K1815" s="60"/>
      <c r="L1815" s="60"/>
      <c r="M1815" s="60">
        <v>73</v>
      </c>
      <c r="N1815" s="60"/>
    </row>
    <row r="1816" spans="1:14" hidden="1" x14ac:dyDescent="0.25">
      <c r="A1816" s="60" t="s">
        <v>213</v>
      </c>
      <c r="B1816" s="60" t="s">
        <v>377</v>
      </c>
      <c r="C1816" s="60" t="s">
        <v>379</v>
      </c>
      <c r="D1816" s="60" t="s">
        <v>378</v>
      </c>
      <c r="E1816" s="60">
        <v>3</v>
      </c>
      <c r="F1816" s="60">
        <v>24</v>
      </c>
      <c r="G1816" s="60">
        <v>310</v>
      </c>
      <c r="H1816" s="60">
        <v>36</v>
      </c>
      <c r="I1816" s="60"/>
      <c r="J1816" s="60"/>
      <c r="K1816" s="60"/>
      <c r="L1816" s="60"/>
      <c r="M1816" s="60">
        <v>73</v>
      </c>
      <c r="N1816" s="60"/>
    </row>
    <row r="1817" spans="1:14" hidden="1" x14ac:dyDescent="0.25">
      <c r="A1817" s="60" t="s">
        <v>213</v>
      </c>
      <c r="B1817" s="60" t="s">
        <v>377</v>
      </c>
      <c r="C1817" s="60" t="s">
        <v>379</v>
      </c>
      <c r="D1817" s="60" t="s">
        <v>378</v>
      </c>
      <c r="E1817" s="60">
        <v>3</v>
      </c>
      <c r="F1817" s="60">
        <v>24</v>
      </c>
      <c r="G1817" s="60">
        <v>320</v>
      </c>
      <c r="H1817" s="60">
        <v>36</v>
      </c>
      <c r="I1817" s="60"/>
      <c r="J1817" s="60"/>
      <c r="K1817" s="60"/>
      <c r="L1817" s="60"/>
      <c r="M1817" s="60">
        <v>73</v>
      </c>
      <c r="N1817" s="60"/>
    </row>
    <row r="1818" spans="1:14" hidden="1" x14ac:dyDescent="0.25">
      <c r="A1818" s="60" t="s">
        <v>213</v>
      </c>
      <c r="B1818" s="60" t="s">
        <v>377</v>
      </c>
      <c r="C1818" s="60" t="s">
        <v>379</v>
      </c>
      <c r="D1818" s="60" t="s">
        <v>378</v>
      </c>
      <c r="E1818" s="60">
        <v>3</v>
      </c>
      <c r="F1818" s="60">
        <v>24</v>
      </c>
      <c r="G1818" s="60">
        <v>330</v>
      </c>
      <c r="H1818" s="60">
        <v>36</v>
      </c>
      <c r="I1818" s="60"/>
      <c r="J1818" s="60"/>
      <c r="K1818" s="60"/>
      <c r="L1818" s="60"/>
      <c r="M1818" s="60">
        <v>73</v>
      </c>
      <c r="N1818" s="60"/>
    </row>
    <row r="1819" spans="1:14" hidden="1" x14ac:dyDescent="0.25">
      <c r="A1819" s="60" t="s">
        <v>213</v>
      </c>
      <c r="B1819" s="60" t="s">
        <v>377</v>
      </c>
      <c r="C1819" s="60" t="s">
        <v>379</v>
      </c>
      <c r="D1819" s="60" t="s">
        <v>378</v>
      </c>
      <c r="E1819" s="60">
        <v>3</v>
      </c>
      <c r="F1819" s="60">
        <v>24</v>
      </c>
      <c r="G1819" s="60">
        <v>340</v>
      </c>
      <c r="H1819" s="60">
        <v>36</v>
      </c>
      <c r="I1819" s="60"/>
      <c r="J1819" s="60"/>
      <c r="K1819" s="60"/>
      <c r="L1819" s="60"/>
      <c r="M1819" s="60">
        <v>73</v>
      </c>
      <c r="N1819" s="60"/>
    </row>
    <row r="1820" spans="1:14" hidden="1" x14ac:dyDescent="0.25">
      <c r="A1820" s="60" t="s">
        <v>213</v>
      </c>
      <c r="B1820" s="60" t="s">
        <v>377</v>
      </c>
      <c r="C1820" s="60" t="s">
        <v>379</v>
      </c>
      <c r="D1820" s="60" t="s">
        <v>378</v>
      </c>
      <c r="E1820" s="60">
        <v>3</v>
      </c>
      <c r="F1820" s="60">
        <v>24</v>
      </c>
      <c r="G1820" s="60">
        <v>350</v>
      </c>
      <c r="H1820" s="60">
        <v>36</v>
      </c>
      <c r="I1820" s="60"/>
      <c r="J1820" s="60"/>
      <c r="K1820" s="60"/>
      <c r="L1820" s="60"/>
      <c r="M1820" s="60">
        <v>73</v>
      </c>
      <c r="N1820" s="60"/>
    </row>
    <row r="1821" spans="1:14" hidden="1" x14ac:dyDescent="0.25">
      <c r="A1821" s="60" t="s">
        <v>213</v>
      </c>
      <c r="B1821" s="60" t="s">
        <v>377</v>
      </c>
      <c r="C1821" s="60" t="s">
        <v>379</v>
      </c>
      <c r="D1821" s="60" t="s">
        <v>378</v>
      </c>
      <c r="E1821" s="60">
        <v>3</v>
      </c>
      <c r="F1821" s="60">
        <v>24</v>
      </c>
      <c r="G1821" s="60">
        <v>360</v>
      </c>
      <c r="H1821" s="60">
        <v>36</v>
      </c>
      <c r="I1821" s="60"/>
      <c r="J1821" s="60"/>
      <c r="K1821" s="60"/>
      <c r="L1821" s="60"/>
      <c r="M1821" s="60">
        <v>73</v>
      </c>
      <c r="N1821" s="60"/>
    </row>
    <row r="1822" spans="1:14" hidden="1" x14ac:dyDescent="0.25">
      <c r="A1822" s="60" t="s">
        <v>213</v>
      </c>
      <c r="B1822" s="60" t="s">
        <v>377</v>
      </c>
      <c r="C1822" s="60" t="s">
        <v>379</v>
      </c>
      <c r="D1822" s="60" t="s">
        <v>378</v>
      </c>
      <c r="E1822" s="60">
        <v>3</v>
      </c>
      <c r="F1822" s="60">
        <v>24</v>
      </c>
      <c r="G1822" s="60">
        <v>380</v>
      </c>
      <c r="H1822" s="60">
        <v>36</v>
      </c>
      <c r="I1822" s="60"/>
      <c r="J1822" s="60"/>
      <c r="K1822" s="60"/>
      <c r="L1822" s="60"/>
      <c r="M1822" s="60">
        <v>73</v>
      </c>
      <c r="N1822" s="60"/>
    </row>
    <row r="1823" spans="1:14" hidden="1" x14ac:dyDescent="0.25">
      <c r="A1823" s="60" t="s">
        <v>213</v>
      </c>
      <c r="B1823" s="60" t="s">
        <v>377</v>
      </c>
      <c r="C1823" s="60" t="s">
        <v>379</v>
      </c>
      <c r="D1823" s="60" t="s">
        <v>378</v>
      </c>
      <c r="E1823" s="60">
        <v>3</v>
      </c>
      <c r="F1823" s="60">
        <v>24</v>
      </c>
      <c r="G1823" s="60">
        <v>390</v>
      </c>
      <c r="H1823" s="60">
        <v>36</v>
      </c>
      <c r="I1823" s="60"/>
      <c r="J1823" s="60"/>
      <c r="K1823" s="60"/>
      <c r="L1823" s="60"/>
      <c r="M1823" s="60">
        <v>73</v>
      </c>
      <c r="N1823" s="60"/>
    </row>
    <row r="1824" spans="1:14" hidden="1" x14ac:dyDescent="0.25">
      <c r="A1824" s="60" t="s">
        <v>213</v>
      </c>
      <c r="B1824" s="60" t="s">
        <v>377</v>
      </c>
      <c r="C1824" s="60" t="s">
        <v>379</v>
      </c>
      <c r="D1824" s="60" t="s">
        <v>378</v>
      </c>
      <c r="E1824" s="60">
        <v>3</v>
      </c>
      <c r="F1824" s="60">
        <v>24</v>
      </c>
      <c r="G1824" s="60">
        <v>400</v>
      </c>
      <c r="H1824" s="60">
        <v>36</v>
      </c>
      <c r="I1824" s="60"/>
      <c r="J1824" s="60"/>
      <c r="K1824" s="60"/>
      <c r="L1824" s="60"/>
      <c r="M1824" s="60">
        <v>73</v>
      </c>
      <c r="N1824" s="60"/>
    </row>
    <row r="1825" spans="1:14" hidden="1" x14ac:dyDescent="0.25">
      <c r="A1825" s="60" t="s">
        <v>213</v>
      </c>
      <c r="B1825" s="60" t="s">
        <v>377</v>
      </c>
      <c r="C1825" s="60" t="s">
        <v>379</v>
      </c>
      <c r="D1825" s="60" t="s">
        <v>378</v>
      </c>
      <c r="E1825" s="60">
        <v>3</v>
      </c>
      <c r="F1825" s="60">
        <v>24</v>
      </c>
      <c r="G1825" s="60">
        <v>410</v>
      </c>
      <c r="H1825" s="60">
        <v>36</v>
      </c>
      <c r="I1825" s="60"/>
      <c r="J1825" s="60"/>
      <c r="K1825" s="60"/>
      <c r="L1825" s="60"/>
      <c r="M1825" s="60">
        <v>73</v>
      </c>
      <c r="N1825" s="60"/>
    </row>
    <row r="1826" spans="1:14" hidden="1" x14ac:dyDescent="0.25">
      <c r="A1826" s="60" t="s">
        <v>213</v>
      </c>
      <c r="B1826" s="60" t="s">
        <v>377</v>
      </c>
      <c r="C1826" s="60" t="s">
        <v>379</v>
      </c>
      <c r="D1826" s="60" t="s">
        <v>378</v>
      </c>
      <c r="E1826" s="60">
        <v>3</v>
      </c>
      <c r="F1826" s="60">
        <v>24</v>
      </c>
      <c r="G1826" s="60">
        <v>420</v>
      </c>
      <c r="H1826" s="60">
        <v>36</v>
      </c>
      <c r="I1826" s="60"/>
      <c r="J1826" s="60"/>
      <c r="K1826" s="60"/>
      <c r="L1826" s="60"/>
      <c r="M1826" s="60">
        <v>73</v>
      </c>
      <c r="N1826" s="60"/>
    </row>
    <row r="1827" spans="1:14" hidden="1" x14ac:dyDescent="0.25">
      <c r="A1827" s="60" t="s">
        <v>213</v>
      </c>
      <c r="B1827" s="60" t="s">
        <v>377</v>
      </c>
      <c r="C1827" s="60" t="s">
        <v>379</v>
      </c>
      <c r="D1827" s="60" t="s">
        <v>378</v>
      </c>
      <c r="E1827" s="60">
        <v>3</v>
      </c>
      <c r="F1827" s="60">
        <v>24</v>
      </c>
      <c r="G1827" s="60">
        <v>430</v>
      </c>
      <c r="H1827" s="60">
        <v>36</v>
      </c>
      <c r="I1827" s="60"/>
      <c r="J1827" s="60"/>
      <c r="K1827" s="60"/>
      <c r="L1827" s="60"/>
      <c r="M1827" s="60">
        <v>73</v>
      </c>
      <c r="N1827" s="60"/>
    </row>
    <row r="1828" spans="1:14" hidden="1" x14ac:dyDescent="0.25">
      <c r="A1828" s="60" t="s">
        <v>213</v>
      </c>
      <c r="B1828" s="60" t="s">
        <v>377</v>
      </c>
      <c r="C1828" s="60" t="s">
        <v>379</v>
      </c>
      <c r="D1828" s="60" t="s">
        <v>378</v>
      </c>
      <c r="E1828" s="60">
        <v>3</v>
      </c>
      <c r="F1828" s="60">
        <v>24</v>
      </c>
      <c r="G1828" s="60">
        <v>440</v>
      </c>
      <c r="H1828" s="60">
        <v>36</v>
      </c>
      <c r="I1828" s="60"/>
      <c r="J1828" s="60"/>
      <c r="K1828" s="60"/>
      <c r="L1828" s="60"/>
      <c r="M1828" s="60">
        <v>73</v>
      </c>
      <c r="N1828" s="60"/>
    </row>
    <row r="1829" spans="1:14" hidden="1" x14ac:dyDescent="0.25">
      <c r="A1829" s="60" t="s">
        <v>213</v>
      </c>
      <c r="B1829" s="60" t="s">
        <v>377</v>
      </c>
      <c r="C1829" s="60" t="s">
        <v>379</v>
      </c>
      <c r="D1829" s="60" t="s">
        <v>378</v>
      </c>
      <c r="E1829" s="60">
        <v>3</v>
      </c>
      <c r="F1829" s="60">
        <v>24</v>
      </c>
      <c r="G1829" s="60">
        <v>450</v>
      </c>
      <c r="H1829" s="60">
        <v>36</v>
      </c>
      <c r="I1829" s="60"/>
      <c r="J1829" s="60"/>
      <c r="K1829" s="60"/>
      <c r="L1829" s="60"/>
      <c r="M1829" s="60">
        <v>73</v>
      </c>
      <c r="N1829" s="60"/>
    </row>
    <row r="1830" spans="1:14" hidden="1" x14ac:dyDescent="0.25">
      <c r="A1830" s="60" t="s">
        <v>213</v>
      </c>
      <c r="B1830" s="60" t="s">
        <v>377</v>
      </c>
      <c r="C1830" s="60" t="s">
        <v>379</v>
      </c>
      <c r="D1830" s="60" t="s">
        <v>378</v>
      </c>
      <c r="E1830" s="60">
        <v>3</v>
      </c>
      <c r="F1830" s="60">
        <v>27</v>
      </c>
      <c r="G1830" s="60">
        <v>80</v>
      </c>
      <c r="H1830" s="60">
        <v>36</v>
      </c>
      <c r="I1830" s="60"/>
      <c r="J1830" s="60"/>
      <c r="K1830" s="60"/>
      <c r="L1830" s="60"/>
      <c r="M1830" s="60">
        <v>60</v>
      </c>
      <c r="N1830" s="60"/>
    </row>
    <row r="1831" spans="1:14" hidden="1" x14ac:dyDescent="0.25">
      <c r="A1831" s="60" t="s">
        <v>213</v>
      </c>
      <c r="B1831" s="60" t="s">
        <v>377</v>
      </c>
      <c r="C1831" s="60" t="s">
        <v>379</v>
      </c>
      <c r="D1831" s="60" t="s">
        <v>378</v>
      </c>
      <c r="E1831" s="60">
        <v>3</v>
      </c>
      <c r="F1831" s="60">
        <v>27</v>
      </c>
      <c r="G1831" s="60">
        <v>90</v>
      </c>
      <c r="H1831" s="60">
        <v>36</v>
      </c>
      <c r="I1831" s="60"/>
      <c r="J1831" s="60"/>
      <c r="K1831" s="60"/>
      <c r="L1831" s="60"/>
      <c r="M1831" s="60">
        <v>60</v>
      </c>
      <c r="N1831" s="60"/>
    </row>
    <row r="1832" spans="1:14" hidden="1" x14ac:dyDescent="0.25">
      <c r="A1832" s="60" t="s">
        <v>213</v>
      </c>
      <c r="B1832" s="60" t="s">
        <v>377</v>
      </c>
      <c r="C1832" s="60" t="s">
        <v>379</v>
      </c>
      <c r="D1832" s="60" t="s">
        <v>378</v>
      </c>
      <c r="E1832" s="60">
        <v>3</v>
      </c>
      <c r="F1832" s="60">
        <v>27</v>
      </c>
      <c r="G1832" s="60">
        <v>100</v>
      </c>
      <c r="H1832" s="60">
        <v>41</v>
      </c>
      <c r="I1832" s="60"/>
      <c r="J1832" s="60"/>
      <c r="K1832" s="60"/>
      <c r="L1832" s="60"/>
      <c r="M1832" s="60">
        <v>60</v>
      </c>
      <c r="N1832" s="60"/>
    </row>
    <row r="1833" spans="1:14" hidden="1" x14ac:dyDescent="0.25">
      <c r="A1833" s="60" t="s">
        <v>213</v>
      </c>
      <c r="B1833" s="60" t="s">
        <v>377</v>
      </c>
      <c r="C1833" s="60" t="s">
        <v>379</v>
      </c>
      <c r="D1833" s="60" t="s">
        <v>378</v>
      </c>
      <c r="E1833" s="60">
        <v>3</v>
      </c>
      <c r="F1833" s="60">
        <v>27</v>
      </c>
      <c r="G1833" s="60">
        <v>110</v>
      </c>
      <c r="H1833" s="60">
        <v>41</v>
      </c>
      <c r="I1833" s="60"/>
      <c r="J1833" s="60"/>
      <c r="K1833" s="60"/>
      <c r="L1833" s="60"/>
      <c r="M1833" s="60">
        <v>60</v>
      </c>
      <c r="N1833" s="60"/>
    </row>
    <row r="1834" spans="1:14" hidden="1" x14ac:dyDescent="0.25">
      <c r="A1834" s="60" t="s">
        <v>213</v>
      </c>
      <c r="B1834" s="60" t="s">
        <v>377</v>
      </c>
      <c r="C1834" s="60" t="s">
        <v>379</v>
      </c>
      <c r="D1834" s="60" t="s">
        <v>378</v>
      </c>
      <c r="E1834" s="60">
        <v>3</v>
      </c>
      <c r="F1834" s="60">
        <v>27</v>
      </c>
      <c r="G1834" s="60">
        <v>120</v>
      </c>
      <c r="H1834" s="60">
        <v>41</v>
      </c>
      <c r="I1834" s="60"/>
      <c r="J1834" s="60"/>
      <c r="K1834" s="60"/>
      <c r="L1834" s="60"/>
      <c r="M1834" s="60">
        <v>60</v>
      </c>
      <c r="N1834" s="60"/>
    </row>
    <row r="1835" spans="1:14" hidden="1" x14ac:dyDescent="0.25">
      <c r="A1835" s="60" t="s">
        <v>213</v>
      </c>
      <c r="B1835" s="60" t="s">
        <v>377</v>
      </c>
      <c r="C1835" s="60" t="s">
        <v>379</v>
      </c>
      <c r="D1835" s="60" t="s">
        <v>378</v>
      </c>
      <c r="E1835" s="60">
        <v>3</v>
      </c>
      <c r="F1835" s="60">
        <v>27</v>
      </c>
      <c r="G1835" s="60">
        <v>130</v>
      </c>
      <c r="H1835" s="60">
        <v>41</v>
      </c>
      <c r="I1835" s="60"/>
      <c r="J1835" s="60"/>
      <c r="K1835" s="60"/>
      <c r="L1835" s="60"/>
      <c r="M1835" s="60">
        <v>66</v>
      </c>
      <c r="N1835" s="60"/>
    </row>
    <row r="1836" spans="1:14" hidden="1" x14ac:dyDescent="0.25">
      <c r="A1836" s="60" t="s">
        <v>213</v>
      </c>
      <c r="B1836" s="60" t="s">
        <v>377</v>
      </c>
      <c r="C1836" s="60" t="s">
        <v>379</v>
      </c>
      <c r="D1836" s="60" t="s">
        <v>378</v>
      </c>
      <c r="E1836" s="60">
        <v>3</v>
      </c>
      <c r="F1836" s="60">
        <v>27</v>
      </c>
      <c r="G1836" s="60">
        <v>140</v>
      </c>
      <c r="H1836" s="60">
        <v>41</v>
      </c>
      <c r="I1836" s="60"/>
      <c r="J1836" s="60"/>
      <c r="K1836" s="60"/>
      <c r="L1836" s="60"/>
      <c r="M1836" s="60">
        <v>66</v>
      </c>
      <c r="N1836" s="60"/>
    </row>
    <row r="1837" spans="1:14" hidden="1" x14ac:dyDescent="0.25">
      <c r="A1837" s="60" t="s">
        <v>213</v>
      </c>
      <c r="B1837" s="60" t="s">
        <v>377</v>
      </c>
      <c r="C1837" s="60" t="s">
        <v>379</v>
      </c>
      <c r="D1837" s="60" t="s">
        <v>378</v>
      </c>
      <c r="E1837" s="60">
        <v>3</v>
      </c>
      <c r="F1837" s="60">
        <v>27</v>
      </c>
      <c r="G1837" s="60">
        <v>150</v>
      </c>
      <c r="H1837" s="60">
        <v>41</v>
      </c>
      <c r="I1837" s="60"/>
      <c r="J1837" s="60"/>
      <c r="K1837" s="60"/>
      <c r="L1837" s="60"/>
      <c r="M1837" s="60">
        <v>66</v>
      </c>
      <c r="N1837" s="60"/>
    </row>
    <row r="1838" spans="1:14" hidden="1" x14ac:dyDescent="0.25">
      <c r="A1838" s="60" t="s">
        <v>213</v>
      </c>
      <c r="B1838" s="60" t="s">
        <v>377</v>
      </c>
      <c r="C1838" s="60" t="s">
        <v>379</v>
      </c>
      <c r="D1838" s="60" t="s">
        <v>378</v>
      </c>
      <c r="E1838" s="60">
        <v>3</v>
      </c>
      <c r="F1838" s="60">
        <v>27</v>
      </c>
      <c r="G1838" s="60">
        <v>160</v>
      </c>
      <c r="H1838" s="60">
        <v>41</v>
      </c>
      <c r="I1838" s="60"/>
      <c r="J1838" s="60"/>
      <c r="K1838" s="60"/>
      <c r="L1838" s="60"/>
      <c r="M1838" s="60">
        <v>66</v>
      </c>
      <c r="N1838" s="60"/>
    </row>
    <row r="1839" spans="1:14" hidden="1" x14ac:dyDescent="0.25">
      <c r="A1839" s="60" t="s">
        <v>213</v>
      </c>
      <c r="B1839" s="60" t="s">
        <v>377</v>
      </c>
      <c r="C1839" s="60" t="s">
        <v>379</v>
      </c>
      <c r="D1839" s="60" t="s">
        <v>378</v>
      </c>
      <c r="E1839" s="60">
        <v>3</v>
      </c>
      <c r="F1839" s="60">
        <v>27</v>
      </c>
      <c r="G1839" s="60">
        <v>170</v>
      </c>
      <c r="H1839" s="60">
        <v>41</v>
      </c>
      <c r="I1839" s="60"/>
      <c r="J1839" s="60"/>
      <c r="K1839" s="60"/>
      <c r="L1839" s="60"/>
      <c r="M1839" s="60">
        <v>66</v>
      </c>
      <c r="N1839" s="60"/>
    </row>
    <row r="1840" spans="1:14" hidden="1" x14ac:dyDescent="0.25">
      <c r="A1840" s="60" t="s">
        <v>213</v>
      </c>
      <c r="B1840" s="60" t="s">
        <v>377</v>
      </c>
      <c r="C1840" s="60" t="s">
        <v>379</v>
      </c>
      <c r="D1840" s="60" t="s">
        <v>378</v>
      </c>
      <c r="E1840" s="60">
        <v>3</v>
      </c>
      <c r="F1840" s="60">
        <v>27</v>
      </c>
      <c r="G1840" s="60">
        <v>180</v>
      </c>
      <c r="H1840" s="60">
        <v>41</v>
      </c>
      <c r="I1840" s="60"/>
      <c r="J1840" s="60"/>
      <c r="K1840" s="60"/>
      <c r="L1840" s="60"/>
      <c r="M1840" s="60">
        <v>66</v>
      </c>
      <c r="N1840" s="60"/>
    </row>
    <row r="1841" spans="1:14" hidden="1" x14ac:dyDescent="0.25">
      <c r="A1841" s="60" t="s">
        <v>213</v>
      </c>
      <c r="B1841" s="60" t="s">
        <v>377</v>
      </c>
      <c r="C1841" s="60" t="s">
        <v>379</v>
      </c>
      <c r="D1841" s="60" t="s">
        <v>378</v>
      </c>
      <c r="E1841" s="60">
        <v>3</v>
      </c>
      <c r="F1841" s="60">
        <v>27</v>
      </c>
      <c r="G1841" s="60">
        <v>190</v>
      </c>
      <c r="H1841" s="60">
        <v>41</v>
      </c>
      <c r="I1841" s="60"/>
      <c r="J1841" s="60"/>
      <c r="K1841" s="60"/>
      <c r="L1841" s="60"/>
      <c r="M1841" s="60">
        <v>66</v>
      </c>
      <c r="N1841" s="60"/>
    </row>
    <row r="1842" spans="1:14" hidden="1" x14ac:dyDescent="0.25">
      <c r="A1842" s="60" t="s">
        <v>213</v>
      </c>
      <c r="B1842" s="60" t="s">
        <v>377</v>
      </c>
      <c r="C1842" s="60" t="s">
        <v>379</v>
      </c>
      <c r="D1842" s="60" t="s">
        <v>378</v>
      </c>
      <c r="E1842" s="60">
        <v>3</v>
      </c>
      <c r="F1842" s="60">
        <v>27</v>
      </c>
      <c r="G1842" s="60">
        <v>200</v>
      </c>
      <c r="H1842" s="60">
        <v>41</v>
      </c>
      <c r="I1842" s="60"/>
      <c r="J1842" s="60"/>
      <c r="K1842" s="60"/>
      <c r="L1842" s="60"/>
      <c r="M1842" s="60">
        <v>66</v>
      </c>
      <c r="N1842" s="60"/>
    </row>
    <row r="1843" spans="1:14" hidden="1" x14ac:dyDescent="0.25">
      <c r="A1843" s="60" t="s">
        <v>213</v>
      </c>
      <c r="B1843" s="60" t="s">
        <v>377</v>
      </c>
      <c r="C1843" s="60" t="s">
        <v>379</v>
      </c>
      <c r="D1843" s="60" t="s">
        <v>378</v>
      </c>
      <c r="E1843" s="60">
        <v>3</v>
      </c>
      <c r="F1843" s="60">
        <v>27</v>
      </c>
      <c r="G1843" s="60">
        <v>220</v>
      </c>
      <c r="H1843" s="60">
        <v>41</v>
      </c>
      <c r="I1843" s="60"/>
      <c r="J1843" s="60"/>
      <c r="K1843" s="60"/>
      <c r="L1843" s="60"/>
      <c r="M1843" s="60">
        <v>79</v>
      </c>
      <c r="N1843" s="60"/>
    </row>
    <row r="1844" spans="1:14" hidden="1" x14ac:dyDescent="0.25">
      <c r="A1844" s="60" t="s">
        <v>213</v>
      </c>
      <c r="B1844" s="60" t="s">
        <v>377</v>
      </c>
      <c r="C1844" s="60" t="s">
        <v>379</v>
      </c>
      <c r="D1844" s="60" t="s">
        <v>378</v>
      </c>
      <c r="E1844" s="60">
        <v>3</v>
      </c>
      <c r="F1844" s="60">
        <v>27</v>
      </c>
      <c r="G1844" s="60">
        <v>230</v>
      </c>
      <c r="H1844" s="60">
        <v>41</v>
      </c>
      <c r="I1844" s="60"/>
      <c r="J1844" s="60"/>
      <c r="K1844" s="60"/>
      <c r="L1844" s="60"/>
      <c r="M1844" s="60">
        <v>79</v>
      </c>
      <c r="N1844" s="60"/>
    </row>
    <row r="1845" spans="1:14" hidden="1" x14ac:dyDescent="0.25">
      <c r="A1845" s="60" t="s">
        <v>213</v>
      </c>
      <c r="B1845" s="60" t="s">
        <v>377</v>
      </c>
      <c r="C1845" s="60" t="s">
        <v>379</v>
      </c>
      <c r="D1845" s="60" t="s">
        <v>378</v>
      </c>
      <c r="E1845" s="60">
        <v>3</v>
      </c>
      <c r="F1845" s="60">
        <v>27</v>
      </c>
      <c r="G1845" s="60">
        <v>240</v>
      </c>
      <c r="H1845" s="60">
        <v>41</v>
      </c>
      <c r="I1845" s="60"/>
      <c r="J1845" s="60"/>
      <c r="K1845" s="60"/>
      <c r="L1845" s="60"/>
      <c r="M1845" s="60">
        <v>79</v>
      </c>
      <c r="N1845" s="60"/>
    </row>
    <row r="1846" spans="1:14" hidden="1" x14ac:dyDescent="0.25">
      <c r="A1846" s="60" t="s">
        <v>213</v>
      </c>
      <c r="B1846" s="60" t="s">
        <v>377</v>
      </c>
      <c r="C1846" s="60" t="s">
        <v>379</v>
      </c>
      <c r="D1846" s="60" t="s">
        <v>378</v>
      </c>
      <c r="E1846" s="60">
        <v>3</v>
      </c>
      <c r="F1846" s="60">
        <v>27</v>
      </c>
      <c r="G1846" s="60">
        <v>260</v>
      </c>
      <c r="H1846" s="60">
        <v>41</v>
      </c>
      <c r="I1846" s="60"/>
      <c r="J1846" s="60"/>
      <c r="K1846" s="60"/>
      <c r="L1846" s="60"/>
      <c r="M1846" s="60">
        <v>79</v>
      </c>
      <c r="N1846" s="60"/>
    </row>
    <row r="1847" spans="1:14" hidden="1" x14ac:dyDescent="0.25">
      <c r="A1847" s="60" t="s">
        <v>213</v>
      </c>
      <c r="B1847" s="60" t="s">
        <v>377</v>
      </c>
      <c r="C1847" s="60" t="s">
        <v>379</v>
      </c>
      <c r="D1847" s="60" t="s">
        <v>378</v>
      </c>
      <c r="E1847" s="60">
        <v>3</v>
      </c>
      <c r="F1847" s="60">
        <v>27</v>
      </c>
      <c r="G1847" s="60">
        <v>270</v>
      </c>
      <c r="H1847" s="60">
        <v>41</v>
      </c>
      <c r="I1847" s="60"/>
      <c r="J1847" s="60"/>
      <c r="K1847" s="60"/>
      <c r="L1847" s="60"/>
      <c r="M1847" s="60">
        <v>79</v>
      </c>
      <c r="N1847" s="60"/>
    </row>
    <row r="1848" spans="1:14" hidden="1" x14ac:dyDescent="0.25">
      <c r="A1848" s="60" t="s">
        <v>213</v>
      </c>
      <c r="B1848" s="60" t="s">
        <v>377</v>
      </c>
      <c r="C1848" s="60" t="s">
        <v>379</v>
      </c>
      <c r="D1848" s="60" t="s">
        <v>378</v>
      </c>
      <c r="E1848" s="60">
        <v>3</v>
      </c>
      <c r="F1848" s="60">
        <v>27</v>
      </c>
      <c r="G1848" s="60">
        <v>280</v>
      </c>
      <c r="H1848" s="60">
        <v>41</v>
      </c>
      <c r="I1848" s="60"/>
      <c r="J1848" s="60"/>
      <c r="K1848" s="60"/>
      <c r="L1848" s="60"/>
      <c r="M1848" s="60">
        <v>79</v>
      </c>
      <c r="N1848" s="60"/>
    </row>
    <row r="1849" spans="1:14" hidden="1" x14ac:dyDescent="0.25">
      <c r="A1849" s="60" t="s">
        <v>213</v>
      </c>
      <c r="B1849" s="60" t="s">
        <v>377</v>
      </c>
      <c r="C1849" s="60" t="s">
        <v>379</v>
      </c>
      <c r="D1849" s="60" t="s">
        <v>378</v>
      </c>
      <c r="E1849" s="60">
        <v>3</v>
      </c>
      <c r="F1849" s="60">
        <v>27</v>
      </c>
      <c r="G1849" s="60">
        <v>300</v>
      </c>
      <c r="H1849" s="60">
        <v>41</v>
      </c>
      <c r="I1849" s="60"/>
      <c r="J1849" s="60"/>
      <c r="K1849" s="60"/>
      <c r="L1849" s="60"/>
      <c r="M1849" s="60">
        <v>79</v>
      </c>
      <c r="N1849" s="60"/>
    </row>
    <row r="1850" spans="1:14" hidden="1" x14ac:dyDescent="0.25">
      <c r="A1850" s="60" t="s">
        <v>213</v>
      </c>
      <c r="B1850" s="60" t="s">
        <v>377</v>
      </c>
      <c r="C1850" s="60" t="s">
        <v>379</v>
      </c>
      <c r="D1850" s="60" t="s">
        <v>378</v>
      </c>
      <c r="E1850" s="60">
        <v>3</v>
      </c>
      <c r="F1850" s="60">
        <v>27</v>
      </c>
      <c r="G1850" s="60">
        <v>320</v>
      </c>
      <c r="H1850" s="60">
        <v>41</v>
      </c>
      <c r="I1850" s="60"/>
      <c r="J1850" s="60"/>
      <c r="K1850" s="60"/>
      <c r="L1850" s="60"/>
      <c r="M1850" s="60">
        <v>79</v>
      </c>
      <c r="N1850" s="60"/>
    </row>
    <row r="1851" spans="1:14" hidden="1" x14ac:dyDescent="0.25">
      <c r="A1851" s="60" t="s">
        <v>213</v>
      </c>
      <c r="B1851" s="60" t="s">
        <v>377</v>
      </c>
      <c r="C1851" s="60" t="s">
        <v>379</v>
      </c>
      <c r="D1851" s="60" t="s">
        <v>378</v>
      </c>
      <c r="E1851" s="60">
        <v>3</v>
      </c>
      <c r="F1851" s="60">
        <v>30</v>
      </c>
      <c r="G1851" s="60">
        <v>80</v>
      </c>
      <c r="H1851" s="60">
        <v>41</v>
      </c>
      <c r="I1851" s="60"/>
      <c r="J1851" s="60"/>
      <c r="K1851" s="60"/>
      <c r="L1851" s="60"/>
      <c r="M1851" s="60">
        <v>66</v>
      </c>
      <c r="N1851" s="60"/>
    </row>
    <row r="1852" spans="1:14" hidden="1" x14ac:dyDescent="0.25">
      <c r="A1852" s="60" t="s">
        <v>213</v>
      </c>
      <c r="B1852" s="60" t="s">
        <v>377</v>
      </c>
      <c r="C1852" s="60" t="s">
        <v>379</v>
      </c>
      <c r="D1852" s="60" t="s">
        <v>378</v>
      </c>
      <c r="E1852" s="60">
        <v>3</v>
      </c>
      <c r="F1852" s="60">
        <v>30</v>
      </c>
      <c r="G1852" s="60">
        <v>90</v>
      </c>
      <c r="H1852" s="60">
        <v>41</v>
      </c>
      <c r="I1852" s="60"/>
      <c r="J1852" s="60"/>
      <c r="K1852" s="60"/>
      <c r="L1852" s="60"/>
      <c r="M1852" s="60">
        <v>66</v>
      </c>
      <c r="N1852" s="60"/>
    </row>
    <row r="1853" spans="1:14" hidden="1" x14ac:dyDescent="0.25">
      <c r="A1853" s="60" t="s">
        <v>213</v>
      </c>
      <c r="B1853" s="60" t="s">
        <v>377</v>
      </c>
      <c r="C1853" s="60" t="s">
        <v>379</v>
      </c>
      <c r="D1853" s="60" t="s">
        <v>378</v>
      </c>
      <c r="E1853" s="60">
        <v>3</v>
      </c>
      <c r="F1853" s="60">
        <v>30</v>
      </c>
      <c r="G1853" s="60">
        <v>100</v>
      </c>
      <c r="H1853" s="60">
        <v>46</v>
      </c>
      <c r="I1853" s="60"/>
      <c r="J1853" s="60"/>
      <c r="K1853" s="60"/>
      <c r="L1853" s="60"/>
      <c r="M1853" s="60">
        <v>66</v>
      </c>
      <c r="N1853" s="60"/>
    </row>
    <row r="1854" spans="1:14" hidden="1" x14ac:dyDescent="0.25">
      <c r="A1854" s="60" t="s">
        <v>213</v>
      </c>
      <c r="B1854" s="60" t="s">
        <v>377</v>
      </c>
      <c r="C1854" s="60" t="s">
        <v>379</v>
      </c>
      <c r="D1854" s="60" t="s">
        <v>378</v>
      </c>
      <c r="E1854" s="60">
        <v>3</v>
      </c>
      <c r="F1854" s="60">
        <v>30</v>
      </c>
      <c r="G1854" s="60">
        <v>110</v>
      </c>
      <c r="H1854" s="60">
        <v>46</v>
      </c>
      <c r="I1854" s="60"/>
      <c r="J1854" s="60"/>
      <c r="K1854" s="60"/>
      <c r="L1854" s="60"/>
      <c r="M1854" s="60">
        <v>66</v>
      </c>
      <c r="N1854" s="60"/>
    </row>
    <row r="1855" spans="1:14" hidden="1" x14ac:dyDescent="0.25">
      <c r="A1855" s="60" t="s">
        <v>213</v>
      </c>
      <c r="B1855" s="60" t="s">
        <v>377</v>
      </c>
      <c r="C1855" s="60" t="s">
        <v>379</v>
      </c>
      <c r="D1855" s="60" t="s">
        <v>378</v>
      </c>
      <c r="E1855" s="60">
        <v>3</v>
      </c>
      <c r="F1855" s="60">
        <v>30</v>
      </c>
      <c r="G1855" s="60">
        <v>120</v>
      </c>
      <c r="H1855" s="60">
        <v>46</v>
      </c>
      <c r="I1855" s="60"/>
      <c r="J1855" s="60"/>
      <c r="K1855" s="60"/>
      <c r="L1855" s="60"/>
      <c r="M1855" s="60">
        <v>66</v>
      </c>
      <c r="N1855" s="60"/>
    </row>
    <row r="1856" spans="1:14" hidden="1" x14ac:dyDescent="0.25">
      <c r="A1856" s="60" t="s">
        <v>213</v>
      </c>
      <c r="B1856" s="60" t="s">
        <v>377</v>
      </c>
      <c r="C1856" s="60" t="s">
        <v>379</v>
      </c>
      <c r="D1856" s="60" t="s">
        <v>378</v>
      </c>
      <c r="E1856" s="60">
        <v>3</v>
      </c>
      <c r="F1856" s="60">
        <v>30</v>
      </c>
      <c r="G1856" s="60">
        <v>130</v>
      </c>
      <c r="H1856" s="60">
        <v>46</v>
      </c>
      <c r="I1856" s="60"/>
      <c r="J1856" s="60"/>
      <c r="K1856" s="60"/>
      <c r="L1856" s="60"/>
      <c r="M1856" s="60">
        <v>72</v>
      </c>
      <c r="N1856" s="60"/>
    </row>
    <row r="1857" spans="1:14" hidden="1" x14ac:dyDescent="0.25">
      <c r="A1857" s="60" t="s">
        <v>213</v>
      </c>
      <c r="B1857" s="60" t="s">
        <v>377</v>
      </c>
      <c r="C1857" s="60" t="s">
        <v>379</v>
      </c>
      <c r="D1857" s="60" t="s">
        <v>378</v>
      </c>
      <c r="E1857" s="60">
        <v>3</v>
      </c>
      <c r="F1857" s="60">
        <v>30</v>
      </c>
      <c r="G1857" s="60">
        <v>140</v>
      </c>
      <c r="H1857" s="60">
        <v>46</v>
      </c>
      <c r="I1857" s="60"/>
      <c r="J1857" s="60"/>
      <c r="K1857" s="60"/>
      <c r="L1857" s="60"/>
      <c r="M1857" s="60">
        <v>72</v>
      </c>
      <c r="N1857" s="60"/>
    </row>
    <row r="1858" spans="1:14" hidden="1" x14ac:dyDescent="0.25">
      <c r="A1858" s="60" t="s">
        <v>213</v>
      </c>
      <c r="B1858" s="60" t="s">
        <v>377</v>
      </c>
      <c r="C1858" s="60" t="s">
        <v>379</v>
      </c>
      <c r="D1858" s="60" t="s">
        <v>378</v>
      </c>
      <c r="E1858" s="60">
        <v>3</v>
      </c>
      <c r="F1858" s="60">
        <v>30</v>
      </c>
      <c r="G1858" s="60">
        <v>150</v>
      </c>
      <c r="H1858" s="60">
        <v>46</v>
      </c>
      <c r="I1858" s="60"/>
      <c r="J1858" s="60"/>
      <c r="K1858" s="60"/>
      <c r="L1858" s="60"/>
      <c r="M1858" s="60">
        <v>72</v>
      </c>
      <c r="N1858" s="60"/>
    </row>
    <row r="1859" spans="1:14" hidden="1" x14ac:dyDescent="0.25">
      <c r="A1859" s="60" t="s">
        <v>213</v>
      </c>
      <c r="B1859" s="60" t="s">
        <v>377</v>
      </c>
      <c r="C1859" s="60" t="s">
        <v>379</v>
      </c>
      <c r="D1859" s="60" t="s">
        <v>378</v>
      </c>
      <c r="E1859" s="60">
        <v>3</v>
      </c>
      <c r="F1859" s="60">
        <v>30</v>
      </c>
      <c r="G1859" s="60">
        <v>160</v>
      </c>
      <c r="H1859" s="60">
        <v>46</v>
      </c>
      <c r="I1859" s="60"/>
      <c r="J1859" s="60"/>
      <c r="K1859" s="60"/>
      <c r="L1859" s="60"/>
      <c r="M1859" s="60">
        <v>72</v>
      </c>
      <c r="N1859" s="60"/>
    </row>
    <row r="1860" spans="1:14" hidden="1" x14ac:dyDescent="0.25">
      <c r="A1860" s="60" t="s">
        <v>213</v>
      </c>
      <c r="B1860" s="60" t="s">
        <v>377</v>
      </c>
      <c r="C1860" s="60" t="s">
        <v>379</v>
      </c>
      <c r="D1860" s="60" t="s">
        <v>378</v>
      </c>
      <c r="E1860" s="60">
        <v>3</v>
      </c>
      <c r="F1860" s="60">
        <v>30</v>
      </c>
      <c r="G1860" s="60">
        <v>170</v>
      </c>
      <c r="H1860" s="60">
        <v>46</v>
      </c>
      <c r="I1860" s="60"/>
      <c r="J1860" s="60"/>
      <c r="K1860" s="60"/>
      <c r="L1860" s="60"/>
      <c r="M1860" s="60">
        <v>72</v>
      </c>
      <c r="N1860" s="60"/>
    </row>
    <row r="1861" spans="1:14" hidden="1" x14ac:dyDescent="0.25">
      <c r="A1861" s="60" t="s">
        <v>213</v>
      </c>
      <c r="B1861" s="60" t="s">
        <v>377</v>
      </c>
      <c r="C1861" s="60" t="s">
        <v>379</v>
      </c>
      <c r="D1861" s="60" t="s">
        <v>378</v>
      </c>
      <c r="E1861" s="60">
        <v>3</v>
      </c>
      <c r="F1861" s="60">
        <v>30</v>
      </c>
      <c r="G1861" s="60">
        <v>180</v>
      </c>
      <c r="H1861" s="60">
        <v>46</v>
      </c>
      <c r="I1861" s="60"/>
      <c r="J1861" s="60"/>
      <c r="K1861" s="60"/>
      <c r="L1861" s="60"/>
      <c r="M1861" s="60">
        <v>72</v>
      </c>
      <c r="N1861" s="60"/>
    </row>
    <row r="1862" spans="1:14" hidden="1" x14ac:dyDescent="0.25">
      <c r="A1862" s="60" t="s">
        <v>213</v>
      </c>
      <c r="B1862" s="60" t="s">
        <v>377</v>
      </c>
      <c r="C1862" s="60" t="s">
        <v>379</v>
      </c>
      <c r="D1862" s="60" t="s">
        <v>378</v>
      </c>
      <c r="E1862" s="60">
        <v>3</v>
      </c>
      <c r="F1862" s="60">
        <v>30</v>
      </c>
      <c r="G1862" s="60">
        <v>190</v>
      </c>
      <c r="H1862" s="60">
        <v>46</v>
      </c>
      <c r="I1862" s="60"/>
      <c r="J1862" s="60"/>
      <c r="K1862" s="60"/>
      <c r="L1862" s="60"/>
      <c r="M1862" s="60">
        <v>72</v>
      </c>
      <c r="N1862" s="60"/>
    </row>
    <row r="1863" spans="1:14" hidden="1" x14ac:dyDescent="0.25">
      <c r="A1863" s="60" t="s">
        <v>213</v>
      </c>
      <c r="B1863" s="60" t="s">
        <v>377</v>
      </c>
      <c r="C1863" s="60" t="s">
        <v>379</v>
      </c>
      <c r="D1863" s="60" t="s">
        <v>378</v>
      </c>
      <c r="E1863" s="60">
        <v>3</v>
      </c>
      <c r="F1863" s="60">
        <v>30</v>
      </c>
      <c r="G1863" s="60">
        <v>200</v>
      </c>
      <c r="H1863" s="60">
        <v>46</v>
      </c>
      <c r="I1863" s="60"/>
      <c r="J1863" s="60"/>
      <c r="K1863" s="60"/>
      <c r="L1863" s="60"/>
      <c r="M1863" s="60">
        <v>72</v>
      </c>
      <c r="N1863" s="60"/>
    </row>
    <row r="1864" spans="1:14" hidden="1" x14ac:dyDescent="0.25">
      <c r="A1864" s="60" t="s">
        <v>213</v>
      </c>
      <c r="B1864" s="60" t="s">
        <v>377</v>
      </c>
      <c r="C1864" s="60" t="s">
        <v>379</v>
      </c>
      <c r="D1864" s="60" t="s">
        <v>378</v>
      </c>
      <c r="E1864" s="60">
        <v>3</v>
      </c>
      <c r="F1864" s="60">
        <v>30</v>
      </c>
      <c r="G1864" s="60">
        <v>210</v>
      </c>
      <c r="H1864" s="60">
        <v>46</v>
      </c>
      <c r="I1864" s="60"/>
      <c r="J1864" s="60"/>
      <c r="K1864" s="60"/>
      <c r="L1864" s="60"/>
      <c r="M1864" s="60">
        <v>85</v>
      </c>
      <c r="N1864" s="60"/>
    </row>
    <row r="1865" spans="1:14" hidden="1" x14ac:dyDescent="0.25">
      <c r="A1865" s="60" t="s">
        <v>213</v>
      </c>
      <c r="B1865" s="60" t="s">
        <v>377</v>
      </c>
      <c r="C1865" s="60" t="s">
        <v>379</v>
      </c>
      <c r="D1865" s="60" t="s">
        <v>378</v>
      </c>
      <c r="E1865" s="60">
        <v>3</v>
      </c>
      <c r="F1865" s="60">
        <v>30</v>
      </c>
      <c r="G1865" s="60">
        <v>220</v>
      </c>
      <c r="H1865" s="60">
        <v>46</v>
      </c>
      <c r="I1865" s="60"/>
      <c r="J1865" s="60"/>
      <c r="K1865" s="60"/>
      <c r="L1865" s="60"/>
      <c r="M1865" s="60">
        <v>85</v>
      </c>
      <c r="N1865" s="60"/>
    </row>
    <row r="1866" spans="1:14" hidden="1" x14ac:dyDescent="0.25">
      <c r="A1866" s="60" t="s">
        <v>213</v>
      </c>
      <c r="B1866" s="60" t="s">
        <v>377</v>
      </c>
      <c r="C1866" s="60" t="s">
        <v>379</v>
      </c>
      <c r="D1866" s="60" t="s">
        <v>378</v>
      </c>
      <c r="E1866" s="60">
        <v>3</v>
      </c>
      <c r="F1866" s="60">
        <v>30</v>
      </c>
      <c r="G1866" s="60">
        <v>230</v>
      </c>
      <c r="H1866" s="60">
        <v>46</v>
      </c>
      <c r="I1866" s="60"/>
      <c r="J1866" s="60"/>
      <c r="K1866" s="60"/>
      <c r="L1866" s="60"/>
      <c r="M1866" s="60">
        <v>85</v>
      </c>
      <c r="N1866" s="60"/>
    </row>
    <row r="1867" spans="1:14" hidden="1" x14ac:dyDescent="0.25">
      <c r="A1867" s="60" t="s">
        <v>213</v>
      </c>
      <c r="B1867" s="60" t="s">
        <v>377</v>
      </c>
      <c r="C1867" s="60" t="s">
        <v>379</v>
      </c>
      <c r="D1867" s="60" t="s">
        <v>378</v>
      </c>
      <c r="E1867" s="60">
        <v>3</v>
      </c>
      <c r="F1867" s="60">
        <v>30</v>
      </c>
      <c r="G1867" s="60">
        <v>240</v>
      </c>
      <c r="H1867" s="60">
        <v>46</v>
      </c>
      <c r="I1867" s="60"/>
      <c r="J1867" s="60"/>
      <c r="K1867" s="60"/>
      <c r="L1867" s="60"/>
      <c r="M1867" s="60">
        <v>85</v>
      </c>
      <c r="N1867" s="60"/>
    </row>
    <row r="1868" spans="1:14" hidden="1" x14ac:dyDescent="0.25">
      <c r="A1868" s="60" t="s">
        <v>213</v>
      </c>
      <c r="B1868" s="60" t="s">
        <v>377</v>
      </c>
      <c r="C1868" s="60" t="s">
        <v>379</v>
      </c>
      <c r="D1868" s="60" t="s">
        <v>378</v>
      </c>
      <c r="E1868" s="60">
        <v>3</v>
      </c>
      <c r="F1868" s="60">
        <v>30</v>
      </c>
      <c r="G1868" s="60">
        <v>250</v>
      </c>
      <c r="H1868" s="60">
        <v>46</v>
      </c>
      <c r="I1868" s="60"/>
      <c r="J1868" s="60"/>
      <c r="K1868" s="60"/>
      <c r="L1868" s="60"/>
      <c r="M1868" s="60">
        <v>85</v>
      </c>
      <c r="N1868" s="60"/>
    </row>
    <row r="1869" spans="1:14" hidden="1" x14ac:dyDescent="0.25">
      <c r="A1869" s="60" t="s">
        <v>213</v>
      </c>
      <c r="B1869" s="60" t="s">
        <v>377</v>
      </c>
      <c r="C1869" s="60" t="s">
        <v>379</v>
      </c>
      <c r="D1869" s="60" t="s">
        <v>378</v>
      </c>
      <c r="E1869" s="60">
        <v>3</v>
      </c>
      <c r="F1869" s="60">
        <v>30</v>
      </c>
      <c r="G1869" s="60">
        <v>260</v>
      </c>
      <c r="H1869" s="60">
        <v>46</v>
      </c>
      <c r="I1869" s="60"/>
      <c r="J1869" s="60"/>
      <c r="K1869" s="60"/>
      <c r="L1869" s="60"/>
      <c r="M1869" s="60">
        <v>85</v>
      </c>
      <c r="N1869" s="60"/>
    </row>
    <row r="1870" spans="1:14" hidden="1" x14ac:dyDescent="0.25">
      <c r="A1870" s="60" t="s">
        <v>213</v>
      </c>
      <c r="B1870" s="60" t="s">
        <v>377</v>
      </c>
      <c r="C1870" s="60" t="s">
        <v>379</v>
      </c>
      <c r="D1870" s="60" t="s">
        <v>378</v>
      </c>
      <c r="E1870" s="60">
        <v>3</v>
      </c>
      <c r="F1870" s="60">
        <v>30</v>
      </c>
      <c r="G1870" s="60">
        <v>280</v>
      </c>
      <c r="H1870" s="60">
        <v>46</v>
      </c>
      <c r="I1870" s="60"/>
      <c r="J1870" s="60"/>
      <c r="K1870" s="60"/>
      <c r="L1870" s="60"/>
      <c r="M1870" s="60">
        <v>85</v>
      </c>
      <c r="N1870" s="60"/>
    </row>
    <row r="1871" spans="1:14" hidden="1" x14ac:dyDescent="0.25">
      <c r="A1871" s="60" t="s">
        <v>213</v>
      </c>
      <c r="B1871" s="60" t="s">
        <v>377</v>
      </c>
      <c r="C1871" s="60" t="s">
        <v>379</v>
      </c>
      <c r="D1871" s="60" t="s">
        <v>378</v>
      </c>
      <c r="E1871" s="60">
        <v>3</v>
      </c>
      <c r="F1871" s="60">
        <v>30</v>
      </c>
      <c r="G1871" s="60">
        <v>290</v>
      </c>
      <c r="H1871" s="60">
        <v>46</v>
      </c>
      <c r="I1871" s="60"/>
      <c r="J1871" s="60"/>
      <c r="K1871" s="60"/>
      <c r="L1871" s="60"/>
      <c r="M1871" s="60">
        <v>85</v>
      </c>
      <c r="N1871" s="60"/>
    </row>
    <row r="1872" spans="1:14" hidden="1" x14ac:dyDescent="0.25">
      <c r="A1872" s="60" t="s">
        <v>213</v>
      </c>
      <c r="B1872" s="60" t="s">
        <v>377</v>
      </c>
      <c r="C1872" s="60" t="s">
        <v>379</v>
      </c>
      <c r="D1872" s="60" t="s">
        <v>378</v>
      </c>
      <c r="E1872" s="60">
        <v>3</v>
      </c>
      <c r="F1872" s="60">
        <v>30</v>
      </c>
      <c r="G1872" s="60">
        <v>300</v>
      </c>
      <c r="H1872" s="60">
        <v>46</v>
      </c>
      <c r="I1872" s="60"/>
      <c r="J1872" s="60"/>
      <c r="K1872" s="60"/>
      <c r="L1872" s="60"/>
      <c r="M1872" s="60">
        <v>85</v>
      </c>
      <c r="N1872" s="60"/>
    </row>
    <row r="1873" spans="1:14" hidden="1" x14ac:dyDescent="0.25">
      <c r="A1873" s="60" t="s">
        <v>213</v>
      </c>
      <c r="B1873" s="60" t="s">
        <v>377</v>
      </c>
      <c r="C1873" s="60" t="s">
        <v>379</v>
      </c>
      <c r="D1873" s="60" t="s">
        <v>378</v>
      </c>
      <c r="E1873" s="60">
        <v>3</v>
      </c>
      <c r="F1873" s="60">
        <v>30</v>
      </c>
      <c r="G1873" s="60">
        <v>310</v>
      </c>
      <c r="H1873" s="60">
        <v>46</v>
      </c>
      <c r="I1873" s="60"/>
      <c r="J1873" s="60"/>
      <c r="K1873" s="60"/>
      <c r="L1873" s="60"/>
      <c r="M1873" s="60">
        <v>85</v>
      </c>
      <c r="N1873" s="60"/>
    </row>
    <row r="1874" spans="1:14" hidden="1" x14ac:dyDescent="0.25">
      <c r="A1874" s="60" t="s">
        <v>213</v>
      </c>
      <c r="B1874" s="60" t="s">
        <v>377</v>
      </c>
      <c r="C1874" s="60" t="s">
        <v>379</v>
      </c>
      <c r="D1874" s="60" t="s">
        <v>378</v>
      </c>
      <c r="E1874" s="60">
        <v>3</v>
      </c>
      <c r="F1874" s="60">
        <v>30</v>
      </c>
      <c r="G1874" s="60">
        <v>320</v>
      </c>
      <c r="H1874" s="60">
        <v>46</v>
      </c>
      <c r="I1874" s="60"/>
      <c r="J1874" s="60"/>
      <c r="K1874" s="60"/>
      <c r="L1874" s="60"/>
      <c r="M1874" s="60">
        <v>85</v>
      </c>
      <c r="N1874" s="60"/>
    </row>
    <row r="1875" spans="1:14" hidden="1" x14ac:dyDescent="0.25">
      <c r="A1875" s="60" t="s">
        <v>213</v>
      </c>
      <c r="B1875" s="60" t="s">
        <v>377</v>
      </c>
      <c r="C1875" s="60" t="s">
        <v>379</v>
      </c>
      <c r="D1875" s="60" t="s">
        <v>378</v>
      </c>
      <c r="E1875" s="60">
        <v>3</v>
      </c>
      <c r="F1875" s="60">
        <v>30</v>
      </c>
      <c r="G1875" s="60">
        <v>330</v>
      </c>
      <c r="H1875" s="60">
        <v>46</v>
      </c>
      <c r="I1875" s="60"/>
      <c r="J1875" s="60"/>
      <c r="K1875" s="60"/>
      <c r="L1875" s="60"/>
      <c r="M1875" s="60">
        <v>85</v>
      </c>
      <c r="N1875" s="60"/>
    </row>
    <row r="1876" spans="1:14" hidden="1" x14ac:dyDescent="0.25">
      <c r="A1876" s="60" t="s">
        <v>213</v>
      </c>
      <c r="B1876" s="60" t="s">
        <v>377</v>
      </c>
      <c r="C1876" s="60" t="s">
        <v>379</v>
      </c>
      <c r="D1876" s="60" t="s">
        <v>378</v>
      </c>
      <c r="E1876" s="60">
        <v>3</v>
      </c>
      <c r="F1876" s="60">
        <v>30</v>
      </c>
      <c r="G1876" s="60">
        <v>340</v>
      </c>
      <c r="H1876" s="60">
        <v>46</v>
      </c>
      <c r="I1876" s="60"/>
      <c r="J1876" s="60"/>
      <c r="K1876" s="60"/>
      <c r="L1876" s="60"/>
      <c r="M1876" s="60">
        <v>85</v>
      </c>
      <c r="N1876" s="60"/>
    </row>
    <row r="1877" spans="1:14" hidden="1" x14ac:dyDescent="0.25">
      <c r="A1877" s="60" t="s">
        <v>213</v>
      </c>
      <c r="B1877" s="60" t="s">
        <v>377</v>
      </c>
      <c r="C1877" s="60" t="s">
        <v>379</v>
      </c>
      <c r="D1877" s="60" t="s">
        <v>378</v>
      </c>
      <c r="E1877" s="60">
        <v>3</v>
      </c>
      <c r="F1877" s="60">
        <v>30</v>
      </c>
      <c r="G1877" s="60">
        <v>350</v>
      </c>
      <c r="H1877" s="60">
        <v>46</v>
      </c>
      <c r="I1877" s="60"/>
      <c r="J1877" s="60"/>
      <c r="K1877" s="60"/>
      <c r="L1877" s="60"/>
      <c r="M1877" s="60">
        <v>85</v>
      </c>
      <c r="N1877" s="60"/>
    </row>
    <row r="1878" spans="1:14" hidden="1" x14ac:dyDescent="0.25">
      <c r="A1878" s="60" t="s">
        <v>213</v>
      </c>
      <c r="B1878" s="60" t="s">
        <v>377</v>
      </c>
      <c r="C1878" s="60" t="s">
        <v>379</v>
      </c>
      <c r="D1878" s="60" t="s">
        <v>378</v>
      </c>
      <c r="E1878" s="60">
        <v>3</v>
      </c>
      <c r="F1878" s="60">
        <v>30</v>
      </c>
      <c r="G1878" s="60">
        <v>360</v>
      </c>
      <c r="H1878" s="60">
        <v>46</v>
      </c>
      <c r="I1878" s="60"/>
      <c r="J1878" s="60"/>
      <c r="K1878" s="60"/>
      <c r="L1878" s="60"/>
      <c r="M1878" s="60">
        <v>85</v>
      </c>
      <c r="N1878" s="60"/>
    </row>
    <row r="1879" spans="1:14" hidden="1" x14ac:dyDescent="0.25">
      <c r="A1879" s="60" t="s">
        <v>213</v>
      </c>
      <c r="B1879" s="60" t="s">
        <v>377</v>
      </c>
      <c r="C1879" s="60" t="s">
        <v>379</v>
      </c>
      <c r="D1879" s="60" t="s">
        <v>378</v>
      </c>
      <c r="E1879" s="60">
        <v>3</v>
      </c>
      <c r="F1879" s="60">
        <v>30</v>
      </c>
      <c r="G1879" s="60">
        <v>380</v>
      </c>
      <c r="H1879" s="60">
        <v>46</v>
      </c>
      <c r="I1879" s="60"/>
      <c r="J1879" s="60"/>
      <c r="K1879" s="60"/>
      <c r="L1879" s="60"/>
      <c r="M1879" s="60">
        <v>85</v>
      </c>
      <c r="N1879" s="60"/>
    </row>
    <row r="1880" spans="1:14" hidden="1" x14ac:dyDescent="0.25">
      <c r="A1880" s="60" t="s">
        <v>213</v>
      </c>
      <c r="B1880" s="60" t="s">
        <v>377</v>
      </c>
      <c r="C1880" s="60" t="s">
        <v>379</v>
      </c>
      <c r="D1880" s="60" t="s">
        <v>378</v>
      </c>
      <c r="E1880" s="60">
        <v>3</v>
      </c>
      <c r="F1880" s="60">
        <v>33</v>
      </c>
      <c r="G1880" s="60">
        <v>100</v>
      </c>
      <c r="H1880" s="60">
        <v>46</v>
      </c>
      <c r="I1880" s="60"/>
      <c r="J1880" s="60"/>
      <c r="K1880" s="60"/>
      <c r="L1880" s="60"/>
      <c r="M1880" s="60">
        <v>72</v>
      </c>
      <c r="N1880" s="60"/>
    </row>
    <row r="1881" spans="1:14" hidden="1" x14ac:dyDescent="0.25">
      <c r="A1881" s="60" t="s">
        <v>213</v>
      </c>
      <c r="B1881" s="60" t="s">
        <v>377</v>
      </c>
      <c r="C1881" s="60" t="s">
        <v>379</v>
      </c>
      <c r="D1881" s="60" t="s">
        <v>378</v>
      </c>
      <c r="E1881" s="60">
        <v>3</v>
      </c>
      <c r="F1881" s="60">
        <v>33</v>
      </c>
      <c r="G1881" s="60">
        <v>110</v>
      </c>
      <c r="H1881" s="60">
        <v>46</v>
      </c>
      <c r="I1881" s="60"/>
      <c r="J1881" s="60"/>
      <c r="K1881" s="60"/>
      <c r="L1881" s="60"/>
      <c r="M1881" s="60">
        <v>72</v>
      </c>
      <c r="N1881" s="60"/>
    </row>
    <row r="1882" spans="1:14" hidden="1" x14ac:dyDescent="0.25">
      <c r="A1882" s="60" t="s">
        <v>213</v>
      </c>
      <c r="B1882" s="60" t="s">
        <v>377</v>
      </c>
      <c r="C1882" s="60" t="s">
        <v>379</v>
      </c>
      <c r="D1882" s="60" t="s">
        <v>378</v>
      </c>
      <c r="E1882" s="60">
        <v>3</v>
      </c>
      <c r="F1882" s="60">
        <v>33</v>
      </c>
      <c r="G1882" s="60">
        <v>120</v>
      </c>
      <c r="H1882" s="60">
        <v>46</v>
      </c>
      <c r="I1882" s="60"/>
      <c r="J1882" s="60"/>
      <c r="K1882" s="60"/>
      <c r="L1882" s="60"/>
      <c r="M1882" s="60">
        <v>72</v>
      </c>
      <c r="N1882" s="60"/>
    </row>
    <row r="1883" spans="1:14" hidden="1" x14ac:dyDescent="0.25">
      <c r="A1883" s="60" t="s">
        <v>213</v>
      </c>
      <c r="B1883" s="60" t="s">
        <v>377</v>
      </c>
      <c r="C1883" s="60" t="s">
        <v>379</v>
      </c>
      <c r="D1883" s="60" t="s">
        <v>378</v>
      </c>
      <c r="E1883" s="60">
        <v>3</v>
      </c>
      <c r="F1883" s="60">
        <v>33</v>
      </c>
      <c r="G1883" s="60">
        <v>130</v>
      </c>
      <c r="H1883" s="60">
        <v>46</v>
      </c>
      <c r="I1883" s="60"/>
      <c r="J1883" s="60"/>
      <c r="K1883" s="60"/>
      <c r="L1883" s="60"/>
      <c r="M1883" s="60">
        <v>78</v>
      </c>
      <c r="N1883" s="60"/>
    </row>
    <row r="1884" spans="1:14" hidden="1" x14ac:dyDescent="0.25">
      <c r="A1884" s="60" t="s">
        <v>213</v>
      </c>
      <c r="B1884" s="60" t="s">
        <v>377</v>
      </c>
      <c r="C1884" s="60" t="s">
        <v>379</v>
      </c>
      <c r="D1884" s="60" t="s">
        <v>378</v>
      </c>
      <c r="E1884" s="60">
        <v>3</v>
      </c>
      <c r="F1884" s="60">
        <v>33</v>
      </c>
      <c r="G1884" s="60">
        <v>140</v>
      </c>
      <c r="H1884" s="60">
        <v>46</v>
      </c>
      <c r="I1884" s="60"/>
      <c r="J1884" s="60"/>
      <c r="K1884" s="60"/>
      <c r="L1884" s="60"/>
      <c r="M1884" s="60">
        <v>78</v>
      </c>
      <c r="N1884" s="60"/>
    </row>
    <row r="1885" spans="1:14" hidden="1" x14ac:dyDescent="0.25">
      <c r="A1885" s="60" t="s">
        <v>213</v>
      </c>
      <c r="B1885" s="60" t="s">
        <v>377</v>
      </c>
      <c r="C1885" s="60" t="s">
        <v>379</v>
      </c>
      <c r="D1885" s="60" t="s">
        <v>378</v>
      </c>
      <c r="E1885" s="60">
        <v>3</v>
      </c>
      <c r="F1885" s="60">
        <v>33</v>
      </c>
      <c r="G1885" s="60">
        <v>150</v>
      </c>
      <c r="H1885" s="60">
        <v>46</v>
      </c>
      <c r="I1885" s="60"/>
      <c r="J1885" s="60"/>
      <c r="K1885" s="60"/>
      <c r="L1885" s="60"/>
      <c r="M1885" s="60">
        <v>78</v>
      </c>
      <c r="N1885" s="60"/>
    </row>
    <row r="1886" spans="1:14" hidden="1" x14ac:dyDescent="0.25">
      <c r="A1886" s="60" t="s">
        <v>213</v>
      </c>
      <c r="B1886" s="60" t="s">
        <v>377</v>
      </c>
      <c r="C1886" s="60" t="s">
        <v>379</v>
      </c>
      <c r="D1886" s="60" t="s">
        <v>378</v>
      </c>
      <c r="E1886" s="60">
        <v>3</v>
      </c>
      <c r="F1886" s="60">
        <v>33</v>
      </c>
      <c r="G1886" s="60">
        <v>160</v>
      </c>
      <c r="H1886" s="60">
        <v>46</v>
      </c>
      <c r="I1886" s="60"/>
      <c r="J1886" s="60"/>
      <c r="K1886" s="60"/>
      <c r="L1886" s="60"/>
      <c r="M1886" s="60">
        <v>78</v>
      </c>
      <c r="N1886" s="60"/>
    </row>
    <row r="1887" spans="1:14" hidden="1" x14ac:dyDescent="0.25">
      <c r="A1887" s="60" t="s">
        <v>213</v>
      </c>
      <c r="B1887" s="60" t="s">
        <v>377</v>
      </c>
      <c r="C1887" s="60" t="s">
        <v>379</v>
      </c>
      <c r="D1887" s="60" t="s">
        <v>378</v>
      </c>
      <c r="E1887" s="60">
        <v>3</v>
      </c>
      <c r="F1887" s="60">
        <v>33</v>
      </c>
      <c r="G1887" s="60">
        <v>170</v>
      </c>
      <c r="H1887" s="60">
        <v>46</v>
      </c>
      <c r="I1887" s="60"/>
      <c r="J1887" s="60"/>
      <c r="K1887" s="60"/>
      <c r="L1887" s="60"/>
      <c r="M1887" s="60">
        <v>78</v>
      </c>
      <c r="N1887" s="60"/>
    </row>
    <row r="1888" spans="1:14" hidden="1" x14ac:dyDescent="0.25">
      <c r="A1888" s="60" t="s">
        <v>213</v>
      </c>
      <c r="B1888" s="60" t="s">
        <v>377</v>
      </c>
      <c r="C1888" s="60" t="s">
        <v>379</v>
      </c>
      <c r="D1888" s="60" t="s">
        <v>378</v>
      </c>
      <c r="E1888" s="60">
        <v>3</v>
      </c>
      <c r="F1888" s="60">
        <v>33</v>
      </c>
      <c r="G1888" s="60">
        <v>180</v>
      </c>
      <c r="H1888" s="60">
        <v>46</v>
      </c>
      <c r="I1888" s="60"/>
      <c r="J1888" s="60"/>
      <c r="K1888" s="60"/>
      <c r="L1888" s="60"/>
      <c r="M1888" s="60">
        <v>78</v>
      </c>
      <c r="N1888" s="60"/>
    </row>
    <row r="1889" spans="1:14" hidden="1" x14ac:dyDescent="0.25">
      <c r="A1889" s="60" t="s">
        <v>213</v>
      </c>
      <c r="B1889" s="60" t="s">
        <v>377</v>
      </c>
      <c r="C1889" s="60" t="s">
        <v>379</v>
      </c>
      <c r="D1889" s="60" t="s">
        <v>378</v>
      </c>
      <c r="E1889" s="60">
        <v>3</v>
      </c>
      <c r="F1889" s="60">
        <v>33</v>
      </c>
      <c r="G1889" s="60">
        <v>190</v>
      </c>
      <c r="H1889" s="60">
        <v>46</v>
      </c>
      <c r="I1889" s="60"/>
      <c r="J1889" s="60"/>
      <c r="K1889" s="60"/>
      <c r="L1889" s="60"/>
      <c r="M1889" s="60">
        <v>78</v>
      </c>
      <c r="N1889" s="60"/>
    </row>
    <row r="1890" spans="1:14" hidden="1" x14ac:dyDescent="0.25">
      <c r="A1890" s="60" t="s">
        <v>213</v>
      </c>
      <c r="B1890" s="60" t="s">
        <v>377</v>
      </c>
      <c r="C1890" s="60" t="s">
        <v>379</v>
      </c>
      <c r="D1890" s="60" t="s">
        <v>378</v>
      </c>
      <c r="E1890" s="60">
        <v>3</v>
      </c>
      <c r="F1890" s="60">
        <v>33</v>
      </c>
      <c r="G1890" s="60">
        <v>200</v>
      </c>
      <c r="H1890" s="60">
        <v>46</v>
      </c>
      <c r="I1890" s="60"/>
      <c r="J1890" s="60"/>
      <c r="K1890" s="60"/>
      <c r="L1890" s="60"/>
      <c r="M1890" s="60">
        <v>78</v>
      </c>
      <c r="N1890" s="60"/>
    </row>
    <row r="1891" spans="1:14" hidden="1" x14ac:dyDescent="0.25">
      <c r="A1891" s="60" t="s">
        <v>213</v>
      </c>
      <c r="B1891" s="60" t="s">
        <v>377</v>
      </c>
      <c r="C1891" s="60" t="s">
        <v>379</v>
      </c>
      <c r="D1891" s="60" t="s">
        <v>378</v>
      </c>
      <c r="E1891" s="60">
        <v>3</v>
      </c>
      <c r="F1891" s="60">
        <v>33</v>
      </c>
      <c r="G1891" s="60">
        <v>210</v>
      </c>
      <c r="H1891" s="60">
        <v>46</v>
      </c>
      <c r="I1891" s="60"/>
      <c r="J1891" s="60"/>
      <c r="K1891" s="60"/>
      <c r="L1891" s="60"/>
      <c r="M1891" s="60">
        <v>91</v>
      </c>
      <c r="N1891" s="60"/>
    </row>
    <row r="1892" spans="1:14" hidden="1" x14ac:dyDescent="0.25">
      <c r="A1892" s="60" t="s">
        <v>213</v>
      </c>
      <c r="B1892" s="60" t="s">
        <v>377</v>
      </c>
      <c r="C1892" s="60" t="s">
        <v>379</v>
      </c>
      <c r="D1892" s="60" t="s">
        <v>378</v>
      </c>
      <c r="E1892" s="60">
        <v>3</v>
      </c>
      <c r="F1892" s="60">
        <v>33</v>
      </c>
      <c r="G1892" s="60">
        <v>220</v>
      </c>
      <c r="H1892" s="60">
        <v>46</v>
      </c>
      <c r="I1892" s="60"/>
      <c r="J1892" s="60"/>
      <c r="K1892" s="60"/>
      <c r="L1892" s="60"/>
      <c r="M1892" s="60">
        <v>91</v>
      </c>
      <c r="N1892" s="60"/>
    </row>
    <row r="1893" spans="1:14" hidden="1" x14ac:dyDescent="0.25">
      <c r="A1893" s="60" t="s">
        <v>213</v>
      </c>
      <c r="B1893" s="60" t="s">
        <v>377</v>
      </c>
      <c r="C1893" s="60" t="s">
        <v>379</v>
      </c>
      <c r="D1893" s="60" t="s">
        <v>378</v>
      </c>
      <c r="E1893" s="60">
        <v>3</v>
      </c>
      <c r="F1893" s="60">
        <v>33</v>
      </c>
      <c r="G1893" s="60">
        <v>240</v>
      </c>
      <c r="H1893" s="60">
        <v>46</v>
      </c>
      <c r="I1893" s="60"/>
      <c r="J1893" s="60"/>
      <c r="K1893" s="60"/>
      <c r="L1893" s="60"/>
      <c r="M1893" s="60">
        <v>91</v>
      </c>
      <c r="N1893" s="60"/>
    </row>
    <row r="1894" spans="1:14" hidden="1" x14ac:dyDescent="0.25">
      <c r="A1894" s="60" t="s">
        <v>213</v>
      </c>
      <c r="B1894" s="60" t="s">
        <v>377</v>
      </c>
      <c r="C1894" s="60" t="s">
        <v>379</v>
      </c>
      <c r="D1894" s="60" t="s">
        <v>378</v>
      </c>
      <c r="E1894" s="60">
        <v>3</v>
      </c>
      <c r="F1894" s="60">
        <v>33</v>
      </c>
      <c r="G1894" s="60">
        <v>260</v>
      </c>
      <c r="H1894" s="60">
        <v>46</v>
      </c>
      <c r="I1894" s="60"/>
      <c r="J1894" s="60"/>
      <c r="K1894" s="60"/>
      <c r="L1894" s="60"/>
      <c r="M1894" s="60">
        <v>91</v>
      </c>
      <c r="N1894" s="60"/>
    </row>
    <row r="1895" spans="1:14" hidden="1" x14ac:dyDescent="0.25">
      <c r="A1895" s="60" t="s">
        <v>213</v>
      </c>
      <c r="B1895" s="60" t="s">
        <v>377</v>
      </c>
      <c r="C1895" s="60" t="s">
        <v>379</v>
      </c>
      <c r="D1895" s="60" t="s">
        <v>378</v>
      </c>
      <c r="E1895" s="60">
        <v>3</v>
      </c>
      <c r="F1895" s="60">
        <v>33</v>
      </c>
      <c r="G1895" s="60">
        <v>280</v>
      </c>
      <c r="H1895" s="60">
        <v>46</v>
      </c>
      <c r="I1895" s="60"/>
      <c r="J1895" s="60"/>
      <c r="K1895" s="60"/>
      <c r="L1895" s="60"/>
      <c r="M1895" s="60">
        <v>91</v>
      </c>
      <c r="N1895" s="60"/>
    </row>
    <row r="1896" spans="1:14" hidden="1" x14ac:dyDescent="0.25">
      <c r="A1896" s="60" t="s">
        <v>213</v>
      </c>
      <c r="B1896" s="60" t="s">
        <v>377</v>
      </c>
      <c r="C1896" s="60" t="s">
        <v>379</v>
      </c>
      <c r="D1896" s="60" t="s">
        <v>378</v>
      </c>
      <c r="E1896" s="60">
        <v>3</v>
      </c>
      <c r="F1896" s="60">
        <v>33</v>
      </c>
      <c r="G1896" s="60">
        <v>300</v>
      </c>
      <c r="H1896" s="60">
        <v>46</v>
      </c>
      <c r="I1896" s="60"/>
      <c r="J1896" s="60"/>
      <c r="K1896" s="60"/>
      <c r="L1896" s="60"/>
      <c r="M1896" s="60">
        <v>91</v>
      </c>
      <c r="N1896" s="60"/>
    </row>
    <row r="1897" spans="1:14" hidden="1" x14ac:dyDescent="0.25">
      <c r="A1897" s="60" t="s">
        <v>213</v>
      </c>
      <c r="B1897" s="60" t="s">
        <v>377</v>
      </c>
      <c r="C1897" s="60" t="s">
        <v>379</v>
      </c>
      <c r="D1897" s="60" t="s">
        <v>378</v>
      </c>
      <c r="E1897" s="60">
        <v>3</v>
      </c>
      <c r="F1897" s="60">
        <v>36</v>
      </c>
      <c r="G1897" s="60">
        <v>110</v>
      </c>
      <c r="H1897" s="60">
        <v>46</v>
      </c>
      <c r="I1897" s="60"/>
      <c r="J1897" s="60"/>
      <c r="K1897" s="60"/>
      <c r="L1897" s="60"/>
      <c r="M1897" s="60">
        <v>78</v>
      </c>
      <c r="N1897" s="60"/>
    </row>
    <row r="1898" spans="1:14" hidden="1" x14ac:dyDescent="0.25">
      <c r="A1898" s="60" t="s">
        <v>213</v>
      </c>
      <c r="B1898" s="60" t="s">
        <v>377</v>
      </c>
      <c r="C1898" s="60" t="s">
        <v>379</v>
      </c>
      <c r="D1898" s="60" t="s">
        <v>378</v>
      </c>
      <c r="E1898" s="60">
        <v>3</v>
      </c>
      <c r="F1898" s="60">
        <v>36</v>
      </c>
      <c r="G1898" s="60">
        <v>120</v>
      </c>
      <c r="H1898" s="60">
        <v>55</v>
      </c>
      <c r="I1898" s="60"/>
      <c r="J1898" s="60"/>
      <c r="K1898" s="60"/>
      <c r="L1898" s="60"/>
      <c r="M1898" s="60">
        <v>78</v>
      </c>
      <c r="N1898" s="60"/>
    </row>
    <row r="1899" spans="1:14" hidden="1" x14ac:dyDescent="0.25">
      <c r="A1899" s="60" t="s">
        <v>213</v>
      </c>
      <c r="B1899" s="60" t="s">
        <v>377</v>
      </c>
      <c r="C1899" s="60" t="s">
        <v>379</v>
      </c>
      <c r="D1899" s="60" t="s">
        <v>378</v>
      </c>
      <c r="E1899" s="60">
        <v>3</v>
      </c>
      <c r="F1899" s="60">
        <v>36</v>
      </c>
      <c r="G1899" s="60">
        <v>130</v>
      </c>
      <c r="H1899" s="60">
        <v>55</v>
      </c>
      <c r="I1899" s="60"/>
      <c r="J1899" s="60"/>
      <c r="K1899" s="60"/>
      <c r="L1899" s="60"/>
      <c r="M1899" s="60">
        <v>84</v>
      </c>
      <c r="N1899" s="60"/>
    </row>
    <row r="1900" spans="1:14" hidden="1" x14ac:dyDescent="0.25">
      <c r="A1900" s="60" t="s">
        <v>213</v>
      </c>
      <c r="B1900" s="60" t="s">
        <v>377</v>
      </c>
      <c r="C1900" s="60" t="s">
        <v>379</v>
      </c>
      <c r="D1900" s="60" t="s">
        <v>378</v>
      </c>
      <c r="E1900" s="60">
        <v>3</v>
      </c>
      <c r="F1900" s="60">
        <v>36</v>
      </c>
      <c r="G1900" s="60">
        <v>140</v>
      </c>
      <c r="H1900" s="60">
        <v>55</v>
      </c>
      <c r="I1900" s="60"/>
      <c r="J1900" s="60"/>
      <c r="K1900" s="60"/>
      <c r="L1900" s="60"/>
      <c r="M1900" s="60">
        <v>84</v>
      </c>
      <c r="N1900" s="60"/>
    </row>
    <row r="1901" spans="1:14" hidden="1" x14ac:dyDescent="0.25">
      <c r="A1901" s="60" t="s">
        <v>213</v>
      </c>
      <c r="B1901" s="60" t="s">
        <v>377</v>
      </c>
      <c r="C1901" s="60" t="s">
        <v>379</v>
      </c>
      <c r="D1901" s="60" t="s">
        <v>378</v>
      </c>
      <c r="E1901" s="60">
        <v>3</v>
      </c>
      <c r="F1901" s="60">
        <v>36</v>
      </c>
      <c r="G1901" s="60">
        <v>150</v>
      </c>
      <c r="H1901" s="60">
        <v>55</v>
      </c>
      <c r="I1901" s="60"/>
      <c r="J1901" s="60"/>
      <c r="K1901" s="60"/>
      <c r="L1901" s="60"/>
      <c r="M1901" s="60">
        <v>84</v>
      </c>
      <c r="N1901" s="60"/>
    </row>
    <row r="1902" spans="1:14" hidden="1" x14ac:dyDescent="0.25">
      <c r="A1902" s="60" t="s">
        <v>213</v>
      </c>
      <c r="B1902" s="60" t="s">
        <v>377</v>
      </c>
      <c r="C1902" s="60" t="s">
        <v>379</v>
      </c>
      <c r="D1902" s="60" t="s">
        <v>378</v>
      </c>
      <c r="E1902" s="60">
        <v>3</v>
      </c>
      <c r="F1902" s="60">
        <v>36</v>
      </c>
      <c r="G1902" s="60">
        <v>160</v>
      </c>
      <c r="H1902" s="60">
        <v>55</v>
      </c>
      <c r="I1902" s="60"/>
      <c r="J1902" s="60"/>
      <c r="K1902" s="60"/>
      <c r="L1902" s="60"/>
      <c r="M1902" s="60">
        <v>84</v>
      </c>
      <c r="N1902" s="60"/>
    </row>
    <row r="1903" spans="1:14" hidden="1" x14ac:dyDescent="0.25">
      <c r="A1903" s="60" t="s">
        <v>213</v>
      </c>
      <c r="B1903" s="60" t="s">
        <v>377</v>
      </c>
      <c r="C1903" s="60" t="s">
        <v>379</v>
      </c>
      <c r="D1903" s="60" t="s">
        <v>378</v>
      </c>
      <c r="E1903" s="60">
        <v>3</v>
      </c>
      <c r="F1903" s="60">
        <v>36</v>
      </c>
      <c r="G1903" s="60">
        <v>170</v>
      </c>
      <c r="H1903" s="60">
        <v>55</v>
      </c>
      <c r="I1903" s="60"/>
      <c r="J1903" s="60"/>
      <c r="K1903" s="60"/>
      <c r="L1903" s="60"/>
      <c r="M1903" s="60">
        <v>84</v>
      </c>
      <c r="N1903" s="60"/>
    </row>
    <row r="1904" spans="1:14" hidden="1" x14ac:dyDescent="0.25">
      <c r="A1904" s="60" t="s">
        <v>213</v>
      </c>
      <c r="B1904" s="60" t="s">
        <v>377</v>
      </c>
      <c r="C1904" s="60" t="s">
        <v>379</v>
      </c>
      <c r="D1904" s="60" t="s">
        <v>378</v>
      </c>
      <c r="E1904" s="60">
        <v>3</v>
      </c>
      <c r="F1904" s="60">
        <v>36</v>
      </c>
      <c r="G1904" s="60">
        <v>180</v>
      </c>
      <c r="H1904" s="60">
        <v>55</v>
      </c>
      <c r="I1904" s="60"/>
      <c r="J1904" s="60"/>
      <c r="K1904" s="60"/>
      <c r="L1904" s="60"/>
      <c r="M1904" s="60">
        <v>84</v>
      </c>
      <c r="N1904" s="60"/>
    </row>
    <row r="1905" spans="1:14" hidden="1" x14ac:dyDescent="0.25">
      <c r="A1905" s="60" t="s">
        <v>213</v>
      </c>
      <c r="B1905" s="60" t="s">
        <v>377</v>
      </c>
      <c r="C1905" s="60" t="s">
        <v>379</v>
      </c>
      <c r="D1905" s="60" t="s">
        <v>378</v>
      </c>
      <c r="E1905" s="60">
        <v>3</v>
      </c>
      <c r="F1905" s="60">
        <v>36</v>
      </c>
      <c r="G1905" s="60">
        <v>190</v>
      </c>
      <c r="H1905" s="60">
        <v>55</v>
      </c>
      <c r="I1905" s="60"/>
      <c r="J1905" s="60"/>
      <c r="K1905" s="60"/>
      <c r="L1905" s="60"/>
      <c r="M1905" s="60">
        <v>84</v>
      </c>
      <c r="N1905" s="60"/>
    </row>
    <row r="1906" spans="1:14" hidden="1" x14ac:dyDescent="0.25">
      <c r="A1906" s="60" t="s">
        <v>213</v>
      </c>
      <c r="B1906" s="60" t="s">
        <v>377</v>
      </c>
      <c r="C1906" s="60" t="s">
        <v>379</v>
      </c>
      <c r="D1906" s="60" t="s">
        <v>378</v>
      </c>
      <c r="E1906" s="60">
        <v>3</v>
      </c>
      <c r="F1906" s="60">
        <v>36</v>
      </c>
      <c r="G1906" s="60">
        <v>200</v>
      </c>
      <c r="H1906" s="60">
        <v>55</v>
      </c>
      <c r="I1906" s="60"/>
      <c r="J1906" s="60"/>
      <c r="K1906" s="60"/>
      <c r="L1906" s="60"/>
      <c r="M1906" s="60">
        <v>84</v>
      </c>
      <c r="N1906" s="60"/>
    </row>
    <row r="1907" spans="1:14" hidden="1" x14ac:dyDescent="0.25">
      <c r="A1907" s="60" t="s">
        <v>213</v>
      </c>
      <c r="B1907" s="60" t="s">
        <v>377</v>
      </c>
      <c r="C1907" s="60" t="s">
        <v>379</v>
      </c>
      <c r="D1907" s="60" t="s">
        <v>378</v>
      </c>
      <c r="E1907" s="60">
        <v>3</v>
      </c>
      <c r="F1907" s="60">
        <v>36</v>
      </c>
      <c r="G1907" s="60">
        <v>210</v>
      </c>
      <c r="H1907" s="60">
        <v>55</v>
      </c>
      <c r="I1907" s="60"/>
      <c r="J1907" s="60"/>
      <c r="K1907" s="60"/>
      <c r="L1907" s="60"/>
      <c r="M1907" s="60">
        <v>97</v>
      </c>
      <c r="N1907" s="60"/>
    </row>
    <row r="1908" spans="1:14" hidden="1" x14ac:dyDescent="0.25">
      <c r="A1908" s="60" t="s">
        <v>213</v>
      </c>
      <c r="B1908" s="60" t="s">
        <v>377</v>
      </c>
      <c r="C1908" s="60" t="s">
        <v>379</v>
      </c>
      <c r="D1908" s="60" t="s">
        <v>378</v>
      </c>
      <c r="E1908" s="60">
        <v>3</v>
      </c>
      <c r="F1908" s="60">
        <v>36</v>
      </c>
      <c r="G1908" s="60">
        <v>220</v>
      </c>
      <c r="H1908" s="60">
        <v>55</v>
      </c>
      <c r="I1908" s="60"/>
      <c r="J1908" s="60"/>
      <c r="K1908" s="60"/>
      <c r="L1908" s="60"/>
      <c r="M1908" s="60">
        <v>97</v>
      </c>
      <c r="N1908" s="60"/>
    </row>
    <row r="1909" spans="1:14" hidden="1" x14ac:dyDescent="0.25">
      <c r="A1909" s="60" t="s">
        <v>213</v>
      </c>
      <c r="B1909" s="60" t="s">
        <v>377</v>
      </c>
      <c r="C1909" s="60" t="s">
        <v>379</v>
      </c>
      <c r="D1909" s="60" t="s">
        <v>378</v>
      </c>
      <c r="E1909" s="60">
        <v>3</v>
      </c>
      <c r="F1909" s="60">
        <v>36</v>
      </c>
      <c r="G1909" s="60">
        <v>230</v>
      </c>
      <c r="H1909" s="60">
        <v>55</v>
      </c>
      <c r="I1909" s="60"/>
      <c r="J1909" s="60"/>
      <c r="K1909" s="60"/>
      <c r="L1909" s="60"/>
      <c r="M1909" s="60">
        <v>97</v>
      </c>
      <c r="N1909" s="60"/>
    </row>
    <row r="1910" spans="1:14" hidden="1" x14ac:dyDescent="0.25">
      <c r="A1910" s="60" t="s">
        <v>213</v>
      </c>
      <c r="B1910" s="60" t="s">
        <v>377</v>
      </c>
      <c r="C1910" s="60" t="s">
        <v>379</v>
      </c>
      <c r="D1910" s="60" t="s">
        <v>378</v>
      </c>
      <c r="E1910" s="60">
        <v>3</v>
      </c>
      <c r="F1910" s="60">
        <v>36</v>
      </c>
      <c r="G1910" s="60">
        <v>240</v>
      </c>
      <c r="H1910" s="60">
        <v>55</v>
      </c>
      <c r="I1910" s="60"/>
      <c r="J1910" s="60"/>
      <c r="K1910" s="60"/>
      <c r="L1910" s="60"/>
      <c r="M1910" s="60">
        <v>97</v>
      </c>
      <c r="N1910" s="60"/>
    </row>
    <row r="1911" spans="1:14" hidden="1" x14ac:dyDescent="0.25">
      <c r="A1911" s="60" t="s">
        <v>213</v>
      </c>
      <c r="B1911" s="60" t="s">
        <v>377</v>
      </c>
      <c r="C1911" s="60" t="s">
        <v>379</v>
      </c>
      <c r="D1911" s="60" t="s">
        <v>378</v>
      </c>
      <c r="E1911" s="60">
        <v>3</v>
      </c>
      <c r="F1911" s="60">
        <v>36</v>
      </c>
      <c r="G1911" s="60">
        <v>250</v>
      </c>
      <c r="H1911" s="60">
        <v>55</v>
      </c>
      <c r="I1911" s="60"/>
      <c r="J1911" s="60"/>
      <c r="K1911" s="60"/>
      <c r="L1911" s="60"/>
      <c r="M1911" s="60">
        <v>97</v>
      </c>
      <c r="N1911" s="60"/>
    </row>
    <row r="1912" spans="1:14" hidden="1" x14ac:dyDescent="0.25">
      <c r="A1912" s="60" t="s">
        <v>213</v>
      </c>
      <c r="B1912" s="60" t="s">
        <v>377</v>
      </c>
      <c r="C1912" s="60" t="s">
        <v>379</v>
      </c>
      <c r="D1912" s="60" t="s">
        <v>378</v>
      </c>
      <c r="E1912" s="60">
        <v>3</v>
      </c>
      <c r="F1912" s="60">
        <v>36</v>
      </c>
      <c r="G1912" s="60">
        <v>260</v>
      </c>
      <c r="H1912" s="60">
        <v>55</v>
      </c>
      <c r="I1912" s="60"/>
      <c r="J1912" s="60"/>
      <c r="K1912" s="60"/>
      <c r="L1912" s="60"/>
      <c r="M1912" s="60">
        <v>97</v>
      </c>
      <c r="N1912" s="60"/>
    </row>
    <row r="1913" spans="1:14" hidden="1" x14ac:dyDescent="0.25">
      <c r="A1913" s="60" t="s">
        <v>213</v>
      </c>
      <c r="B1913" s="60" t="s">
        <v>377</v>
      </c>
      <c r="C1913" s="60" t="s">
        <v>379</v>
      </c>
      <c r="D1913" s="60" t="s">
        <v>378</v>
      </c>
      <c r="E1913" s="60">
        <v>3</v>
      </c>
      <c r="F1913" s="60">
        <v>36</v>
      </c>
      <c r="G1913" s="60">
        <v>270</v>
      </c>
      <c r="H1913" s="60">
        <v>55</v>
      </c>
      <c r="I1913" s="60"/>
      <c r="J1913" s="60"/>
      <c r="K1913" s="60"/>
      <c r="L1913" s="60"/>
      <c r="M1913" s="60">
        <v>97</v>
      </c>
      <c r="N1913" s="60"/>
    </row>
    <row r="1914" spans="1:14" hidden="1" x14ac:dyDescent="0.25">
      <c r="A1914" s="60" t="s">
        <v>213</v>
      </c>
      <c r="B1914" s="60" t="s">
        <v>377</v>
      </c>
      <c r="C1914" s="60" t="s">
        <v>379</v>
      </c>
      <c r="D1914" s="60" t="s">
        <v>378</v>
      </c>
      <c r="E1914" s="60">
        <v>3</v>
      </c>
      <c r="F1914" s="60">
        <v>36</v>
      </c>
      <c r="G1914" s="60">
        <v>280</v>
      </c>
      <c r="H1914" s="60">
        <v>55</v>
      </c>
      <c r="I1914" s="60"/>
      <c r="J1914" s="60"/>
      <c r="K1914" s="60"/>
      <c r="L1914" s="60"/>
      <c r="M1914" s="60">
        <v>97</v>
      </c>
      <c r="N1914" s="60"/>
    </row>
    <row r="1915" spans="1:14" hidden="1" x14ac:dyDescent="0.25">
      <c r="A1915" s="60" t="s">
        <v>213</v>
      </c>
      <c r="B1915" s="60" t="s">
        <v>377</v>
      </c>
      <c r="C1915" s="60" t="s">
        <v>379</v>
      </c>
      <c r="D1915" s="60" t="s">
        <v>378</v>
      </c>
      <c r="E1915" s="60">
        <v>3</v>
      </c>
      <c r="F1915" s="60">
        <v>36</v>
      </c>
      <c r="G1915" s="60">
        <v>300</v>
      </c>
      <c r="H1915" s="60">
        <v>55</v>
      </c>
      <c r="I1915" s="60"/>
      <c r="J1915" s="60"/>
      <c r="K1915" s="60"/>
      <c r="L1915" s="60"/>
      <c r="M1915" s="60">
        <v>97</v>
      </c>
      <c r="N1915" s="60"/>
    </row>
    <row r="1916" spans="1:14" hidden="1" x14ac:dyDescent="0.25">
      <c r="A1916" s="60" t="s">
        <v>213</v>
      </c>
      <c r="B1916" s="60" t="s">
        <v>377</v>
      </c>
      <c r="C1916" s="60" t="s">
        <v>379</v>
      </c>
      <c r="D1916" s="60" t="s">
        <v>378</v>
      </c>
      <c r="E1916" s="60">
        <v>3</v>
      </c>
      <c r="F1916" s="60">
        <v>36</v>
      </c>
      <c r="G1916" s="60">
        <v>320</v>
      </c>
      <c r="H1916" s="60">
        <v>55</v>
      </c>
      <c r="I1916" s="60"/>
      <c r="J1916" s="60"/>
      <c r="K1916" s="60"/>
      <c r="L1916" s="60"/>
      <c r="M1916" s="60">
        <v>97</v>
      </c>
      <c r="N1916" s="60"/>
    </row>
    <row r="1917" spans="1:14" hidden="1" x14ac:dyDescent="0.25">
      <c r="A1917" s="60" t="s">
        <v>213</v>
      </c>
      <c r="B1917" s="60" t="s">
        <v>377</v>
      </c>
      <c r="C1917" s="60" t="s">
        <v>379</v>
      </c>
      <c r="D1917" s="60" t="s">
        <v>378</v>
      </c>
      <c r="E1917" s="60">
        <v>3</v>
      </c>
      <c r="F1917" s="60">
        <v>36</v>
      </c>
      <c r="G1917" s="60">
        <v>360</v>
      </c>
      <c r="H1917" s="60">
        <v>55</v>
      </c>
      <c r="I1917" s="60"/>
      <c r="J1917" s="60"/>
      <c r="K1917" s="60"/>
      <c r="L1917" s="60"/>
      <c r="M1917" s="60">
        <v>97</v>
      </c>
      <c r="N1917" s="60"/>
    </row>
    <row r="1918" spans="1:14" hidden="1" x14ac:dyDescent="0.25">
      <c r="A1918" s="60" t="s">
        <v>213</v>
      </c>
      <c r="B1918" s="60" t="s">
        <v>377</v>
      </c>
      <c r="C1918" s="60" t="s">
        <v>379</v>
      </c>
      <c r="D1918" s="60" t="s">
        <v>378</v>
      </c>
      <c r="E1918" s="60">
        <v>3</v>
      </c>
      <c r="F1918" s="60">
        <v>36</v>
      </c>
      <c r="G1918" s="60">
        <v>400</v>
      </c>
      <c r="H1918" s="60">
        <v>55</v>
      </c>
      <c r="I1918" s="60"/>
      <c r="J1918" s="60"/>
      <c r="K1918" s="60"/>
      <c r="L1918" s="60"/>
      <c r="M1918" s="60">
        <v>97</v>
      </c>
      <c r="N1918" s="60"/>
    </row>
    <row r="1919" spans="1:14" hidden="1" x14ac:dyDescent="0.25">
      <c r="A1919" s="60" t="s">
        <v>213</v>
      </c>
      <c r="B1919" s="60" t="s">
        <v>377</v>
      </c>
      <c r="C1919" s="60" t="s">
        <v>379</v>
      </c>
      <c r="D1919" s="60" t="s">
        <v>378</v>
      </c>
      <c r="E1919" s="60">
        <v>3</v>
      </c>
      <c r="F1919" s="60">
        <v>39</v>
      </c>
      <c r="G1919" s="60">
        <v>120</v>
      </c>
      <c r="H1919" s="60">
        <v>60</v>
      </c>
      <c r="I1919" s="60"/>
      <c r="J1919" s="60"/>
      <c r="K1919" s="60"/>
      <c r="L1919" s="60"/>
      <c r="M1919" s="60">
        <v>84</v>
      </c>
      <c r="N1919" s="60"/>
    </row>
    <row r="1920" spans="1:14" hidden="1" x14ac:dyDescent="0.25">
      <c r="A1920" s="60" t="s">
        <v>213</v>
      </c>
      <c r="B1920" s="60" t="s">
        <v>377</v>
      </c>
      <c r="C1920" s="60" t="s">
        <v>379</v>
      </c>
      <c r="D1920" s="60" t="s">
        <v>378</v>
      </c>
      <c r="E1920" s="60">
        <v>3</v>
      </c>
      <c r="F1920" s="60">
        <v>39</v>
      </c>
      <c r="G1920" s="60">
        <v>130</v>
      </c>
      <c r="H1920" s="60">
        <v>60</v>
      </c>
      <c r="I1920" s="60"/>
      <c r="J1920" s="60"/>
      <c r="K1920" s="60"/>
      <c r="L1920" s="60"/>
      <c r="M1920" s="60">
        <v>84</v>
      </c>
      <c r="N1920" s="60"/>
    </row>
    <row r="1921" spans="1:14" hidden="1" x14ac:dyDescent="0.25">
      <c r="A1921" s="60" t="s">
        <v>213</v>
      </c>
      <c r="B1921" s="60" t="s">
        <v>377</v>
      </c>
      <c r="C1921" s="60" t="s">
        <v>379</v>
      </c>
      <c r="D1921" s="60" t="s">
        <v>378</v>
      </c>
      <c r="E1921" s="60">
        <v>3</v>
      </c>
      <c r="F1921" s="60">
        <v>39</v>
      </c>
      <c r="G1921" s="60">
        <v>140</v>
      </c>
      <c r="H1921" s="60">
        <v>60</v>
      </c>
      <c r="I1921" s="60"/>
      <c r="J1921" s="60"/>
      <c r="K1921" s="60"/>
      <c r="L1921" s="60"/>
      <c r="M1921" s="60">
        <v>90</v>
      </c>
      <c r="N1921" s="60"/>
    </row>
    <row r="1922" spans="1:14" hidden="1" x14ac:dyDescent="0.25">
      <c r="A1922" s="60" t="s">
        <v>213</v>
      </c>
      <c r="B1922" s="60" t="s">
        <v>377</v>
      </c>
      <c r="C1922" s="60" t="s">
        <v>379</v>
      </c>
      <c r="D1922" s="60" t="s">
        <v>378</v>
      </c>
      <c r="E1922" s="60">
        <v>3</v>
      </c>
      <c r="F1922" s="60">
        <v>39</v>
      </c>
      <c r="G1922" s="60">
        <v>150</v>
      </c>
      <c r="H1922" s="60">
        <v>60</v>
      </c>
      <c r="I1922" s="60"/>
      <c r="J1922" s="60"/>
      <c r="K1922" s="60"/>
      <c r="L1922" s="60"/>
      <c r="M1922" s="60">
        <v>90</v>
      </c>
      <c r="N1922" s="60"/>
    </row>
    <row r="1923" spans="1:14" hidden="1" x14ac:dyDescent="0.25">
      <c r="A1923" s="60" t="s">
        <v>213</v>
      </c>
      <c r="B1923" s="60" t="s">
        <v>377</v>
      </c>
      <c r="C1923" s="60" t="s">
        <v>379</v>
      </c>
      <c r="D1923" s="60" t="s">
        <v>378</v>
      </c>
      <c r="E1923" s="60">
        <v>3</v>
      </c>
      <c r="F1923" s="60">
        <v>39</v>
      </c>
      <c r="G1923" s="60">
        <v>160</v>
      </c>
      <c r="H1923" s="60">
        <v>60</v>
      </c>
      <c r="I1923" s="60"/>
      <c r="J1923" s="60"/>
      <c r="K1923" s="60"/>
      <c r="L1923" s="60"/>
      <c r="M1923" s="60">
        <v>90</v>
      </c>
      <c r="N1923" s="60"/>
    </row>
    <row r="1924" spans="1:14" hidden="1" x14ac:dyDescent="0.25">
      <c r="A1924" s="60" t="s">
        <v>213</v>
      </c>
      <c r="B1924" s="60" t="s">
        <v>377</v>
      </c>
      <c r="C1924" s="60" t="s">
        <v>379</v>
      </c>
      <c r="D1924" s="60" t="s">
        <v>378</v>
      </c>
      <c r="E1924" s="60">
        <v>3</v>
      </c>
      <c r="F1924" s="60">
        <v>39</v>
      </c>
      <c r="G1924" s="60">
        <v>170</v>
      </c>
      <c r="H1924" s="60">
        <v>60</v>
      </c>
      <c r="I1924" s="60"/>
      <c r="J1924" s="60"/>
      <c r="K1924" s="60"/>
      <c r="L1924" s="60"/>
      <c r="M1924" s="60">
        <v>90</v>
      </c>
      <c r="N1924" s="60"/>
    </row>
    <row r="1925" spans="1:14" hidden="1" x14ac:dyDescent="0.25">
      <c r="A1925" s="60" t="s">
        <v>213</v>
      </c>
      <c r="B1925" s="60" t="s">
        <v>377</v>
      </c>
      <c r="C1925" s="60" t="s">
        <v>379</v>
      </c>
      <c r="D1925" s="60" t="s">
        <v>378</v>
      </c>
      <c r="E1925" s="60">
        <v>3</v>
      </c>
      <c r="F1925" s="60">
        <v>39</v>
      </c>
      <c r="G1925" s="60">
        <v>180</v>
      </c>
      <c r="H1925" s="60">
        <v>60</v>
      </c>
      <c r="I1925" s="60"/>
      <c r="J1925" s="60"/>
      <c r="K1925" s="60"/>
      <c r="L1925" s="60"/>
      <c r="M1925" s="60">
        <v>90</v>
      </c>
      <c r="N1925" s="60"/>
    </row>
    <row r="1926" spans="1:14" hidden="1" x14ac:dyDescent="0.25">
      <c r="A1926" s="60" t="s">
        <v>213</v>
      </c>
      <c r="B1926" s="60" t="s">
        <v>377</v>
      </c>
      <c r="C1926" s="60" t="s">
        <v>379</v>
      </c>
      <c r="D1926" s="60" t="s">
        <v>378</v>
      </c>
      <c r="E1926" s="60">
        <v>3</v>
      </c>
      <c r="F1926" s="60">
        <v>39</v>
      </c>
      <c r="G1926" s="60">
        <v>190</v>
      </c>
      <c r="H1926" s="60">
        <v>60</v>
      </c>
      <c r="I1926" s="60"/>
      <c r="J1926" s="60"/>
      <c r="K1926" s="60"/>
      <c r="L1926" s="60"/>
      <c r="M1926" s="60">
        <v>90</v>
      </c>
      <c r="N1926" s="60"/>
    </row>
    <row r="1927" spans="1:14" hidden="1" x14ac:dyDescent="0.25">
      <c r="A1927" s="60" t="s">
        <v>213</v>
      </c>
      <c r="B1927" s="60" t="s">
        <v>377</v>
      </c>
      <c r="C1927" s="60" t="s">
        <v>379</v>
      </c>
      <c r="D1927" s="60" t="s">
        <v>378</v>
      </c>
      <c r="E1927" s="60">
        <v>3</v>
      </c>
      <c r="F1927" s="60">
        <v>39</v>
      </c>
      <c r="G1927" s="60">
        <v>200</v>
      </c>
      <c r="H1927" s="60">
        <v>60</v>
      </c>
      <c r="I1927" s="60"/>
      <c r="J1927" s="60"/>
      <c r="K1927" s="60"/>
      <c r="L1927" s="60"/>
      <c r="M1927" s="60">
        <v>90</v>
      </c>
      <c r="N1927" s="60"/>
    </row>
    <row r="1928" spans="1:14" hidden="1" x14ac:dyDescent="0.25">
      <c r="A1928" s="60" t="s">
        <v>213</v>
      </c>
      <c r="B1928" s="60" t="s">
        <v>377</v>
      </c>
      <c r="C1928" s="60" t="s">
        <v>379</v>
      </c>
      <c r="D1928" s="60" t="s">
        <v>378</v>
      </c>
      <c r="E1928" s="60">
        <v>3</v>
      </c>
      <c r="F1928" s="60">
        <v>39</v>
      </c>
      <c r="G1928" s="60">
        <v>210</v>
      </c>
      <c r="H1928" s="60">
        <v>60</v>
      </c>
      <c r="I1928" s="60"/>
      <c r="J1928" s="60"/>
      <c r="K1928" s="60"/>
      <c r="L1928" s="60"/>
      <c r="M1928" s="60">
        <v>103</v>
      </c>
      <c r="N1928" s="60"/>
    </row>
    <row r="1929" spans="1:14" hidden="1" x14ac:dyDescent="0.25">
      <c r="A1929" s="60" t="s">
        <v>213</v>
      </c>
      <c r="B1929" s="60" t="s">
        <v>377</v>
      </c>
      <c r="C1929" s="60" t="s">
        <v>379</v>
      </c>
      <c r="D1929" s="60" t="s">
        <v>378</v>
      </c>
      <c r="E1929" s="60">
        <v>3</v>
      </c>
      <c r="F1929" s="60">
        <v>39</v>
      </c>
      <c r="G1929" s="60">
        <v>220</v>
      </c>
      <c r="H1929" s="60">
        <v>60</v>
      </c>
      <c r="I1929" s="60"/>
      <c r="J1929" s="60"/>
      <c r="K1929" s="60"/>
      <c r="L1929" s="60"/>
      <c r="M1929" s="60">
        <v>103</v>
      </c>
      <c r="N1929" s="60"/>
    </row>
    <row r="1930" spans="1:14" hidden="1" x14ac:dyDescent="0.25">
      <c r="A1930" s="60" t="s">
        <v>213</v>
      </c>
      <c r="B1930" s="60" t="s">
        <v>377</v>
      </c>
      <c r="C1930" s="60" t="s">
        <v>379</v>
      </c>
      <c r="D1930" s="60" t="s">
        <v>378</v>
      </c>
      <c r="E1930" s="60">
        <v>3</v>
      </c>
      <c r="F1930" s="60">
        <v>39</v>
      </c>
      <c r="G1930" s="60">
        <v>230</v>
      </c>
      <c r="H1930" s="60">
        <v>60</v>
      </c>
      <c r="I1930" s="60"/>
      <c r="J1930" s="60"/>
      <c r="K1930" s="60"/>
      <c r="L1930" s="60"/>
      <c r="M1930" s="60">
        <v>103</v>
      </c>
      <c r="N1930" s="60"/>
    </row>
    <row r="1931" spans="1:14" hidden="1" x14ac:dyDescent="0.25">
      <c r="A1931" s="60" t="s">
        <v>213</v>
      </c>
      <c r="B1931" s="60" t="s">
        <v>377</v>
      </c>
      <c r="C1931" s="60" t="s">
        <v>379</v>
      </c>
      <c r="D1931" s="60" t="s">
        <v>378</v>
      </c>
      <c r="E1931" s="60">
        <v>3</v>
      </c>
      <c r="F1931" s="60">
        <v>39</v>
      </c>
      <c r="G1931" s="60">
        <v>240</v>
      </c>
      <c r="H1931" s="60">
        <v>60</v>
      </c>
      <c r="I1931" s="60"/>
      <c r="J1931" s="60"/>
      <c r="K1931" s="60"/>
      <c r="L1931" s="60"/>
      <c r="M1931" s="60">
        <v>103</v>
      </c>
      <c r="N1931" s="60"/>
    </row>
    <row r="1932" spans="1:14" hidden="1" x14ac:dyDescent="0.25">
      <c r="A1932" s="60" t="s">
        <v>213</v>
      </c>
      <c r="B1932" s="60" t="s">
        <v>377</v>
      </c>
      <c r="C1932" s="60" t="s">
        <v>379</v>
      </c>
      <c r="D1932" s="60" t="s">
        <v>378</v>
      </c>
      <c r="E1932" s="60">
        <v>3</v>
      </c>
      <c r="F1932" s="60">
        <v>39</v>
      </c>
      <c r="G1932" s="60">
        <v>250</v>
      </c>
      <c r="H1932" s="60">
        <v>60</v>
      </c>
      <c r="I1932" s="60"/>
      <c r="J1932" s="60"/>
      <c r="K1932" s="60"/>
      <c r="L1932" s="60"/>
      <c r="M1932" s="60">
        <v>103</v>
      </c>
      <c r="N1932" s="60"/>
    </row>
    <row r="1933" spans="1:14" hidden="1" x14ac:dyDescent="0.25">
      <c r="A1933" s="60" t="s">
        <v>213</v>
      </c>
      <c r="B1933" s="60" t="s">
        <v>377</v>
      </c>
      <c r="C1933" s="60" t="s">
        <v>379</v>
      </c>
      <c r="D1933" s="60" t="s">
        <v>378</v>
      </c>
      <c r="E1933" s="60">
        <v>3</v>
      </c>
      <c r="F1933" s="60">
        <v>39</v>
      </c>
      <c r="G1933" s="60">
        <v>260</v>
      </c>
      <c r="H1933" s="60">
        <v>60</v>
      </c>
      <c r="I1933" s="60"/>
      <c r="J1933" s="60"/>
      <c r="K1933" s="60"/>
      <c r="L1933" s="60"/>
      <c r="M1933" s="60">
        <v>103</v>
      </c>
      <c r="N1933" s="60"/>
    </row>
    <row r="1934" spans="1:14" hidden="1" x14ac:dyDescent="0.25">
      <c r="A1934" s="60" t="s">
        <v>213</v>
      </c>
      <c r="B1934" s="60" t="s">
        <v>377</v>
      </c>
      <c r="C1934" s="60" t="s">
        <v>379</v>
      </c>
      <c r="D1934" s="60" t="s">
        <v>378</v>
      </c>
      <c r="E1934" s="60">
        <v>3</v>
      </c>
      <c r="F1934" s="60">
        <v>39</v>
      </c>
      <c r="G1934" s="60">
        <v>280</v>
      </c>
      <c r="H1934" s="60">
        <v>60</v>
      </c>
      <c r="I1934" s="60"/>
      <c r="J1934" s="60"/>
      <c r="K1934" s="60"/>
      <c r="L1934" s="60"/>
      <c r="M1934" s="60">
        <v>103</v>
      </c>
      <c r="N1934" s="60"/>
    </row>
    <row r="1935" spans="1:14" hidden="1" x14ac:dyDescent="0.25">
      <c r="A1935" s="70" t="s">
        <v>346</v>
      </c>
      <c r="B1935" s="70" t="s">
        <v>193</v>
      </c>
      <c r="C1935" s="70" t="s">
        <v>212</v>
      </c>
      <c r="D1935" s="70" t="s">
        <v>350</v>
      </c>
      <c r="E1935" s="70">
        <v>2</v>
      </c>
      <c r="F1935" s="70">
        <v>20</v>
      </c>
      <c r="G1935" s="70">
        <v>1000</v>
      </c>
      <c r="H1935" s="70">
        <v>20</v>
      </c>
      <c r="I1935" s="70">
        <v>340</v>
      </c>
      <c r="J1935" s="70"/>
      <c r="K1935" s="70"/>
      <c r="L1935" s="70"/>
      <c r="M1935" s="70"/>
      <c r="N1935" s="70"/>
    </row>
    <row r="1936" spans="1:14" hidden="1" x14ac:dyDescent="0.25">
      <c r="A1936" s="70" t="s">
        <v>346</v>
      </c>
      <c r="B1936" s="70" t="s">
        <v>193</v>
      </c>
      <c r="C1936" s="70" t="s">
        <v>212</v>
      </c>
      <c r="D1936" s="70" t="s">
        <v>350</v>
      </c>
      <c r="E1936" s="70">
        <v>2</v>
      </c>
      <c r="F1936" s="70">
        <v>20</v>
      </c>
      <c r="G1936" s="70">
        <v>400</v>
      </c>
      <c r="H1936" s="70">
        <v>20</v>
      </c>
      <c r="I1936" s="70">
        <v>340</v>
      </c>
      <c r="J1936" s="70"/>
      <c r="K1936" s="70"/>
      <c r="L1936" s="70"/>
      <c r="M1936" s="70"/>
      <c r="N1936" s="70"/>
    </row>
    <row r="1937" spans="1:14" hidden="1" x14ac:dyDescent="0.25">
      <c r="A1937" s="70" t="s">
        <v>346</v>
      </c>
      <c r="B1937" s="70" t="s">
        <v>193</v>
      </c>
      <c r="C1937" s="70" t="s">
        <v>212</v>
      </c>
      <c r="D1937" s="70" t="s">
        <v>350</v>
      </c>
      <c r="E1937" s="70">
        <v>2</v>
      </c>
      <c r="F1937" s="70">
        <v>20</v>
      </c>
      <c r="G1937" s="70">
        <v>360</v>
      </c>
      <c r="H1937" s="70">
        <v>20</v>
      </c>
      <c r="I1937" s="70">
        <v>340</v>
      </c>
      <c r="J1937" s="70"/>
      <c r="K1937" s="70"/>
      <c r="L1937" s="70"/>
      <c r="M1937" s="70"/>
      <c r="N1937" s="70"/>
    </row>
    <row r="1938" spans="1:14" hidden="1" x14ac:dyDescent="0.25">
      <c r="A1938" s="70" t="s">
        <v>346</v>
      </c>
      <c r="B1938" s="70" t="s">
        <v>193</v>
      </c>
      <c r="C1938" s="70" t="s">
        <v>212</v>
      </c>
      <c r="D1938" s="70" t="s">
        <v>350</v>
      </c>
      <c r="E1938" s="70">
        <v>2</v>
      </c>
      <c r="F1938" s="70">
        <v>20</v>
      </c>
      <c r="G1938" s="70">
        <v>320</v>
      </c>
      <c r="H1938" s="70">
        <v>20</v>
      </c>
      <c r="I1938" s="70">
        <v>340</v>
      </c>
      <c r="J1938" s="70"/>
      <c r="K1938" s="70"/>
      <c r="L1938" s="70"/>
      <c r="M1938" s="70"/>
      <c r="N1938" s="70"/>
    </row>
    <row r="1939" spans="1:14" hidden="1" x14ac:dyDescent="0.25">
      <c r="A1939" s="70" t="s">
        <v>346</v>
      </c>
      <c r="B1939" s="70" t="s">
        <v>193</v>
      </c>
      <c r="C1939" s="70" t="s">
        <v>212</v>
      </c>
      <c r="D1939" s="70" t="s">
        <v>350</v>
      </c>
      <c r="E1939" s="70">
        <v>2</v>
      </c>
      <c r="F1939" s="70">
        <v>20</v>
      </c>
      <c r="G1939" s="70">
        <v>300</v>
      </c>
      <c r="H1939" s="70">
        <v>20</v>
      </c>
      <c r="I1939" s="70">
        <v>340</v>
      </c>
      <c r="J1939" s="70"/>
      <c r="K1939" s="70"/>
      <c r="L1939" s="70"/>
      <c r="M1939" s="70"/>
      <c r="N1939" s="70"/>
    </row>
    <row r="1940" spans="1:14" hidden="1" x14ac:dyDescent="0.25">
      <c r="A1940" s="70" t="s">
        <v>346</v>
      </c>
      <c r="B1940" s="70" t="s">
        <v>193</v>
      </c>
      <c r="C1940" s="70" t="s">
        <v>212</v>
      </c>
      <c r="D1940" s="70" t="s">
        <v>350</v>
      </c>
      <c r="E1940" s="70">
        <v>2</v>
      </c>
      <c r="F1940" s="70">
        <v>20</v>
      </c>
      <c r="G1940" s="70">
        <v>280</v>
      </c>
      <c r="H1940" s="70">
        <v>20</v>
      </c>
      <c r="I1940" s="70">
        <v>340</v>
      </c>
      <c r="J1940" s="70"/>
      <c r="K1940" s="70"/>
      <c r="L1940" s="70"/>
      <c r="M1940" s="70"/>
      <c r="N1940" s="70"/>
    </row>
    <row r="1941" spans="1:14" hidden="1" x14ac:dyDescent="0.25">
      <c r="A1941" s="70" t="s">
        <v>346</v>
      </c>
      <c r="B1941" s="70" t="s">
        <v>193</v>
      </c>
      <c r="C1941" s="70" t="s">
        <v>212</v>
      </c>
      <c r="D1941" s="70" t="s">
        <v>350</v>
      </c>
      <c r="E1941" s="70">
        <v>2</v>
      </c>
      <c r="F1941" s="70">
        <v>20</v>
      </c>
      <c r="G1941" s="70">
        <v>260</v>
      </c>
      <c r="H1941" s="70">
        <v>20</v>
      </c>
      <c r="I1941" s="70">
        <v>340</v>
      </c>
      <c r="J1941" s="70"/>
      <c r="K1941" s="70"/>
      <c r="L1941" s="70"/>
      <c r="M1941" s="70"/>
      <c r="N1941" s="70"/>
    </row>
    <row r="1942" spans="1:14" hidden="1" x14ac:dyDescent="0.25">
      <c r="A1942" s="70" t="s">
        <v>346</v>
      </c>
      <c r="B1942" s="70" t="s">
        <v>193</v>
      </c>
      <c r="C1942" s="70" t="s">
        <v>212</v>
      </c>
      <c r="D1942" s="70" t="s">
        <v>350</v>
      </c>
      <c r="E1942" s="70">
        <v>2</v>
      </c>
      <c r="F1942" s="70">
        <v>20</v>
      </c>
      <c r="G1942" s="70">
        <v>240</v>
      </c>
      <c r="H1942" s="70">
        <v>20</v>
      </c>
      <c r="I1942" s="70">
        <v>340</v>
      </c>
      <c r="J1942" s="70"/>
      <c r="K1942" s="70"/>
      <c r="L1942" s="70"/>
      <c r="M1942" s="70"/>
      <c r="N1942" s="70"/>
    </row>
    <row r="1943" spans="1:14" hidden="1" x14ac:dyDescent="0.25">
      <c r="A1943" s="70" t="s">
        <v>346</v>
      </c>
      <c r="B1943" s="70" t="s">
        <v>193</v>
      </c>
      <c r="C1943" s="70" t="s">
        <v>212</v>
      </c>
      <c r="D1943" s="70" t="s">
        <v>350</v>
      </c>
      <c r="E1943" s="70">
        <v>2</v>
      </c>
      <c r="F1943" s="70">
        <v>20</v>
      </c>
      <c r="G1943" s="70">
        <v>220</v>
      </c>
      <c r="H1943" s="70">
        <v>20</v>
      </c>
      <c r="I1943" s="70">
        <v>340</v>
      </c>
      <c r="J1943" s="70"/>
      <c r="K1943" s="70"/>
      <c r="L1943" s="70"/>
      <c r="M1943" s="70"/>
      <c r="N1943" s="70"/>
    </row>
    <row r="1944" spans="1:14" hidden="1" x14ac:dyDescent="0.25">
      <c r="A1944" s="70" t="s">
        <v>346</v>
      </c>
      <c r="B1944" s="70" t="s">
        <v>193</v>
      </c>
      <c r="C1944" s="70" t="s">
        <v>212</v>
      </c>
      <c r="D1944" s="70" t="s">
        <v>350</v>
      </c>
      <c r="E1944" s="70">
        <v>2</v>
      </c>
      <c r="F1944" s="70">
        <v>20</v>
      </c>
      <c r="G1944" s="70">
        <v>200</v>
      </c>
      <c r="H1944" s="70">
        <v>20</v>
      </c>
      <c r="I1944" s="70">
        <v>340</v>
      </c>
      <c r="J1944" s="70"/>
      <c r="K1944" s="70"/>
      <c r="L1944" s="70"/>
      <c r="M1944" s="70"/>
      <c r="N1944" s="70"/>
    </row>
    <row r="1945" spans="1:14" hidden="1" x14ac:dyDescent="0.25">
      <c r="A1945" s="70" t="s">
        <v>346</v>
      </c>
      <c r="B1945" s="70" t="s">
        <v>193</v>
      </c>
      <c r="C1945" s="70" t="s">
        <v>212</v>
      </c>
      <c r="D1945" s="70" t="s">
        <v>350</v>
      </c>
      <c r="E1945" s="70">
        <v>2</v>
      </c>
      <c r="F1945" s="70">
        <v>20</v>
      </c>
      <c r="G1945" s="70">
        <v>190</v>
      </c>
      <c r="H1945" s="70">
        <v>20</v>
      </c>
      <c r="I1945" s="70">
        <v>340</v>
      </c>
      <c r="J1945" s="70"/>
      <c r="K1945" s="70"/>
      <c r="L1945" s="70"/>
      <c r="M1945" s="70"/>
      <c r="N1945" s="70"/>
    </row>
    <row r="1946" spans="1:14" hidden="1" x14ac:dyDescent="0.25">
      <c r="A1946" s="70" t="s">
        <v>346</v>
      </c>
      <c r="B1946" s="70" t="s">
        <v>193</v>
      </c>
      <c r="C1946" s="70" t="s">
        <v>212</v>
      </c>
      <c r="D1946" s="70" t="s">
        <v>350</v>
      </c>
      <c r="E1946" s="70">
        <v>2</v>
      </c>
      <c r="F1946" s="70">
        <v>20</v>
      </c>
      <c r="G1946" s="70">
        <v>180</v>
      </c>
      <c r="H1946" s="70">
        <v>20</v>
      </c>
      <c r="I1946" s="70">
        <v>340</v>
      </c>
      <c r="J1946" s="70"/>
      <c r="K1946" s="70"/>
      <c r="L1946" s="70"/>
      <c r="M1946" s="70"/>
      <c r="N1946" s="70"/>
    </row>
    <row r="1947" spans="1:14" hidden="1" x14ac:dyDescent="0.25">
      <c r="A1947" s="70" t="s">
        <v>346</v>
      </c>
      <c r="B1947" s="70" t="s">
        <v>193</v>
      </c>
      <c r="C1947" s="70" t="s">
        <v>212</v>
      </c>
      <c r="D1947" s="70" t="s">
        <v>350</v>
      </c>
      <c r="E1947" s="70">
        <v>2</v>
      </c>
      <c r="F1947" s="70">
        <v>20</v>
      </c>
      <c r="G1947" s="70">
        <v>160</v>
      </c>
      <c r="H1947" s="70">
        <v>20</v>
      </c>
      <c r="I1947" s="70">
        <v>340</v>
      </c>
      <c r="J1947" s="70"/>
      <c r="K1947" s="70"/>
      <c r="L1947" s="70"/>
      <c r="M1947" s="70"/>
      <c r="N1947" s="70"/>
    </row>
    <row r="1948" spans="1:14" hidden="1" x14ac:dyDescent="0.25">
      <c r="A1948" s="70" t="s">
        <v>346</v>
      </c>
      <c r="B1948" s="70" t="s">
        <v>193</v>
      </c>
      <c r="C1948" s="70" t="s">
        <v>212</v>
      </c>
      <c r="D1948" s="70" t="s">
        <v>350</v>
      </c>
      <c r="E1948" s="70">
        <v>2</v>
      </c>
      <c r="F1948" s="70">
        <v>20</v>
      </c>
      <c r="G1948" s="70">
        <v>140</v>
      </c>
      <c r="H1948" s="70">
        <v>20</v>
      </c>
      <c r="I1948" s="70">
        <v>340</v>
      </c>
      <c r="J1948" s="70"/>
      <c r="K1948" s="70"/>
      <c r="L1948" s="70"/>
      <c r="M1948" s="70"/>
      <c r="N1948" s="70"/>
    </row>
    <row r="1949" spans="1:14" hidden="1" x14ac:dyDescent="0.25">
      <c r="A1949" s="70" t="s">
        <v>346</v>
      </c>
      <c r="B1949" s="70" t="s">
        <v>193</v>
      </c>
      <c r="C1949" s="70" t="s">
        <v>212</v>
      </c>
      <c r="D1949" s="70" t="s">
        <v>350</v>
      </c>
      <c r="E1949" s="70">
        <v>2</v>
      </c>
      <c r="F1949" s="70">
        <v>20</v>
      </c>
      <c r="G1949" s="70">
        <v>120</v>
      </c>
      <c r="H1949" s="70">
        <v>20</v>
      </c>
      <c r="I1949" s="70">
        <v>340</v>
      </c>
      <c r="J1949" s="70"/>
      <c r="K1949" s="70"/>
      <c r="L1949" s="70"/>
      <c r="M1949" s="70"/>
      <c r="N1949" s="70"/>
    </row>
    <row r="1950" spans="1:14" hidden="1" x14ac:dyDescent="0.25">
      <c r="A1950" s="70" t="s">
        <v>346</v>
      </c>
      <c r="B1950" s="70" t="s">
        <v>193</v>
      </c>
      <c r="C1950" s="70" t="s">
        <v>212</v>
      </c>
      <c r="D1950" s="70" t="s">
        <v>350</v>
      </c>
      <c r="E1950" s="70">
        <v>2</v>
      </c>
      <c r="F1950" s="70">
        <v>16</v>
      </c>
      <c r="G1950" s="70">
        <v>1000</v>
      </c>
      <c r="H1950" s="70">
        <v>16</v>
      </c>
      <c r="I1950" s="70">
        <v>191</v>
      </c>
      <c r="J1950" s="70"/>
      <c r="K1950" s="70"/>
      <c r="L1950" s="70"/>
      <c r="M1950" s="70"/>
      <c r="N1950" s="70"/>
    </row>
    <row r="1951" spans="1:14" hidden="1" x14ac:dyDescent="0.25">
      <c r="A1951" s="70" t="s">
        <v>346</v>
      </c>
      <c r="B1951" s="70" t="s">
        <v>193</v>
      </c>
      <c r="C1951" s="70" t="s">
        <v>212</v>
      </c>
      <c r="D1951" s="70" t="s">
        <v>350</v>
      </c>
      <c r="E1951" s="70">
        <v>2</v>
      </c>
      <c r="F1951" s="70">
        <v>16</v>
      </c>
      <c r="G1951" s="70">
        <v>500</v>
      </c>
      <c r="H1951" s="70">
        <v>16</v>
      </c>
      <c r="I1951" s="70">
        <v>191</v>
      </c>
      <c r="J1951" s="70"/>
      <c r="K1951" s="70"/>
      <c r="L1951" s="70"/>
      <c r="M1951" s="70"/>
      <c r="N1951" s="70"/>
    </row>
    <row r="1952" spans="1:14" hidden="1" x14ac:dyDescent="0.25">
      <c r="A1952" s="70" t="s">
        <v>346</v>
      </c>
      <c r="B1952" s="70" t="s">
        <v>193</v>
      </c>
      <c r="C1952" s="70" t="s">
        <v>212</v>
      </c>
      <c r="D1952" s="70" t="s">
        <v>350</v>
      </c>
      <c r="E1952" s="70">
        <v>2</v>
      </c>
      <c r="F1952" s="70">
        <v>16</v>
      </c>
      <c r="G1952" s="70">
        <v>400</v>
      </c>
      <c r="H1952" s="70">
        <v>16</v>
      </c>
      <c r="I1952" s="70">
        <v>191</v>
      </c>
      <c r="J1952" s="70"/>
      <c r="K1952" s="70"/>
      <c r="L1952" s="70"/>
      <c r="M1952" s="70"/>
      <c r="N1952" s="70"/>
    </row>
    <row r="1953" spans="1:14" hidden="1" x14ac:dyDescent="0.25">
      <c r="A1953" s="70" t="s">
        <v>346</v>
      </c>
      <c r="B1953" s="70" t="s">
        <v>193</v>
      </c>
      <c r="C1953" s="70" t="s">
        <v>212</v>
      </c>
      <c r="D1953" s="70" t="s">
        <v>350</v>
      </c>
      <c r="E1953" s="70">
        <v>2</v>
      </c>
      <c r="F1953" s="70">
        <v>16</v>
      </c>
      <c r="G1953" s="70">
        <v>380</v>
      </c>
      <c r="H1953" s="70">
        <v>16</v>
      </c>
      <c r="I1953" s="70">
        <v>191</v>
      </c>
      <c r="J1953" s="70"/>
      <c r="K1953" s="70"/>
      <c r="L1953" s="70"/>
      <c r="M1953" s="70"/>
      <c r="N1953" s="70"/>
    </row>
    <row r="1954" spans="1:14" hidden="1" x14ac:dyDescent="0.25">
      <c r="A1954" s="70" t="s">
        <v>346</v>
      </c>
      <c r="B1954" s="70" t="s">
        <v>193</v>
      </c>
      <c r="C1954" s="70" t="s">
        <v>212</v>
      </c>
      <c r="D1954" s="70" t="s">
        <v>350</v>
      </c>
      <c r="E1954" s="70">
        <v>2</v>
      </c>
      <c r="F1954" s="70">
        <v>16</v>
      </c>
      <c r="G1954" s="70">
        <v>360</v>
      </c>
      <c r="H1954" s="70">
        <v>16</v>
      </c>
      <c r="I1954" s="70">
        <v>191</v>
      </c>
      <c r="J1954" s="70"/>
      <c r="K1954" s="70"/>
      <c r="L1954" s="70"/>
      <c r="M1954" s="70"/>
      <c r="N1954" s="70"/>
    </row>
    <row r="1955" spans="1:14" hidden="1" x14ac:dyDescent="0.25">
      <c r="A1955" s="70" t="s">
        <v>346</v>
      </c>
      <c r="B1955" s="70" t="s">
        <v>193</v>
      </c>
      <c r="C1955" s="70" t="s">
        <v>212</v>
      </c>
      <c r="D1955" s="70" t="s">
        <v>350</v>
      </c>
      <c r="E1955" s="70">
        <v>2</v>
      </c>
      <c r="F1955" s="70">
        <v>16</v>
      </c>
      <c r="G1955" s="70">
        <v>340</v>
      </c>
      <c r="H1955" s="70">
        <v>16</v>
      </c>
      <c r="I1955" s="70">
        <v>191</v>
      </c>
      <c r="J1955" s="70"/>
      <c r="K1955" s="70"/>
      <c r="L1955" s="70"/>
      <c r="M1955" s="70"/>
      <c r="N1955" s="70"/>
    </row>
    <row r="1956" spans="1:14" hidden="1" x14ac:dyDescent="0.25">
      <c r="A1956" s="70" t="s">
        <v>346</v>
      </c>
      <c r="B1956" s="70" t="s">
        <v>193</v>
      </c>
      <c r="C1956" s="70" t="s">
        <v>212</v>
      </c>
      <c r="D1956" s="70" t="s">
        <v>350</v>
      </c>
      <c r="E1956" s="70">
        <v>2</v>
      </c>
      <c r="F1956" s="70">
        <v>16</v>
      </c>
      <c r="G1956" s="70">
        <v>320</v>
      </c>
      <c r="H1956" s="70">
        <v>16</v>
      </c>
      <c r="I1956" s="70">
        <v>191</v>
      </c>
      <c r="J1956" s="70"/>
      <c r="K1956" s="70"/>
      <c r="L1956" s="70"/>
      <c r="M1956" s="70"/>
      <c r="N1956" s="70"/>
    </row>
    <row r="1957" spans="1:14" hidden="1" x14ac:dyDescent="0.25">
      <c r="A1957" s="70" t="s">
        <v>346</v>
      </c>
      <c r="B1957" s="70" t="s">
        <v>193</v>
      </c>
      <c r="C1957" s="70" t="s">
        <v>212</v>
      </c>
      <c r="D1957" s="70" t="s">
        <v>350</v>
      </c>
      <c r="E1957" s="70">
        <v>2</v>
      </c>
      <c r="F1957" s="70">
        <v>16</v>
      </c>
      <c r="G1957" s="70">
        <v>300</v>
      </c>
      <c r="H1957" s="70">
        <v>16</v>
      </c>
      <c r="I1957" s="70">
        <v>191</v>
      </c>
      <c r="J1957" s="70"/>
      <c r="K1957" s="70"/>
      <c r="L1957" s="70"/>
      <c r="M1957" s="70"/>
      <c r="N1957" s="70"/>
    </row>
    <row r="1958" spans="1:14" hidden="1" x14ac:dyDescent="0.25">
      <c r="A1958" s="70" t="s">
        <v>346</v>
      </c>
      <c r="B1958" s="70" t="s">
        <v>193</v>
      </c>
      <c r="C1958" s="70" t="s">
        <v>212</v>
      </c>
      <c r="D1958" s="70" t="s">
        <v>350</v>
      </c>
      <c r="E1958" s="70">
        <v>2</v>
      </c>
      <c r="F1958" s="70">
        <v>16</v>
      </c>
      <c r="G1958" s="70">
        <v>280</v>
      </c>
      <c r="H1958" s="70">
        <v>16</v>
      </c>
      <c r="I1958" s="70">
        <v>191</v>
      </c>
      <c r="J1958" s="70"/>
      <c r="K1958" s="70"/>
      <c r="L1958" s="70"/>
      <c r="M1958" s="70"/>
      <c r="N1958" s="70"/>
    </row>
    <row r="1959" spans="1:14" hidden="1" x14ac:dyDescent="0.25">
      <c r="A1959" s="70" t="s">
        <v>346</v>
      </c>
      <c r="B1959" s="70" t="s">
        <v>193</v>
      </c>
      <c r="C1959" s="70" t="s">
        <v>212</v>
      </c>
      <c r="D1959" s="70" t="s">
        <v>350</v>
      </c>
      <c r="E1959" s="70">
        <v>2</v>
      </c>
      <c r="F1959" s="70">
        <v>16</v>
      </c>
      <c r="G1959" s="70">
        <v>260</v>
      </c>
      <c r="H1959" s="70">
        <v>16</v>
      </c>
      <c r="I1959" s="70">
        <v>191</v>
      </c>
      <c r="J1959" s="70"/>
      <c r="K1959" s="70"/>
      <c r="L1959" s="70"/>
      <c r="M1959" s="70"/>
      <c r="N1959" s="70"/>
    </row>
    <row r="1960" spans="1:14" hidden="1" x14ac:dyDescent="0.25">
      <c r="A1960" s="70" t="s">
        <v>346</v>
      </c>
      <c r="B1960" s="70" t="s">
        <v>193</v>
      </c>
      <c r="C1960" s="70" t="s">
        <v>212</v>
      </c>
      <c r="D1960" s="70" t="s">
        <v>350</v>
      </c>
      <c r="E1960" s="70">
        <v>2</v>
      </c>
      <c r="F1960" s="70">
        <v>16</v>
      </c>
      <c r="G1960" s="70">
        <v>240</v>
      </c>
      <c r="H1960" s="70">
        <v>16</v>
      </c>
      <c r="I1960" s="70">
        <v>191</v>
      </c>
      <c r="J1960" s="70"/>
      <c r="K1960" s="70"/>
      <c r="L1960" s="70"/>
      <c r="M1960" s="70"/>
      <c r="N1960" s="70"/>
    </row>
    <row r="1961" spans="1:14" hidden="1" x14ac:dyDescent="0.25">
      <c r="A1961" s="70" t="s">
        <v>346</v>
      </c>
      <c r="B1961" s="70" t="s">
        <v>193</v>
      </c>
      <c r="C1961" s="70" t="s">
        <v>212</v>
      </c>
      <c r="D1961" s="70" t="s">
        <v>350</v>
      </c>
      <c r="E1961" s="70">
        <v>2</v>
      </c>
      <c r="F1961" s="70">
        <v>16</v>
      </c>
      <c r="G1961" s="70">
        <v>220</v>
      </c>
      <c r="H1961" s="70">
        <v>16</v>
      </c>
      <c r="I1961" s="70">
        <v>191</v>
      </c>
      <c r="J1961" s="70"/>
      <c r="K1961" s="70"/>
      <c r="L1961" s="70"/>
      <c r="M1961" s="70"/>
      <c r="N1961" s="70"/>
    </row>
    <row r="1962" spans="1:14" hidden="1" x14ac:dyDescent="0.25">
      <c r="A1962" s="70" t="s">
        <v>346</v>
      </c>
      <c r="B1962" s="70" t="s">
        <v>193</v>
      </c>
      <c r="C1962" s="70" t="s">
        <v>212</v>
      </c>
      <c r="D1962" s="70" t="s">
        <v>350</v>
      </c>
      <c r="E1962" s="70">
        <v>2</v>
      </c>
      <c r="F1962" s="70">
        <v>16</v>
      </c>
      <c r="G1962" s="70">
        <v>200</v>
      </c>
      <c r="H1962" s="70">
        <v>16</v>
      </c>
      <c r="I1962" s="70">
        <v>191</v>
      </c>
      <c r="J1962" s="70"/>
      <c r="K1962" s="70"/>
      <c r="L1962" s="70"/>
      <c r="M1962" s="70"/>
      <c r="N1962" s="70"/>
    </row>
    <row r="1963" spans="1:14" hidden="1" x14ac:dyDescent="0.25">
      <c r="A1963" s="70" t="s">
        <v>346</v>
      </c>
      <c r="B1963" s="70" t="s">
        <v>193</v>
      </c>
      <c r="C1963" s="70" t="s">
        <v>212</v>
      </c>
      <c r="D1963" s="70" t="s">
        <v>350</v>
      </c>
      <c r="E1963" s="70">
        <v>2</v>
      </c>
      <c r="F1963" s="70">
        <v>16</v>
      </c>
      <c r="G1963" s="70">
        <v>190</v>
      </c>
      <c r="H1963" s="70">
        <v>16</v>
      </c>
      <c r="I1963" s="70">
        <v>191</v>
      </c>
      <c r="J1963" s="70"/>
      <c r="K1963" s="70"/>
      <c r="L1963" s="70"/>
      <c r="M1963" s="70"/>
      <c r="N1963" s="70"/>
    </row>
    <row r="1964" spans="1:14" hidden="1" x14ac:dyDescent="0.25">
      <c r="A1964" s="70" t="s">
        <v>346</v>
      </c>
      <c r="B1964" s="70" t="s">
        <v>193</v>
      </c>
      <c r="C1964" s="70" t="s">
        <v>212</v>
      </c>
      <c r="D1964" s="70" t="s">
        <v>350</v>
      </c>
      <c r="E1964" s="70">
        <v>2</v>
      </c>
      <c r="F1964" s="70">
        <v>16</v>
      </c>
      <c r="G1964" s="70">
        <v>180</v>
      </c>
      <c r="H1964" s="70">
        <v>16</v>
      </c>
      <c r="I1964" s="70">
        <v>191</v>
      </c>
      <c r="J1964" s="70"/>
      <c r="K1964" s="70"/>
      <c r="L1964" s="70"/>
      <c r="M1964" s="70"/>
      <c r="N1964" s="70"/>
    </row>
    <row r="1965" spans="1:14" hidden="1" x14ac:dyDescent="0.25">
      <c r="A1965" s="70" t="s">
        <v>346</v>
      </c>
      <c r="B1965" s="70" t="s">
        <v>193</v>
      </c>
      <c r="C1965" s="70" t="s">
        <v>212</v>
      </c>
      <c r="D1965" s="70" t="s">
        <v>350</v>
      </c>
      <c r="E1965" s="70">
        <v>2</v>
      </c>
      <c r="F1965" s="70">
        <v>16</v>
      </c>
      <c r="G1965" s="70">
        <v>170</v>
      </c>
      <c r="H1965" s="70">
        <v>16</v>
      </c>
      <c r="I1965" s="70">
        <v>191</v>
      </c>
      <c r="J1965" s="70"/>
      <c r="K1965" s="70"/>
      <c r="L1965" s="70"/>
      <c r="M1965" s="70"/>
      <c r="N1965" s="70"/>
    </row>
    <row r="1966" spans="1:14" hidden="1" x14ac:dyDescent="0.25">
      <c r="A1966" s="70" t="s">
        <v>346</v>
      </c>
      <c r="B1966" s="70" t="s">
        <v>193</v>
      </c>
      <c r="C1966" s="70" t="s">
        <v>212</v>
      </c>
      <c r="D1966" s="70" t="s">
        <v>350</v>
      </c>
      <c r="E1966" s="70">
        <v>2</v>
      </c>
      <c r="F1966" s="70">
        <v>16</v>
      </c>
      <c r="G1966" s="70">
        <v>160</v>
      </c>
      <c r="H1966" s="70">
        <v>16</v>
      </c>
      <c r="I1966" s="70">
        <v>191</v>
      </c>
      <c r="J1966" s="70"/>
      <c r="K1966" s="70"/>
      <c r="L1966" s="70"/>
      <c r="M1966" s="70"/>
      <c r="N1966" s="70"/>
    </row>
    <row r="1967" spans="1:14" hidden="1" x14ac:dyDescent="0.25">
      <c r="A1967" s="70" t="s">
        <v>346</v>
      </c>
      <c r="B1967" s="70" t="s">
        <v>193</v>
      </c>
      <c r="C1967" s="70" t="s">
        <v>212</v>
      </c>
      <c r="D1967" s="70" t="s">
        <v>350</v>
      </c>
      <c r="E1967" s="70">
        <v>2</v>
      </c>
      <c r="F1967" s="70">
        <v>16</v>
      </c>
      <c r="G1967" s="70">
        <v>150</v>
      </c>
      <c r="H1967" s="70">
        <v>16</v>
      </c>
      <c r="I1967" s="70">
        <v>191</v>
      </c>
      <c r="J1967" s="70"/>
      <c r="K1967" s="70"/>
      <c r="L1967" s="70"/>
      <c r="M1967" s="70"/>
      <c r="N1967" s="70"/>
    </row>
    <row r="1968" spans="1:14" hidden="1" x14ac:dyDescent="0.25">
      <c r="A1968" s="70" t="s">
        <v>346</v>
      </c>
      <c r="B1968" s="70" t="s">
        <v>193</v>
      </c>
      <c r="C1968" s="70" t="s">
        <v>212</v>
      </c>
      <c r="D1968" s="70" t="s">
        <v>350</v>
      </c>
      <c r="E1968" s="70">
        <v>2</v>
      </c>
      <c r="F1968" s="70">
        <v>16</v>
      </c>
      <c r="G1968" s="70">
        <v>140</v>
      </c>
      <c r="H1968" s="70">
        <v>16</v>
      </c>
      <c r="I1968" s="70">
        <v>191</v>
      </c>
      <c r="J1968" s="70"/>
      <c r="K1968" s="70"/>
      <c r="L1968" s="70"/>
      <c r="M1968" s="70"/>
      <c r="N1968" s="70"/>
    </row>
    <row r="1969" spans="1:14" hidden="1" x14ac:dyDescent="0.25">
      <c r="A1969" s="70" t="s">
        <v>346</v>
      </c>
      <c r="B1969" s="70" t="s">
        <v>193</v>
      </c>
      <c r="C1969" s="70" t="s">
        <v>212</v>
      </c>
      <c r="D1969" s="70" t="s">
        <v>350</v>
      </c>
      <c r="E1969" s="70">
        <v>2</v>
      </c>
      <c r="F1969" s="70">
        <v>16</v>
      </c>
      <c r="G1969" s="70">
        <v>130</v>
      </c>
      <c r="H1969" s="70">
        <v>16</v>
      </c>
      <c r="I1969" s="70">
        <v>191</v>
      </c>
      <c r="J1969" s="70"/>
      <c r="K1969" s="70"/>
      <c r="L1969" s="70"/>
      <c r="M1969" s="70"/>
      <c r="N1969" s="70"/>
    </row>
    <row r="1970" spans="1:14" hidden="1" x14ac:dyDescent="0.25">
      <c r="A1970" s="70" t="s">
        <v>346</v>
      </c>
      <c r="B1970" s="70" t="s">
        <v>193</v>
      </c>
      <c r="C1970" s="70" t="s">
        <v>212</v>
      </c>
      <c r="D1970" s="70" t="s">
        <v>350</v>
      </c>
      <c r="E1970" s="70">
        <v>2</v>
      </c>
      <c r="F1970" s="70">
        <v>16</v>
      </c>
      <c r="G1970" s="70">
        <v>120</v>
      </c>
      <c r="H1970" s="70">
        <v>16</v>
      </c>
      <c r="I1970" s="70">
        <v>191</v>
      </c>
      <c r="J1970" s="70"/>
      <c r="K1970" s="70"/>
      <c r="L1970" s="70"/>
      <c r="M1970" s="70"/>
      <c r="N1970" s="70"/>
    </row>
    <row r="1971" spans="1:14" hidden="1" x14ac:dyDescent="0.25">
      <c r="A1971" s="70" t="s">
        <v>346</v>
      </c>
      <c r="B1971" s="70" t="s">
        <v>193</v>
      </c>
      <c r="C1971" s="70" t="s">
        <v>212</v>
      </c>
      <c r="D1971" s="70" t="s">
        <v>350</v>
      </c>
      <c r="E1971" s="70">
        <v>2</v>
      </c>
      <c r="F1971" s="70">
        <v>16</v>
      </c>
      <c r="G1971" s="70">
        <v>110</v>
      </c>
      <c r="H1971" s="70">
        <v>16</v>
      </c>
      <c r="I1971" s="70">
        <v>191</v>
      </c>
      <c r="J1971" s="70"/>
      <c r="K1971" s="70"/>
      <c r="L1971" s="70"/>
      <c r="M1971" s="70"/>
      <c r="N1971" s="70"/>
    </row>
    <row r="1972" spans="1:14" hidden="1" x14ac:dyDescent="0.25">
      <c r="A1972" s="70" t="s">
        <v>346</v>
      </c>
      <c r="B1972" s="70" t="s">
        <v>193</v>
      </c>
      <c r="C1972" s="70" t="s">
        <v>212</v>
      </c>
      <c r="D1972" s="70" t="s">
        <v>350</v>
      </c>
      <c r="E1972" s="70">
        <v>2</v>
      </c>
      <c r="F1972" s="70">
        <v>16</v>
      </c>
      <c r="G1972" s="70">
        <v>100</v>
      </c>
      <c r="H1972" s="70">
        <v>16</v>
      </c>
      <c r="I1972" s="70">
        <v>191</v>
      </c>
      <c r="J1972" s="70"/>
      <c r="K1972" s="70"/>
      <c r="L1972" s="70"/>
      <c r="M1972" s="70"/>
      <c r="N1972" s="70"/>
    </row>
    <row r="1973" spans="1:14" hidden="1" x14ac:dyDescent="0.25">
      <c r="A1973" s="70" t="s">
        <v>346</v>
      </c>
      <c r="B1973" s="70" t="s">
        <v>193</v>
      </c>
      <c r="C1973" s="70" t="s">
        <v>212</v>
      </c>
      <c r="D1973" s="70" t="s">
        <v>350</v>
      </c>
      <c r="E1973" s="70">
        <v>2</v>
      </c>
      <c r="F1973" s="70">
        <v>16</v>
      </c>
      <c r="G1973" s="70">
        <v>80</v>
      </c>
      <c r="H1973" s="70">
        <v>16</v>
      </c>
      <c r="I1973" s="70">
        <v>191</v>
      </c>
      <c r="J1973" s="70"/>
      <c r="K1973" s="70"/>
      <c r="L1973" s="70"/>
      <c r="M1973" s="70"/>
      <c r="N1973" s="70"/>
    </row>
    <row r="1974" spans="1:14" hidden="1" x14ac:dyDescent="0.25">
      <c r="A1974" s="70" t="s">
        <v>346</v>
      </c>
      <c r="B1974" s="70" t="s">
        <v>193</v>
      </c>
      <c r="C1974" s="70" t="s">
        <v>212</v>
      </c>
      <c r="D1974" s="70" t="s">
        <v>351</v>
      </c>
      <c r="E1974" s="70">
        <v>2</v>
      </c>
      <c r="F1974" s="70">
        <v>12</v>
      </c>
      <c r="G1974" s="70">
        <v>1000</v>
      </c>
      <c r="H1974" s="70">
        <v>12</v>
      </c>
      <c r="I1974" s="70">
        <v>69.099999999999994</v>
      </c>
      <c r="J1974" s="70"/>
      <c r="K1974" s="70"/>
      <c r="L1974" s="70"/>
      <c r="M1974" s="70"/>
      <c r="N1974" s="70"/>
    </row>
    <row r="1975" spans="1:14" hidden="1" x14ac:dyDescent="0.25">
      <c r="A1975" s="70" t="s">
        <v>346</v>
      </c>
      <c r="B1975" s="70" t="s">
        <v>193</v>
      </c>
      <c r="C1975" s="70" t="s">
        <v>212</v>
      </c>
      <c r="D1975" s="70" t="s">
        <v>351</v>
      </c>
      <c r="E1975" s="70">
        <v>2</v>
      </c>
      <c r="F1975" s="70">
        <v>12</v>
      </c>
      <c r="G1975" s="70">
        <v>340</v>
      </c>
      <c r="H1975" s="70">
        <v>12</v>
      </c>
      <c r="I1975" s="70">
        <v>69.099999999999994</v>
      </c>
      <c r="J1975" s="70"/>
      <c r="K1975" s="70"/>
      <c r="L1975" s="70"/>
      <c r="M1975" s="70"/>
      <c r="N1975" s="70"/>
    </row>
    <row r="1976" spans="1:14" hidden="1" x14ac:dyDescent="0.25">
      <c r="A1976" s="70" t="s">
        <v>346</v>
      </c>
      <c r="B1976" s="70" t="s">
        <v>193</v>
      </c>
      <c r="C1976" s="70" t="s">
        <v>212</v>
      </c>
      <c r="D1976" s="70" t="s">
        <v>351</v>
      </c>
      <c r="E1976" s="70">
        <v>2</v>
      </c>
      <c r="F1976" s="70">
        <v>12</v>
      </c>
      <c r="G1976" s="70">
        <v>320</v>
      </c>
      <c r="H1976" s="70">
        <v>12</v>
      </c>
      <c r="I1976" s="70">
        <v>69.099999999999994</v>
      </c>
      <c r="J1976" s="70"/>
      <c r="K1976" s="70"/>
      <c r="L1976" s="70"/>
      <c r="M1976" s="70"/>
      <c r="N1976" s="70"/>
    </row>
    <row r="1977" spans="1:14" hidden="1" x14ac:dyDescent="0.25">
      <c r="A1977" s="70" t="s">
        <v>346</v>
      </c>
      <c r="B1977" s="70" t="s">
        <v>193</v>
      </c>
      <c r="C1977" s="70" t="s">
        <v>212</v>
      </c>
      <c r="D1977" s="70" t="s">
        <v>351</v>
      </c>
      <c r="E1977" s="70">
        <v>2</v>
      </c>
      <c r="F1977" s="70">
        <v>12</v>
      </c>
      <c r="G1977" s="70">
        <v>280</v>
      </c>
      <c r="H1977" s="70">
        <v>12</v>
      </c>
      <c r="I1977" s="70">
        <v>69.099999999999994</v>
      </c>
      <c r="J1977" s="70"/>
      <c r="K1977" s="70"/>
      <c r="L1977" s="70"/>
      <c r="M1977" s="70"/>
      <c r="N1977" s="70"/>
    </row>
    <row r="1978" spans="1:14" hidden="1" x14ac:dyDescent="0.25">
      <c r="A1978" s="70" t="s">
        <v>346</v>
      </c>
      <c r="B1978" s="70" t="s">
        <v>193</v>
      </c>
      <c r="C1978" s="70" t="s">
        <v>212</v>
      </c>
      <c r="D1978" s="70" t="s">
        <v>351</v>
      </c>
      <c r="E1978" s="70">
        <v>2</v>
      </c>
      <c r="F1978" s="70">
        <v>12</v>
      </c>
      <c r="G1978" s="70">
        <v>260</v>
      </c>
      <c r="H1978" s="70">
        <v>12</v>
      </c>
      <c r="I1978" s="70">
        <v>69.099999999999994</v>
      </c>
      <c r="J1978" s="70"/>
      <c r="K1978" s="70"/>
      <c r="L1978" s="70"/>
      <c r="M1978" s="70"/>
      <c r="N1978" s="70"/>
    </row>
    <row r="1979" spans="1:14" hidden="1" x14ac:dyDescent="0.25">
      <c r="A1979" s="70" t="s">
        <v>346</v>
      </c>
      <c r="B1979" s="70" t="s">
        <v>193</v>
      </c>
      <c r="C1979" s="70" t="s">
        <v>212</v>
      </c>
      <c r="D1979" s="70" t="s">
        <v>351</v>
      </c>
      <c r="E1979" s="70">
        <v>2</v>
      </c>
      <c r="F1979" s="70">
        <v>12</v>
      </c>
      <c r="G1979" s="70">
        <v>240</v>
      </c>
      <c r="H1979" s="70">
        <v>12</v>
      </c>
      <c r="I1979" s="70">
        <v>69.099999999999994</v>
      </c>
      <c r="J1979" s="70"/>
      <c r="K1979" s="70"/>
      <c r="L1979" s="70"/>
      <c r="M1979" s="70"/>
      <c r="N1979" s="70"/>
    </row>
    <row r="1980" spans="1:14" hidden="1" x14ac:dyDescent="0.25">
      <c r="A1980" s="70" t="s">
        <v>346</v>
      </c>
      <c r="B1980" s="70" t="s">
        <v>193</v>
      </c>
      <c r="C1980" s="70" t="s">
        <v>212</v>
      </c>
      <c r="D1980" s="70" t="s">
        <v>351</v>
      </c>
      <c r="E1980" s="70">
        <v>2</v>
      </c>
      <c r="F1980" s="70">
        <v>12</v>
      </c>
      <c r="G1980" s="70">
        <v>220</v>
      </c>
      <c r="H1980" s="70">
        <v>12</v>
      </c>
      <c r="I1980" s="70">
        <v>69.099999999999994</v>
      </c>
      <c r="J1980" s="70"/>
      <c r="K1980" s="70"/>
      <c r="L1980" s="70"/>
      <c r="M1980" s="70"/>
      <c r="N1980" s="70"/>
    </row>
    <row r="1981" spans="1:14" hidden="1" x14ac:dyDescent="0.25">
      <c r="A1981" s="70" t="s">
        <v>346</v>
      </c>
      <c r="B1981" s="70" t="s">
        <v>193</v>
      </c>
      <c r="C1981" s="70" t="s">
        <v>212</v>
      </c>
      <c r="D1981" s="70" t="s">
        <v>351</v>
      </c>
      <c r="E1981" s="70">
        <v>2</v>
      </c>
      <c r="F1981" s="70">
        <v>12</v>
      </c>
      <c r="G1981" s="70">
        <v>200</v>
      </c>
      <c r="H1981" s="70">
        <v>12</v>
      </c>
      <c r="I1981" s="70">
        <v>69.099999999999994</v>
      </c>
      <c r="J1981" s="70"/>
      <c r="K1981" s="70"/>
      <c r="L1981" s="70"/>
      <c r="M1981" s="70"/>
      <c r="N1981" s="70"/>
    </row>
    <row r="1982" spans="1:14" hidden="1" x14ac:dyDescent="0.25">
      <c r="A1982" s="70" t="s">
        <v>346</v>
      </c>
      <c r="B1982" s="70" t="s">
        <v>193</v>
      </c>
      <c r="C1982" s="70" t="s">
        <v>212</v>
      </c>
      <c r="D1982" s="70" t="s">
        <v>351</v>
      </c>
      <c r="E1982" s="70">
        <v>2</v>
      </c>
      <c r="F1982" s="70">
        <v>12</v>
      </c>
      <c r="G1982" s="70">
        <v>180</v>
      </c>
      <c r="H1982" s="70">
        <v>12</v>
      </c>
      <c r="I1982" s="70">
        <v>69.099999999999994</v>
      </c>
      <c r="J1982" s="70"/>
      <c r="K1982" s="70"/>
      <c r="L1982" s="70"/>
      <c r="M1982" s="70"/>
      <c r="N1982" s="70"/>
    </row>
    <row r="1983" spans="1:14" hidden="1" x14ac:dyDescent="0.25">
      <c r="A1983" s="70" t="s">
        <v>346</v>
      </c>
      <c r="B1983" s="70" t="s">
        <v>193</v>
      </c>
      <c r="C1983" s="70" t="s">
        <v>212</v>
      </c>
      <c r="D1983" s="70" t="s">
        <v>351</v>
      </c>
      <c r="E1983" s="70">
        <v>2</v>
      </c>
      <c r="F1983" s="70">
        <v>12</v>
      </c>
      <c r="G1983" s="70">
        <v>170</v>
      </c>
      <c r="H1983" s="70">
        <v>12</v>
      </c>
      <c r="I1983" s="70">
        <v>69.099999999999994</v>
      </c>
      <c r="J1983" s="70"/>
      <c r="K1983" s="70"/>
      <c r="L1983" s="70"/>
      <c r="M1983" s="70"/>
      <c r="N1983" s="70"/>
    </row>
    <row r="1984" spans="1:14" hidden="1" x14ac:dyDescent="0.25">
      <c r="A1984" s="70" t="s">
        <v>346</v>
      </c>
      <c r="B1984" s="70" t="s">
        <v>193</v>
      </c>
      <c r="C1984" s="70" t="s">
        <v>212</v>
      </c>
      <c r="D1984" s="70" t="s">
        <v>351</v>
      </c>
      <c r="E1984" s="70">
        <v>2</v>
      </c>
      <c r="F1984" s="70">
        <v>12</v>
      </c>
      <c r="G1984" s="70">
        <v>160</v>
      </c>
      <c r="H1984" s="70">
        <v>12</v>
      </c>
      <c r="I1984" s="70">
        <v>69.099999999999994</v>
      </c>
      <c r="J1984" s="70"/>
      <c r="K1984" s="70"/>
      <c r="L1984" s="70"/>
      <c r="M1984" s="70"/>
      <c r="N1984" s="70"/>
    </row>
    <row r="1985" spans="1:16" hidden="1" x14ac:dyDescent="0.25">
      <c r="A1985" s="70" t="s">
        <v>346</v>
      </c>
      <c r="B1985" s="70" t="s">
        <v>193</v>
      </c>
      <c r="C1985" s="70" t="s">
        <v>212</v>
      </c>
      <c r="D1985" s="70" t="s">
        <v>351</v>
      </c>
      <c r="E1985" s="70">
        <v>2</v>
      </c>
      <c r="F1985" s="70">
        <v>12</v>
      </c>
      <c r="G1985" s="70">
        <v>150</v>
      </c>
      <c r="H1985" s="70">
        <v>12</v>
      </c>
      <c r="I1985" s="70">
        <v>69.099999999999994</v>
      </c>
      <c r="J1985" s="70"/>
      <c r="K1985" s="70"/>
      <c r="L1985" s="70"/>
      <c r="M1985" s="70"/>
      <c r="N1985" s="70"/>
    </row>
    <row r="1986" spans="1:16" hidden="1" x14ac:dyDescent="0.25">
      <c r="A1986" s="70" t="s">
        <v>346</v>
      </c>
      <c r="B1986" s="70" t="s">
        <v>193</v>
      </c>
      <c r="C1986" s="70" t="s">
        <v>212</v>
      </c>
      <c r="D1986" s="70" t="s">
        <v>351</v>
      </c>
      <c r="E1986" s="70">
        <v>2</v>
      </c>
      <c r="F1986" s="70">
        <v>12</v>
      </c>
      <c r="G1986" s="70">
        <v>140</v>
      </c>
      <c r="H1986" s="70">
        <v>12</v>
      </c>
      <c r="I1986" s="70">
        <v>69.099999999999994</v>
      </c>
      <c r="J1986" s="70"/>
      <c r="K1986" s="70"/>
      <c r="L1986" s="70"/>
      <c r="M1986" s="70"/>
      <c r="N1986" s="70"/>
    </row>
    <row r="1987" spans="1:16" hidden="1" x14ac:dyDescent="0.25">
      <c r="A1987" s="70" t="s">
        <v>346</v>
      </c>
      <c r="B1987" s="70" t="s">
        <v>193</v>
      </c>
      <c r="C1987" s="70" t="s">
        <v>212</v>
      </c>
      <c r="D1987" s="70" t="s">
        <v>351</v>
      </c>
      <c r="E1987" s="70">
        <v>2</v>
      </c>
      <c r="F1987" s="70">
        <v>12</v>
      </c>
      <c r="G1987" s="70">
        <v>130</v>
      </c>
      <c r="H1987" s="70">
        <v>12</v>
      </c>
      <c r="I1987" s="70">
        <v>69.099999999999994</v>
      </c>
      <c r="J1987" s="70"/>
      <c r="K1987" s="70"/>
      <c r="L1987" s="70"/>
      <c r="M1987" s="70"/>
      <c r="N1987" s="70"/>
    </row>
    <row r="1988" spans="1:16" hidden="1" x14ac:dyDescent="0.25">
      <c r="A1988" s="70" t="s">
        <v>346</v>
      </c>
      <c r="B1988" s="70" t="s">
        <v>193</v>
      </c>
      <c r="C1988" s="70" t="s">
        <v>212</v>
      </c>
      <c r="D1988" s="70" t="s">
        <v>351</v>
      </c>
      <c r="E1988" s="70">
        <v>2</v>
      </c>
      <c r="F1988" s="70">
        <v>12</v>
      </c>
      <c r="G1988" s="70">
        <v>120</v>
      </c>
      <c r="H1988" s="70">
        <v>12</v>
      </c>
      <c r="I1988" s="70">
        <v>69.099999999999994</v>
      </c>
      <c r="J1988" s="70"/>
      <c r="K1988" s="70"/>
      <c r="L1988" s="70"/>
      <c r="M1988" s="70"/>
      <c r="N1988" s="70"/>
    </row>
    <row r="1989" spans="1:16" hidden="1" x14ac:dyDescent="0.25">
      <c r="A1989" s="70" t="s">
        <v>346</v>
      </c>
      <c r="B1989" s="70" t="s">
        <v>193</v>
      </c>
      <c r="C1989" s="70" t="s">
        <v>212</v>
      </c>
      <c r="D1989" s="70" t="s">
        <v>351</v>
      </c>
      <c r="E1989" s="70">
        <v>2</v>
      </c>
      <c r="F1989" s="70">
        <v>12</v>
      </c>
      <c r="G1989" s="70">
        <v>110</v>
      </c>
      <c r="H1989" s="70">
        <v>12</v>
      </c>
      <c r="I1989" s="70">
        <v>69.099999999999994</v>
      </c>
      <c r="J1989" s="70"/>
      <c r="K1989" s="70"/>
      <c r="L1989" s="70"/>
      <c r="M1989" s="70"/>
      <c r="N1989" s="70"/>
    </row>
    <row r="1990" spans="1:16" hidden="1" x14ac:dyDescent="0.25">
      <c r="A1990" s="70" t="s">
        <v>346</v>
      </c>
      <c r="B1990" s="70" t="s">
        <v>193</v>
      </c>
      <c r="C1990" s="70" t="s">
        <v>212</v>
      </c>
      <c r="D1990" s="70" t="s">
        <v>351</v>
      </c>
      <c r="E1990" s="70">
        <v>2</v>
      </c>
      <c r="F1990" s="70">
        <v>12</v>
      </c>
      <c r="G1990" s="70">
        <v>100</v>
      </c>
      <c r="H1990" s="70">
        <v>12</v>
      </c>
      <c r="I1990" s="70">
        <v>69.099999999999994</v>
      </c>
      <c r="J1990" s="70"/>
      <c r="K1990" s="70"/>
      <c r="L1990" s="70"/>
      <c r="M1990" s="70"/>
      <c r="N1990" s="70"/>
    </row>
    <row r="1991" spans="1:16" hidden="1" x14ac:dyDescent="0.25">
      <c r="A1991" s="70" t="s">
        <v>346</v>
      </c>
      <c r="B1991" s="70" t="s">
        <v>193</v>
      </c>
      <c r="C1991" s="70" t="s">
        <v>212</v>
      </c>
      <c r="D1991" s="70" t="s">
        <v>351</v>
      </c>
      <c r="E1991" s="70">
        <v>2</v>
      </c>
      <c r="F1991" s="70">
        <v>12</v>
      </c>
      <c r="G1991" s="70">
        <v>90</v>
      </c>
      <c r="H1991" s="70">
        <v>12</v>
      </c>
      <c r="I1991" s="70">
        <v>69.099999999999994</v>
      </c>
      <c r="J1991" s="70"/>
      <c r="K1991" s="70"/>
      <c r="L1991" s="70"/>
      <c r="M1991" s="70"/>
      <c r="N1991" s="70"/>
    </row>
    <row r="1992" spans="1:16" hidden="1" x14ac:dyDescent="0.25">
      <c r="A1992" s="70" t="s">
        <v>346</v>
      </c>
      <c r="B1992" s="70" t="s">
        <v>193</v>
      </c>
      <c r="C1992" s="70" t="s">
        <v>212</v>
      </c>
      <c r="D1992" s="70" t="s">
        <v>351</v>
      </c>
      <c r="E1992" s="70">
        <v>2</v>
      </c>
      <c r="F1992" s="70">
        <v>12</v>
      </c>
      <c r="G1992" s="70">
        <v>80</v>
      </c>
      <c r="H1992" s="70">
        <v>12</v>
      </c>
      <c r="I1992" s="70">
        <v>69.099999999999994</v>
      </c>
      <c r="J1992" s="70"/>
      <c r="K1992" s="70"/>
      <c r="L1992" s="70"/>
      <c r="M1992" s="70"/>
      <c r="N1992" s="70"/>
    </row>
    <row r="1993" spans="1:16" hidden="1" x14ac:dyDescent="0.25">
      <c r="A1993" s="70" t="s">
        <v>346</v>
      </c>
      <c r="B1993" s="70" t="s">
        <v>193</v>
      </c>
      <c r="C1993" s="70" t="s">
        <v>212</v>
      </c>
      <c r="D1993" s="70" t="s">
        <v>351</v>
      </c>
      <c r="E1993" s="70">
        <v>2</v>
      </c>
      <c r="F1993" s="70">
        <v>12</v>
      </c>
      <c r="G1993" s="70">
        <v>70</v>
      </c>
      <c r="H1993" s="70">
        <v>12</v>
      </c>
      <c r="I1993" s="70">
        <v>69.099999999999994</v>
      </c>
      <c r="J1993" s="70"/>
      <c r="K1993" s="70"/>
      <c r="L1993" s="70"/>
      <c r="M1993" s="70"/>
      <c r="N1993" s="70"/>
    </row>
    <row r="1994" spans="1:16" hidden="1" x14ac:dyDescent="0.25">
      <c r="A1994" s="70" t="s">
        <v>346</v>
      </c>
      <c r="B1994" s="70" t="s">
        <v>193</v>
      </c>
      <c r="C1994" s="70" t="s">
        <v>212</v>
      </c>
      <c r="D1994" s="70" t="s">
        <v>351</v>
      </c>
      <c r="E1994" s="70">
        <v>2</v>
      </c>
      <c r="F1994" s="70">
        <v>12</v>
      </c>
      <c r="G1994" s="70">
        <v>60</v>
      </c>
      <c r="H1994" s="70">
        <v>12</v>
      </c>
      <c r="I1994" s="70">
        <v>69.099999999999994</v>
      </c>
      <c r="J1994" s="70"/>
      <c r="K1994" s="70"/>
      <c r="L1994" s="70"/>
      <c r="M1994" s="70"/>
      <c r="N1994" s="70"/>
    </row>
    <row r="1995" spans="1:16" hidden="1" x14ac:dyDescent="0.25">
      <c r="A1995" s="70" t="s">
        <v>346</v>
      </c>
      <c r="B1995" s="70" t="s">
        <v>193</v>
      </c>
      <c r="C1995" s="70" t="s">
        <v>212</v>
      </c>
      <c r="D1995" s="70" t="s">
        <v>351</v>
      </c>
      <c r="E1995" s="70">
        <v>2</v>
      </c>
      <c r="F1995" s="70">
        <v>8</v>
      </c>
      <c r="G1995" s="70">
        <v>140</v>
      </c>
      <c r="H1995" s="70">
        <v>8</v>
      </c>
      <c r="I1995" s="70">
        <v>24.1</v>
      </c>
      <c r="J1995" s="70"/>
      <c r="K1995" s="70"/>
      <c r="L1995" s="70"/>
      <c r="M1995" s="70"/>
      <c r="N1995" s="70"/>
    </row>
    <row r="1996" spans="1:16" hidden="1" x14ac:dyDescent="0.25">
      <c r="A1996" s="70" t="s">
        <v>346</v>
      </c>
      <c r="B1996" s="70" t="s">
        <v>193</v>
      </c>
      <c r="C1996" s="70" t="s">
        <v>212</v>
      </c>
      <c r="D1996" s="70" t="s">
        <v>351</v>
      </c>
      <c r="E1996" s="70">
        <v>2</v>
      </c>
      <c r="F1996" s="70">
        <v>8</v>
      </c>
      <c r="G1996" s="70">
        <v>120</v>
      </c>
      <c r="H1996" s="70">
        <v>8</v>
      </c>
      <c r="I1996" s="70">
        <v>24.1</v>
      </c>
      <c r="J1996" s="70"/>
      <c r="K1996" s="70"/>
      <c r="L1996" s="70"/>
      <c r="M1996" s="70"/>
      <c r="N1996" s="70"/>
    </row>
    <row r="1997" spans="1:16" hidden="1" x14ac:dyDescent="0.25">
      <c r="A1997" s="70" t="s">
        <v>346</v>
      </c>
      <c r="B1997" s="70" t="s">
        <v>193</v>
      </c>
      <c r="C1997" s="70" t="s">
        <v>212</v>
      </c>
      <c r="D1997" s="70" t="s">
        <v>351</v>
      </c>
      <c r="E1997" s="70">
        <v>2</v>
      </c>
      <c r="F1997" s="70">
        <v>8</v>
      </c>
      <c r="G1997" s="70">
        <v>100</v>
      </c>
      <c r="H1997" s="70">
        <v>8</v>
      </c>
      <c r="I1997" s="70">
        <v>24.1</v>
      </c>
      <c r="J1997" s="70"/>
      <c r="K1997" s="70"/>
      <c r="L1997" s="70"/>
      <c r="M1997" s="70"/>
      <c r="N1997" s="70"/>
    </row>
    <row r="1998" spans="1:16" hidden="1" x14ac:dyDescent="0.25">
      <c r="A1998" s="70" t="s">
        <v>346</v>
      </c>
      <c r="B1998" s="70" t="s">
        <v>193</v>
      </c>
      <c r="C1998" s="70" t="s">
        <v>212</v>
      </c>
      <c r="D1998" s="70" t="s">
        <v>351</v>
      </c>
      <c r="E1998" s="70">
        <v>2</v>
      </c>
      <c r="F1998" s="70">
        <v>8</v>
      </c>
      <c r="G1998" s="70">
        <v>80</v>
      </c>
      <c r="H1998" s="70">
        <v>8</v>
      </c>
      <c r="I1998" s="70">
        <v>24.1</v>
      </c>
      <c r="J1998" s="70"/>
      <c r="K1998" s="70"/>
      <c r="L1998" s="70"/>
      <c r="M1998" s="70"/>
      <c r="N1998" s="70"/>
    </row>
    <row r="1999" spans="1:16" hidden="1" x14ac:dyDescent="0.25">
      <c r="A1999" s="70" t="s">
        <v>346</v>
      </c>
      <c r="B1999" s="70" t="s">
        <v>193</v>
      </c>
      <c r="C1999" s="70" t="s">
        <v>212</v>
      </c>
      <c r="D1999" s="70" t="s">
        <v>351</v>
      </c>
      <c r="E1999" s="70">
        <v>2</v>
      </c>
      <c r="F1999" s="70">
        <v>8</v>
      </c>
      <c r="G1999" s="70">
        <v>60</v>
      </c>
      <c r="H1999" s="70">
        <v>8</v>
      </c>
      <c r="I1999" s="70">
        <v>24.1</v>
      </c>
      <c r="J1999" s="70"/>
      <c r="K1999" s="70"/>
      <c r="L1999" s="70"/>
      <c r="M1999" s="70"/>
      <c r="N1999" s="70"/>
    </row>
    <row r="2000" spans="1:16" hidden="1" x14ac:dyDescent="0.25">
      <c r="A2000" s="70" t="s">
        <v>346</v>
      </c>
      <c r="B2000" s="70" t="s">
        <v>193</v>
      </c>
      <c r="C2000" s="70" t="s">
        <v>199</v>
      </c>
      <c r="D2000" s="79" t="s">
        <v>234</v>
      </c>
      <c r="E2000" s="70">
        <v>2</v>
      </c>
      <c r="F2000" s="70">
        <v>7.5</v>
      </c>
      <c r="G2000" s="70">
        <v>235</v>
      </c>
      <c r="H2000" s="70">
        <v>11</v>
      </c>
      <c r="I2000" s="70">
        <v>75</v>
      </c>
      <c r="J2000" s="70"/>
      <c r="K2000" s="70"/>
      <c r="L2000" s="70"/>
      <c r="M2000" s="70">
        <v>220</v>
      </c>
      <c r="N2000" s="70"/>
      <c r="P2000">
        <v>240</v>
      </c>
    </row>
    <row r="2001" spans="1:16" hidden="1" x14ac:dyDescent="0.25">
      <c r="A2001" s="70" t="s">
        <v>346</v>
      </c>
      <c r="B2001" s="70" t="s">
        <v>193</v>
      </c>
      <c r="C2001" s="70" t="s">
        <v>199</v>
      </c>
      <c r="D2001" s="79" t="s">
        <v>234</v>
      </c>
      <c r="E2001" s="70">
        <v>2</v>
      </c>
      <c r="F2001" s="70">
        <v>7.5</v>
      </c>
      <c r="G2001" s="70">
        <v>215</v>
      </c>
      <c r="H2001" s="70">
        <v>11</v>
      </c>
      <c r="I2001" s="70">
        <v>75</v>
      </c>
      <c r="J2001" s="70"/>
      <c r="K2001" s="70"/>
      <c r="L2001" s="70"/>
      <c r="M2001" s="70">
        <v>200</v>
      </c>
      <c r="N2001" s="70"/>
      <c r="P2001">
        <v>240</v>
      </c>
    </row>
    <row r="2002" spans="1:16" hidden="1" x14ac:dyDescent="0.25">
      <c r="A2002" s="70" t="s">
        <v>346</v>
      </c>
      <c r="B2002" s="70" t="s">
        <v>193</v>
      </c>
      <c r="C2002" s="70" t="s">
        <v>199</v>
      </c>
      <c r="D2002" s="79" t="s">
        <v>234</v>
      </c>
      <c r="E2002" s="70">
        <v>2</v>
      </c>
      <c r="F2002" s="70">
        <v>7.5</v>
      </c>
      <c r="G2002" s="70">
        <v>195</v>
      </c>
      <c r="H2002" s="70">
        <v>11</v>
      </c>
      <c r="I2002" s="70">
        <v>75</v>
      </c>
      <c r="J2002" s="70"/>
      <c r="K2002" s="70"/>
      <c r="L2002" s="70"/>
      <c r="M2002" s="70">
        <v>180</v>
      </c>
      <c r="N2002" s="70"/>
      <c r="P2002">
        <v>220</v>
      </c>
    </row>
    <row r="2003" spans="1:16" hidden="1" x14ac:dyDescent="0.25">
      <c r="A2003" s="70" t="s">
        <v>346</v>
      </c>
      <c r="B2003" s="70" t="s">
        <v>193</v>
      </c>
      <c r="C2003" s="70" t="s">
        <v>199</v>
      </c>
      <c r="D2003" s="79" t="s">
        <v>234</v>
      </c>
      <c r="E2003" s="70">
        <v>2</v>
      </c>
      <c r="F2003" s="70">
        <v>7.5</v>
      </c>
      <c r="G2003" s="70">
        <v>175</v>
      </c>
      <c r="H2003" s="70">
        <v>11</v>
      </c>
      <c r="I2003" s="70">
        <v>75</v>
      </c>
      <c r="J2003" s="70"/>
      <c r="K2003" s="70"/>
      <c r="L2003" s="70"/>
      <c r="M2003" s="70">
        <v>160</v>
      </c>
      <c r="N2003" s="70"/>
      <c r="P2003">
        <v>200</v>
      </c>
    </row>
    <row r="2004" spans="1:16" hidden="1" x14ac:dyDescent="0.25">
      <c r="A2004" s="70" t="s">
        <v>346</v>
      </c>
      <c r="B2004" s="70" t="s">
        <v>193</v>
      </c>
      <c r="C2004" s="70" t="s">
        <v>199</v>
      </c>
      <c r="D2004" s="79" t="s">
        <v>234</v>
      </c>
      <c r="E2004" s="70">
        <v>2</v>
      </c>
      <c r="F2004" s="70">
        <v>7.5</v>
      </c>
      <c r="G2004" s="70">
        <v>155</v>
      </c>
      <c r="H2004" s="70">
        <v>11</v>
      </c>
      <c r="I2004" s="70">
        <v>75</v>
      </c>
      <c r="J2004" s="70"/>
      <c r="K2004" s="70"/>
      <c r="L2004" s="70"/>
      <c r="M2004" s="70">
        <v>140</v>
      </c>
      <c r="N2004" s="70"/>
      <c r="P2004">
        <v>180</v>
      </c>
    </row>
    <row r="2005" spans="1:16" hidden="1" x14ac:dyDescent="0.25">
      <c r="A2005" s="70" t="s">
        <v>346</v>
      </c>
      <c r="B2005" s="70" t="s">
        <v>193</v>
      </c>
      <c r="C2005" s="70" t="s">
        <v>199</v>
      </c>
      <c r="D2005" s="79" t="s">
        <v>234</v>
      </c>
      <c r="E2005" s="70">
        <v>2</v>
      </c>
      <c r="F2005" s="70">
        <v>7.5</v>
      </c>
      <c r="G2005" s="70">
        <v>135</v>
      </c>
      <c r="H2005" s="70">
        <v>11</v>
      </c>
      <c r="I2005" s="70">
        <v>75</v>
      </c>
      <c r="J2005" s="70"/>
      <c r="K2005" s="70"/>
      <c r="L2005" s="70"/>
      <c r="M2005" s="70">
        <v>120</v>
      </c>
      <c r="N2005" s="70"/>
      <c r="P2005">
        <v>160</v>
      </c>
    </row>
    <row r="2006" spans="1:16" hidden="1" x14ac:dyDescent="0.25">
      <c r="A2006" s="70" t="s">
        <v>346</v>
      </c>
      <c r="B2006" s="70" t="s">
        <v>193</v>
      </c>
      <c r="C2006" s="70" t="s">
        <v>199</v>
      </c>
      <c r="D2006" s="79" t="s">
        <v>234</v>
      </c>
      <c r="E2006" s="70">
        <v>2</v>
      </c>
      <c r="F2006" s="70">
        <v>7.5</v>
      </c>
      <c r="G2006" s="70">
        <v>115</v>
      </c>
      <c r="H2006" s="70">
        <v>11</v>
      </c>
      <c r="I2006" s="70">
        <v>75</v>
      </c>
      <c r="J2006" s="70"/>
      <c r="K2006" s="70"/>
      <c r="L2006" s="70"/>
      <c r="M2006" s="70">
        <v>100</v>
      </c>
      <c r="N2006" s="70"/>
      <c r="P2006">
        <v>140</v>
      </c>
    </row>
    <row r="2007" spans="1:16" hidden="1" x14ac:dyDescent="0.25">
      <c r="A2007" s="70" t="s">
        <v>346</v>
      </c>
      <c r="B2007" s="70" t="s">
        <v>193</v>
      </c>
      <c r="C2007" s="70" t="s">
        <v>199</v>
      </c>
      <c r="D2007" s="79" t="s">
        <v>234</v>
      </c>
      <c r="E2007" s="70">
        <v>2</v>
      </c>
      <c r="F2007" s="70">
        <v>7.5</v>
      </c>
      <c r="G2007" s="70">
        <v>95</v>
      </c>
      <c r="H2007" s="70">
        <v>11</v>
      </c>
      <c r="I2007" s="70">
        <v>75</v>
      </c>
      <c r="J2007" s="70"/>
      <c r="K2007" s="70"/>
      <c r="L2007" s="70"/>
      <c r="M2007" s="70">
        <v>80</v>
      </c>
      <c r="N2007" s="70"/>
      <c r="P2007">
        <v>120</v>
      </c>
    </row>
    <row r="2008" spans="1:16" hidden="1" x14ac:dyDescent="0.25">
      <c r="A2008" s="70" t="s">
        <v>346</v>
      </c>
      <c r="B2008" s="70" t="s">
        <v>193</v>
      </c>
      <c r="C2008" s="70" t="s">
        <v>349</v>
      </c>
      <c r="D2008" s="79" t="s">
        <v>234</v>
      </c>
      <c r="E2008" s="70">
        <v>2</v>
      </c>
      <c r="F2008" s="70">
        <v>7.5</v>
      </c>
      <c r="G2008" s="70">
        <v>75</v>
      </c>
      <c r="H2008" s="70">
        <v>11</v>
      </c>
      <c r="I2008" s="70">
        <v>42</v>
      </c>
      <c r="J2008" s="70"/>
      <c r="K2008" s="70"/>
      <c r="L2008" s="70"/>
      <c r="M2008" s="70">
        <v>67</v>
      </c>
      <c r="N2008" s="70"/>
      <c r="P2008">
        <v>100</v>
      </c>
    </row>
    <row r="2009" spans="1:16" hidden="1" x14ac:dyDescent="0.25">
      <c r="A2009" s="70" t="s">
        <v>346</v>
      </c>
      <c r="B2009" s="70" t="s">
        <v>193</v>
      </c>
      <c r="C2009" s="70" t="s">
        <v>349</v>
      </c>
      <c r="D2009" s="79" t="s">
        <v>234</v>
      </c>
      <c r="E2009" s="70">
        <v>2</v>
      </c>
      <c r="F2009" s="70">
        <v>7.5</v>
      </c>
      <c r="G2009" s="70">
        <v>55</v>
      </c>
      <c r="H2009" s="70">
        <v>11</v>
      </c>
      <c r="I2009" s="70">
        <v>42</v>
      </c>
      <c r="J2009" s="70"/>
      <c r="K2009" s="70"/>
      <c r="L2009" s="70"/>
      <c r="M2009" s="70">
        <v>47</v>
      </c>
      <c r="N2009" s="70"/>
      <c r="P2009">
        <v>80</v>
      </c>
    </row>
    <row r="2010" spans="1:16" hidden="1" x14ac:dyDescent="0.25">
      <c r="A2010" s="70" t="s">
        <v>346</v>
      </c>
      <c r="B2010" s="70" t="s">
        <v>352</v>
      </c>
      <c r="C2010" s="70" t="s">
        <v>353</v>
      </c>
      <c r="D2010" s="70" t="s">
        <v>411</v>
      </c>
      <c r="E2010" s="70">
        <v>3</v>
      </c>
      <c r="F2010" s="70">
        <v>8</v>
      </c>
      <c r="G2010" s="70">
        <v>1000</v>
      </c>
      <c r="H2010" s="70">
        <v>8</v>
      </c>
      <c r="I2010" s="71">
        <f>0.3*520*F2010^2.6/1000</f>
        <v>34.766307295794007</v>
      </c>
      <c r="J2010" s="70"/>
      <c r="K2010" s="70"/>
      <c r="L2010" s="70"/>
      <c r="M2010" s="70"/>
      <c r="N2010" s="70"/>
    </row>
    <row r="2011" spans="1:16" hidden="1" x14ac:dyDescent="0.25">
      <c r="A2011" s="70" t="s">
        <v>346</v>
      </c>
      <c r="B2011" s="70" t="s">
        <v>352</v>
      </c>
      <c r="C2011" s="70" t="s">
        <v>353</v>
      </c>
      <c r="D2011" s="70" t="s">
        <v>411</v>
      </c>
      <c r="E2011" s="70">
        <v>3</v>
      </c>
      <c r="F2011" s="70">
        <v>10</v>
      </c>
      <c r="G2011" s="70">
        <v>1000</v>
      </c>
      <c r="H2011" s="70">
        <v>10</v>
      </c>
      <c r="I2011" s="71">
        <f t="shared" ref="I2011:I2022" si="0">0.3*520*F2011^2.6/1000</f>
        <v>62.104718606345628</v>
      </c>
      <c r="J2011" s="70"/>
      <c r="K2011" s="70"/>
      <c r="L2011" s="70"/>
      <c r="M2011" s="70"/>
      <c r="N2011" s="70"/>
    </row>
    <row r="2012" spans="1:16" hidden="1" x14ac:dyDescent="0.25">
      <c r="A2012" s="70" t="s">
        <v>346</v>
      </c>
      <c r="B2012" s="70" t="s">
        <v>352</v>
      </c>
      <c r="C2012" s="70" t="s">
        <v>353</v>
      </c>
      <c r="D2012" s="70" t="s">
        <v>411</v>
      </c>
      <c r="E2012" s="70">
        <v>3</v>
      </c>
      <c r="F2012" s="70">
        <v>12</v>
      </c>
      <c r="G2012" s="70">
        <v>1000</v>
      </c>
      <c r="H2012" s="70">
        <v>12</v>
      </c>
      <c r="I2012" s="71">
        <f t="shared" si="0"/>
        <v>99.769050273016987</v>
      </c>
      <c r="J2012" s="70"/>
      <c r="K2012" s="70"/>
      <c r="L2012" s="70"/>
      <c r="M2012" s="70"/>
      <c r="N2012" s="70"/>
    </row>
    <row r="2013" spans="1:16" hidden="1" x14ac:dyDescent="0.25">
      <c r="A2013" s="70" t="s">
        <v>346</v>
      </c>
      <c r="B2013" s="70" t="s">
        <v>352</v>
      </c>
      <c r="C2013" s="70" t="s">
        <v>353</v>
      </c>
      <c r="D2013" s="70" t="s">
        <v>411</v>
      </c>
      <c r="E2013" s="70">
        <v>3</v>
      </c>
      <c r="F2013" s="70">
        <v>16</v>
      </c>
      <c r="G2013" s="70">
        <v>1000</v>
      </c>
      <c r="H2013" s="70">
        <v>16</v>
      </c>
      <c r="I2013" s="71">
        <f t="shared" si="0"/>
        <v>210.78347169850522</v>
      </c>
      <c r="J2013" s="70"/>
      <c r="K2013" s="70"/>
      <c r="L2013" s="70"/>
      <c r="M2013" s="70"/>
      <c r="N2013" s="70"/>
    </row>
    <row r="2014" spans="1:16" hidden="1" x14ac:dyDescent="0.25">
      <c r="A2014" s="70" t="s">
        <v>346</v>
      </c>
      <c r="B2014" s="70" t="s">
        <v>352</v>
      </c>
      <c r="C2014" s="70" t="s">
        <v>353</v>
      </c>
      <c r="D2014" s="70" t="s">
        <v>411</v>
      </c>
      <c r="E2014" s="70">
        <v>3</v>
      </c>
      <c r="F2014" s="70">
        <v>20</v>
      </c>
      <c r="G2014" s="70">
        <v>1000</v>
      </c>
      <c r="H2014" s="70">
        <v>20</v>
      </c>
      <c r="I2014" s="71">
        <f t="shared" si="0"/>
        <v>376.53260340041828</v>
      </c>
      <c r="J2014" s="70"/>
      <c r="K2014" s="70"/>
      <c r="L2014" s="70"/>
      <c r="M2014" s="70"/>
      <c r="N2014" s="70"/>
    </row>
    <row r="2015" spans="1:16" hidden="1" x14ac:dyDescent="0.25">
      <c r="A2015" s="70" t="s">
        <v>346</v>
      </c>
      <c r="B2015" s="70" t="s">
        <v>352</v>
      </c>
      <c r="C2015" s="70" t="s">
        <v>353</v>
      </c>
      <c r="D2015" s="70" t="s">
        <v>411</v>
      </c>
      <c r="E2015" s="70">
        <v>3</v>
      </c>
      <c r="F2015" s="70">
        <v>22</v>
      </c>
      <c r="G2015" s="70">
        <v>1000</v>
      </c>
      <c r="H2015" s="70">
        <v>22</v>
      </c>
      <c r="I2015" s="71">
        <f t="shared" si="0"/>
        <v>482.41807180760566</v>
      </c>
      <c r="J2015" s="70"/>
      <c r="K2015" s="70"/>
      <c r="L2015" s="70"/>
      <c r="M2015" s="70"/>
      <c r="N2015" s="70"/>
    </row>
    <row r="2016" spans="1:16" hidden="1" x14ac:dyDescent="0.25">
      <c r="A2016" s="70" t="s">
        <v>346</v>
      </c>
      <c r="B2016" s="70" t="s">
        <v>352</v>
      </c>
      <c r="C2016" s="70" t="s">
        <v>353</v>
      </c>
      <c r="D2016" s="70" t="s">
        <v>411</v>
      </c>
      <c r="E2016" s="70">
        <v>3</v>
      </c>
      <c r="F2016" s="70">
        <v>25</v>
      </c>
      <c r="G2016" s="70">
        <v>1000</v>
      </c>
      <c r="H2016" s="70">
        <v>25</v>
      </c>
      <c r="I2016" s="71">
        <f t="shared" si="0"/>
        <v>672.61820996234201</v>
      </c>
      <c r="J2016" s="70"/>
      <c r="K2016" s="70"/>
      <c r="L2016" s="70"/>
      <c r="M2016" s="70"/>
      <c r="N2016" s="70"/>
    </row>
    <row r="2017" spans="1:15" hidden="1" x14ac:dyDescent="0.25">
      <c r="A2017" s="70" t="s">
        <v>346</v>
      </c>
      <c r="B2017" s="70" t="s">
        <v>409</v>
      </c>
      <c r="C2017" s="70" t="s">
        <v>410</v>
      </c>
      <c r="D2017" s="70" t="s">
        <v>411</v>
      </c>
      <c r="E2017" s="70">
        <v>3</v>
      </c>
      <c r="F2017" s="70">
        <v>10</v>
      </c>
      <c r="G2017" s="70">
        <v>1000</v>
      </c>
      <c r="H2017" s="70">
        <v>10</v>
      </c>
      <c r="I2017" s="71">
        <f t="shared" si="0"/>
        <v>62.104718606345628</v>
      </c>
      <c r="J2017" s="70"/>
      <c r="K2017" s="70"/>
      <c r="L2017" s="70"/>
      <c r="M2017" s="70"/>
      <c r="N2017" s="70"/>
    </row>
    <row r="2018" spans="1:15" hidden="1" x14ac:dyDescent="0.25">
      <c r="A2018" s="70" t="s">
        <v>346</v>
      </c>
      <c r="B2018" s="70" t="s">
        <v>409</v>
      </c>
      <c r="C2018" s="70" t="s">
        <v>410</v>
      </c>
      <c r="D2018" s="70" t="s">
        <v>411</v>
      </c>
      <c r="E2018" s="70">
        <v>3</v>
      </c>
      <c r="F2018" s="70">
        <v>12</v>
      </c>
      <c r="G2018" s="70">
        <v>1000</v>
      </c>
      <c r="H2018" s="70">
        <v>12</v>
      </c>
      <c r="I2018" s="71">
        <f t="shared" si="0"/>
        <v>99.769050273016987</v>
      </c>
      <c r="J2018" s="70"/>
      <c r="K2018" s="70"/>
      <c r="L2018" s="70"/>
      <c r="M2018" s="70"/>
      <c r="N2018" s="70"/>
    </row>
    <row r="2019" spans="1:15" hidden="1" x14ac:dyDescent="0.25">
      <c r="A2019" s="70" t="s">
        <v>346</v>
      </c>
      <c r="B2019" s="70" t="s">
        <v>409</v>
      </c>
      <c r="C2019" s="70" t="s">
        <v>410</v>
      </c>
      <c r="D2019" s="70" t="s">
        <v>411</v>
      </c>
      <c r="E2019" s="70">
        <v>3</v>
      </c>
      <c r="F2019" s="70">
        <v>13</v>
      </c>
      <c r="G2019" s="70">
        <v>1000</v>
      </c>
      <c r="H2019" s="70">
        <v>13</v>
      </c>
      <c r="I2019" s="71">
        <f t="shared" si="0"/>
        <v>122.85060917783089</v>
      </c>
      <c r="J2019" s="70"/>
      <c r="K2019" s="70"/>
      <c r="L2019" s="70"/>
      <c r="M2019" s="70"/>
      <c r="N2019" s="70"/>
    </row>
    <row r="2020" spans="1:15" hidden="1" x14ac:dyDescent="0.25">
      <c r="A2020" s="70" t="s">
        <v>346</v>
      </c>
      <c r="B2020" s="70" t="s">
        <v>409</v>
      </c>
      <c r="C2020" s="70" t="s">
        <v>410</v>
      </c>
      <c r="D2020" s="70" t="s">
        <v>411</v>
      </c>
      <c r="E2020" s="70">
        <v>3</v>
      </c>
      <c r="F2020" s="70">
        <v>16</v>
      </c>
      <c r="G2020" s="70">
        <v>1000</v>
      </c>
      <c r="H2020" s="70">
        <v>16</v>
      </c>
      <c r="I2020" s="71">
        <f t="shared" si="0"/>
        <v>210.78347169850522</v>
      </c>
      <c r="J2020" s="70"/>
      <c r="K2020" s="70"/>
      <c r="L2020" s="70"/>
      <c r="M2020" s="70"/>
      <c r="N2020" s="70"/>
    </row>
    <row r="2021" spans="1:15" hidden="1" x14ac:dyDescent="0.25">
      <c r="A2021" s="70" t="s">
        <v>346</v>
      </c>
      <c r="B2021" s="70" t="s">
        <v>409</v>
      </c>
      <c r="C2021" s="70" t="s">
        <v>410</v>
      </c>
      <c r="D2021" s="70" t="s">
        <v>411</v>
      </c>
      <c r="E2021" s="70">
        <v>3</v>
      </c>
      <c r="F2021" s="70">
        <v>20</v>
      </c>
      <c r="G2021" s="70">
        <v>1000</v>
      </c>
      <c r="H2021" s="70">
        <v>20</v>
      </c>
      <c r="I2021" s="71">
        <f t="shared" si="0"/>
        <v>376.53260340041828</v>
      </c>
      <c r="J2021" s="70"/>
      <c r="K2021" s="70"/>
      <c r="L2021" s="70"/>
      <c r="M2021" s="70"/>
      <c r="N2021" s="70"/>
    </row>
    <row r="2022" spans="1:15" hidden="1" x14ac:dyDescent="0.25">
      <c r="A2022" s="70" t="s">
        <v>346</v>
      </c>
      <c r="B2022" s="70" t="s">
        <v>409</v>
      </c>
      <c r="C2022" s="70" t="s">
        <v>410</v>
      </c>
      <c r="D2022" s="70" t="s">
        <v>411</v>
      </c>
      <c r="E2022" s="70">
        <v>3</v>
      </c>
      <c r="F2022" s="70">
        <v>25</v>
      </c>
      <c r="G2022" s="70">
        <v>1000</v>
      </c>
      <c r="H2022" s="70">
        <v>25</v>
      </c>
      <c r="I2022" s="71">
        <f t="shared" si="0"/>
        <v>672.61820996234201</v>
      </c>
      <c r="J2022" s="70"/>
      <c r="K2022" s="70"/>
      <c r="L2022" s="70"/>
      <c r="M2022" s="70"/>
      <c r="N2022" s="70"/>
    </row>
    <row r="2023" spans="1:15" hidden="1" x14ac:dyDescent="0.25">
      <c r="A2023" s="70" t="s">
        <v>346</v>
      </c>
      <c r="B2023" s="70" t="s">
        <v>408</v>
      </c>
      <c r="C2023" s="70" t="s">
        <v>406</v>
      </c>
      <c r="D2023" s="70" t="s">
        <v>412</v>
      </c>
      <c r="E2023" s="70">
        <v>2</v>
      </c>
      <c r="F2023" s="70">
        <v>7</v>
      </c>
      <c r="G2023" s="70">
        <v>1000</v>
      </c>
      <c r="H2023" s="70">
        <v>7</v>
      </c>
      <c r="I2023" s="71">
        <f>0.3*360*F2023^2.6/1000</f>
        <v>17.008995236697277</v>
      </c>
      <c r="J2023" s="70"/>
      <c r="K2023" s="70"/>
      <c r="L2023" s="70"/>
      <c r="M2023" s="70"/>
      <c r="N2023" s="70"/>
      <c r="O2023">
        <v>360</v>
      </c>
    </row>
    <row r="2024" spans="1:15" hidden="1" x14ac:dyDescent="0.25">
      <c r="A2024" s="70" t="s">
        <v>346</v>
      </c>
      <c r="B2024" s="70" t="s">
        <v>408</v>
      </c>
      <c r="C2024" s="70" t="s">
        <v>406</v>
      </c>
      <c r="D2024" s="70" t="s">
        <v>412</v>
      </c>
      <c r="E2024" s="70">
        <v>2</v>
      </c>
      <c r="F2024" s="70">
        <v>8</v>
      </c>
      <c r="G2024" s="70">
        <v>1000</v>
      </c>
      <c r="H2024" s="70">
        <v>8</v>
      </c>
      <c r="I2024" s="71">
        <f t="shared" ref="I2024:I2032" si="1">0.3*360*F2024^2.6/1000</f>
        <v>24.068981974011237</v>
      </c>
      <c r="J2024" s="70"/>
      <c r="K2024" s="70"/>
      <c r="L2024" s="70"/>
      <c r="M2024" s="70"/>
      <c r="N2024" s="70"/>
      <c r="O2024">
        <v>360</v>
      </c>
    </row>
    <row r="2025" spans="1:15" hidden="1" x14ac:dyDescent="0.25">
      <c r="A2025" s="70" t="s">
        <v>346</v>
      </c>
      <c r="B2025" s="70" t="s">
        <v>408</v>
      </c>
      <c r="C2025" s="70" t="s">
        <v>406</v>
      </c>
      <c r="D2025" s="70" t="s">
        <v>412</v>
      </c>
      <c r="E2025" s="70">
        <v>2</v>
      </c>
      <c r="F2025" s="70">
        <v>10</v>
      </c>
      <c r="G2025" s="70">
        <v>1000</v>
      </c>
      <c r="H2025" s="70">
        <v>10</v>
      </c>
      <c r="I2025" s="71">
        <f t="shared" si="1"/>
        <v>42.995574419777739</v>
      </c>
      <c r="J2025" s="70"/>
      <c r="K2025" s="70"/>
      <c r="L2025" s="70"/>
      <c r="M2025" s="70"/>
      <c r="N2025" s="70"/>
      <c r="O2025">
        <v>360</v>
      </c>
    </row>
    <row r="2026" spans="1:15" hidden="1" x14ac:dyDescent="0.25">
      <c r="A2026" s="70" t="s">
        <v>346</v>
      </c>
      <c r="B2026" s="70" t="s">
        <v>408</v>
      </c>
      <c r="C2026" s="70" t="s">
        <v>406</v>
      </c>
      <c r="D2026" s="70" t="s">
        <v>412</v>
      </c>
      <c r="E2026" s="70">
        <v>2</v>
      </c>
      <c r="F2026" s="70">
        <v>12</v>
      </c>
      <c r="G2026" s="70">
        <v>1000</v>
      </c>
      <c r="H2026" s="70">
        <v>12</v>
      </c>
      <c r="I2026" s="71">
        <f t="shared" si="1"/>
        <v>69.070880958242526</v>
      </c>
      <c r="J2026" s="70"/>
      <c r="K2026" s="70"/>
      <c r="L2026" s="70"/>
      <c r="M2026" s="70"/>
      <c r="N2026" s="70"/>
      <c r="O2026">
        <v>360</v>
      </c>
    </row>
    <row r="2027" spans="1:15" hidden="1" x14ac:dyDescent="0.25">
      <c r="A2027" s="70" t="s">
        <v>346</v>
      </c>
      <c r="B2027" s="70" t="s">
        <v>408</v>
      </c>
      <c r="C2027" s="70" t="s">
        <v>406</v>
      </c>
      <c r="D2027" s="70" t="s">
        <v>412</v>
      </c>
      <c r="E2027" s="70">
        <v>2</v>
      </c>
      <c r="F2027" s="70">
        <v>16</v>
      </c>
      <c r="G2027" s="70">
        <v>1000</v>
      </c>
      <c r="H2027" s="70">
        <v>16</v>
      </c>
      <c r="I2027" s="71">
        <f t="shared" si="1"/>
        <v>145.92701886819592</v>
      </c>
      <c r="J2027" s="70"/>
      <c r="K2027" s="70"/>
      <c r="L2027" s="70"/>
      <c r="M2027" s="70"/>
      <c r="N2027" s="70"/>
      <c r="O2027">
        <v>360</v>
      </c>
    </row>
    <row r="2028" spans="1:15" hidden="1" x14ac:dyDescent="0.25">
      <c r="A2028" s="70" t="s">
        <v>346</v>
      </c>
      <c r="B2028" s="70" t="s">
        <v>408</v>
      </c>
      <c r="C2028" s="70" t="s">
        <v>406</v>
      </c>
      <c r="D2028" s="70" t="s">
        <v>412</v>
      </c>
      <c r="E2028" s="70">
        <v>2</v>
      </c>
      <c r="F2028" s="70">
        <v>20</v>
      </c>
      <c r="G2028" s="70">
        <v>1000</v>
      </c>
      <c r="H2028" s="70">
        <v>20</v>
      </c>
      <c r="I2028" s="71">
        <f t="shared" si="1"/>
        <v>260.67641773875113</v>
      </c>
      <c r="J2028" s="70"/>
      <c r="K2028" s="70"/>
      <c r="L2028" s="70"/>
      <c r="M2028" s="70"/>
      <c r="N2028" s="70"/>
      <c r="O2028">
        <v>360</v>
      </c>
    </row>
    <row r="2029" spans="1:15" hidden="1" x14ac:dyDescent="0.25">
      <c r="A2029" s="70" t="s">
        <v>346</v>
      </c>
      <c r="B2029" s="70" t="s">
        <v>408</v>
      </c>
      <c r="C2029" s="70" t="s">
        <v>406</v>
      </c>
      <c r="D2029" s="70" t="s">
        <v>412</v>
      </c>
      <c r="E2029" s="70">
        <v>2</v>
      </c>
      <c r="F2029" s="70">
        <v>22</v>
      </c>
      <c r="G2029" s="70">
        <v>1000</v>
      </c>
      <c r="H2029" s="70">
        <v>22</v>
      </c>
      <c r="I2029" s="71">
        <f t="shared" si="1"/>
        <v>333.98174202065007</v>
      </c>
      <c r="J2029" s="70"/>
      <c r="K2029" s="70"/>
      <c r="L2029" s="70"/>
      <c r="M2029" s="70"/>
      <c r="N2029" s="70"/>
      <c r="O2029">
        <v>360</v>
      </c>
    </row>
    <row r="2030" spans="1:15" hidden="1" x14ac:dyDescent="0.25">
      <c r="A2030" s="70" t="s">
        <v>346</v>
      </c>
      <c r="B2030" s="70" t="s">
        <v>408</v>
      </c>
      <c r="C2030" s="70" t="s">
        <v>406</v>
      </c>
      <c r="D2030" s="70" t="s">
        <v>412</v>
      </c>
      <c r="E2030" s="70">
        <v>2</v>
      </c>
      <c r="F2030" s="70">
        <v>24</v>
      </c>
      <c r="G2030" s="70">
        <v>1000</v>
      </c>
      <c r="H2030" s="70">
        <v>24</v>
      </c>
      <c r="I2030" s="71">
        <f t="shared" si="1"/>
        <v>418.7675141275036</v>
      </c>
      <c r="J2030" s="70"/>
      <c r="K2030" s="70"/>
      <c r="L2030" s="70"/>
      <c r="M2030" s="70"/>
      <c r="N2030" s="70"/>
      <c r="O2030">
        <v>360</v>
      </c>
    </row>
    <row r="2031" spans="1:15" hidden="1" x14ac:dyDescent="0.25">
      <c r="A2031" s="70" t="s">
        <v>346</v>
      </c>
      <c r="B2031" s="70" t="s">
        <v>408</v>
      </c>
      <c r="C2031" s="70" t="s">
        <v>406</v>
      </c>
      <c r="D2031" s="70" t="s">
        <v>412</v>
      </c>
      <c r="E2031" s="70">
        <v>2</v>
      </c>
      <c r="F2031" s="70">
        <v>25</v>
      </c>
      <c r="G2031" s="70">
        <v>1000</v>
      </c>
      <c r="H2031" s="70">
        <v>25</v>
      </c>
      <c r="I2031" s="71">
        <f t="shared" si="1"/>
        <v>465.65876074315986</v>
      </c>
      <c r="J2031" s="70"/>
      <c r="K2031" s="70"/>
      <c r="L2031" s="70"/>
      <c r="M2031" s="70"/>
      <c r="N2031" s="70"/>
      <c r="O2031">
        <v>360</v>
      </c>
    </row>
    <row r="2032" spans="1:15" hidden="1" x14ac:dyDescent="0.25">
      <c r="A2032" s="70" t="s">
        <v>346</v>
      </c>
      <c r="B2032" s="70" t="s">
        <v>408</v>
      </c>
      <c r="C2032" s="70" t="s">
        <v>406</v>
      </c>
      <c r="D2032" s="70" t="s">
        <v>412</v>
      </c>
      <c r="E2032" s="70">
        <v>2</v>
      </c>
      <c r="F2032" s="70">
        <v>28</v>
      </c>
      <c r="G2032" s="70">
        <v>1000</v>
      </c>
      <c r="H2032" s="70">
        <v>28</v>
      </c>
      <c r="I2032" s="71">
        <f t="shared" si="1"/>
        <v>625.22255515349036</v>
      </c>
      <c r="J2032" s="70"/>
      <c r="K2032" s="70"/>
      <c r="L2032" s="70"/>
      <c r="M2032" s="70"/>
      <c r="N2032" s="70"/>
      <c r="O2032">
        <v>360</v>
      </c>
    </row>
    <row r="2033" spans="1:15" hidden="1" x14ac:dyDescent="0.25">
      <c r="A2033" s="70" t="s">
        <v>346</v>
      </c>
      <c r="B2033" s="70" t="s">
        <v>408</v>
      </c>
      <c r="C2033" s="70" t="s">
        <v>407</v>
      </c>
      <c r="D2033" s="70" t="s">
        <v>413</v>
      </c>
      <c r="E2033" s="70">
        <v>2</v>
      </c>
      <c r="F2033" s="70">
        <v>10</v>
      </c>
      <c r="G2033" s="70">
        <v>1000</v>
      </c>
      <c r="H2033" s="70">
        <v>10</v>
      </c>
      <c r="I2033" s="71">
        <f>0.3*490*F2033^2.6/1000</f>
        <v>58.52175407136415</v>
      </c>
      <c r="J2033" s="70"/>
      <c r="K2033" s="70"/>
      <c r="L2033" s="70"/>
      <c r="M2033" s="70"/>
      <c r="N2033" s="70"/>
      <c r="O2033">
        <v>490</v>
      </c>
    </row>
    <row r="2034" spans="1:15" hidden="1" x14ac:dyDescent="0.25">
      <c r="A2034" s="70" t="s">
        <v>346</v>
      </c>
      <c r="B2034" s="70" t="s">
        <v>408</v>
      </c>
      <c r="C2034" s="70" t="s">
        <v>407</v>
      </c>
      <c r="D2034" s="70" t="s">
        <v>413</v>
      </c>
      <c r="E2034" s="70">
        <v>2</v>
      </c>
      <c r="F2034" s="70">
        <v>12</v>
      </c>
      <c r="G2034" s="70">
        <v>1000</v>
      </c>
      <c r="H2034" s="70">
        <v>12</v>
      </c>
      <c r="I2034" s="71">
        <f t="shared" ref="I2034:I2040" si="2">0.3*490*F2034^2.6/1000</f>
        <v>94.013143526496776</v>
      </c>
      <c r="J2034" s="70"/>
      <c r="K2034" s="70"/>
      <c r="L2034" s="70"/>
      <c r="M2034" s="70"/>
      <c r="N2034" s="70"/>
      <c r="O2034">
        <v>490</v>
      </c>
    </row>
    <row r="2035" spans="1:15" hidden="1" x14ac:dyDescent="0.25">
      <c r="A2035" s="70" t="s">
        <v>346</v>
      </c>
      <c r="B2035" s="70" t="s">
        <v>408</v>
      </c>
      <c r="C2035" s="70" t="s">
        <v>407</v>
      </c>
      <c r="D2035" s="70" t="s">
        <v>413</v>
      </c>
      <c r="E2035" s="70">
        <v>2</v>
      </c>
      <c r="F2035" s="70">
        <v>16</v>
      </c>
      <c r="G2035" s="70">
        <v>1000</v>
      </c>
      <c r="H2035" s="70">
        <v>16</v>
      </c>
      <c r="I2035" s="71">
        <f t="shared" si="2"/>
        <v>198.62288679282221</v>
      </c>
      <c r="J2035" s="70"/>
      <c r="K2035" s="70"/>
      <c r="L2035" s="70"/>
      <c r="M2035" s="70"/>
      <c r="N2035" s="70"/>
      <c r="O2035">
        <v>490</v>
      </c>
    </row>
    <row r="2036" spans="1:15" hidden="1" x14ac:dyDescent="0.25">
      <c r="A2036" s="70" t="s">
        <v>346</v>
      </c>
      <c r="B2036" s="70" t="s">
        <v>408</v>
      </c>
      <c r="C2036" s="70" t="s">
        <v>407</v>
      </c>
      <c r="D2036" s="70" t="s">
        <v>413</v>
      </c>
      <c r="E2036" s="70">
        <v>2</v>
      </c>
      <c r="F2036" s="70">
        <v>20</v>
      </c>
      <c r="G2036" s="70">
        <v>1000</v>
      </c>
      <c r="H2036" s="70">
        <v>20</v>
      </c>
      <c r="I2036" s="71">
        <f t="shared" si="2"/>
        <v>354.80956858885571</v>
      </c>
      <c r="J2036" s="70"/>
      <c r="K2036" s="70"/>
      <c r="L2036" s="70"/>
      <c r="M2036" s="70"/>
      <c r="N2036" s="70"/>
      <c r="O2036">
        <v>490</v>
      </c>
    </row>
    <row r="2037" spans="1:15" hidden="1" x14ac:dyDescent="0.25">
      <c r="A2037" s="70" t="s">
        <v>346</v>
      </c>
      <c r="B2037" s="70" t="s">
        <v>408</v>
      </c>
      <c r="C2037" s="70" t="s">
        <v>407</v>
      </c>
      <c r="D2037" s="70" t="s">
        <v>413</v>
      </c>
      <c r="E2037" s="70">
        <v>2</v>
      </c>
      <c r="F2037" s="70">
        <v>22</v>
      </c>
      <c r="G2037" s="70">
        <v>1000</v>
      </c>
      <c r="H2037" s="70">
        <v>22</v>
      </c>
      <c r="I2037" s="71">
        <f t="shared" si="2"/>
        <v>454.58625997255149</v>
      </c>
      <c r="J2037" s="70"/>
      <c r="K2037" s="70"/>
      <c r="L2037" s="70"/>
      <c r="M2037" s="70"/>
      <c r="N2037" s="70"/>
      <c r="O2037">
        <v>490</v>
      </c>
    </row>
    <row r="2038" spans="1:15" hidden="1" x14ac:dyDescent="0.25">
      <c r="A2038" s="70" t="s">
        <v>346</v>
      </c>
      <c r="B2038" s="70" t="s">
        <v>408</v>
      </c>
      <c r="C2038" s="70" t="s">
        <v>407</v>
      </c>
      <c r="D2038" s="70" t="s">
        <v>413</v>
      </c>
      <c r="E2038" s="70">
        <v>2</v>
      </c>
      <c r="F2038" s="70">
        <v>24</v>
      </c>
      <c r="G2038" s="70">
        <v>1000</v>
      </c>
      <c r="H2038" s="70">
        <v>24</v>
      </c>
      <c r="I2038" s="71">
        <f t="shared" si="2"/>
        <v>569.98911645132432</v>
      </c>
      <c r="J2038" s="70"/>
      <c r="K2038" s="70"/>
      <c r="L2038" s="70"/>
      <c r="M2038" s="70"/>
      <c r="N2038" s="70"/>
      <c r="O2038">
        <v>490</v>
      </c>
    </row>
    <row r="2039" spans="1:15" hidden="1" x14ac:dyDescent="0.25">
      <c r="A2039" s="70" t="s">
        <v>346</v>
      </c>
      <c r="B2039" s="70" t="s">
        <v>408</v>
      </c>
      <c r="C2039" s="70" t="s">
        <v>407</v>
      </c>
      <c r="D2039" s="70" t="s">
        <v>413</v>
      </c>
      <c r="E2039" s="70">
        <v>2</v>
      </c>
      <c r="F2039" s="70">
        <v>25</v>
      </c>
      <c r="G2039" s="70">
        <v>1000</v>
      </c>
      <c r="H2039" s="70">
        <v>25</v>
      </c>
      <c r="I2039" s="71">
        <f t="shared" si="2"/>
        <v>633.81331323374536</v>
      </c>
      <c r="J2039" s="70"/>
      <c r="K2039" s="70"/>
      <c r="L2039" s="70"/>
      <c r="M2039" s="70"/>
      <c r="N2039" s="70"/>
      <c r="O2039">
        <v>490</v>
      </c>
    </row>
    <row r="2040" spans="1:15" hidden="1" x14ac:dyDescent="0.25">
      <c r="A2040" s="70" t="s">
        <v>346</v>
      </c>
      <c r="B2040" s="70" t="s">
        <v>408</v>
      </c>
      <c r="C2040" s="70" t="s">
        <v>407</v>
      </c>
      <c r="D2040" s="70" t="s">
        <v>413</v>
      </c>
      <c r="E2040" s="70">
        <v>2</v>
      </c>
      <c r="F2040" s="70">
        <v>28</v>
      </c>
      <c r="G2040" s="70">
        <v>1000</v>
      </c>
      <c r="H2040" s="70">
        <v>28</v>
      </c>
      <c r="I2040" s="71">
        <f t="shared" si="2"/>
        <v>850.99736673669531</v>
      </c>
      <c r="J2040" s="70"/>
      <c r="K2040" s="70"/>
      <c r="L2040" s="70"/>
      <c r="M2040" s="70"/>
      <c r="N2040" s="70"/>
      <c r="O2040">
        <v>490</v>
      </c>
    </row>
    <row r="2041" spans="1:15" hidden="1" x14ac:dyDescent="0.25">
      <c r="A2041" s="70" t="s">
        <v>346</v>
      </c>
      <c r="B2041" s="70" t="s">
        <v>420</v>
      </c>
      <c r="C2041" s="70" t="s">
        <v>421</v>
      </c>
      <c r="D2041" s="70" t="s">
        <v>422</v>
      </c>
      <c r="E2041" s="70">
        <v>2</v>
      </c>
      <c r="F2041" s="70">
        <v>8</v>
      </c>
      <c r="G2041" s="70">
        <v>60</v>
      </c>
      <c r="H2041" s="70">
        <v>8</v>
      </c>
      <c r="I2041" s="71">
        <v>22.7</v>
      </c>
      <c r="J2041" s="70"/>
      <c r="K2041" s="70"/>
      <c r="L2041" s="70"/>
      <c r="M2041" s="70"/>
      <c r="N2041" s="70"/>
    </row>
    <row r="2042" spans="1:15" hidden="1" x14ac:dyDescent="0.25">
      <c r="A2042" s="70" t="s">
        <v>346</v>
      </c>
      <c r="B2042" s="70" t="s">
        <v>420</v>
      </c>
      <c r="C2042" s="70" t="s">
        <v>421</v>
      </c>
      <c r="D2042" s="70" t="s">
        <v>422</v>
      </c>
      <c r="E2042" s="70">
        <v>2</v>
      </c>
      <c r="F2042" s="70">
        <v>8</v>
      </c>
      <c r="G2042" s="70">
        <v>80</v>
      </c>
      <c r="H2042" s="70">
        <v>8</v>
      </c>
      <c r="I2042" s="71">
        <v>22.7</v>
      </c>
      <c r="J2042" s="70"/>
      <c r="K2042" s="70"/>
      <c r="L2042" s="70"/>
      <c r="M2042" s="70"/>
      <c r="N2042" s="70"/>
    </row>
    <row r="2043" spans="1:15" hidden="1" x14ac:dyDescent="0.25">
      <c r="A2043" s="70" t="s">
        <v>346</v>
      </c>
      <c r="B2043" s="70" t="s">
        <v>420</v>
      </c>
      <c r="C2043" s="70" t="s">
        <v>421</v>
      </c>
      <c r="D2043" s="70" t="s">
        <v>422</v>
      </c>
      <c r="E2043" s="70">
        <v>2</v>
      </c>
      <c r="F2043" s="70">
        <v>8</v>
      </c>
      <c r="G2043" s="70">
        <v>100</v>
      </c>
      <c r="H2043" s="70">
        <v>8</v>
      </c>
      <c r="I2043" s="71">
        <v>22.7</v>
      </c>
      <c r="J2043" s="70"/>
      <c r="K2043" s="70"/>
      <c r="L2043" s="70"/>
      <c r="M2043" s="70"/>
      <c r="N2043" s="70"/>
    </row>
    <row r="2044" spans="1:15" hidden="1" x14ac:dyDescent="0.25">
      <c r="A2044" s="70" t="s">
        <v>346</v>
      </c>
      <c r="B2044" s="70" t="s">
        <v>420</v>
      </c>
      <c r="C2044" s="70" t="s">
        <v>421</v>
      </c>
      <c r="D2044" s="70" t="s">
        <v>422</v>
      </c>
      <c r="E2044" s="70">
        <v>2</v>
      </c>
      <c r="F2044" s="70">
        <v>8</v>
      </c>
      <c r="G2044" s="70">
        <v>115</v>
      </c>
      <c r="H2044" s="70">
        <v>8</v>
      </c>
      <c r="I2044" s="71">
        <v>22.7</v>
      </c>
      <c r="J2044" s="70"/>
      <c r="K2044" s="70"/>
      <c r="L2044" s="70"/>
      <c r="M2044" s="70"/>
      <c r="N2044" s="70"/>
    </row>
    <row r="2045" spans="1:15" hidden="1" x14ac:dyDescent="0.25">
      <c r="A2045" s="70" t="s">
        <v>346</v>
      </c>
      <c r="B2045" s="70" t="s">
        <v>420</v>
      </c>
      <c r="C2045" s="70" t="s">
        <v>421</v>
      </c>
      <c r="D2045" s="70" t="s">
        <v>422</v>
      </c>
      <c r="E2045" s="70">
        <v>2</v>
      </c>
      <c r="F2045" s="70">
        <v>8</v>
      </c>
      <c r="G2045" s="70">
        <v>120</v>
      </c>
      <c r="H2045" s="70">
        <v>8</v>
      </c>
      <c r="I2045" s="71">
        <v>22.7</v>
      </c>
      <c r="J2045" s="70"/>
      <c r="K2045" s="70"/>
      <c r="L2045" s="70"/>
      <c r="M2045" s="70"/>
      <c r="N2045" s="70"/>
    </row>
    <row r="2046" spans="1:15" hidden="1" x14ac:dyDescent="0.25">
      <c r="A2046" s="70" t="s">
        <v>346</v>
      </c>
      <c r="B2046" s="70" t="s">
        <v>420</v>
      </c>
      <c r="C2046" s="70" t="s">
        <v>421</v>
      </c>
      <c r="D2046" s="70" t="s">
        <v>422</v>
      </c>
      <c r="E2046" s="70">
        <v>2</v>
      </c>
      <c r="F2046" s="70">
        <v>8</v>
      </c>
      <c r="G2046" s="70">
        <v>140</v>
      </c>
      <c r="H2046" s="70">
        <v>8</v>
      </c>
      <c r="I2046" s="71">
        <v>22.7</v>
      </c>
      <c r="J2046" s="70"/>
      <c r="K2046" s="70"/>
      <c r="L2046" s="70"/>
      <c r="M2046" s="70"/>
      <c r="N2046" s="70"/>
    </row>
    <row r="2047" spans="1:15" hidden="1" x14ac:dyDescent="0.25">
      <c r="A2047" s="70" t="s">
        <v>346</v>
      </c>
      <c r="B2047" s="70" t="s">
        <v>420</v>
      </c>
      <c r="C2047" s="70" t="s">
        <v>421</v>
      </c>
      <c r="D2047" s="70" t="s">
        <v>422</v>
      </c>
      <c r="E2047" s="70">
        <v>2</v>
      </c>
      <c r="F2047" s="70">
        <v>8</v>
      </c>
      <c r="G2047" s="70">
        <v>160</v>
      </c>
      <c r="H2047" s="70">
        <v>8</v>
      </c>
      <c r="I2047" s="71">
        <v>22.7</v>
      </c>
      <c r="J2047" s="70"/>
      <c r="K2047" s="70"/>
      <c r="L2047" s="70"/>
      <c r="M2047" s="70"/>
      <c r="N2047" s="70"/>
    </row>
    <row r="2048" spans="1:15" hidden="1" x14ac:dyDescent="0.25">
      <c r="A2048" s="70" t="s">
        <v>346</v>
      </c>
      <c r="B2048" s="70" t="s">
        <v>420</v>
      </c>
      <c r="C2048" s="70" t="s">
        <v>421</v>
      </c>
      <c r="D2048" s="70" t="s">
        <v>422</v>
      </c>
      <c r="E2048" s="70">
        <v>2</v>
      </c>
      <c r="F2048" s="70">
        <v>8</v>
      </c>
      <c r="G2048" s="70">
        <v>180</v>
      </c>
      <c r="H2048" s="70">
        <v>8</v>
      </c>
      <c r="I2048" s="71">
        <v>22.7</v>
      </c>
      <c r="J2048" s="70"/>
      <c r="K2048" s="70"/>
      <c r="L2048" s="70"/>
      <c r="M2048" s="70"/>
      <c r="N2048" s="70"/>
    </row>
    <row r="2049" spans="1:14" hidden="1" x14ac:dyDescent="0.25">
      <c r="A2049" s="70" t="s">
        <v>346</v>
      </c>
      <c r="B2049" s="70" t="s">
        <v>420</v>
      </c>
      <c r="C2049" s="70" t="s">
        <v>421</v>
      </c>
      <c r="D2049" s="70" t="s">
        <v>422</v>
      </c>
      <c r="E2049" s="70">
        <v>2</v>
      </c>
      <c r="F2049" s="70">
        <v>8</v>
      </c>
      <c r="G2049" s="70">
        <v>200</v>
      </c>
      <c r="H2049" s="70">
        <v>8</v>
      </c>
      <c r="I2049" s="71">
        <v>22.7</v>
      </c>
      <c r="J2049" s="70"/>
      <c r="K2049" s="70"/>
      <c r="L2049" s="70"/>
      <c r="M2049" s="70"/>
      <c r="N2049" s="70"/>
    </row>
    <row r="2050" spans="1:14" hidden="1" x14ac:dyDescent="0.25">
      <c r="A2050" s="70" t="s">
        <v>346</v>
      </c>
      <c r="B2050" s="70" t="s">
        <v>420</v>
      </c>
      <c r="C2050" s="70" t="s">
        <v>421</v>
      </c>
      <c r="D2050" s="70" t="s">
        <v>422</v>
      </c>
      <c r="E2050" s="70">
        <v>2</v>
      </c>
      <c r="F2050" s="70">
        <v>10</v>
      </c>
      <c r="G2050" s="70">
        <v>60</v>
      </c>
      <c r="H2050" s="70">
        <v>10</v>
      </c>
      <c r="I2050" s="71">
        <v>40.6</v>
      </c>
      <c r="J2050" s="70"/>
      <c r="K2050" s="70"/>
      <c r="L2050" s="70"/>
      <c r="M2050" s="70"/>
      <c r="N2050" s="70"/>
    </row>
    <row r="2051" spans="1:14" hidden="1" x14ac:dyDescent="0.25">
      <c r="A2051" s="70" t="s">
        <v>346</v>
      </c>
      <c r="B2051" s="70" t="s">
        <v>420</v>
      </c>
      <c r="C2051" s="70" t="s">
        <v>421</v>
      </c>
      <c r="D2051" s="70" t="s">
        <v>422</v>
      </c>
      <c r="E2051" s="70">
        <v>2</v>
      </c>
      <c r="F2051" s="70">
        <v>10</v>
      </c>
      <c r="G2051" s="70">
        <v>80</v>
      </c>
      <c r="H2051" s="70">
        <v>10</v>
      </c>
      <c r="I2051" s="71">
        <v>40.6</v>
      </c>
      <c r="J2051" s="70"/>
      <c r="K2051" s="70"/>
      <c r="L2051" s="70"/>
      <c r="M2051" s="70"/>
      <c r="N2051" s="70"/>
    </row>
    <row r="2052" spans="1:14" hidden="1" x14ac:dyDescent="0.25">
      <c r="A2052" s="70" t="s">
        <v>346</v>
      </c>
      <c r="B2052" s="70" t="s">
        <v>420</v>
      </c>
      <c r="C2052" s="70" t="s">
        <v>421</v>
      </c>
      <c r="D2052" s="70" t="s">
        <v>422</v>
      </c>
      <c r="E2052" s="70">
        <v>2</v>
      </c>
      <c r="F2052" s="70">
        <v>10</v>
      </c>
      <c r="G2052" s="70">
        <v>100</v>
      </c>
      <c r="H2052" s="70">
        <v>10</v>
      </c>
      <c r="I2052" s="71">
        <v>40.6</v>
      </c>
      <c r="J2052" s="70"/>
      <c r="K2052" s="70"/>
      <c r="L2052" s="70"/>
      <c r="M2052" s="70"/>
      <c r="N2052" s="70"/>
    </row>
    <row r="2053" spans="1:14" hidden="1" x14ac:dyDescent="0.25">
      <c r="A2053" s="70" t="s">
        <v>346</v>
      </c>
      <c r="B2053" s="70" t="s">
        <v>420</v>
      </c>
      <c r="C2053" s="70" t="s">
        <v>421</v>
      </c>
      <c r="D2053" s="70" t="s">
        <v>422</v>
      </c>
      <c r="E2053" s="70">
        <v>2</v>
      </c>
      <c r="F2053" s="70">
        <v>10</v>
      </c>
      <c r="G2053" s="70">
        <v>120</v>
      </c>
      <c r="H2053" s="70">
        <v>10</v>
      </c>
      <c r="I2053" s="71">
        <v>40.6</v>
      </c>
      <c r="J2053" s="70"/>
      <c r="K2053" s="70"/>
      <c r="L2053" s="70"/>
      <c r="M2053" s="70"/>
      <c r="N2053" s="70"/>
    </row>
    <row r="2054" spans="1:14" hidden="1" x14ac:dyDescent="0.25">
      <c r="A2054" s="70" t="s">
        <v>346</v>
      </c>
      <c r="B2054" s="70" t="s">
        <v>420</v>
      </c>
      <c r="C2054" s="70" t="s">
        <v>421</v>
      </c>
      <c r="D2054" s="70" t="s">
        <v>422</v>
      </c>
      <c r="E2054" s="70">
        <v>2</v>
      </c>
      <c r="F2054" s="70">
        <v>10</v>
      </c>
      <c r="G2054" s="70">
        <v>140</v>
      </c>
      <c r="H2054" s="70">
        <v>10</v>
      </c>
      <c r="I2054" s="71">
        <v>40.6</v>
      </c>
      <c r="J2054" s="70"/>
      <c r="K2054" s="70"/>
      <c r="L2054" s="70"/>
      <c r="M2054" s="70"/>
      <c r="N2054" s="70"/>
    </row>
    <row r="2055" spans="1:14" hidden="1" x14ac:dyDescent="0.25">
      <c r="A2055" s="70" t="s">
        <v>346</v>
      </c>
      <c r="B2055" s="70" t="s">
        <v>420</v>
      </c>
      <c r="C2055" s="70" t="s">
        <v>421</v>
      </c>
      <c r="D2055" s="70" t="s">
        <v>422</v>
      </c>
      <c r="E2055" s="70">
        <v>2</v>
      </c>
      <c r="F2055" s="70">
        <v>12</v>
      </c>
      <c r="G2055" s="70">
        <v>60</v>
      </c>
      <c r="H2055" s="70">
        <v>12</v>
      </c>
      <c r="I2055" s="71">
        <v>65.2</v>
      </c>
      <c r="J2055" s="70"/>
      <c r="K2055" s="70"/>
      <c r="L2055" s="70"/>
      <c r="M2055" s="70"/>
      <c r="N2055" s="70"/>
    </row>
    <row r="2056" spans="1:14" hidden="1" x14ac:dyDescent="0.25">
      <c r="A2056" s="70" t="s">
        <v>346</v>
      </c>
      <c r="B2056" s="70" t="s">
        <v>420</v>
      </c>
      <c r="C2056" s="70" t="s">
        <v>421</v>
      </c>
      <c r="D2056" s="70" t="s">
        <v>422</v>
      </c>
      <c r="E2056" s="70">
        <v>2</v>
      </c>
      <c r="F2056" s="70">
        <v>12</v>
      </c>
      <c r="G2056" s="70">
        <v>80</v>
      </c>
      <c r="H2056" s="70">
        <v>12</v>
      </c>
      <c r="I2056" s="71">
        <v>65.2</v>
      </c>
      <c r="J2056" s="70"/>
      <c r="K2056" s="70"/>
      <c r="L2056" s="70"/>
      <c r="M2056" s="70"/>
      <c r="N2056" s="70"/>
    </row>
    <row r="2057" spans="1:14" hidden="1" x14ac:dyDescent="0.25">
      <c r="A2057" s="70" t="s">
        <v>346</v>
      </c>
      <c r="B2057" s="70" t="s">
        <v>420</v>
      </c>
      <c r="C2057" s="70" t="s">
        <v>421</v>
      </c>
      <c r="D2057" s="70" t="s">
        <v>422</v>
      </c>
      <c r="E2057" s="70">
        <v>2</v>
      </c>
      <c r="F2057" s="70">
        <v>12</v>
      </c>
      <c r="G2057" s="70">
        <v>100</v>
      </c>
      <c r="H2057" s="70">
        <v>12</v>
      </c>
      <c r="I2057" s="71">
        <v>65.2</v>
      </c>
      <c r="J2057" s="70"/>
      <c r="K2057" s="70"/>
      <c r="L2057" s="70"/>
      <c r="M2057" s="70"/>
      <c r="N2057" s="70"/>
    </row>
    <row r="2058" spans="1:14" hidden="1" x14ac:dyDescent="0.25">
      <c r="A2058" s="70" t="s">
        <v>346</v>
      </c>
      <c r="B2058" s="70" t="s">
        <v>420</v>
      </c>
      <c r="C2058" s="70" t="s">
        <v>421</v>
      </c>
      <c r="D2058" s="70" t="s">
        <v>422</v>
      </c>
      <c r="E2058" s="70">
        <v>2</v>
      </c>
      <c r="F2058" s="70">
        <v>12</v>
      </c>
      <c r="G2058" s="70">
        <v>110</v>
      </c>
      <c r="H2058" s="70">
        <v>12</v>
      </c>
      <c r="I2058" s="71">
        <v>65.2</v>
      </c>
      <c r="J2058" s="70"/>
      <c r="K2058" s="70"/>
      <c r="L2058" s="70"/>
      <c r="M2058" s="70"/>
      <c r="N2058" s="70"/>
    </row>
    <row r="2059" spans="1:14" hidden="1" x14ac:dyDescent="0.25">
      <c r="A2059" s="70" t="s">
        <v>346</v>
      </c>
      <c r="B2059" s="70" t="s">
        <v>420</v>
      </c>
      <c r="C2059" s="70" t="s">
        <v>421</v>
      </c>
      <c r="D2059" s="70" t="s">
        <v>422</v>
      </c>
      <c r="E2059" s="70">
        <v>2</v>
      </c>
      <c r="F2059" s="70">
        <v>12</v>
      </c>
      <c r="G2059" s="70">
        <v>115</v>
      </c>
      <c r="H2059" s="70">
        <v>12</v>
      </c>
      <c r="I2059" s="71">
        <v>65.2</v>
      </c>
      <c r="J2059" s="70"/>
      <c r="K2059" s="70"/>
      <c r="L2059" s="70"/>
      <c r="M2059" s="70"/>
      <c r="N2059" s="70"/>
    </row>
    <row r="2060" spans="1:14" hidden="1" x14ac:dyDescent="0.25">
      <c r="A2060" s="70" t="s">
        <v>346</v>
      </c>
      <c r="B2060" s="70" t="s">
        <v>420</v>
      </c>
      <c r="C2060" s="70" t="s">
        <v>421</v>
      </c>
      <c r="D2060" s="70" t="s">
        <v>422</v>
      </c>
      <c r="E2060" s="70">
        <v>2</v>
      </c>
      <c r="F2060" s="70">
        <v>12</v>
      </c>
      <c r="G2060" s="70">
        <v>120</v>
      </c>
      <c r="H2060" s="70">
        <v>12</v>
      </c>
      <c r="I2060" s="71">
        <v>65.2</v>
      </c>
      <c r="J2060" s="70"/>
      <c r="K2060" s="70"/>
      <c r="L2060" s="70"/>
      <c r="M2060" s="70"/>
      <c r="N2060" s="70"/>
    </row>
    <row r="2061" spans="1:14" hidden="1" x14ac:dyDescent="0.25">
      <c r="A2061" s="70" t="s">
        <v>346</v>
      </c>
      <c r="B2061" s="70" t="s">
        <v>420</v>
      </c>
      <c r="C2061" s="70" t="s">
        <v>421</v>
      </c>
      <c r="D2061" s="70" t="s">
        <v>422</v>
      </c>
      <c r="E2061" s="70">
        <v>2</v>
      </c>
      <c r="F2061" s="70">
        <v>12</v>
      </c>
      <c r="G2061" s="70">
        <v>130</v>
      </c>
      <c r="H2061" s="70">
        <v>12</v>
      </c>
      <c r="I2061" s="71">
        <v>65.2</v>
      </c>
      <c r="J2061" s="70"/>
      <c r="K2061" s="70"/>
      <c r="L2061" s="70"/>
      <c r="M2061" s="70"/>
      <c r="N2061" s="70"/>
    </row>
    <row r="2062" spans="1:14" hidden="1" x14ac:dyDescent="0.25">
      <c r="A2062" s="70" t="s">
        <v>346</v>
      </c>
      <c r="B2062" s="70" t="s">
        <v>420</v>
      </c>
      <c r="C2062" s="70" t="s">
        <v>421</v>
      </c>
      <c r="D2062" s="70" t="s">
        <v>422</v>
      </c>
      <c r="E2062" s="70">
        <v>2</v>
      </c>
      <c r="F2062" s="70">
        <v>12</v>
      </c>
      <c r="G2062" s="70">
        <v>140</v>
      </c>
      <c r="H2062" s="70">
        <v>12</v>
      </c>
      <c r="I2062" s="71">
        <v>65.2</v>
      </c>
      <c r="J2062" s="70"/>
      <c r="K2062" s="70"/>
      <c r="L2062" s="70"/>
      <c r="M2062" s="70"/>
      <c r="N2062" s="70"/>
    </row>
    <row r="2063" spans="1:14" hidden="1" x14ac:dyDescent="0.25">
      <c r="A2063" s="70" t="s">
        <v>346</v>
      </c>
      <c r="B2063" s="70" t="s">
        <v>420</v>
      </c>
      <c r="C2063" s="70" t="s">
        <v>421</v>
      </c>
      <c r="D2063" s="70" t="s">
        <v>422</v>
      </c>
      <c r="E2063" s="70">
        <v>2</v>
      </c>
      <c r="F2063" s="70">
        <v>12</v>
      </c>
      <c r="G2063" s="70">
        <v>160</v>
      </c>
      <c r="H2063" s="70">
        <v>12</v>
      </c>
      <c r="I2063" s="71">
        <v>65.2</v>
      </c>
      <c r="J2063" s="70"/>
      <c r="K2063" s="70"/>
      <c r="L2063" s="70"/>
      <c r="M2063" s="70"/>
      <c r="N2063" s="70"/>
    </row>
    <row r="2064" spans="1:14" hidden="1" x14ac:dyDescent="0.25">
      <c r="A2064" s="70" t="s">
        <v>346</v>
      </c>
      <c r="B2064" s="70" t="s">
        <v>420</v>
      </c>
      <c r="C2064" s="70" t="s">
        <v>421</v>
      </c>
      <c r="D2064" s="70" t="s">
        <v>422</v>
      </c>
      <c r="E2064" s="70">
        <v>2</v>
      </c>
      <c r="F2064" s="70">
        <v>12</v>
      </c>
      <c r="G2064" s="70">
        <v>180</v>
      </c>
      <c r="H2064" s="70">
        <v>12</v>
      </c>
      <c r="I2064" s="71">
        <v>65.2</v>
      </c>
      <c r="J2064" s="70"/>
      <c r="K2064" s="70"/>
      <c r="L2064" s="70"/>
      <c r="M2064" s="70"/>
      <c r="N2064" s="70"/>
    </row>
    <row r="2065" spans="1:14" hidden="1" x14ac:dyDescent="0.25">
      <c r="A2065" s="70" t="s">
        <v>346</v>
      </c>
      <c r="B2065" s="70" t="s">
        <v>420</v>
      </c>
      <c r="C2065" s="70" t="s">
        <v>421</v>
      </c>
      <c r="D2065" s="70" t="s">
        <v>422</v>
      </c>
      <c r="E2065" s="70">
        <v>2</v>
      </c>
      <c r="F2065" s="70">
        <v>12</v>
      </c>
      <c r="G2065" s="70">
        <v>200</v>
      </c>
      <c r="H2065" s="70">
        <v>12</v>
      </c>
      <c r="I2065" s="71">
        <v>65.2</v>
      </c>
      <c r="J2065" s="70"/>
      <c r="K2065" s="70"/>
      <c r="L2065" s="70"/>
      <c r="M2065" s="70"/>
      <c r="N2065" s="70"/>
    </row>
    <row r="2066" spans="1:14" hidden="1" x14ac:dyDescent="0.25">
      <c r="A2066" s="70" t="s">
        <v>346</v>
      </c>
      <c r="B2066" s="70" t="s">
        <v>420</v>
      </c>
      <c r="C2066" s="70" t="s">
        <v>421</v>
      </c>
      <c r="D2066" s="70" t="s">
        <v>422</v>
      </c>
      <c r="E2066" s="70">
        <v>2</v>
      </c>
      <c r="F2066" s="70">
        <v>16</v>
      </c>
      <c r="G2066" s="70">
        <v>120</v>
      </c>
      <c r="H2066" s="70">
        <v>16</v>
      </c>
      <c r="I2066" s="71">
        <v>137.80000000000001</v>
      </c>
      <c r="J2066" s="70"/>
      <c r="K2066" s="70"/>
      <c r="L2066" s="70"/>
      <c r="M2066" s="70"/>
      <c r="N2066" s="70"/>
    </row>
    <row r="2067" spans="1:14" hidden="1" x14ac:dyDescent="0.25">
      <c r="A2067" s="70" t="s">
        <v>346</v>
      </c>
      <c r="B2067" s="70" t="s">
        <v>420</v>
      </c>
      <c r="C2067" s="70" t="s">
        <v>421</v>
      </c>
      <c r="D2067" s="70" t="s">
        <v>422</v>
      </c>
      <c r="E2067" s="70">
        <v>2</v>
      </c>
      <c r="F2067" s="70">
        <v>16</v>
      </c>
      <c r="G2067" s="70">
        <v>140</v>
      </c>
      <c r="H2067" s="70">
        <v>16</v>
      </c>
      <c r="I2067" s="71">
        <v>137.80000000000001</v>
      </c>
      <c r="J2067" s="70"/>
      <c r="K2067" s="70"/>
      <c r="L2067" s="70"/>
      <c r="M2067" s="70"/>
      <c r="N2067" s="70"/>
    </row>
    <row r="2068" spans="1:14" hidden="1" x14ac:dyDescent="0.25">
      <c r="A2068" s="70" t="s">
        <v>346</v>
      </c>
      <c r="B2068" s="70" t="s">
        <v>420</v>
      </c>
      <c r="C2068" s="70" t="s">
        <v>421</v>
      </c>
      <c r="D2068" s="70" t="s">
        <v>422</v>
      </c>
      <c r="E2068" s="70">
        <v>2</v>
      </c>
      <c r="F2068" s="70">
        <v>16</v>
      </c>
      <c r="G2068" s="70">
        <v>150</v>
      </c>
      <c r="H2068" s="70">
        <v>16</v>
      </c>
      <c r="I2068" s="71">
        <v>137.80000000000001</v>
      </c>
      <c r="J2068" s="70"/>
      <c r="K2068" s="70"/>
      <c r="L2068" s="70"/>
      <c r="M2068" s="70"/>
      <c r="N2068" s="70"/>
    </row>
    <row r="2069" spans="1:14" hidden="1" x14ac:dyDescent="0.25">
      <c r="A2069" s="70" t="s">
        <v>346</v>
      </c>
      <c r="B2069" s="70" t="s">
        <v>420</v>
      </c>
      <c r="C2069" s="70" t="s">
        <v>421</v>
      </c>
      <c r="D2069" s="70" t="s">
        <v>422</v>
      </c>
      <c r="E2069" s="70">
        <v>2</v>
      </c>
      <c r="F2069" s="70">
        <v>16</v>
      </c>
      <c r="G2069" s="70">
        <v>160</v>
      </c>
      <c r="H2069" s="70">
        <v>16</v>
      </c>
      <c r="I2069" s="71">
        <v>137.80000000000001</v>
      </c>
      <c r="J2069" s="70"/>
      <c r="K2069" s="70"/>
      <c r="L2069" s="70"/>
      <c r="M2069" s="70"/>
      <c r="N2069" s="70"/>
    </row>
    <row r="2070" spans="1:14" hidden="1" x14ac:dyDescent="0.25">
      <c r="A2070" s="70" t="s">
        <v>346</v>
      </c>
      <c r="B2070" s="70" t="s">
        <v>420</v>
      </c>
      <c r="C2070" s="70" t="s">
        <v>421</v>
      </c>
      <c r="D2070" s="70" t="s">
        <v>422</v>
      </c>
      <c r="E2070" s="70">
        <v>2</v>
      </c>
      <c r="F2070" s="70">
        <v>16</v>
      </c>
      <c r="G2070" s="70">
        <v>180</v>
      </c>
      <c r="H2070" s="70">
        <v>16</v>
      </c>
      <c r="I2070" s="71">
        <v>137.80000000000001</v>
      </c>
      <c r="J2070" s="70"/>
      <c r="K2070" s="70"/>
      <c r="L2070" s="70"/>
      <c r="M2070" s="70"/>
      <c r="N2070" s="70"/>
    </row>
    <row r="2071" spans="1:14" hidden="1" x14ac:dyDescent="0.25">
      <c r="A2071" s="70" t="s">
        <v>346</v>
      </c>
      <c r="B2071" s="70" t="s">
        <v>420</v>
      </c>
      <c r="C2071" s="70" t="s">
        <v>421</v>
      </c>
      <c r="D2071" s="70" t="s">
        <v>422</v>
      </c>
      <c r="E2071" s="70">
        <v>2</v>
      </c>
      <c r="F2071" s="70">
        <v>16</v>
      </c>
      <c r="G2071" s="70">
        <v>200</v>
      </c>
      <c r="H2071" s="70">
        <v>16</v>
      </c>
      <c r="I2071" s="71">
        <v>137.80000000000001</v>
      </c>
      <c r="J2071" s="70"/>
      <c r="K2071" s="70"/>
      <c r="L2071" s="70"/>
      <c r="M2071" s="70"/>
      <c r="N2071" s="70"/>
    </row>
    <row r="2072" spans="1:14" hidden="1" x14ac:dyDescent="0.25">
      <c r="A2072" s="70" t="s">
        <v>346</v>
      </c>
      <c r="B2072" s="70" t="s">
        <v>420</v>
      </c>
      <c r="C2072" s="70" t="s">
        <v>421</v>
      </c>
      <c r="D2072" s="70" t="s">
        <v>422</v>
      </c>
      <c r="E2072" s="70">
        <v>2</v>
      </c>
      <c r="F2072" s="70">
        <v>16</v>
      </c>
      <c r="G2072" s="70">
        <v>250</v>
      </c>
      <c r="H2072" s="70">
        <v>16</v>
      </c>
      <c r="I2072" s="71">
        <v>137.80000000000001</v>
      </c>
      <c r="J2072" s="70"/>
      <c r="K2072" s="70"/>
      <c r="L2072" s="70"/>
      <c r="M2072" s="70"/>
      <c r="N2072" s="70"/>
    </row>
    <row r="2073" spans="1:14" hidden="1" x14ac:dyDescent="0.25">
      <c r="A2073" s="70" t="s">
        <v>346</v>
      </c>
      <c r="B2073" s="70" t="s">
        <v>420</v>
      </c>
      <c r="C2073" s="70" t="s">
        <v>423</v>
      </c>
      <c r="D2073" s="70" t="s">
        <v>422</v>
      </c>
      <c r="E2073" s="70">
        <v>3</v>
      </c>
      <c r="F2073" s="70">
        <v>8</v>
      </c>
      <c r="G2073" s="70">
        <v>80</v>
      </c>
      <c r="H2073" s="70">
        <v>8</v>
      </c>
      <c r="I2073" s="71">
        <v>22.7</v>
      </c>
      <c r="J2073" s="70"/>
      <c r="K2073" s="70"/>
      <c r="L2073" s="70"/>
      <c r="M2073" s="70"/>
      <c r="N2073" s="70"/>
    </row>
    <row r="2074" spans="1:14" hidden="1" x14ac:dyDescent="0.25">
      <c r="A2074" s="70" t="s">
        <v>346</v>
      </c>
      <c r="B2074" s="70" t="s">
        <v>420</v>
      </c>
      <c r="C2074" s="70" t="s">
        <v>423</v>
      </c>
      <c r="D2074" s="70" t="s">
        <v>422</v>
      </c>
      <c r="E2074" s="70">
        <v>3</v>
      </c>
      <c r="F2074" s="70">
        <v>8</v>
      </c>
      <c r="G2074" s="70">
        <v>90</v>
      </c>
      <c r="H2074" s="70">
        <v>8</v>
      </c>
      <c r="I2074" s="71">
        <v>22.7</v>
      </c>
      <c r="J2074" s="70"/>
      <c r="K2074" s="70"/>
      <c r="L2074" s="70"/>
      <c r="M2074" s="70"/>
      <c r="N2074" s="70"/>
    </row>
    <row r="2075" spans="1:14" hidden="1" x14ac:dyDescent="0.25">
      <c r="A2075" s="70" t="s">
        <v>346</v>
      </c>
      <c r="B2075" s="70" t="s">
        <v>420</v>
      </c>
      <c r="C2075" s="70" t="s">
        <v>423</v>
      </c>
      <c r="D2075" s="70" t="s">
        <v>422</v>
      </c>
      <c r="E2075" s="70">
        <v>3</v>
      </c>
      <c r="F2075" s="70">
        <v>8</v>
      </c>
      <c r="G2075" s="70">
        <v>100</v>
      </c>
      <c r="H2075" s="70">
        <v>8</v>
      </c>
      <c r="I2075" s="71">
        <v>22.7</v>
      </c>
      <c r="J2075" s="70"/>
      <c r="K2075" s="70"/>
      <c r="L2075" s="70"/>
      <c r="M2075" s="70"/>
      <c r="N2075" s="70"/>
    </row>
    <row r="2076" spans="1:14" hidden="1" x14ac:dyDescent="0.25">
      <c r="A2076" s="70" t="s">
        <v>346</v>
      </c>
      <c r="B2076" s="70" t="s">
        <v>420</v>
      </c>
      <c r="C2076" s="70" t="s">
        <v>423</v>
      </c>
      <c r="D2076" s="70" t="s">
        <v>422</v>
      </c>
      <c r="E2076" s="70">
        <v>3</v>
      </c>
      <c r="F2076" s="70">
        <v>8</v>
      </c>
      <c r="G2076" s="70">
        <v>115</v>
      </c>
      <c r="H2076" s="70">
        <v>8</v>
      </c>
      <c r="I2076" s="71">
        <v>22.7</v>
      </c>
      <c r="J2076" s="70"/>
      <c r="K2076" s="70"/>
      <c r="L2076" s="70"/>
      <c r="M2076" s="70"/>
      <c r="N2076" s="70"/>
    </row>
    <row r="2077" spans="1:14" hidden="1" x14ac:dyDescent="0.25">
      <c r="A2077" s="70" t="s">
        <v>346</v>
      </c>
      <c r="B2077" s="70" t="s">
        <v>420</v>
      </c>
      <c r="C2077" s="70" t="s">
        <v>423</v>
      </c>
      <c r="D2077" s="70" t="s">
        <v>422</v>
      </c>
      <c r="E2077" s="70">
        <v>3</v>
      </c>
      <c r="F2077" s="70">
        <v>8</v>
      </c>
      <c r="G2077" s="70">
        <v>120</v>
      </c>
      <c r="H2077" s="70">
        <v>8</v>
      </c>
      <c r="I2077" s="71">
        <v>22.7</v>
      </c>
      <c r="J2077" s="70"/>
      <c r="K2077" s="70"/>
      <c r="L2077" s="70"/>
      <c r="M2077" s="70"/>
      <c r="N2077" s="70"/>
    </row>
    <row r="2078" spans="1:14" hidden="1" x14ac:dyDescent="0.25">
      <c r="A2078" s="70" t="s">
        <v>346</v>
      </c>
      <c r="B2078" s="70" t="s">
        <v>420</v>
      </c>
      <c r="C2078" s="70" t="s">
        <v>423</v>
      </c>
      <c r="D2078" s="70" t="s">
        <v>422</v>
      </c>
      <c r="E2078" s="70">
        <v>3</v>
      </c>
      <c r="F2078" s="70">
        <v>8</v>
      </c>
      <c r="G2078" s="70">
        <v>140</v>
      </c>
      <c r="H2078" s="70">
        <v>8</v>
      </c>
      <c r="I2078" s="71">
        <v>22.7</v>
      </c>
      <c r="J2078" s="70"/>
      <c r="K2078" s="70"/>
      <c r="L2078" s="70"/>
      <c r="M2078" s="70"/>
      <c r="N2078" s="70"/>
    </row>
    <row r="2079" spans="1:14" hidden="1" x14ac:dyDescent="0.25">
      <c r="A2079" s="70" t="s">
        <v>346</v>
      </c>
      <c r="B2079" s="70" t="s">
        <v>420</v>
      </c>
      <c r="C2079" s="70" t="s">
        <v>423</v>
      </c>
      <c r="D2079" s="70" t="s">
        <v>422</v>
      </c>
      <c r="E2079" s="70">
        <v>3</v>
      </c>
      <c r="F2079" s="70">
        <v>12</v>
      </c>
      <c r="G2079" s="70">
        <v>120</v>
      </c>
      <c r="H2079" s="70">
        <v>12</v>
      </c>
      <c r="I2079" s="71">
        <v>65.2</v>
      </c>
      <c r="J2079" s="70"/>
      <c r="K2079" s="70"/>
      <c r="L2079" s="70"/>
      <c r="M2079" s="70"/>
      <c r="N2079" s="70"/>
    </row>
    <row r="2080" spans="1:14" hidden="1" x14ac:dyDescent="0.25">
      <c r="A2080" s="70" t="s">
        <v>346</v>
      </c>
      <c r="B2080" s="70" t="s">
        <v>420</v>
      </c>
      <c r="C2080" s="70" t="s">
        <v>423</v>
      </c>
      <c r="D2080" s="70" t="s">
        <v>422</v>
      </c>
      <c r="E2080" s="70">
        <v>3</v>
      </c>
      <c r="F2080" s="70">
        <v>12</v>
      </c>
      <c r="G2080" s="70">
        <v>140</v>
      </c>
      <c r="H2080" s="70">
        <v>12</v>
      </c>
      <c r="I2080" s="71">
        <v>65.2</v>
      </c>
      <c r="J2080" s="70"/>
      <c r="K2080" s="70"/>
      <c r="L2080" s="70"/>
      <c r="M2080" s="70"/>
      <c r="N2080" s="70"/>
    </row>
    <row r="2081" spans="1:14" hidden="1" x14ac:dyDescent="0.25">
      <c r="A2081" s="70" t="s">
        <v>346</v>
      </c>
      <c r="B2081" s="70" t="s">
        <v>420</v>
      </c>
      <c r="C2081" s="70" t="s">
        <v>423</v>
      </c>
      <c r="D2081" s="70" t="s">
        <v>422</v>
      </c>
      <c r="E2081" s="70">
        <v>3</v>
      </c>
      <c r="F2081" s="70">
        <v>16</v>
      </c>
      <c r="G2081" s="70">
        <v>100</v>
      </c>
      <c r="H2081" s="70">
        <v>16</v>
      </c>
      <c r="I2081" s="71">
        <v>137.80000000000001</v>
      </c>
      <c r="J2081" s="70"/>
      <c r="K2081" s="70"/>
      <c r="L2081" s="70"/>
      <c r="M2081" s="70"/>
      <c r="N2081" s="70"/>
    </row>
    <row r="2082" spans="1:14" hidden="1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hidden="1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hidden="1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hidden="1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hidden="1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hidden="1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hidden="1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hidden="1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hidden="1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hidden="1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hidden="1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hidden="1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hidden="1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hidden="1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hidden="1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hidden="1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hidden="1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hidden="1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hidden="1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hidden="1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hidden="1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hidden="1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hidden="1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</sheetData>
  <autoFilter ref="A1:N2104" xr:uid="{00000000-0001-0000-0000-000000000000}">
    <filterColumn colId="0">
      <filters>
        <filter val="Screw"/>
      </filters>
    </filterColumn>
    <filterColumn colId="5">
      <filters>
        <filter val="3.5"/>
      </filters>
    </filterColumn>
  </autoFilter>
  <conditionalFormatting sqref="A1:A692 A693:B859 A860:C868 A869:B869 B870:B881 A870:A1048576">
    <cfRule type="cellIs" dxfId="1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G30"/>
  <sheetViews>
    <sheetView workbookViewId="0">
      <selection sqref="A1:G1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4"/>
  <sheetViews>
    <sheetView workbookViewId="0">
      <pane ySplit="885" activePane="bottomLeft"/>
      <selection activeCell="R1" sqref="R1"/>
      <selection pane="bottomLeft" activeCell="A5" sqref="A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74"/>
  <sheetViews>
    <sheetView workbookViewId="0">
      <pane ySplit="600" activePane="bottomLeft"/>
      <selection activeCell="M1" sqref="M1"/>
      <selection pane="bottomLeft" activeCell="A8" sqref="A8:M22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48575"/>
  <sheetViews>
    <sheetView zoomScale="115" zoomScaleNormal="115" workbookViewId="0">
      <pane ySplit="1" topLeftCell="A2" activePane="bottomLeft" state="frozen"/>
      <selection pane="bottomLeft" activeCell="L15" sqref="L15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4" t="s">
        <v>174</v>
      </c>
      <c r="B3" s="74" t="s">
        <v>177</v>
      </c>
      <c r="C3" s="74" t="s">
        <v>253</v>
      </c>
      <c r="D3" s="74">
        <v>3</v>
      </c>
      <c r="E3" s="74">
        <v>2</v>
      </c>
      <c r="F3" s="74">
        <v>50</v>
      </c>
      <c r="G3" s="74">
        <v>5</v>
      </c>
      <c r="H3" s="74">
        <v>19.63</v>
      </c>
      <c r="I3" s="74">
        <v>0.7</v>
      </c>
      <c r="J3" s="75"/>
      <c r="K3" s="75"/>
      <c r="L3" s="75"/>
      <c r="M3" s="75"/>
      <c r="N3" s="74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4" t="s">
        <v>174</v>
      </c>
      <c r="B6" s="74" t="s">
        <v>179</v>
      </c>
      <c r="C6" s="74" t="s">
        <v>255</v>
      </c>
      <c r="D6" s="74">
        <v>3</v>
      </c>
      <c r="E6" s="74">
        <v>1.4</v>
      </c>
      <c r="F6" s="74">
        <v>25</v>
      </c>
      <c r="G6" s="74">
        <v>4</v>
      </c>
      <c r="H6" s="74"/>
      <c r="I6" s="74"/>
      <c r="J6" s="74"/>
      <c r="K6" s="74"/>
      <c r="L6" s="74"/>
      <c r="M6" s="74"/>
      <c r="N6" s="74" t="s">
        <v>180</v>
      </c>
    </row>
    <row r="7" spans="1:14" x14ac:dyDescent="0.25">
      <c r="A7" s="74" t="s">
        <v>174</v>
      </c>
      <c r="B7" s="74" t="s">
        <v>179</v>
      </c>
      <c r="C7" s="74" t="s">
        <v>255</v>
      </c>
      <c r="D7" s="74">
        <v>3</v>
      </c>
      <c r="E7" s="74">
        <v>1.7</v>
      </c>
      <c r="F7" s="74">
        <v>30</v>
      </c>
      <c r="G7" s="74">
        <v>4.2</v>
      </c>
      <c r="H7" s="74"/>
      <c r="I7" s="74"/>
      <c r="J7" s="74"/>
      <c r="K7" s="74"/>
      <c r="L7" s="74"/>
      <c r="M7" s="74"/>
      <c r="N7" s="74"/>
    </row>
    <row r="8" spans="1:14" x14ac:dyDescent="0.25">
      <c r="A8" s="74" t="s">
        <v>174</v>
      </c>
      <c r="B8" s="74" t="s">
        <v>179</v>
      </c>
      <c r="C8" s="74" t="s">
        <v>255</v>
      </c>
      <c r="D8" s="74">
        <v>3</v>
      </c>
      <c r="E8" s="74">
        <v>1.7</v>
      </c>
      <c r="F8" s="74">
        <v>35</v>
      </c>
      <c r="G8" s="74">
        <v>4.2</v>
      </c>
      <c r="H8" s="74"/>
      <c r="I8" s="74"/>
      <c r="J8" s="74"/>
      <c r="K8" s="74"/>
      <c r="L8" s="74"/>
      <c r="M8" s="74"/>
      <c r="N8" s="74"/>
    </row>
    <row r="9" spans="1:14" x14ac:dyDescent="0.25">
      <c r="A9" s="74" t="s">
        <v>174</v>
      </c>
      <c r="B9" s="74" t="s">
        <v>179</v>
      </c>
      <c r="C9" s="74" t="s">
        <v>255</v>
      </c>
      <c r="D9" s="74">
        <v>3</v>
      </c>
      <c r="E9" s="74">
        <v>1.7</v>
      </c>
      <c r="F9" s="74">
        <v>40</v>
      </c>
      <c r="G9" s="74">
        <v>4.2</v>
      </c>
      <c r="H9" s="74"/>
      <c r="I9" s="74"/>
      <c r="J9" s="74"/>
      <c r="K9" s="74"/>
      <c r="L9" s="74"/>
      <c r="M9" s="74"/>
      <c r="N9" s="74"/>
    </row>
    <row r="10" spans="1:14" x14ac:dyDescent="0.25">
      <c r="A10" s="74" t="s">
        <v>174</v>
      </c>
      <c r="B10" s="74" t="s">
        <v>179</v>
      </c>
      <c r="C10" s="74" t="s">
        <v>255</v>
      </c>
      <c r="D10" s="74">
        <v>3</v>
      </c>
      <c r="E10" s="74">
        <v>2</v>
      </c>
      <c r="F10" s="74">
        <v>40</v>
      </c>
      <c r="G10" s="74">
        <v>4.9000000000000004</v>
      </c>
      <c r="H10" s="74"/>
      <c r="I10" s="74"/>
      <c r="J10" s="74"/>
      <c r="K10" s="74"/>
      <c r="L10" s="74"/>
      <c r="M10" s="74"/>
      <c r="N10" s="74"/>
    </row>
    <row r="11" spans="1:14" x14ac:dyDescent="0.25">
      <c r="A11" s="74" t="s">
        <v>174</v>
      </c>
      <c r="B11" s="74" t="s">
        <v>179</v>
      </c>
      <c r="C11" s="74" t="s">
        <v>255</v>
      </c>
      <c r="D11" s="74">
        <v>3</v>
      </c>
      <c r="E11" s="74">
        <v>2</v>
      </c>
      <c r="F11" s="74">
        <v>50</v>
      </c>
      <c r="G11" s="74">
        <v>4.9000000000000004</v>
      </c>
      <c r="H11" s="74"/>
      <c r="I11" s="74"/>
      <c r="J11" s="74"/>
      <c r="K11" s="74"/>
      <c r="L11" s="74"/>
      <c r="M11" s="74"/>
      <c r="N11" s="74"/>
    </row>
    <row r="12" spans="1:14" x14ac:dyDescent="0.25">
      <c r="A12" s="74" t="s">
        <v>174</v>
      </c>
      <c r="B12" s="74" t="s">
        <v>179</v>
      </c>
      <c r="C12" s="74" t="s">
        <v>255</v>
      </c>
      <c r="D12" s="74">
        <v>3</v>
      </c>
      <c r="E12" s="74">
        <v>2.2000000000000002</v>
      </c>
      <c r="F12" s="74">
        <v>55</v>
      </c>
      <c r="G12" s="74">
        <v>5.3</v>
      </c>
      <c r="H12" s="74"/>
      <c r="I12" s="74"/>
      <c r="J12" s="74"/>
      <c r="K12" s="74"/>
      <c r="L12" s="74"/>
      <c r="M12" s="74"/>
      <c r="N12" s="74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4" t="s">
        <v>174</v>
      </c>
      <c r="B23" s="74" t="s">
        <v>181</v>
      </c>
      <c r="C23" s="74" t="s">
        <v>255</v>
      </c>
      <c r="D23" s="74">
        <v>1</v>
      </c>
      <c r="E23" s="74">
        <v>2</v>
      </c>
      <c r="F23" s="74">
        <v>50</v>
      </c>
      <c r="G23" s="74">
        <v>11.5</v>
      </c>
      <c r="H23" s="74"/>
      <c r="I23" s="74"/>
      <c r="J23" s="74"/>
      <c r="K23" s="74"/>
      <c r="L23" s="74"/>
      <c r="M23" s="74"/>
      <c r="N23" s="74"/>
    </row>
    <row r="24" spans="1:14" x14ac:dyDescent="0.25">
      <c r="A24" s="74" t="s">
        <v>174</v>
      </c>
      <c r="B24" s="74" t="s">
        <v>181</v>
      </c>
      <c r="C24" s="74" t="s">
        <v>255</v>
      </c>
      <c r="D24" s="74">
        <v>1</v>
      </c>
      <c r="E24" s="74">
        <v>2.2000000000000002</v>
      </c>
      <c r="F24" s="74">
        <v>55</v>
      </c>
      <c r="G24" s="74">
        <v>11.5</v>
      </c>
      <c r="H24" s="74"/>
      <c r="I24" s="74"/>
      <c r="J24" s="74"/>
      <c r="K24" s="74"/>
      <c r="L24" s="74"/>
      <c r="M24" s="74"/>
      <c r="N24" s="74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4" t="s">
        <v>174</v>
      </c>
      <c r="B28" s="74" t="s">
        <v>182</v>
      </c>
      <c r="C28" s="74" t="s">
        <v>256</v>
      </c>
      <c r="D28" s="74">
        <v>1</v>
      </c>
      <c r="E28" s="74">
        <v>3</v>
      </c>
      <c r="F28" s="74">
        <v>30</v>
      </c>
      <c r="G28" s="74">
        <v>6</v>
      </c>
      <c r="H28" s="74"/>
      <c r="I28" s="74"/>
      <c r="J28" s="74"/>
      <c r="K28" s="74"/>
      <c r="L28" s="74"/>
      <c r="M28" s="74"/>
      <c r="N28" s="74" t="s">
        <v>183</v>
      </c>
    </row>
    <row r="29" spans="1:14" x14ac:dyDescent="0.25">
      <c r="A29" s="74" t="s">
        <v>174</v>
      </c>
      <c r="B29" s="74" t="s">
        <v>182</v>
      </c>
      <c r="C29" s="74" t="s">
        <v>256</v>
      </c>
      <c r="D29" s="74">
        <v>1</v>
      </c>
      <c r="E29" s="74">
        <v>3</v>
      </c>
      <c r="F29" s="74">
        <v>40</v>
      </c>
      <c r="G29" s="74">
        <v>6</v>
      </c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174</v>
      </c>
      <c r="B30" s="74" t="s">
        <v>182</v>
      </c>
      <c r="C30" s="74" t="s">
        <v>256</v>
      </c>
      <c r="D30" s="74">
        <v>1</v>
      </c>
      <c r="E30" s="74">
        <v>3</v>
      </c>
      <c r="F30" s="74">
        <v>50</v>
      </c>
      <c r="G30" s="74">
        <v>6</v>
      </c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174</v>
      </c>
      <c r="B31" s="74" t="s">
        <v>182</v>
      </c>
      <c r="C31" s="74" t="s">
        <v>256</v>
      </c>
      <c r="D31" s="74">
        <v>1</v>
      </c>
      <c r="E31" s="74">
        <v>3</v>
      </c>
      <c r="F31" s="74">
        <v>60</v>
      </c>
      <c r="G31" s="74">
        <v>6</v>
      </c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174</v>
      </c>
      <c r="B32" s="74" t="s">
        <v>182</v>
      </c>
      <c r="C32" s="74" t="s">
        <v>256</v>
      </c>
      <c r="D32" s="74">
        <v>1</v>
      </c>
      <c r="E32" s="74">
        <v>3</v>
      </c>
      <c r="F32" s="74">
        <v>70</v>
      </c>
      <c r="G32" s="74">
        <v>6</v>
      </c>
      <c r="H32" s="74"/>
      <c r="I32" s="74"/>
      <c r="J32" s="74"/>
      <c r="K32" s="74"/>
      <c r="L32" s="74"/>
      <c r="M32" s="74"/>
      <c r="N32" s="74"/>
    </row>
    <row r="33" spans="1:14" x14ac:dyDescent="0.25">
      <c r="A33" t="s">
        <v>174</v>
      </c>
      <c r="B33" s="74" t="s">
        <v>184</v>
      </c>
      <c r="C33" s="74" t="s">
        <v>257</v>
      </c>
      <c r="D33" s="74">
        <v>3</v>
      </c>
      <c r="E33" s="74">
        <v>4</v>
      </c>
      <c r="F33" s="74">
        <v>75</v>
      </c>
      <c r="G33" s="74">
        <v>7.5</v>
      </c>
      <c r="H33" s="74"/>
      <c r="I33" s="74"/>
      <c r="J33" s="74"/>
      <c r="K33" s="74"/>
      <c r="L33" s="74"/>
      <c r="M33" s="74"/>
      <c r="N33" s="74" t="s">
        <v>185</v>
      </c>
    </row>
    <row r="34" spans="1:14" x14ac:dyDescent="0.25">
      <c r="A34" t="s">
        <v>174</v>
      </c>
      <c r="B34" s="74" t="s">
        <v>184</v>
      </c>
      <c r="C34" s="74" t="s">
        <v>257</v>
      </c>
      <c r="D34" s="74">
        <v>3</v>
      </c>
      <c r="E34" s="74">
        <v>5</v>
      </c>
      <c r="F34" s="74">
        <v>100</v>
      </c>
      <c r="G34" s="74">
        <v>8.5</v>
      </c>
      <c r="H34" s="74"/>
      <c r="I34" s="74"/>
      <c r="J34" s="74"/>
      <c r="K34" s="74"/>
      <c r="L34" s="74"/>
      <c r="M34" s="74"/>
      <c r="N34" s="74"/>
    </row>
    <row r="35" spans="1:14" x14ac:dyDescent="0.25">
      <c r="A35" t="s">
        <v>174</v>
      </c>
      <c r="B35" s="74" t="s">
        <v>184</v>
      </c>
      <c r="C35" s="74" t="s">
        <v>257</v>
      </c>
      <c r="D35" s="74">
        <v>3</v>
      </c>
      <c r="E35" s="74">
        <v>8</v>
      </c>
      <c r="F35" s="74">
        <v>150</v>
      </c>
      <c r="G35" s="74">
        <v>9</v>
      </c>
      <c r="H35" s="74"/>
      <c r="I35" s="74"/>
      <c r="J35" s="74"/>
      <c r="K35" s="74"/>
      <c r="L35" s="74"/>
      <c r="M35" s="74"/>
      <c r="N35" s="74"/>
    </row>
    <row r="36" spans="1:14" x14ac:dyDescent="0.25">
      <c r="A36" t="s">
        <v>174</v>
      </c>
      <c r="B36" s="74" t="s">
        <v>184</v>
      </c>
      <c r="C36" s="74" t="s">
        <v>257</v>
      </c>
      <c r="D36" s="74">
        <v>3</v>
      </c>
      <c r="E36" s="74">
        <v>6</v>
      </c>
      <c r="F36" s="74">
        <v>125</v>
      </c>
      <c r="G36" s="74">
        <v>9</v>
      </c>
      <c r="H36" s="74"/>
      <c r="I36" s="74"/>
      <c r="J36" s="74"/>
      <c r="K36" s="74"/>
      <c r="L36" s="74"/>
      <c r="M36" s="74"/>
      <c r="N36" s="74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10"/>
  <sheetViews>
    <sheetView workbookViewId="0">
      <pane ySplit="1" topLeftCell="A2" activePane="bottomLeft" state="frozen"/>
      <selection activeCell="J36" sqref="J36"/>
      <selection pane="bottomLeft" activeCell="J36" sqref="J36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6.5</v>
      </c>
      <c r="I2">
        <v>7.5</v>
      </c>
      <c r="K2">
        <v>6.9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6.5</v>
      </c>
      <c r="I3">
        <v>7.5</v>
      </c>
      <c r="K3">
        <v>6.9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6.5</v>
      </c>
      <c r="I4">
        <v>7.5</v>
      </c>
      <c r="K4">
        <v>6.9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6.5</v>
      </c>
      <c r="I5">
        <v>7.5</v>
      </c>
      <c r="K5">
        <v>6.9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6.5</v>
      </c>
      <c r="I6">
        <v>7.5</v>
      </c>
      <c r="K6">
        <v>6.9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19</v>
      </c>
      <c r="I7">
        <v>7.5</v>
      </c>
      <c r="K7">
        <v>11.4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19</v>
      </c>
      <c r="I8">
        <v>7.5</v>
      </c>
      <c r="K8">
        <v>11.4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19</v>
      </c>
      <c r="I9">
        <v>7.5</v>
      </c>
      <c r="K9">
        <v>11.4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6.5</v>
      </c>
      <c r="I10">
        <v>7.5</v>
      </c>
      <c r="K10">
        <v>6.9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workbookViewId="0">
      <pane ySplit="1" topLeftCell="A2" activePane="bottomLeft" state="frozen"/>
      <selection activeCell="J36" sqref="J36"/>
      <selection pane="bottomLeft" sqref="A1:P1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14.5</v>
      </c>
      <c r="H6">
        <v>9.4937000000000005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14.5</v>
      </c>
      <c r="H7">
        <v>9.4937000000000005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14.5</v>
      </c>
      <c r="H8">
        <v>9.4937000000000005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14.5</v>
      </c>
      <c r="H9">
        <v>9.4937000000000005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14.5</v>
      </c>
      <c r="H10">
        <v>9.4937000000000005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18.25</v>
      </c>
      <c r="H11">
        <v>20.057500000000001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18.25</v>
      </c>
      <c r="H12">
        <v>20.057500000000001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18.25</v>
      </c>
      <c r="H13">
        <v>20.057500000000001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18.25</v>
      </c>
      <c r="H14">
        <v>20.057500000000001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18.25</v>
      </c>
      <c r="H15">
        <v>20.057500000000001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20.75</v>
      </c>
      <c r="H16">
        <v>35.829599999999999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20.75</v>
      </c>
      <c r="H17">
        <v>35.829599999999999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20.75</v>
      </c>
      <c r="H18">
        <v>35.829599999999999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20.75</v>
      </c>
      <c r="H19">
        <v>35.829599999999999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20.75</v>
      </c>
      <c r="H20">
        <v>35.829599999999999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18.25</v>
      </c>
      <c r="H21">
        <v>35.799999999999997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18.25</v>
      </c>
      <c r="H22">
        <v>35.799999999999997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18.25</v>
      </c>
      <c r="H23">
        <v>35.799999999999997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18.25</v>
      </c>
      <c r="H24">
        <v>35.799999999999997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18.25</v>
      </c>
      <c r="H25">
        <v>35.799999999999997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18.25</v>
      </c>
      <c r="H26">
        <v>35.799999999999997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18.25</v>
      </c>
      <c r="H27">
        <v>35.799999999999997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14.5</v>
      </c>
      <c r="H28">
        <v>20.100000000000001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14.5</v>
      </c>
      <c r="H29">
        <v>20.100000000000001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14.5</v>
      </c>
      <c r="H30">
        <v>20.100000000000001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14.5</v>
      </c>
      <c r="H31">
        <v>20.100000000000001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14.5</v>
      </c>
      <c r="H32">
        <v>20.100000000000001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14.5</v>
      </c>
      <c r="H33">
        <v>20.100000000000001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>
        <v>3</v>
      </c>
      <c r="E34">
        <v>8</v>
      </c>
      <c r="F34">
        <v>40</v>
      </c>
      <c r="G34">
        <v>14.5</v>
      </c>
      <c r="H34">
        <v>20.100000000000001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5">
        <f t="shared" ref="O2:O7" si="2">N2^2*PI()/4</f>
        <v>324.29278662239852</v>
      </c>
      <c r="P2" s="55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5">
        <f t="shared" si="2"/>
        <v>324.29278662239852</v>
      </c>
      <c r="P3" s="55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5">
        <f t="shared" si="2"/>
        <v>324.29278662239852</v>
      </c>
      <c r="P4" s="55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5">
        <f t="shared" si="2"/>
        <v>324.29278662239852</v>
      </c>
      <c r="P5" s="55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5">
        <f t="shared" si="2"/>
        <v>324.29278662239852</v>
      </c>
      <c r="P6" s="55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5">
        <f t="shared" si="2"/>
        <v>324.29278662239852</v>
      </c>
      <c r="P7" s="55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5">
        <f t="shared" ref="O8" si="5">N8^2*PI()/4</f>
        <v>324.29278662239852</v>
      </c>
      <c r="P8" s="55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5">
        <f t="shared" ref="O9:O13" si="8">N9^2*PI()/4</f>
        <v>225.11467004397724</v>
      </c>
      <c r="P9" s="55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5">
        <f t="shared" si="8"/>
        <v>225.11467004397724</v>
      </c>
      <c r="P10" s="55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5">
        <f t="shared" si="8"/>
        <v>225.11467004397724</v>
      </c>
      <c r="P11" s="55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5">
        <f t="shared" si="8"/>
        <v>225.11467004397724</v>
      </c>
      <c r="P12" s="55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5">
        <f t="shared" si="8"/>
        <v>225.11467004397724</v>
      </c>
      <c r="P13" s="55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5">
        <f t="shared" ref="O14" si="11">N14^2*PI()/4</f>
        <v>225.11467004397724</v>
      </c>
      <c r="P14" s="55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5">
        <f>N147^2*PI()/4</f>
        <v>32.87747397816424</v>
      </c>
      <c r="P147" s="55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5">
        <f t="shared" ref="O148:O168" si="19">N148^2*PI()/4</f>
        <v>52.296207948717132</v>
      </c>
      <c r="P148" s="55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5">
        <f t="shared" si="19"/>
        <v>76.201293308228927</v>
      </c>
      <c r="P149" s="55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5">
        <f t="shared" si="19"/>
        <v>104.77407849262809</v>
      </c>
      <c r="P150" s="55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5">
        <f t="shared" si="19"/>
        <v>144.20106629518003</v>
      </c>
      <c r="P151" s="55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5">
        <f t="shared" si="19"/>
        <v>175.06909907229186</v>
      </c>
      <c r="P152" s="55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5">
        <f t="shared" si="19"/>
        <v>225.11467004397724</v>
      </c>
      <c r="P153" s="55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5">
        <f t="shared" si="19"/>
        <v>281.44342632284224</v>
      </c>
      <c r="P154" s="55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5">
        <f t="shared" si="19"/>
        <v>324.29278662239852</v>
      </c>
      <c r="P155" s="55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5">
        <f t="shared" si="19"/>
        <v>427.1171141743925</v>
      </c>
      <c r="P156" s="55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5">
        <f t="shared" si="19"/>
        <v>519.15140613818323</v>
      </c>
      <c r="P157" s="55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5">
        <f t="shared" si="19"/>
        <v>32.87747397816424</v>
      </c>
      <c r="P158" s="55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5">
        <f t="shared" si="19"/>
        <v>52.296207948717132</v>
      </c>
      <c r="P159" s="55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5">
        <f t="shared" si="19"/>
        <v>76.201293308228927</v>
      </c>
      <c r="P160" s="55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5">
        <f t="shared" si="19"/>
        <v>104.77407849262809</v>
      </c>
      <c r="P161" s="55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5">
        <f t="shared" si="19"/>
        <v>144.20106629518003</v>
      </c>
      <c r="P162" s="55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5">
        <f t="shared" si="19"/>
        <v>175.06909907229186</v>
      </c>
      <c r="P163" s="55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5">
        <f t="shared" si="19"/>
        <v>225.11467004397724</v>
      </c>
      <c r="P164" s="55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5">
        <f t="shared" si="19"/>
        <v>281.44342632284224</v>
      </c>
      <c r="P165" s="55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5">
        <f t="shared" si="19"/>
        <v>324.29278662239852</v>
      </c>
      <c r="P166" s="55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5">
        <f t="shared" si="19"/>
        <v>427.1171141743925</v>
      </c>
      <c r="P167" s="55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5">
        <f t="shared" si="19"/>
        <v>519.15140613818323</v>
      </c>
      <c r="P168" s="55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t="s">
        <v>308</v>
      </c>
      <c r="I1" t="s">
        <v>316</v>
      </c>
      <c r="J1" t="s">
        <v>317</v>
      </c>
      <c r="M1" t="s">
        <v>309</v>
      </c>
      <c r="N1" t="s">
        <v>310</v>
      </c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57">
        <f>7.5*I2/1000</f>
        <v>2.9772873578070471</v>
      </c>
      <c r="I2" s="56">
        <f>(F2^2-E2^2)*PI()/4</f>
        <v>396.97164770760628</v>
      </c>
      <c r="J2" s="54">
        <f>H2/I2*1000</f>
        <v>7.5</v>
      </c>
      <c r="M2">
        <f t="shared" ref="M2:M30" si="0">12*G2</f>
        <v>24</v>
      </c>
      <c r="N2">
        <f t="shared" ref="N2:N30" si="1">4*D2</f>
        <v>32</v>
      </c>
      <c r="O2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>
        <v>4.6500000000000004</v>
      </c>
      <c r="I3" s="56">
        <f t="shared" ref="I3:I30" si="2">(F3^2-E3^2)*PI()/4</f>
        <v>620.26819954313476</v>
      </c>
      <c r="J3" s="54">
        <f t="shared" ref="J3:J30" si="3">H3/I3*1000</f>
        <v>7.4967570535213772</v>
      </c>
      <c r="M3">
        <f t="shared" si="0"/>
        <v>30</v>
      </c>
      <c r="N3">
        <f t="shared" si="1"/>
        <v>40</v>
      </c>
      <c r="O3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>
        <v>7.07</v>
      </c>
      <c r="I4" s="56">
        <f t="shared" si="2"/>
        <v>942.47779607693792</v>
      </c>
      <c r="J4" s="54">
        <f t="shared" si="3"/>
        <v>7.5015029843980008</v>
      </c>
      <c r="M4">
        <f t="shared" si="0"/>
        <v>36</v>
      </c>
      <c r="N4">
        <f t="shared" si="1"/>
        <v>48</v>
      </c>
      <c r="O4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57">
        <f>7.5*I5/1000</f>
        <v>10.078621931797754</v>
      </c>
      <c r="I5" s="56">
        <f t="shared" si="2"/>
        <v>1343.8162575730339</v>
      </c>
      <c r="J5" s="54">
        <f t="shared" si="3"/>
        <v>7.5</v>
      </c>
      <c r="M5">
        <f t="shared" si="0"/>
        <v>36</v>
      </c>
      <c r="N5">
        <f t="shared" si="1"/>
        <v>56</v>
      </c>
      <c r="O5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>
        <v>13.02</v>
      </c>
      <c r="I6" s="56">
        <f t="shared" si="2"/>
        <v>1736.5153392717582</v>
      </c>
      <c r="J6" s="54">
        <f t="shared" si="3"/>
        <v>7.4977742525788411</v>
      </c>
      <c r="M6">
        <f t="shared" si="0"/>
        <v>36</v>
      </c>
      <c r="N6">
        <f t="shared" si="1"/>
        <v>64</v>
      </c>
      <c r="O6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57">
        <f>7.5*I7/1000</f>
        <v>16.116370312915638</v>
      </c>
      <c r="I7" s="56">
        <f t="shared" si="2"/>
        <v>2148.8493750554185</v>
      </c>
      <c r="J7" s="54">
        <f t="shared" si="3"/>
        <v>7.5</v>
      </c>
      <c r="M7">
        <f t="shared" si="0"/>
        <v>48</v>
      </c>
      <c r="N7">
        <f t="shared" si="1"/>
        <v>72</v>
      </c>
      <c r="O7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>
        <v>18.350000000000001</v>
      </c>
      <c r="I8" s="56">
        <f t="shared" si="2"/>
        <v>2447.3006771464488</v>
      </c>
      <c r="J8" s="54">
        <f t="shared" si="3"/>
        <v>7.4980570108761997</v>
      </c>
      <c r="M8">
        <f t="shared" si="0"/>
        <v>48</v>
      </c>
      <c r="N8">
        <f t="shared" si="1"/>
        <v>80</v>
      </c>
      <c r="O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>
        <v>6.1</v>
      </c>
      <c r="I9" s="56">
        <f t="shared" si="2"/>
        <v>812.88709911635897</v>
      </c>
      <c r="J9" s="54">
        <f t="shared" si="3"/>
        <v>7.5041171235598965</v>
      </c>
      <c r="M9">
        <f t="shared" si="0"/>
        <v>36</v>
      </c>
      <c r="N9">
        <f t="shared" si="1"/>
        <v>40</v>
      </c>
      <c r="O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>
        <v>10.33</v>
      </c>
      <c r="I10" s="56">
        <f t="shared" si="2"/>
        <v>1377.3920290582748</v>
      </c>
      <c r="J10" s="54">
        <f t="shared" si="3"/>
        <v>7.4996803974992057</v>
      </c>
      <c r="M10">
        <f t="shared" si="0"/>
        <v>48</v>
      </c>
      <c r="N10">
        <f t="shared" si="1"/>
        <v>48</v>
      </c>
      <c r="O10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>
        <v>16.670000000000002</v>
      </c>
      <c r="I11" s="56">
        <f t="shared" si="2"/>
        <v>2222.4804528739292</v>
      </c>
      <c r="J11" s="54">
        <f t="shared" si="3"/>
        <v>7.500628398528197</v>
      </c>
      <c r="M11">
        <f t="shared" si="0"/>
        <v>60</v>
      </c>
      <c r="N11">
        <f t="shared" si="1"/>
        <v>64</v>
      </c>
      <c r="O11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>
        <v>27.69</v>
      </c>
      <c r="I12" s="56">
        <f t="shared" si="2"/>
        <v>3691.3713679680068</v>
      </c>
      <c r="J12" s="54">
        <f t="shared" si="3"/>
        <v>7.5012772327056725</v>
      </c>
      <c r="M12">
        <f t="shared" si="0"/>
        <v>72</v>
      </c>
      <c r="N12">
        <f t="shared" si="1"/>
        <v>80</v>
      </c>
      <c r="O12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>
        <v>34.31</v>
      </c>
      <c r="I13" s="56">
        <f t="shared" si="2"/>
        <v>4574.1589036267387</v>
      </c>
      <c r="J13" s="54">
        <f t="shared" si="3"/>
        <v>7.50083255148754</v>
      </c>
      <c r="M13">
        <f t="shared" si="0"/>
        <v>72</v>
      </c>
      <c r="N13">
        <f t="shared" si="1"/>
        <v>88</v>
      </c>
      <c r="O13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>
        <v>18.66</v>
      </c>
      <c r="I14" s="56">
        <f t="shared" si="2"/>
        <v>2488.1413816431163</v>
      </c>
      <c r="J14" s="54">
        <f t="shared" si="3"/>
        <v>7.4995738335726436</v>
      </c>
      <c r="M14">
        <f t="shared" si="0"/>
        <v>72</v>
      </c>
      <c r="N14">
        <f t="shared" si="1"/>
        <v>48</v>
      </c>
      <c r="O14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>
        <v>25.33</v>
      </c>
      <c r="I15" s="56">
        <f t="shared" si="2"/>
        <v>3377.2121026090276</v>
      </c>
      <c r="J15" s="54">
        <f t="shared" si="3"/>
        <v>7.5002692251492249</v>
      </c>
      <c r="M15">
        <f t="shared" si="0"/>
        <v>72</v>
      </c>
      <c r="N15">
        <f t="shared" si="1"/>
        <v>64</v>
      </c>
      <c r="O15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>
        <v>34.85</v>
      </c>
      <c r="I16" s="56">
        <f t="shared" si="2"/>
        <v>4646.4155346593043</v>
      </c>
      <c r="J16" s="54">
        <f t="shared" si="3"/>
        <v>7.5004053641008142</v>
      </c>
      <c r="M16">
        <f t="shared" si="0"/>
        <v>96</v>
      </c>
      <c r="N16">
        <f t="shared" si="1"/>
        <v>80</v>
      </c>
      <c r="O16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57">
        <f>7.5*I17/1000</f>
        <v>46.175521521544482</v>
      </c>
      <c r="I17" s="56">
        <f t="shared" si="2"/>
        <v>6156.7362028725975</v>
      </c>
      <c r="J17" s="54">
        <f t="shared" si="3"/>
        <v>7.5000000000000009</v>
      </c>
      <c r="M17">
        <f t="shared" si="0"/>
        <v>96</v>
      </c>
      <c r="N17">
        <f t="shared" si="1"/>
        <v>88</v>
      </c>
      <c r="O17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>
        <v>60.65</v>
      </c>
      <c r="I18" s="56">
        <f t="shared" si="2"/>
        <v>8086.4594903401276</v>
      </c>
      <c r="J18" s="54">
        <f t="shared" si="3"/>
        <v>7.5001921511448737</v>
      </c>
      <c r="M18">
        <f t="shared" si="0"/>
        <v>96</v>
      </c>
      <c r="N18">
        <f t="shared" si="1"/>
        <v>96</v>
      </c>
      <c r="O1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57">
        <f>7.5*I19/1000</f>
        <v>1.092331765653171</v>
      </c>
      <c r="I19" s="56">
        <f t="shared" si="2"/>
        <v>145.6442354204228</v>
      </c>
      <c r="J19" s="54">
        <f t="shared" si="3"/>
        <v>7.5</v>
      </c>
      <c r="M19">
        <f t="shared" si="0"/>
        <v>19.200000000000003</v>
      </c>
      <c r="N19">
        <f t="shared" si="1"/>
        <v>32</v>
      </c>
      <c r="O1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>
        <v>1.71</v>
      </c>
      <c r="I20" s="56">
        <f t="shared" si="2"/>
        <v>227.56911784441064</v>
      </c>
      <c r="J20" s="54">
        <f t="shared" si="3"/>
        <v>7.5142005918796491</v>
      </c>
      <c r="M20">
        <f t="shared" si="0"/>
        <v>24</v>
      </c>
      <c r="N20">
        <f t="shared" si="1"/>
        <v>40</v>
      </c>
      <c r="O20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>
        <v>2.4</v>
      </c>
      <c r="I21" s="56">
        <f t="shared" si="2"/>
        <v>319.65705250276147</v>
      </c>
      <c r="J21" s="54">
        <f t="shared" si="3"/>
        <v>7.5080464554407627</v>
      </c>
      <c r="M21">
        <f t="shared" si="0"/>
        <v>30</v>
      </c>
      <c r="N21">
        <f t="shared" si="1"/>
        <v>48</v>
      </c>
      <c r="O21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>
        <v>3.6</v>
      </c>
      <c r="I22" s="56">
        <f t="shared" si="2"/>
        <v>479.87827783584089</v>
      </c>
      <c r="J22" s="54">
        <f t="shared" si="3"/>
        <v>7.501902391238275</v>
      </c>
      <c r="M22">
        <f t="shared" si="0"/>
        <v>36</v>
      </c>
      <c r="N22">
        <f t="shared" si="1"/>
        <v>64</v>
      </c>
      <c r="O22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>
        <v>5.47</v>
      </c>
      <c r="I23" s="56">
        <f t="shared" si="2"/>
        <v>728.84949563283203</v>
      </c>
      <c r="J23" s="54">
        <f t="shared" si="3"/>
        <v>7.5049787820057539</v>
      </c>
      <c r="M23">
        <f t="shared" si="0"/>
        <v>36</v>
      </c>
      <c r="N23">
        <f t="shared" si="1"/>
        <v>80</v>
      </c>
      <c r="O23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>
        <v>7.72</v>
      </c>
      <c r="I24" s="56">
        <f t="shared" si="2"/>
        <v>1029.6569922140548</v>
      </c>
      <c r="J24" s="54">
        <f t="shared" si="3"/>
        <v>7.4976424754808964</v>
      </c>
      <c r="M24">
        <f t="shared" si="0"/>
        <v>48</v>
      </c>
      <c r="N24">
        <f t="shared" si="1"/>
        <v>96</v>
      </c>
      <c r="O24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57">
        <f t="shared" ref="H25:H30" si="5">7.5*I25/1000</f>
        <v>10.108074362925159</v>
      </c>
      <c r="I25" s="56">
        <f t="shared" si="2"/>
        <v>1347.7432483900213</v>
      </c>
      <c r="J25" s="54">
        <f t="shared" si="3"/>
        <v>7.4999999999999991</v>
      </c>
      <c r="M25">
        <f t="shared" si="0"/>
        <v>48</v>
      </c>
      <c r="N25">
        <f t="shared" si="1"/>
        <v>108</v>
      </c>
      <c r="O25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57">
        <f t="shared" si="5"/>
        <v>12.811807540420876</v>
      </c>
      <c r="I26" s="56">
        <f t="shared" si="2"/>
        <v>1708.24100538945</v>
      </c>
      <c r="J26" s="54">
        <f t="shared" si="3"/>
        <v>7.5000000000000009</v>
      </c>
      <c r="M26">
        <f t="shared" si="0"/>
        <v>48</v>
      </c>
      <c r="N26">
        <f t="shared" si="1"/>
        <v>120</v>
      </c>
      <c r="O26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57">
        <f t="shared" si="5"/>
        <v>2.0248546400090461</v>
      </c>
      <c r="I27" s="56">
        <f t="shared" si="2"/>
        <v>269.98061866787282</v>
      </c>
      <c r="J27" s="54">
        <f t="shared" si="3"/>
        <v>7.5</v>
      </c>
      <c r="M27">
        <f t="shared" si="0"/>
        <v>48</v>
      </c>
      <c r="N27">
        <f t="shared" si="1"/>
        <v>24</v>
      </c>
      <c r="O27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57">
        <f t="shared" si="5"/>
        <v>3.2559662611345468</v>
      </c>
      <c r="I28" s="56">
        <f t="shared" si="2"/>
        <v>434.12883481793955</v>
      </c>
      <c r="J28" s="54">
        <f t="shared" si="3"/>
        <v>7.5000000000000009</v>
      </c>
      <c r="M28">
        <f t="shared" si="0"/>
        <v>60</v>
      </c>
      <c r="N28">
        <f t="shared" si="1"/>
        <v>32</v>
      </c>
      <c r="O2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57">
        <f t="shared" si="5"/>
        <v>5.3191090616092191</v>
      </c>
      <c r="I29" s="56">
        <f t="shared" si="2"/>
        <v>709.21454154789581</v>
      </c>
      <c r="J29" s="54">
        <f t="shared" si="3"/>
        <v>7.5000000000000009</v>
      </c>
      <c r="M29">
        <f t="shared" si="0"/>
        <v>72</v>
      </c>
      <c r="N29">
        <f t="shared" si="1"/>
        <v>40</v>
      </c>
      <c r="O2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57">
        <f t="shared" si="5"/>
        <v>6.909540342489052</v>
      </c>
      <c r="I30" s="56">
        <f t="shared" si="2"/>
        <v>921.27204566520686</v>
      </c>
      <c r="J30" s="54">
        <f t="shared" si="3"/>
        <v>7.5000000000000009</v>
      </c>
      <c r="M30">
        <f t="shared" si="0"/>
        <v>90</v>
      </c>
      <c r="N30">
        <f t="shared" si="1"/>
        <v>48</v>
      </c>
      <c r="O30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551"/>
  <sheetViews>
    <sheetView workbookViewId="0">
      <pane ySplit="600" activePane="bottomLeft"/>
      <selection activeCell="M1" sqref="M1"/>
      <selection pane="bottomLeft" activeCell="H506" sqref="H50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dimension ref="A1:Y665"/>
  <sheetViews>
    <sheetView workbookViewId="0">
      <pane ySplit="600" topLeftCell="A406" activePane="bottomLeft"/>
      <selection activeCell="M1" sqref="M1"/>
      <selection pane="bottomLeft" activeCell="A2" sqref="A2:M41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9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9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9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9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9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9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9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9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9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9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9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9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9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9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9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9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9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9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9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9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dimension ref="A1:Y275"/>
  <sheetViews>
    <sheetView workbookViewId="0">
      <pane ySplit="600" activePane="bottomLeft"/>
      <selection activeCell="M1" sqref="M1"/>
      <selection pane="bottomLeft" activeCell="C42" sqref="C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68"/>
  <sheetViews>
    <sheetView tabSelected="1" topLeftCell="A47" workbookViewId="0">
      <selection activeCell="E68" sqref="E68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6" t="s">
        <v>424</v>
      </c>
      <c r="B1" s="76" t="s">
        <v>468</v>
      </c>
      <c r="C1" s="77" t="s">
        <v>469</v>
      </c>
      <c r="D1" s="77" t="s">
        <v>232</v>
      </c>
      <c r="E1" s="76" t="s">
        <v>18</v>
      </c>
      <c r="F1" s="76" t="s">
        <v>20</v>
      </c>
      <c r="G1" s="76" t="s">
        <v>22</v>
      </c>
      <c r="H1" s="77" t="s">
        <v>215</v>
      </c>
      <c r="I1" s="77" t="s">
        <v>214</v>
      </c>
      <c r="J1" s="77" t="s">
        <v>171</v>
      </c>
      <c r="K1" s="77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472</v>
      </c>
      <c r="B2" t="s">
        <v>474</v>
      </c>
      <c r="C2" t="s">
        <v>473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</row>
    <row r="3" spans="1:15" x14ac:dyDescent="0.25">
      <c r="A3" t="s">
        <v>472</v>
      </c>
      <c r="B3" t="s">
        <v>474</v>
      </c>
      <c r="C3" t="s">
        <v>473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</row>
    <row r="4" spans="1:15" x14ac:dyDescent="0.25">
      <c r="A4" t="s">
        <v>472</v>
      </c>
      <c r="B4" t="s">
        <v>474</v>
      </c>
      <c r="C4" t="s">
        <v>473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</row>
    <row r="5" spans="1:15" x14ac:dyDescent="0.25">
      <c r="A5" t="s">
        <v>472</v>
      </c>
      <c r="B5" t="s">
        <v>474</v>
      </c>
      <c r="C5" t="s">
        <v>473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</row>
    <row r="6" spans="1:15" x14ac:dyDescent="0.25">
      <c r="A6" t="s">
        <v>472</v>
      </c>
      <c r="B6" t="s">
        <v>474</v>
      </c>
      <c r="C6" t="s">
        <v>473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</row>
    <row r="7" spans="1:15" x14ac:dyDescent="0.25">
      <c r="A7" t="s">
        <v>472</v>
      </c>
      <c r="B7" t="s">
        <v>474</v>
      </c>
      <c r="C7" t="s">
        <v>473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</row>
    <row r="8" spans="1:15" x14ac:dyDescent="0.25">
      <c r="A8" t="s">
        <v>472</v>
      </c>
      <c r="B8" t="s">
        <v>474</v>
      </c>
      <c r="C8" t="s">
        <v>473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</row>
    <row r="9" spans="1:15" x14ac:dyDescent="0.25">
      <c r="A9" t="s">
        <v>472</v>
      </c>
      <c r="B9" t="s">
        <v>474</v>
      </c>
      <c r="C9" t="s">
        <v>473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</row>
    <row r="10" spans="1:15" x14ac:dyDescent="0.25">
      <c r="A10" t="s">
        <v>472</v>
      </c>
      <c r="B10" t="s">
        <v>474</v>
      </c>
      <c r="C10" t="s">
        <v>473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</row>
    <row r="11" spans="1:15" x14ac:dyDescent="0.25">
      <c r="A11" t="s">
        <v>472</v>
      </c>
      <c r="B11" t="s">
        <v>474</v>
      </c>
      <c r="C11" t="s">
        <v>473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</row>
    <row r="12" spans="1:15" x14ac:dyDescent="0.25">
      <c r="A12" t="s">
        <v>472</v>
      </c>
      <c r="B12" t="s">
        <v>474</v>
      </c>
      <c r="C12" t="s">
        <v>473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</row>
    <row r="13" spans="1:15" x14ac:dyDescent="0.25">
      <c r="A13" t="s">
        <v>472</v>
      </c>
      <c r="B13" t="s">
        <v>474</v>
      </c>
      <c r="C13" t="s">
        <v>473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</row>
    <row r="14" spans="1:15" x14ac:dyDescent="0.25">
      <c r="A14" t="s">
        <v>472</v>
      </c>
      <c r="B14" t="s">
        <v>474</v>
      </c>
      <c r="C14" t="s">
        <v>473</v>
      </c>
      <c r="D14" s="80">
        <v>2</v>
      </c>
      <c r="E14" s="80">
        <v>8</v>
      </c>
      <c r="F14" s="80">
        <v>375</v>
      </c>
      <c r="G14" s="80">
        <v>10</v>
      </c>
      <c r="H14" s="80">
        <v>25</v>
      </c>
      <c r="I14" s="80">
        <v>11.1</v>
      </c>
      <c r="J14" s="80">
        <v>12</v>
      </c>
      <c r="K14" s="80">
        <v>25</v>
      </c>
    </row>
    <row r="15" spans="1:15" x14ac:dyDescent="0.25">
      <c r="A15" t="s">
        <v>472</v>
      </c>
      <c r="B15" t="s">
        <v>474</v>
      </c>
      <c r="C15" t="s">
        <v>473</v>
      </c>
      <c r="D15" s="80">
        <v>2</v>
      </c>
      <c r="E15" s="80">
        <v>8</v>
      </c>
      <c r="F15" s="80">
        <v>400</v>
      </c>
      <c r="G15" s="80">
        <v>10</v>
      </c>
      <c r="H15" s="80">
        <v>25</v>
      </c>
      <c r="I15" s="80">
        <v>11.1</v>
      </c>
      <c r="J15" s="80">
        <v>12</v>
      </c>
      <c r="K15" s="80">
        <v>25</v>
      </c>
    </row>
    <row r="16" spans="1:15" x14ac:dyDescent="0.25">
      <c r="A16" t="s">
        <v>472</v>
      </c>
      <c r="B16" t="s">
        <v>474</v>
      </c>
      <c r="C16" t="s">
        <v>473</v>
      </c>
      <c r="D16" s="80">
        <v>2</v>
      </c>
      <c r="E16" s="80">
        <v>8</v>
      </c>
      <c r="F16" s="80">
        <v>430</v>
      </c>
      <c r="G16" s="80">
        <v>10</v>
      </c>
      <c r="H16" s="80">
        <v>25</v>
      </c>
      <c r="I16" s="80">
        <v>11.1</v>
      </c>
      <c r="J16" s="80">
        <v>12</v>
      </c>
      <c r="K16" s="80">
        <v>25</v>
      </c>
    </row>
    <row r="17" spans="1:11" x14ac:dyDescent="0.25">
      <c r="A17" t="s">
        <v>472</v>
      </c>
      <c r="B17" t="s">
        <v>474</v>
      </c>
      <c r="C17" t="s">
        <v>473</v>
      </c>
      <c r="D17" s="80">
        <v>2</v>
      </c>
      <c r="E17" s="80">
        <v>8</v>
      </c>
      <c r="F17" s="80">
        <v>480</v>
      </c>
      <c r="G17" s="80">
        <v>10</v>
      </c>
      <c r="H17" s="80">
        <v>25</v>
      </c>
      <c r="I17" s="80">
        <v>11.1</v>
      </c>
      <c r="J17" s="80">
        <v>12</v>
      </c>
      <c r="K17" s="80">
        <v>25</v>
      </c>
    </row>
    <row r="18" spans="1:11" x14ac:dyDescent="0.25">
      <c r="A18" t="s">
        <v>472</v>
      </c>
      <c r="B18" t="s">
        <v>474</v>
      </c>
      <c r="C18" t="s">
        <v>473</v>
      </c>
      <c r="D18" s="80">
        <v>2</v>
      </c>
      <c r="E18" s="80">
        <v>10</v>
      </c>
      <c r="F18" s="80">
        <v>300</v>
      </c>
      <c r="G18" s="80">
        <v>13</v>
      </c>
      <c r="H18" s="80">
        <v>40</v>
      </c>
      <c r="I18" s="80">
        <v>10.8</v>
      </c>
      <c r="J18" s="80">
        <v>12</v>
      </c>
      <c r="K18" s="80">
        <v>33</v>
      </c>
    </row>
    <row r="19" spans="1:11" x14ac:dyDescent="0.25">
      <c r="A19" t="s">
        <v>472</v>
      </c>
      <c r="B19" t="s">
        <v>474</v>
      </c>
      <c r="C19" t="s">
        <v>473</v>
      </c>
      <c r="D19" s="80">
        <v>2</v>
      </c>
      <c r="E19" s="80">
        <v>10</v>
      </c>
      <c r="F19" s="80">
        <v>330</v>
      </c>
      <c r="G19" s="80">
        <v>13</v>
      </c>
      <c r="H19" s="80">
        <v>40</v>
      </c>
      <c r="I19" s="80">
        <v>10.8</v>
      </c>
      <c r="J19" s="80">
        <v>12</v>
      </c>
      <c r="K19" s="80">
        <v>33</v>
      </c>
    </row>
    <row r="20" spans="1:11" x14ac:dyDescent="0.25">
      <c r="A20" t="s">
        <v>472</v>
      </c>
      <c r="B20" t="s">
        <v>474</v>
      </c>
      <c r="C20" t="s">
        <v>473</v>
      </c>
      <c r="D20" s="80">
        <v>2</v>
      </c>
      <c r="E20" s="80">
        <v>10</v>
      </c>
      <c r="F20" s="80">
        <v>360</v>
      </c>
      <c r="G20" s="80">
        <v>13</v>
      </c>
      <c r="H20" s="80">
        <v>40</v>
      </c>
      <c r="I20" s="80">
        <v>10.8</v>
      </c>
      <c r="J20" s="80">
        <v>12</v>
      </c>
      <c r="K20" s="80">
        <v>33</v>
      </c>
    </row>
    <row r="21" spans="1:11" x14ac:dyDescent="0.25">
      <c r="A21" t="s">
        <v>472</v>
      </c>
      <c r="B21" t="s">
        <v>474</v>
      </c>
      <c r="C21" t="s">
        <v>473</v>
      </c>
      <c r="D21" s="80">
        <v>2</v>
      </c>
      <c r="E21" s="80">
        <v>10</v>
      </c>
      <c r="F21" s="80">
        <v>400</v>
      </c>
      <c r="G21" s="80">
        <v>13</v>
      </c>
      <c r="H21" s="80">
        <v>40</v>
      </c>
      <c r="I21" s="80">
        <v>10.8</v>
      </c>
      <c r="J21" s="80">
        <v>12</v>
      </c>
      <c r="K21" s="80">
        <v>33</v>
      </c>
    </row>
    <row r="22" spans="1:11" x14ac:dyDescent="0.25">
      <c r="A22" t="s">
        <v>472</v>
      </c>
      <c r="B22" t="s">
        <v>474</v>
      </c>
      <c r="C22" t="s">
        <v>473</v>
      </c>
      <c r="D22" s="80">
        <v>2</v>
      </c>
      <c r="E22" s="80">
        <v>10</v>
      </c>
      <c r="F22" s="80">
        <v>450</v>
      </c>
      <c r="G22" s="80">
        <v>13</v>
      </c>
      <c r="H22" s="80">
        <v>40</v>
      </c>
      <c r="I22" s="80">
        <v>10.8</v>
      </c>
      <c r="J22" s="80">
        <v>12</v>
      </c>
      <c r="K22" s="80">
        <v>33</v>
      </c>
    </row>
    <row r="23" spans="1:11" x14ac:dyDescent="0.25">
      <c r="A23" t="s">
        <v>472</v>
      </c>
      <c r="B23" t="s">
        <v>474</v>
      </c>
      <c r="C23" t="s">
        <v>473</v>
      </c>
      <c r="D23" s="80">
        <v>2</v>
      </c>
      <c r="E23" s="80">
        <v>10</v>
      </c>
      <c r="F23" s="80">
        <v>500</v>
      </c>
      <c r="G23" s="80">
        <v>13</v>
      </c>
      <c r="H23" s="80">
        <v>40</v>
      </c>
      <c r="I23" s="80">
        <v>10.8</v>
      </c>
      <c r="J23" s="80">
        <v>12</v>
      </c>
      <c r="K23" s="80">
        <v>33</v>
      </c>
    </row>
    <row r="24" spans="1:11" x14ac:dyDescent="0.25">
      <c r="A24" t="s">
        <v>472</v>
      </c>
      <c r="B24" t="s">
        <v>474</v>
      </c>
      <c r="C24" t="s">
        <v>473</v>
      </c>
      <c r="D24" s="80">
        <v>2</v>
      </c>
      <c r="E24" s="80">
        <v>10</v>
      </c>
      <c r="F24" s="80">
        <v>550</v>
      </c>
      <c r="G24" s="80">
        <v>13</v>
      </c>
      <c r="H24" s="80">
        <v>40</v>
      </c>
      <c r="I24" s="80">
        <v>10.8</v>
      </c>
      <c r="J24" s="80">
        <v>12</v>
      </c>
      <c r="K24" s="80">
        <v>33</v>
      </c>
    </row>
    <row r="25" spans="1:11" x14ac:dyDescent="0.25">
      <c r="A25" t="s">
        <v>472</v>
      </c>
      <c r="B25" t="s">
        <v>474</v>
      </c>
      <c r="C25" t="s">
        <v>473</v>
      </c>
      <c r="D25" s="80">
        <v>2</v>
      </c>
      <c r="E25" s="80">
        <v>10</v>
      </c>
      <c r="F25" s="80">
        <v>600</v>
      </c>
      <c r="G25" s="80">
        <v>13</v>
      </c>
      <c r="H25" s="80">
        <v>40</v>
      </c>
      <c r="I25" s="80">
        <v>10.8</v>
      </c>
      <c r="J25" s="80">
        <v>12</v>
      </c>
      <c r="K25" s="80">
        <v>33</v>
      </c>
    </row>
    <row r="26" spans="1:11" x14ac:dyDescent="0.25">
      <c r="A26" t="s">
        <v>472</v>
      </c>
      <c r="B26" t="s">
        <v>475</v>
      </c>
      <c r="C26" t="s">
        <v>476</v>
      </c>
      <c r="D26">
        <v>2</v>
      </c>
      <c r="E26">
        <v>8</v>
      </c>
      <c r="F26">
        <v>95</v>
      </c>
      <c r="G26" s="80">
        <v>14.5</v>
      </c>
      <c r="H26" s="80">
        <v>25</v>
      </c>
      <c r="I26" s="80">
        <v>11.1</v>
      </c>
      <c r="J26" s="80">
        <v>12</v>
      </c>
      <c r="K26">
        <v>25</v>
      </c>
    </row>
    <row r="27" spans="1:11" x14ac:dyDescent="0.25">
      <c r="A27" t="s">
        <v>472</v>
      </c>
      <c r="B27" t="s">
        <v>475</v>
      </c>
      <c r="C27" t="s">
        <v>476</v>
      </c>
      <c r="D27">
        <v>2</v>
      </c>
      <c r="E27">
        <v>8</v>
      </c>
      <c r="F27">
        <v>125</v>
      </c>
      <c r="G27" s="80">
        <v>14.5</v>
      </c>
      <c r="H27" s="80">
        <v>25</v>
      </c>
      <c r="I27" s="80">
        <v>11.1</v>
      </c>
      <c r="J27" s="80">
        <v>12</v>
      </c>
      <c r="K27">
        <v>25</v>
      </c>
    </row>
    <row r="28" spans="1:11" x14ac:dyDescent="0.25">
      <c r="A28" t="s">
        <v>472</v>
      </c>
      <c r="B28" t="s">
        <v>475</v>
      </c>
      <c r="C28" t="s">
        <v>476</v>
      </c>
      <c r="D28">
        <v>2</v>
      </c>
      <c r="E28">
        <v>8</v>
      </c>
      <c r="F28">
        <v>155</v>
      </c>
      <c r="G28" s="80">
        <v>14.5</v>
      </c>
      <c r="H28" s="80">
        <v>25</v>
      </c>
      <c r="I28" s="80">
        <v>11.1</v>
      </c>
      <c r="J28" s="80">
        <v>12</v>
      </c>
      <c r="K28">
        <v>25</v>
      </c>
    </row>
    <row r="29" spans="1:11" x14ac:dyDescent="0.25">
      <c r="A29" t="s">
        <v>472</v>
      </c>
      <c r="B29" t="s">
        <v>475</v>
      </c>
      <c r="C29" t="s">
        <v>476</v>
      </c>
      <c r="D29">
        <v>2</v>
      </c>
      <c r="E29">
        <v>8</v>
      </c>
      <c r="F29">
        <v>195</v>
      </c>
      <c r="G29" s="80">
        <v>14.5</v>
      </c>
      <c r="H29" s="80">
        <v>25</v>
      </c>
      <c r="I29" s="80">
        <v>11.1</v>
      </c>
      <c r="J29" s="80">
        <v>12</v>
      </c>
      <c r="K29">
        <v>25</v>
      </c>
    </row>
    <row r="30" spans="1:11" x14ac:dyDescent="0.25">
      <c r="A30" t="s">
        <v>472</v>
      </c>
      <c r="B30" t="s">
        <v>475</v>
      </c>
      <c r="C30" t="s">
        <v>476</v>
      </c>
      <c r="D30">
        <v>2</v>
      </c>
      <c r="E30">
        <v>8</v>
      </c>
      <c r="F30">
        <v>220</v>
      </c>
      <c r="G30" s="80">
        <v>14.5</v>
      </c>
      <c r="H30" s="80">
        <v>25</v>
      </c>
      <c r="I30" s="80">
        <v>11.1</v>
      </c>
      <c r="J30" s="80">
        <v>12</v>
      </c>
      <c r="K30">
        <v>25</v>
      </c>
    </row>
    <row r="31" spans="1:11" x14ac:dyDescent="0.25">
      <c r="A31" t="s">
        <v>472</v>
      </c>
      <c r="B31" t="s">
        <v>475</v>
      </c>
      <c r="C31" t="s">
        <v>476</v>
      </c>
      <c r="D31">
        <v>2</v>
      </c>
      <c r="E31">
        <v>8</v>
      </c>
      <c r="F31">
        <v>245</v>
      </c>
      <c r="G31" s="80">
        <v>14.5</v>
      </c>
      <c r="H31" s="80">
        <v>25</v>
      </c>
      <c r="I31" s="80">
        <v>11.1</v>
      </c>
      <c r="J31" s="80">
        <v>12</v>
      </c>
      <c r="K31">
        <v>25</v>
      </c>
    </row>
    <row r="32" spans="1:11" x14ac:dyDescent="0.25">
      <c r="A32" t="s">
        <v>472</v>
      </c>
      <c r="B32" t="s">
        <v>475</v>
      </c>
      <c r="C32" t="s">
        <v>476</v>
      </c>
      <c r="D32">
        <v>2</v>
      </c>
      <c r="E32">
        <v>8</v>
      </c>
      <c r="F32">
        <v>270</v>
      </c>
      <c r="G32" s="80">
        <v>14.5</v>
      </c>
      <c r="H32" s="80">
        <v>25</v>
      </c>
      <c r="I32" s="80">
        <v>11.1</v>
      </c>
      <c r="J32" s="80">
        <v>12</v>
      </c>
      <c r="K32">
        <v>25</v>
      </c>
    </row>
    <row r="33" spans="1:11" x14ac:dyDescent="0.25">
      <c r="A33" t="s">
        <v>472</v>
      </c>
      <c r="B33" t="s">
        <v>475</v>
      </c>
      <c r="C33" t="s">
        <v>476</v>
      </c>
      <c r="D33">
        <v>2</v>
      </c>
      <c r="E33">
        <v>8</v>
      </c>
      <c r="F33">
        <v>295</v>
      </c>
      <c r="G33" s="80">
        <v>14.5</v>
      </c>
      <c r="H33" s="80">
        <v>25</v>
      </c>
      <c r="I33" s="80">
        <v>11.1</v>
      </c>
      <c r="J33" s="80">
        <v>12</v>
      </c>
      <c r="K33">
        <v>25</v>
      </c>
    </row>
    <row r="34" spans="1:11" x14ac:dyDescent="0.25">
      <c r="A34" t="s">
        <v>472</v>
      </c>
      <c r="B34" t="s">
        <v>475</v>
      </c>
      <c r="C34" t="s">
        <v>476</v>
      </c>
      <c r="D34">
        <v>2</v>
      </c>
      <c r="E34">
        <v>8</v>
      </c>
      <c r="F34">
        <v>330</v>
      </c>
      <c r="G34" s="80">
        <v>14.5</v>
      </c>
      <c r="H34" s="80">
        <v>25</v>
      </c>
      <c r="I34" s="80">
        <v>11.1</v>
      </c>
      <c r="J34" s="80">
        <v>12</v>
      </c>
      <c r="K34">
        <v>25</v>
      </c>
    </row>
    <row r="35" spans="1:11" x14ac:dyDescent="0.25">
      <c r="A35" t="s">
        <v>472</v>
      </c>
      <c r="B35" t="s">
        <v>475</v>
      </c>
      <c r="C35" t="s">
        <v>476</v>
      </c>
      <c r="D35">
        <v>2</v>
      </c>
      <c r="E35">
        <v>8</v>
      </c>
      <c r="F35">
        <v>375</v>
      </c>
      <c r="G35" s="80">
        <v>14.5</v>
      </c>
      <c r="H35" s="80">
        <v>25</v>
      </c>
      <c r="I35" s="80">
        <v>11.1</v>
      </c>
      <c r="J35" s="80">
        <v>12</v>
      </c>
      <c r="K35">
        <v>25</v>
      </c>
    </row>
    <row r="36" spans="1:11" x14ac:dyDescent="0.25">
      <c r="A36" t="s">
        <v>472</v>
      </c>
      <c r="B36" t="s">
        <v>475</v>
      </c>
      <c r="C36" t="s">
        <v>476</v>
      </c>
      <c r="D36">
        <v>2</v>
      </c>
      <c r="E36">
        <v>8</v>
      </c>
      <c r="F36">
        <v>400</v>
      </c>
      <c r="G36" s="80">
        <v>14.5</v>
      </c>
      <c r="H36" s="80">
        <v>25</v>
      </c>
      <c r="I36" s="80">
        <v>11.1</v>
      </c>
      <c r="J36" s="80">
        <v>12</v>
      </c>
      <c r="K36">
        <v>25</v>
      </c>
    </row>
    <row r="37" spans="1:11" x14ac:dyDescent="0.25">
      <c r="A37" t="s">
        <v>472</v>
      </c>
      <c r="B37" t="s">
        <v>475</v>
      </c>
      <c r="C37" t="s">
        <v>476</v>
      </c>
      <c r="D37">
        <v>2</v>
      </c>
      <c r="E37">
        <v>8</v>
      </c>
      <c r="F37">
        <v>430</v>
      </c>
      <c r="G37" s="80">
        <v>14.5</v>
      </c>
      <c r="H37" s="80">
        <v>25</v>
      </c>
      <c r="I37" s="80">
        <v>11.1</v>
      </c>
      <c r="J37" s="80">
        <v>12</v>
      </c>
      <c r="K37">
        <v>25</v>
      </c>
    </row>
    <row r="38" spans="1:11" x14ac:dyDescent="0.25">
      <c r="A38" t="s">
        <v>472</v>
      </c>
      <c r="B38" t="s">
        <v>475</v>
      </c>
      <c r="C38" t="s">
        <v>476</v>
      </c>
      <c r="D38">
        <v>2</v>
      </c>
      <c r="E38">
        <v>8</v>
      </c>
      <c r="F38">
        <v>480</v>
      </c>
      <c r="G38" s="80">
        <v>14.5</v>
      </c>
      <c r="H38" s="80">
        <v>25</v>
      </c>
      <c r="I38" s="80">
        <v>11.1</v>
      </c>
      <c r="J38" s="80">
        <v>12</v>
      </c>
      <c r="K38">
        <v>25</v>
      </c>
    </row>
    <row r="39" spans="1:11" x14ac:dyDescent="0.25">
      <c r="A39" t="s">
        <v>472</v>
      </c>
      <c r="B39" t="s">
        <v>475</v>
      </c>
      <c r="C39" t="s">
        <v>476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</row>
    <row r="40" spans="1:11" x14ac:dyDescent="0.25">
      <c r="A40" t="s">
        <v>472</v>
      </c>
      <c r="B40" t="s">
        <v>475</v>
      </c>
      <c r="C40" t="s">
        <v>476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</row>
    <row r="41" spans="1:11" x14ac:dyDescent="0.25">
      <c r="A41" t="s">
        <v>472</v>
      </c>
      <c r="B41" t="s">
        <v>475</v>
      </c>
      <c r="C41" t="s">
        <v>476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</row>
    <row r="42" spans="1:11" x14ac:dyDescent="0.25">
      <c r="A42" t="s">
        <v>472</v>
      </c>
      <c r="B42" t="s">
        <v>475</v>
      </c>
      <c r="C42" t="s">
        <v>476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</row>
    <row r="43" spans="1:11" x14ac:dyDescent="0.25">
      <c r="A43" t="s">
        <v>472</v>
      </c>
      <c r="B43" t="s">
        <v>475</v>
      </c>
      <c r="C43" t="s">
        <v>476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</row>
    <row r="44" spans="1:11" x14ac:dyDescent="0.25">
      <c r="A44" t="s">
        <v>472</v>
      </c>
      <c r="B44" t="s">
        <v>475</v>
      </c>
      <c r="C44" t="s">
        <v>476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</row>
    <row r="45" spans="1:11" x14ac:dyDescent="0.25">
      <c r="A45" t="s">
        <v>472</v>
      </c>
      <c r="B45" t="s">
        <v>475</v>
      </c>
      <c r="C45" t="s">
        <v>476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</row>
    <row r="46" spans="1:11" x14ac:dyDescent="0.25">
      <c r="A46" t="s">
        <v>472</v>
      </c>
      <c r="B46" t="s">
        <v>475</v>
      </c>
      <c r="C46" t="s">
        <v>476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</row>
    <row r="47" spans="1:11" x14ac:dyDescent="0.25">
      <c r="A47" t="s">
        <v>472</v>
      </c>
      <c r="B47" t="s">
        <v>475</v>
      </c>
      <c r="C47" t="s">
        <v>476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</row>
    <row r="48" spans="1:11" x14ac:dyDescent="0.25">
      <c r="A48" t="s">
        <v>472</v>
      </c>
      <c r="B48" t="s">
        <v>475</v>
      </c>
      <c r="C48" t="s">
        <v>476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</row>
    <row r="49" spans="1:11" x14ac:dyDescent="0.25">
      <c r="A49" t="s">
        <v>472</v>
      </c>
      <c r="B49" t="s">
        <v>475</v>
      </c>
      <c r="C49" t="s">
        <v>476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</row>
    <row r="50" spans="1:11" x14ac:dyDescent="0.25">
      <c r="A50" t="s">
        <v>472</v>
      </c>
      <c r="B50" t="s">
        <v>475</v>
      </c>
      <c r="C50" t="s">
        <v>476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</row>
    <row r="51" spans="1:11" x14ac:dyDescent="0.25">
      <c r="A51" t="s">
        <v>472</v>
      </c>
      <c r="B51" t="s">
        <v>475</v>
      </c>
      <c r="C51" t="s">
        <v>476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</row>
    <row r="52" spans="1:11" x14ac:dyDescent="0.25">
      <c r="A52" t="s">
        <v>472</v>
      </c>
      <c r="B52" t="s">
        <v>475</v>
      </c>
      <c r="C52" t="s">
        <v>476</v>
      </c>
      <c r="D52">
        <v>2</v>
      </c>
      <c r="E52">
        <v>10</v>
      </c>
      <c r="F52">
        <v>600</v>
      </c>
      <c r="G52">
        <v>17.8</v>
      </c>
      <c r="H52">
        <v>40</v>
      </c>
      <c r="I52">
        <v>10.8</v>
      </c>
      <c r="J52">
        <v>12</v>
      </c>
      <c r="K52">
        <v>33</v>
      </c>
    </row>
    <row r="53" spans="1:11" x14ac:dyDescent="0.25">
      <c r="A53" t="s">
        <v>472</v>
      </c>
      <c r="B53" t="s">
        <v>477</v>
      </c>
      <c r="C53" t="s">
        <v>476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</row>
    <row r="54" spans="1:11" x14ac:dyDescent="0.25">
      <c r="A54" t="s">
        <v>472</v>
      </c>
      <c r="B54" t="s">
        <v>477</v>
      </c>
      <c r="C54" t="s">
        <v>476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</row>
    <row r="55" spans="1:11" x14ac:dyDescent="0.25">
      <c r="A55" t="s">
        <v>472</v>
      </c>
      <c r="B55" t="s">
        <v>477</v>
      </c>
      <c r="C55" t="s">
        <v>476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</row>
    <row r="56" spans="1:11" x14ac:dyDescent="0.25">
      <c r="A56" t="s">
        <v>472</v>
      </c>
      <c r="B56" t="s">
        <v>477</v>
      </c>
      <c r="C56" t="s">
        <v>476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</row>
    <row r="57" spans="1:11" x14ac:dyDescent="0.25">
      <c r="A57" t="s">
        <v>472</v>
      </c>
      <c r="B57" t="s">
        <v>477</v>
      </c>
      <c r="C57" t="s">
        <v>476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</row>
    <row r="58" spans="1:11" x14ac:dyDescent="0.25">
      <c r="A58" t="s">
        <v>472</v>
      </c>
      <c r="B58" t="s">
        <v>477</v>
      </c>
      <c r="C58" t="s">
        <v>476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</row>
    <row r="59" spans="1:11" x14ac:dyDescent="0.25">
      <c r="A59" t="s">
        <v>472</v>
      </c>
      <c r="B59" t="s">
        <v>477</v>
      </c>
      <c r="C59" t="s">
        <v>476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</row>
    <row r="60" spans="1:11" x14ac:dyDescent="0.25">
      <c r="A60" t="s">
        <v>472</v>
      </c>
      <c r="B60" t="s">
        <v>477</v>
      </c>
      <c r="C60" t="s">
        <v>476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</row>
    <row r="61" spans="1:11" x14ac:dyDescent="0.25">
      <c r="A61" t="s">
        <v>472</v>
      </c>
      <c r="B61" t="s">
        <v>477</v>
      </c>
      <c r="C61" t="s">
        <v>476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</row>
    <row r="62" spans="1:11" x14ac:dyDescent="0.25">
      <c r="A62" t="s">
        <v>472</v>
      </c>
      <c r="B62" t="s">
        <v>477</v>
      </c>
      <c r="C62" t="s">
        <v>476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</row>
    <row r="63" spans="1:11" x14ac:dyDescent="0.25">
      <c r="A63" t="s">
        <v>472</v>
      </c>
      <c r="B63" t="s">
        <v>477</v>
      </c>
      <c r="C63" t="s">
        <v>476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</row>
    <row r="64" spans="1:11" x14ac:dyDescent="0.25">
      <c r="A64" t="s">
        <v>472</v>
      </c>
      <c r="B64" t="s">
        <v>477</v>
      </c>
      <c r="C64" t="s">
        <v>476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</row>
    <row r="65" spans="1:11" x14ac:dyDescent="0.25">
      <c r="A65" t="s">
        <v>472</v>
      </c>
      <c r="B65" t="s">
        <v>477</v>
      </c>
      <c r="C65" t="s">
        <v>476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</row>
    <row r="66" spans="1:11" x14ac:dyDescent="0.25">
      <c r="A66" t="s">
        <v>472</v>
      </c>
      <c r="B66" t="s">
        <v>477</v>
      </c>
      <c r="C66" t="s">
        <v>476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</row>
    <row r="67" spans="1:11" x14ac:dyDescent="0.25">
      <c r="A67" t="s">
        <v>472</v>
      </c>
      <c r="B67" t="s">
        <v>477</v>
      </c>
      <c r="C67" t="s">
        <v>476</v>
      </c>
      <c r="D67">
        <v>2</v>
      </c>
      <c r="E67">
        <v>11.3</v>
      </c>
      <c r="F67">
        <v>1000</v>
      </c>
      <c r="G67">
        <v>13</v>
      </c>
      <c r="H67">
        <v>70</v>
      </c>
      <c r="I67">
        <v>10.8</v>
      </c>
      <c r="J67">
        <v>12</v>
      </c>
      <c r="K67">
        <v>50</v>
      </c>
    </row>
    <row r="68" spans="1:11" x14ac:dyDescent="0.25">
      <c r="A68" t="s">
        <v>472</v>
      </c>
      <c r="B68" t="s">
        <v>478</v>
      </c>
      <c r="C68" t="s">
        <v>479</v>
      </c>
      <c r="D68">
        <v>3</v>
      </c>
      <c r="E68">
        <v>6.5</v>
      </c>
      <c r="F68">
        <v>80</v>
      </c>
      <c r="G68">
        <v>8</v>
      </c>
      <c r="H68">
        <v>15</v>
      </c>
      <c r="I68">
        <v>11.4</v>
      </c>
      <c r="J68">
        <v>12</v>
      </c>
      <c r="K68">
        <v>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-0.249977111117893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8" customFormat="1" ht="39" customHeight="1" x14ac:dyDescent="0.25">
      <c r="A1" s="78" t="s">
        <v>424</v>
      </c>
      <c r="B1" s="78" t="s">
        <v>468</v>
      </c>
      <c r="C1" s="78" t="s">
        <v>470</v>
      </c>
      <c r="D1" s="78" t="s">
        <v>232</v>
      </c>
      <c r="E1" s="78" t="s">
        <v>18</v>
      </c>
      <c r="F1" s="78" t="s">
        <v>20</v>
      </c>
      <c r="G1" s="78" t="s">
        <v>22</v>
      </c>
      <c r="H1" s="78" t="s">
        <v>215</v>
      </c>
      <c r="I1" s="78" t="s">
        <v>214</v>
      </c>
      <c r="J1" s="78" t="s">
        <v>171</v>
      </c>
      <c r="K1" s="78" t="s">
        <v>172</v>
      </c>
      <c r="L1" s="78" t="s">
        <v>325</v>
      </c>
      <c r="M1" s="78" t="s">
        <v>326</v>
      </c>
      <c r="N1" s="78" t="s">
        <v>414</v>
      </c>
      <c r="O1" s="78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5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5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5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5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5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5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5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5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5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5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5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5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5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5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5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5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5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5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5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5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5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5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5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5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5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5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5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5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5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5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5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5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5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5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5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5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5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5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5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5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5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5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5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5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5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5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5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5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5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5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5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5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5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5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5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5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5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5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5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5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5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5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5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5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5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5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5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5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5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5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5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5">
        <v>137.80000000000001</v>
      </c>
    </row>
    <row r="156" spans="1:24" x14ac:dyDescent="0.25">
      <c r="J156" s="76"/>
      <c r="K156" s="76"/>
      <c r="L156" s="76"/>
      <c r="M156" s="77"/>
      <c r="N156" s="77"/>
      <c r="O156" s="76"/>
      <c r="P156" s="76"/>
      <c r="Q156" s="76"/>
      <c r="R156" s="77"/>
      <c r="S156" s="77"/>
      <c r="T156" s="77"/>
      <c r="U156" s="77"/>
      <c r="V156" s="76"/>
      <c r="W156" s="76"/>
      <c r="X156" s="76"/>
    </row>
  </sheetData>
  <autoFilter ref="A1:H1" xr:uid="{00000000-0001-0000-0900-000000000000}"/>
  <phoneticPr fontId="4" type="noConversion"/>
  <conditionalFormatting sqref="J156">
    <cfRule type="cellIs" dxfId="0" priority="1" operator="equal">
      <formula>"Spiker"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G34" sqref="G34"/>
    </sheetView>
  </sheetViews>
  <sheetFormatPr baseColWidth="10" defaultRowHeight="15" x14ac:dyDescent="0.25"/>
  <sheetData>
    <row r="1" spans="1:13" x14ac:dyDescent="0.25">
      <c r="A1" s="62" t="s">
        <v>380</v>
      </c>
      <c r="B1" s="62" t="s">
        <v>381</v>
      </c>
      <c r="C1" s="63" t="s">
        <v>382</v>
      </c>
      <c r="D1" s="63" t="s">
        <v>383</v>
      </c>
      <c r="E1" s="63" t="s">
        <v>384</v>
      </c>
      <c r="F1" s="63" t="s">
        <v>385</v>
      </c>
      <c r="G1" s="63" t="s">
        <v>386</v>
      </c>
      <c r="H1" s="63" t="s">
        <v>387</v>
      </c>
      <c r="I1" s="63" t="s">
        <v>388</v>
      </c>
      <c r="J1" s="63" t="s">
        <v>389</v>
      </c>
      <c r="K1" s="63" t="s">
        <v>390</v>
      </c>
      <c r="L1" s="63" t="s">
        <v>391</v>
      </c>
      <c r="M1" s="63" t="s">
        <v>392</v>
      </c>
    </row>
    <row r="2" spans="1:13" x14ac:dyDescent="0.25">
      <c r="A2" s="64" t="s">
        <v>393</v>
      </c>
      <c r="C2" s="65">
        <v>400</v>
      </c>
      <c r="D2" s="65">
        <v>400</v>
      </c>
      <c r="E2" s="65">
        <v>500</v>
      </c>
      <c r="F2" s="65">
        <v>500</v>
      </c>
      <c r="G2" s="65">
        <v>600</v>
      </c>
      <c r="H2" s="65">
        <v>800</v>
      </c>
      <c r="I2" s="65">
        <v>1000</v>
      </c>
      <c r="J2" s="66">
        <v>500</v>
      </c>
      <c r="K2" s="66">
        <v>600</v>
      </c>
      <c r="L2" s="66">
        <v>800</v>
      </c>
      <c r="M2" s="67">
        <v>1000</v>
      </c>
    </row>
    <row r="3" spans="1:13" x14ac:dyDescent="0.25">
      <c r="A3" s="64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8">
        <v>500</v>
      </c>
      <c r="K3" s="68">
        <v>700</v>
      </c>
      <c r="L3" s="68">
        <v>800</v>
      </c>
      <c r="M3" s="68">
        <v>1000</v>
      </c>
    </row>
    <row r="4" spans="1:13" x14ac:dyDescent="0.25">
      <c r="A4" s="64" t="s">
        <v>419</v>
      </c>
      <c r="B4" s="69">
        <v>14.2</v>
      </c>
      <c r="C4" s="72">
        <f>$B$4*C3/1000</f>
        <v>5.68</v>
      </c>
      <c r="D4" s="72">
        <f t="shared" ref="D4:M4" si="0">$B$4*D3/1000</f>
        <v>5.9640000000000004</v>
      </c>
      <c r="E4" s="72">
        <f t="shared" si="0"/>
        <v>7.1</v>
      </c>
      <c r="F4" s="72">
        <f t="shared" si="0"/>
        <v>7.3840000000000003</v>
      </c>
      <c r="G4" s="72">
        <f t="shared" si="0"/>
        <v>8.52</v>
      </c>
      <c r="H4" s="72">
        <f t="shared" si="0"/>
        <v>11.786</v>
      </c>
      <c r="I4" s="72">
        <f t="shared" si="0"/>
        <v>14.768000000000001</v>
      </c>
      <c r="J4" s="72">
        <f t="shared" si="0"/>
        <v>7.1</v>
      </c>
      <c r="K4" s="72">
        <f t="shared" si="0"/>
        <v>9.94</v>
      </c>
      <c r="L4" s="72">
        <f t="shared" si="0"/>
        <v>11.36</v>
      </c>
      <c r="M4" s="72">
        <f t="shared" si="0"/>
        <v>14.2</v>
      </c>
    </row>
    <row r="5" spans="1:13" x14ac:dyDescent="0.25">
      <c r="A5" s="64" t="s">
        <v>418</v>
      </c>
      <c r="B5" s="69">
        <v>20.100000000000001</v>
      </c>
      <c r="C5" s="72">
        <f>$B$5*C3/1000</f>
        <v>8.0400000000000009</v>
      </c>
      <c r="D5" s="72">
        <f t="shared" ref="D5:M5" si="1">$B$5*D3/1000</f>
        <v>8.4420000000000002</v>
      </c>
      <c r="E5" s="72">
        <f t="shared" si="1"/>
        <v>10.050000000000001</v>
      </c>
      <c r="F5" s="72">
        <f t="shared" si="1"/>
        <v>10.452</v>
      </c>
      <c r="G5" s="72">
        <f t="shared" si="1"/>
        <v>12.06</v>
      </c>
      <c r="H5" s="72">
        <f t="shared" si="1"/>
        <v>16.683</v>
      </c>
      <c r="I5" s="72">
        <f t="shared" si="1"/>
        <v>20.904</v>
      </c>
      <c r="J5" s="72">
        <f t="shared" si="1"/>
        <v>10.050000000000001</v>
      </c>
      <c r="K5" s="72">
        <f t="shared" si="1"/>
        <v>14.070000000000002</v>
      </c>
      <c r="L5" s="72">
        <f t="shared" si="1"/>
        <v>16.080000000000002</v>
      </c>
      <c r="M5" s="72">
        <f t="shared" si="1"/>
        <v>20.100000000000001</v>
      </c>
    </row>
    <row r="6" spans="1:13" x14ac:dyDescent="0.25">
      <c r="A6" s="64" t="s">
        <v>417</v>
      </c>
      <c r="B6" s="69">
        <v>28.9</v>
      </c>
      <c r="C6" s="72">
        <f>$B$6*C3/1000</f>
        <v>11.56</v>
      </c>
      <c r="D6" s="72">
        <f t="shared" ref="D6:M6" si="2">$B$6*D3/1000</f>
        <v>12.138</v>
      </c>
      <c r="E6" s="72">
        <f t="shared" si="2"/>
        <v>14.45</v>
      </c>
      <c r="F6" s="72">
        <f t="shared" si="2"/>
        <v>15.028</v>
      </c>
      <c r="G6" s="72">
        <f t="shared" si="2"/>
        <v>17.34</v>
      </c>
      <c r="H6" s="72">
        <f t="shared" si="2"/>
        <v>23.986999999999998</v>
      </c>
      <c r="I6" s="72">
        <f t="shared" si="2"/>
        <v>30.056000000000001</v>
      </c>
      <c r="J6" s="72">
        <f t="shared" si="2"/>
        <v>14.45</v>
      </c>
      <c r="K6" s="72">
        <f t="shared" si="2"/>
        <v>20.23</v>
      </c>
      <c r="L6" s="72">
        <f t="shared" si="2"/>
        <v>23.12</v>
      </c>
      <c r="M6" s="72">
        <f t="shared" si="2"/>
        <v>28.9</v>
      </c>
    </row>
    <row r="7" spans="1:13" x14ac:dyDescent="0.25">
      <c r="A7" s="64" t="s">
        <v>416</v>
      </c>
      <c r="B7" s="69">
        <v>36.6</v>
      </c>
      <c r="C7" s="72">
        <f>$B$7*C3/1000</f>
        <v>14.64</v>
      </c>
      <c r="D7" s="72">
        <f t="shared" ref="D7:M7" si="3">$B$7*D3/1000</f>
        <v>15.372</v>
      </c>
      <c r="E7" s="72">
        <f t="shared" si="3"/>
        <v>18.3</v>
      </c>
      <c r="F7" s="72">
        <f t="shared" si="3"/>
        <v>19.032</v>
      </c>
      <c r="G7" s="72">
        <f t="shared" si="3"/>
        <v>21.96</v>
      </c>
      <c r="H7" s="72">
        <f t="shared" si="3"/>
        <v>30.378</v>
      </c>
      <c r="I7" s="72">
        <f t="shared" si="3"/>
        <v>38.064</v>
      </c>
      <c r="J7" s="72">
        <f t="shared" si="3"/>
        <v>18.3</v>
      </c>
      <c r="K7" s="72">
        <f t="shared" si="3"/>
        <v>25.62</v>
      </c>
      <c r="L7" s="72">
        <f t="shared" si="3"/>
        <v>29.28</v>
      </c>
      <c r="M7" s="72">
        <f t="shared" si="3"/>
        <v>36.6</v>
      </c>
    </row>
    <row r="8" spans="1:13" x14ac:dyDescent="0.25">
      <c r="A8" s="64" t="s">
        <v>415</v>
      </c>
      <c r="B8" s="69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4" t="s">
        <v>395</v>
      </c>
      <c r="B9" s="69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4" t="s">
        <v>396</v>
      </c>
      <c r="B10" s="69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4" t="s">
        <v>397</v>
      </c>
      <c r="B11" s="69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4" t="s">
        <v>398</v>
      </c>
      <c r="B12" s="69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4" t="s">
        <v>399</v>
      </c>
      <c r="B13" s="69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4" t="s">
        <v>400</v>
      </c>
      <c r="B14" s="69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4" t="s">
        <v>401</v>
      </c>
      <c r="B15" s="69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4" t="s">
        <v>402</v>
      </c>
      <c r="B16" s="69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4" t="s">
        <v>403</v>
      </c>
      <c r="B17" s="69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4" t="s">
        <v>404</v>
      </c>
      <c r="B18" s="69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4" t="s">
        <v>405</v>
      </c>
      <c r="B19" s="69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60" t="s">
        <v>424</v>
      </c>
      <c r="B1" s="60" t="s">
        <v>1</v>
      </c>
      <c r="C1" s="60" t="s">
        <v>433</v>
      </c>
      <c r="D1" s="60" t="s">
        <v>232</v>
      </c>
      <c r="E1" s="60" t="s">
        <v>425</v>
      </c>
      <c r="F1" s="60" t="s">
        <v>427</v>
      </c>
      <c r="G1" s="60" t="s">
        <v>428</v>
      </c>
      <c r="H1" s="60" t="s">
        <v>464</v>
      </c>
      <c r="I1" s="60" t="s">
        <v>431</v>
      </c>
      <c r="J1" s="60" t="s">
        <v>432</v>
      </c>
      <c r="K1" s="60" t="s">
        <v>438</v>
      </c>
      <c r="L1" s="60" t="s">
        <v>439</v>
      </c>
      <c r="M1" s="60" t="s">
        <v>440</v>
      </c>
      <c r="N1" s="60" t="s">
        <v>441</v>
      </c>
    </row>
    <row r="2" spans="1:14" x14ac:dyDescent="0.25">
      <c r="A2" s="60"/>
      <c r="B2" s="60"/>
      <c r="C2" s="60"/>
      <c r="D2" s="60"/>
      <c r="E2" s="60" t="s">
        <v>447</v>
      </c>
      <c r="F2" s="60" t="s">
        <v>450</v>
      </c>
      <c r="G2" s="60" t="s">
        <v>451</v>
      </c>
      <c r="H2" s="60" t="s">
        <v>465</v>
      </c>
      <c r="I2" s="60"/>
      <c r="J2" s="60"/>
      <c r="K2" s="60"/>
      <c r="L2" s="60"/>
      <c r="M2" s="60"/>
      <c r="N2" s="60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dimension ref="A1:W79"/>
  <sheetViews>
    <sheetView topLeftCell="A4" workbookViewId="0">
      <pane ySplit="900" activePane="bottomLeft"/>
      <selection activeCell="S5" sqref="S5"/>
      <selection pane="bottomLeft" activeCell="C15" sqref="C15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60" t="s">
        <v>424</v>
      </c>
      <c r="B1" s="60" t="s">
        <v>1</v>
      </c>
      <c r="C1" s="60" t="s">
        <v>455</v>
      </c>
      <c r="D1" s="60" t="s">
        <v>433</v>
      </c>
      <c r="E1" s="60" t="s">
        <v>232</v>
      </c>
      <c r="F1" s="60" t="s">
        <v>425</v>
      </c>
      <c r="G1" s="60" t="s">
        <v>19</v>
      </c>
      <c r="H1" s="60" t="s">
        <v>426</v>
      </c>
      <c r="I1" s="60" t="s">
        <v>427</v>
      </c>
      <c r="J1" s="60" t="s">
        <v>428</v>
      </c>
      <c r="K1" s="60" t="s">
        <v>430</v>
      </c>
      <c r="L1" s="60" t="s">
        <v>431</v>
      </c>
      <c r="M1" s="60" t="s">
        <v>432</v>
      </c>
      <c r="N1" s="60" t="s">
        <v>436</v>
      </c>
      <c r="O1" s="60" t="s">
        <v>437</v>
      </c>
      <c r="P1" s="60" t="s">
        <v>431</v>
      </c>
      <c r="Q1" s="60" t="s">
        <v>432</v>
      </c>
      <c r="R1" s="60" t="s">
        <v>438</v>
      </c>
      <c r="S1" s="60" t="s">
        <v>439</v>
      </c>
      <c r="T1" s="60" t="s">
        <v>440</v>
      </c>
      <c r="U1" s="60" t="s">
        <v>441</v>
      </c>
      <c r="V1" s="60" t="s">
        <v>442</v>
      </c>
    </row>
    <row r="2" spans="1:23" x14ac:dyDescent="0.25">
      <c r="A2" s="60"/>
      <c r="B2" s="60"/>
      <c r="C2" s="60"/>
      <c r="D2" s="60"/>
      <c r="E2" s="60"/>
      <c r="F2" s="60" t="s">
        <v>447</v>
      </c>
      <c r="G2" s="60" t="s">
        <v>448</v>
      </c>
      <c r="H2" s="60" t="s">
        <v>449</v>
      </c>
      <c r="I2" s="60" t="s">
        <v>450</v>
      </c>
      <c r="J2" s="60" t="s">
        <v>451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3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3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3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3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3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19</vt:i4>
      </vt:variant>
    </vt:vector>
  </HeadingPairs>
  <TitlesOfParts>
    <vt:vector size="19" baseType="lpstr">
      <vt:lpstr>TimberFasteners</vt:lpstr>
      <vt:lpstr>Skiver</vt:lpstr>
      <vt:lpstr>Strongtie Skruer (utgått)</vt:lpstr>
      <vt:lpstr>Strongtie Skruer</vt:lpstr>
      <vt:lpstr>Strongtie Spiker</vt:lpstr>
      <vt:lpstr>Rothoblaas Nails</vt:lpstr>
      <vt:lpstr>Rothoblaas Screws</vt:lpstr>
      <vt:lpstr>Rothoblaas Bolts</vt:lpstr>
      <vt:lpstr>Rothoblaas Washers</vt:lpstr>
      <vt:lpstr>Rothoblaas Sharp Metal</vt:lpstr>
      <vt:lpstr>ESSVE Skruer</vt:lpstr>
      <vt:lpstr>DIN 571</vt:lpstr>
      <vt:lpstr>ISO 4014</vt:lpstr>
      <vt:lpstr>Motek screws</vt:lpstr>
      <vt:lpstr>Eurotec Screws</vt:lpstr>
      <vt:lpstr>Dowels</vt:lpstr>
      <vt:lpstr>BoltGrades</vt:lpstr>
      <vt:lpstr>SplitRing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2025-06-24T18:56:17Z</dcterms:modified>
</cp:coreProperties>
</file>