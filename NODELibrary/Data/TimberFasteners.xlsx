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NODEMaple\NODELibrary\Data\"/>
    </mc:Choice>
  </mc:AlternateContent>
  <xr:revisionPtr revIDLastSave="0" documentId="13_ncr:1_{87A577E2-BA3A-4801-AF35-6D2E3CAB9645}" xr6:coauthVersionLast="47" xr6:coauthVersionMax="47" xr10:uidLastSave="{00000000-0000-0000-0000-000000000000}"/>
  <bookViews>
    <workbookView xWindow="-120" yWindow="-120" windowWidth="29040" windowHeight="17520" tabRatio="779" activeTab="4" xr2:uid="{00000000-000D-0000-FFFF-FFFF00000000}"/>
  </bookViews>
  <sheets>
    <sheet name="TimberFasteners" sheetId="4" r:id="rId1"/>
    <sheet name="Washers" sheetId="25" r:id="rId2"/>
    <sheet name="BoltGrades" sheetId="17" r:id="rId3"/>
    <sheet name="DIN 571" sheetId="14" r:id="rId4"/>
    <sheet name="Dowels" sheetId="6" r:id="rId5"/>
    <sheet name="ESSVE Screws" sheetId="9" r:id="rId6"/>
    <sheet name="Eurotec Screws" sheetId="20" r:id="rId7"/>
    <sheet name="ISO 4014 Bolts" sheetId="16" r:id="rId8"/>
    <sheet name="Motek screws" sheetId="15" r:id="rId9"/>
    <sheet name="Rothoblaas Nails" sheetId="8" r:id="rId10"/>
    <sheet name="Rothoblaas Screws" sheetId="3" r:id="rId11"/>
    <sheet name="Rothoblaas Bolts" sheetId="5" r:id="rId12"/>
    <sheet name="Rothoblaas Washers" sheetId="10" r:id="rId13"/>
    <sheet name="Rothoblaas Sharp Metal" sheetId="12" r:id="rId14"/>
    <sheet name="Simpson SplitRing" sheetId="19" r:id="rId15"/>
    <sheet name="Strongtie Nails" sheetId="2" r:id="rId16"/>
    <sheet name="Strongtie Screws (utgått)" sheetId="1" r:id="rId17"/>
    <sheet name="Strongtie Screws" sheetId="7" r:id="rId18"/>
    <sheet name="Schmid Screws" sheetId="21" r:id="rId19"/>
    <sheet name="Schmid Washers" sheetId="24" r:id="rId20"/>
    <sheet name="Spax Screws" sheetId="23" r:id="rId21"/>
    <sheet name="ToothedPlateConnectors" sheetId="18" r:id="rId22"/>
  </sheets>
  <definedNames>
    <definedName name="_xlnm._FilterDatabase" localSheetId="3" hidden="1">'DIN 571'!$A$1:$Y$533</definedName>
    <definedName name="_xlnm._FilterDatabase" localSheetId="4" hidden="1">Dowels!$A$1:$H$1</definedName>
    <definedName name="_xlnm._FilterDatabase" localSheetId="5" hidden="1">'ESSVE Screws'!$A$1:$Y$551</definedName>
    <definedName name="_xlnm._FilterDatabase" localSheetId="7" hidden="1">'ISO 4014 Bolts'!$A$1:$Y$924</definedName>
    <definedName name="_xlnm._FilterDatabase" localSheetId="8" hidden="1">'Motek screws'!$A$1:$Y$534</definedName>
    <definedName name="_xlnm._FilterDatabase" localSheetId="11" hidden="1">'Rothoblaas Bolts'!$A$1:$Q$168</definedName>
    <definedName name="_xlnm._FilterDatabase" localSheetId="10" hidden="1">'Rothoblaas Screws'!$A$1:$P$309</definedName>
    <definedName name="_xlnm._FilterDatabase" localSheetId="12" hidden="1">'Rothoblaas Washers'!$A$1:$O$30</definedName>
    <definedName name="_xlnm._FilterDatabase" localSheetId="14" hidden="1">'Simpson SplitRing'!$A$1:$N$3</definedName>
    <definedName name="_xlnm._FilterDatabase" localSheetId="17" hidden="1">'Strongtie Screws'!$A$1:$Y$274</definedName>
    <definedName name="_xlnm._FilterDatabase" localSheetId="0" hidden="1">TimberFasteners!$A$1:$N$3024</definedName>
    <definedName name="_xlnm._FilterDatabase" localSheetId="21" hidden="1">ToothedPlateConnectors!$A$1:$W$54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65" i="4" l="1"/>
  <c r="M2264" i="4"/>
  <c r="M2263" i="4"/>
  <c r="M2262" i="4"/>
  <c r="M2261" i="4"/>
  <c r="M2260" i="4"/>
  <c r="M2259" i="4"/>
  <c r="M2258" i="4"/>
  <c r="M2257" i="4"/>
  <c r="M2256" i="4"/>
  <c r="M2255" i="4"/>
  <c r="M2254" i="4"/>
  <c r="M2253" i="4"/>
  <c r="M2252" i="4"/>
  <c r="M2251" i="4"/>
  <c r="M2250" i="4"/>
  <c r="M2249" i="4"/>
  <c r="M2248" i="4"/>
  <c r="M2247" i="4"/>
  <c r="M2246" i="4"/>
  <c r="M2245" i="4"/>
  <c r="M2244" i="4"/>
  <c r="M2243" i="4"/>
  <c r="M2242" i="4"/>
  <c r="M2241" i="4"/>
  <c r="M2240" i="4"/>
  <c r="M2239" i="4"/>
  <c r="M2238" i="4"/>
  <c r="M2237" i="4"/>
  <c r="M2236" i="4"/>
  <c r="M2235" i="4"/>
  <c r="M2234" i="4"/>
  <c r="M2233" i="4"/>
  <c r="M2232" i="4"/>
  <c r="M2231" i="4"/>
  <c r="M2230" i="4"/>
  <c r="M2229" i="4"/>
  <c r="M2228" i="4"/>
  <c r="M2227" i="4"/>
  <c r="M2226" i="4"/>
  <c r="M2225" i="4"/>
  <c r="M2224" i="4"/>
  <c r="M2223" i="4"/>
  <c r="M2222" i="4"/>
  <c r="M2221" i="4"/>
  <c r="M2220" i="4"/>
  <c r="M2219" i="4"/>
  <c r="M2218" i="4"/>
  <c r="M2217" i="4"/>
  <c r="M2216" i="4"/>
  <c r="M2215" i="4"/>
  <c r="M2214" i="4"/>
  <c r="M2213" i="4"/>
  <c r="M2212" i="4"/>
  <c r="M2211" i="4"/>
  <c r="M2210" i="4"/>
  <c r="M2209" i="4"/>
  <c r="M2208" i="4"/>
  <c r="M2207" i="4"/>
  <c r="M2206" i="4"/>
  <c r="M2205" i="4"/>
  <c r="M2204" i="4"/>
  <c r="M2203" i="4"/>
  <c r="M2202" i="4"/>
  <c r="M2201" i="4"/>
  <c r="M2200" i="4"/>
  <c r="M2179" i="4"/>
  <c r="M2178" i="4"/>
  <c r="M2177" i="4"/>
  <c r="M2176" i="4"/>
  <c r="M2175" i="4"/>
  <c r="M2174" i="4"/>
  <c r="M2173" i="4"/>
  <c r="M2172" i="4"/>
  <c r="M2171" i="4"/>
  <c r="M2170" i="4"/>
  <c r="M2169" i="4"/>
  <c r="M2168" i="4"/>
  <c r="M2167" i="4"/>
  <c r="M2166" i="4"/>
  <c r="M2165" i="4"/>
  <c r="M2164" i="4"/>
  <c r="M2163" i="4"/>
  <c r="M2162" i="4"/>
  <c r="M2161" i="4"/>
  <c r="M2160" i="4"/>
  <c r="M2159" i="4"/>
  <c r="M2158" i="4"/>
  <c r="M2157" i="4"/>
  <c r="M2156" i="4"/>
  <c r="M2155" i="4"/>
  <c r="M2154" i="4"/>
  <c r="M2153" i="4"/>
  <c r="M2152" i="4"/>
  <c r="M2151" i="4"/>
  <c r="M2150" i="4"/>
  <c r="M2149" i="4"/>
  <c r="M2148" i="4"/>
  <c r="M2147" i="4"/>
  <c r="M2146" i="4"/>
  <c r="M2145" i="4"/>
  <c r="M2144" i="4"/>
  <c r="M2143" i="4"/>
  <c r="M2142" i="4"/>
  <c r="M2141" i="4"/>
  <c r="M2140" i="4"/>
  <c r="M2139" i="4"/>
  <c r="M2138" i="4"/>
  <c r="M2137" i="4"/>
  <c r="M2136" i="4"/>
  <c r="M2135" i="4"/>
  <c r="M2134" i="4"/>
  <c r="M2133" i="4"/>
  <c r="M2132" i="4"/>
  <c r="M2131" i="4"/>
  <c r="M2130" i="4"/>
  <c r="M2129" i="4"/>
  <c r="M2128" i="4"/>
  <c r="M2127" i="4"/>
  <c r="M2126" i="4"/>
  <c r="M2125" i="4"/>
  <c r="M2124" i="4"/>
  <c r="M2123" i="4"/>
  <c r="M2122" i="4"/>
  <c r="M2121" i="4"/>
  <c r="M2120" i="4"/>
  <c r="M2119" i="4"/>
  <c r="M2118" i="4"/>
  <c r="M2117" i="4"/>
  <c r="M2116" i="4"/>
  <c r="M2115" i="4"/>
  <c r="M2114" i="4"/>
  <c r="M2113" i="4"/>
  <c r="M2112" i="4"/>
  <c r="M2111" i="4"/>
  <c r="M2110" i="4"/>
  <c r="M2109" i="4"/>
  <c r="M2108" i="4"/>
  <c r="M2107" i="4"/>
  <c r="M2106" i="4"/>
  <c r="M2105" i="4"/>
  <c r="I2439" i="4"/>
  <c r="M2439" i="4"/>
  <c r="I2440" i="4"/>
  <c r="M2440" i="4"/>
  <c r="I2441" i="4"/>
  <c r="M2441" i="4"/>
  <c r="I2442" i="4"/>
  <c r="M2442" i="4"/>
  <c r="I2443" i="4"/>
  <c r="M2443" i="4"/>
  <c r="I2444" i="4"/>
  <c r="M2444" i="4"/>
  <c r="I2445" i="4"/>
  <c r="M2445" i="4"/>
  <c r="I2446" i="4"/>
  <c r="M2446" i="4"/>
  <c r="I2447" i="4"/>
  <c r="M2447" i="4"/>
  <c r="I2448" i="4"/>
  <c r="M2448" i="4"/>
  <c r="I2449" i="4"/>
  <c r="M2449" i="4"/>
  <c r="I2450" i="4"/>
  <c r="M2450" i="4"/>
  <c r="I2451" i="4"/>
  <c r="M2451" i="4"/>
  <c r="I2452" i="4"/>
  <c r="M2452" i="4"/>
  <c r="I2453" i="4"/>
  <c r="M2453" i="4"/>
  <c r="I2454" i="4"/>
  <c r="M2454" i="4"/>
  <c r="I2455" i="4"/>
  <c r="M2455" i="4"/>
  <c r="I2456" i="4"/>
  <c r="M2456" i="4"/>
  <c r="I2457" i="4"/>
  <c r="M2457" i="4"/>
  <c r="I2458" i="4"/>
  <c r="M2458" i="4"/>
  <c r="I2459" i="4"/>
  <c r="M2459" i="4"/>
  <c r="I2460" i="4"/>
  <c r="M2460" i="4"/>
  <c r="I2461" i="4"/>
  <c r="M2461" i="4"/>
  <c r="I2462" i="4"/>
  <c r="M2462" i="4"/>
  <c r="I2463" i="4"/>
  <c r="M2463" i="4"/>
  <c r="I2464" i="4"/>
  <c r="M2464" i="4"/>
  <c r="I2465" i="4"/>
  <c r="M2465" i="4"/>
  <c r="I2466" i="4"/>
  <c r="M2466" i="4"/>
  <c r="I2467" i="4"/>
  <c r="M2467" i="4"/>
  <c r="I2468" i="4"/>
  <c r="M2468" i="4"/>
  <c r="I2469" i="4"/>
  <c r="M2469" i="4"/>
  <c r="I2470" i="4"/>
  <c r="M2470" i="4"/>
  <c r="I2471" i="4"/>
  <c r="M2471" i="4"/>
  <c r="I2472" i="4"/>
  <c r="M2472" i="4"/>
  <c r="I2473" i="4"/>
  <c r="M2473" i="4"/>
  <c r="I2474" i="4"/>
  <c r="M2474" i="4"/>
  <c r="I2475" i="4"/>
  <c r="M2475" i="4"/>
  <c r="I2476" i="4"/>
  <c r="M2476" i="4"/>
  <c r="I2477" i="4"/>
  <c r="M2477" i="4"/>
  <c r="I2478" i="4"/>
  <c r="M2478" i="4"/>
  <c r="I2479" i="4"/>
  <c r="M2479" i="4"/>
  <c r="I2480" i="4"/>
  <c r="M2480" i="4"/>
  <c r="I2481" i="4"/>
  <c r="M2481" i="4"/>
  <c r="I2482" i="4"/>
  <c r="M2482" i="4"/>
  <c r="I2483" i="4"/>
  <c r="M2483" i="4"/>
  <c r="I2484" i="4"/>
  <c r="M2484" i="4"/>
  <c r="I2485" i="4"/>
  <c r="M2485" i="4"/>
  <c r="I2486" i="4"/>
  <c r="M2486" i="4"/>
  <c r="I2487" i="4"/>
  <c r="M2487" i="4"/>
  <c r="I2488" i="4"/>
  <c r="M2488" i="4"/>
  <c r="L162" i="20"/>
  <c r="L161" i="20"/>
  <c r="L160" i="20"/>
  <c r="L159" i="20"/>
  <c r="L158" i="20"/>
  <c r="L157" i="20"/>
  <c r="L156" i="20"/>
  <c r="L155" i="20"/>
  <c r="L154" i="20"/>
  <c r="L153" i="20"/>
  <c r="L152" i="20"/>
  <c r="L151" i="20"/>
  <c r="L150" i="20"/>
  <c r="L149" i="20"/>
  <c r="L148" i="20"/>
  <c r="L147" i="20"/>
  <c r="L146" i="20"/>
  <c r="L145" i="20"/>
  <c r="L144" i="20"/>
  <c r="L143" i="20"/>
  <c r="L142" i="20"/>
  <c r="L141" i="20"/>
  <c r="L140" i="20"/>
  <c r="L139" i="20"/>
  <c r="L138" i="20"/>
  <c r="L137" i="20"/>
  <c r="L136" i="20"/>
  <c r="L135" i="20"/>
  <c r="L134" i="20"/>
  <c r="L133" i="20"/>
  <c r="L132" i="20"/>
  <c r="L131" i="20"/>
  <c r="L130" i="20"/>
  <c r="L129" i="20"/>
  <c r="L128" i="20"/>
  <c r="L127" i="20"/>
  <c r="L126" i="20"/>
  <c r="L125" i="20"/>
  <c r="L124" i="20"/>
  <c r="L123" i="20"/>
  <c r="L122" i="20"/>
  <c r="L121" i="20"/>
  <c r="L120" i="20"/>
  <c r="L119" i="20"/>
  <c r="L118" i="20"/>
  <c r="L117" i="20"/>
  <c r="L116" i="20"/>
  <c r="L115" i="20"/>
  <c r="L114" i="20"/>
  <c r="L113" i="20"/>
  <c r="L112" i="20"/>
  <c r="L111" i="20"/>
  <c r="L110" i="20"/>
  <c r="L109" i="20"/>
  <c r="L108" i="20"/>
  <c r="L107" i="20"/>
  <c r="L106" i="20"/>
  <c r="L105" i="20"/>
  <c r="L104" i="20"/>
  <c r="L103" i="20"/>
  <c r="L102" i="20"/>
  <c r="L101" i="20"/>
  <c r="L100" i="20"/>
  <c r="L99" i="20"/>
  <c r="L98" i="20"/>
  <c r="L97" i="20"/>
  <c r="L76" i="20"/>
  <c r="L75" i="20"/>
  <c r="L74" i="20"/>
  <c r="L73" i="20"/>
  <c r="L72" i="20"/>
  <c r="L71" i="20"/>
  <c r="L70" i="20"/>
  <c r="L69" i="20"/>
  <c r="L68" i="20"/>
  <c r="L67" i="20"/>
  <c r="L66" i="20"/>
  <c r="L65" i="20"/>
  <c r="L64" i="20"/>
  <c r="L63" i="20"/>
  <c r="L62" i="20"/>
  <c r="L61" i="20"/>
  <c r="L60" i="20"/>
  <c r="L59" i="20"/>
  <c r="L58" i="20"/>
  <c r="L57" i="20"/>
  <c r="L56" i="20"/>
  <c r="L55" i="20"/>
  <c r="L54" i="20"/>
  <c r="L53" i="20"/>
  <c r="L52" i="20"/>
  <c r="L51" i="20"/>
  <c r="L50" i="20"/>
  <c r="L49" i="20"/>
  <c r="L48" i="20"/>
  <c r="L47" i="20"/>
  <c r="L46" i="20"/>
  <c r="L45" i="20"/>
  <c r="L44" i="20"/>
  <c r="L43" i="20"/>
  <c r="L42" i="20"/>
  <c r="L41" i="20"/>
  <c r="L40" i="20"/>
  <c r="L39" i="20"/>
  <c r="L38" i="20"/>
  <c r="L37" i="20"/>
  <c r="L36" i="20"/>
  <c r="L35" i="20"/>
  <c r="L34" i="20"/>
  <c r="L33" i="20"/>
  <c r="L32" i="20"/>
  <c r="L31" i="20"/>
  <c r="L30" i="20"/>
  <c r="L29" i="20"/>
  <c r="L28" i="20"/>
  <c r="L27" i="20"/>
  <c r="L26" i="20"/>
  <c r="L25" i="20"/>
  <c r="L24" i="20"/>
  <c r="L23" i="20"/>
  <c r="L22" i="20"/>
  <c r="L21" i="20"/>
  <c r="L20" i="20"/>
  <c r="L19" i="20"/>
  <c r="L18" i="20"/>
  <c r="L17" i="20"/>
  <c r="L16" i="20"/>
  <c r="L15" i="20"/>
  <c r="L14" i="20"/>
  <c r="L13" i="20"/>
  <c r="L12" i="20"/>
  <c r="L11" i="20"/>
  <c r="L10" i="20"/>
  <c r="L9" i="20"/>
  <c r="L8" i="20"/>
  <c r="L7" i="20"/>
  <c r="L6" i="20"/>
  <c r="L5" i="20"/>
  <c r="L4" i="20"/>
  <c r="L3" i="20"/>
  <c r="L2" i="20"/>
  <c r="M2537" i="4"/>
  <c r="I2537" i="4"/>
  <c r="M2536" i="4"/>
  <c r="I2536" i="4"/>
  <c r="M2535" i="4"/>
  <c r="I2535" i="4"/>
  <c r="M2534" i="4"/>
  <c r="I2534" i="4"/>
  <c r="M2533" i="4"/>
  <c r="I2533" i="4"/>
  <c r="M2532" i="4"/>
  <c r="I2532" i="4"/>
  <c r="M2531" i="4"/>
  <c r="I2531" i="4"/>
  <c r="M2530" i="4"/>
  <c r="I2530" i="4"/>
  <c r="M2529" i="4"/>
  <c r="I2529" i="4"/>
  <c r="M2528" i="4"/>
  <c r="I2528" i="4"/>
  <c r="M2527" i="4"/>
  <c r="I2527" i="4"/>
  <c r="M2526" i="4"/>
  <c r="I2526" i="4"/>
  <c r="M2525" i="4"/>
  <c r="I2525" i="4"/>
  <c r="M2524" i="4"/>
  <c r="I2524" i="4"/>
  <c r="M2523" i="4"/>
  <c r="I2523" i="4"/>
  <c r="M2522" i="4"/>
  <c r="I2522" i="4"/>
  <c r="M2521" i="4"/>
  <c r="I2521" i="4"/>
  <c r="M2520" i="4"/>
  <c r="I2520" i="4"/>
  <c r="M2519" i="4"/>
  <c r="I2519" i="4"/>
  <c r="M2518" i="4"/>
  <c r="I2518" i="4"/>
  <c r="M2517" i="4"/>
  <c r="I2517" i="4"/>
  <c r="M2516" i="4"/>
  <c r="I2516" i="4"/>
  <c r="M2515" i="4"/>
  <c r="I2515" i="4"/>
  <c r="M2514" i="4"/>
  <c r="I2514" i="4"/>
  <c r="M2513" i="4"/>
  <c r="I2513" i="4"/>
  <c r="M2512" i="4"/>
  <c r="I2512" i="4"/>
  <c r="M2511" i="4"/>
  <c r="I2511" i="4"/>
  <c r="M2510" i="4"/>
  <c r="I2510" i="4"/>
  <c r="M2509" i="4"/>
  <c r="I2509" i="4"/>
  <c r="M2508" i="4"/>
  <c r="I2508" i="4"/>
  <c r="M2507" i="4"/>
  <c r="I2507" i="4"/>
  <c r="M2506" i="4"/>
  <c r="I2506" i="4"/>
  <c r="M2505" i="4"/>
  <c r="I2505" i="4"/>
  <c r="M2504" i="4"/>
  <c r="I2504" i="4"/>
  <c r="M2503" i="4"/>
  <c r="I2503" i="4"/>
  <c r="M2502" i="4"/>
  <c r="I2502" i="4"/>
  <c r="M2501" i="4"/>
  <c r="I2501" i="4"/>
  <c r="M2500" i="4"/>
  <c r="I2500" i="4"/>
  <c r="M2499" i="4"/>
  <c r="I2499" i="4"/>
  <c r="M2498" i="4"/>
  <c r="I2498" i="4"/>
  <c r="M2497" i="4"/>
  <c r="I2497" i="4"/>
  <c r="M2496" i="4"/>
  <c r="I2496" i="4"/>
  <c r="M2495" i="4"/>
  <c r="I2495" i="4"/>
  <c r="M2494" i="4"/>
  <c r="I2494" i="4"/>
  <c r="M2493" i="4"/>
  <c r="I2493" i="4"/>
  <c r="M2492" i="4"/>
  <c r="I2492" i="4"/>
  <c r="M2491" i="4"/>
  <c r="I2491" i="4"/>
  <c r="M2490" i="4"/>
  <c r="I2490" i="4"/>
  <c r="M2489" i="4"/>
  <c r="I2489" i="4"/>
  <c r="I48" i="23"/>
  <c r="I49" i="23"/>
  <c r="I50" i="23"/>
  <c r="I51" i="23"/>
  <c r="I52" i="23"/>
  <c r="I53" i="23"/>
  <c r="I54" i="23"/>
  <c r="I55" i="23"/>
  <c r="I56" i="23"/>
  <c r="I57" i="23"/>
  <c r="I58" i="23"/>
  <c r="I59" i="23"/>
  <c r="I60" i="23"/>
  <c r="I61" i="23"/>
  <c r="I62" i="23"/>
  <c r="I63" i="23"/>
  <c r="I64" i="23"/>
  <c r="I65" i="23"/>
  <c r="I66" i="23"/>
  <c r="I67" i="23"/>
  <c r="I68" i="23"/>
  <c r="I69" i="23"/>
  <c r="I70" i="23"/>
  <c r="I71" i="23"/>
  <c r="I72" i="23"/>
  <c r="I73" i="23"/>
  <c r="I74" i="23"/>
  <c r="I75" i="23"/>
  <c r="I76" i="23"/>
  <c r="I77" i="23"/>
  <c r="I78" i="23"/>
  <c r="I79" i="23"/>
  <c r="I80" i="23"/>
  <c r="I81" i="23"/>
  <c r="I82" i="23"/>
  <c r="I83" i="23"/>
  <c r="I84" i="23"/>
  <c r="I85" i="23"/>
  <c r="I86" i="23"/>
  <c r="I87" i="23"/>
  <c r="I88" i="23"/>
  <c r="I89" i="23"/>
  <c r="I90" i="23"/>
  <c r="I91" i="23"/>
  <c r="I92" i="23"/>
  <c r="I93" i="23"/>
  <c r="I94" i="23"/>
  <c r="I95" i="23"/>
  <c r="I96" i="23"/>
  <c r="I97" i="23"/>
  <c r="I98" i="23"/>
  <c r="I99" i="23"/>
  <c r="I100" i="23"/>
  <c r="I47" i="23"/>
  <c r="I46" i="23"/>
  <c r="I45" i="23"/>
  <c r="I44" i="23"/>
  <c r="I43" i="23"/>
  <c r="I42" i="23"/>
  <c r="I41" i="23"/>
  <c r="I40" i="23"/>
  <c r="I39" i="23"/>
  <c r="I38" i="23"/>
  <c r="I37" i="23"/>
  <c r="I36" i="23"/>
  <c r="I35" i="23"/>
  <c r="I34" i="23"/>
  <c r="I33" i="23"/>
  <c r="I32" i="23"/>
  <c r="I31" i="23"/>
  <c r="I30" i="23"/>
  <c r="I29" i="23"/>
  <c r="I28" i="23"/>
  <c r="I27" i="23"/>
  <c r="I26" i="23"/>
  <c r="I25" i="23"/>
  <c r="I24" i="23"/>
  <c r="I23" i="23"/>
  <c r="I22" i="23"/>
  <c r="I21" i="23"/>
  <c r="I20" i="23"/>
  <c r="I19" i="23"/>
  <c r="I18" i="23"/>
  <c r="I17" i="23"/>
  <c r="I16" i="23"/>
  <c r="I15" i="23"/>
  <c r="I14" i="23"/>
  <c r="I13" i="23"/>
  <c r="I12" i="23"/>
  <c r="I11" i="23"/>
  <c r="I10" i="23"/>
  <c r="I9" i="23"/>
  <c r="I8" i="23"/>
  <c r="I7" i="23"/>
  <c r="I6" i="23"/>
  <c r="I5" i="23"/>
  <c r="I4" i="23"/>
  <c r="I3" i="23"/>
  <c r="I2" i="23"/>
  <c r="M3" i="23"/>
  <c r="M4" i="23"/>
  <c r="M5" i="23"/>
  <c r="M6" i="23"/>
  <c r="M7" i="23"/>
  <c r="M8" i="23"/>
  <c r="M9" i="23"/>
  <c r="M10" i="23"/>
  <c r="M11" i="23"/>
  <c r="M12" i="23"/>
  <c r="M13" i="23"/>
  <c r="M14" i="23"/>
  <c r="M15" i="23"/>
  <c r="M16" i="23"/>
  <c r="M17" i="23"/>
  <c r="M18" i="23"/>
  <c r="M19" i="23"/>
  <c r="M20" i="23"/>
  <c r="M21" i="23"/>
  <c r="M22" i="23"/>
  <c r="M23" i="23"/>
  <c r="M24" i="23"/>
  <c r="M25" i="23"/>
  <c r="M26" i="23"/>
  <c r="M27" i="23"/>
  <c r="M28" i="23"/>
  <c r="M29" i="23"/>
  <c r="M30" i="23"/>
  <c r="M31" i="23"/>
  <c r="M32" i="23"/>
  <c r="M33" i="23"/>
  <c r="M34" i="23"/>
  <c r="M35" i="23"/>
  <c r="M36" i="23"/>
  <c r="M37" i="23"/>
  <c r="M38" i="23"/>
  <c r="M39" i="23"/>
  <c r="M40" i="23"/>
  <c r="M41" i="23"/>
  <c r="M42" i="23"/>
  <c r="M43" i="23"/>
  <c r="M44" i="23"/>
  <c r="M45" i="23"/>
  <c r="M46" i="23"/>
  <c r="M47" i="23"/>
  <c r="M48" i="23"/>
  <c r="M49" i="23"/>
  <c r="M50" i="23"/>
  <c r="M51" i="23"/>
  <c r="M52" i="23"/>
  <c r="M53" i="23"/>
  <c r="M54" i="23"/>
  <c r="M55" i="23"/>
  <c r="M56" i="23"/>
  <c r="M57" i="23"/>
  <c r="M58" i="23"/>
  <c r="M59" i="23"/>
  <c r="M60" i="23"/>
  <c r="M61" i="23"/>
  <c r="M62" i="23"/>
  <c r="M63" i="23"/>
  <c r="M64" i="23"/>
  <c r="M65" i="23"/>
  <c r="M66" i="23"/>
  <c r="M67" i="23"/>
  <c r="M68" i="23"/>
  <c r="M69" i="23"/>
  <c r="M70" i="23"/>
  <c r="M71" i="23"/>
  <c r="M72" i="23"/>
  <c r="M73" i="23"/>
  <c r="M74" i="23"/>
  <c r="M75" i="23"/>
  <c r="M76" i="23"/>
  <c r="M77" i="23"/>
  <c r="M78" i="23"/>
  <c r="M79" i="23"/>
  <c r="M80" i="23"/>
  <c r="M81" i="23"/>
  <c r="M82" i="23"/>
  <c r="M83" i="23"/>
  <c r="M84" i="23"/>
  <c r="M85" i="23"/>
  <c r="M86" i="23"/>
  <c r="M87" i="23"/>
  <c r="M88" i="23"/>
  <c r="M89" i="23"/>
  <c r="M90" i="23"/>
  <c r="M91" i="23"/>
  <c r="M92" i="23"/>
  <c r="M93" i="23"/>
  <c r="M94" i="23"/>
  <c r="M95" i="23"/>
  <c r="M96" i="23"/>
  <c r="M97" i="23"/>
  <c r="M98" i="23"/>
  <c r="M99" i="23"/>
  <c r="M100" i="23"/>
  <c r="M2" i="23"/>
  <c r="L72" i="6"/>
  <c r="L76" i="6"/>
  <c r="L75" i="6"/>
  <c r="L68" i="6"/>
  <c r="L69" i="6"/>
  <c r="L70" i="6"/>
  <c r="L71" i="6"/>
  <c r="L73" i="6"/>
  <c r="L74" i="6"/>
  <c r="L67" i="6"/>
  <c r="F33" i="18"/>
  <c r="F34" i="18"/>
  <c r="F35" i="18"/>
  <c r="F36" i="18"/>
  <c r="F32" i="18"/>
  <c r="D4" i="17"/>
  <c r="E4" i="17"/>
  <c r="F4" i="17"/>
  <c r="G4" i="17"/>
  <c r="H4" i="17"/>
  <c r="I4" i="17"/>
  <c r="J4" i="17"/>
  <c r="K4" i="17"/>
  <c r="L4" i="17"/>
  <c r="M4" i="17"/>
  <c r="C4" i="17"/>
  <c r="D5" i="17"/>
  <c r="E5" i="17"/>
  <c r="F5" i="17"/>
  <c r="G5" i="17"/>
  <c r="H5" i="17"/>
  <c r="I5" i="17"/>
  <c r="J5" i="17"/>
  <c r="K5" i="17"/>
  <c r="L5" i="17"/>
  <c r="M5" i="17"/>
  <c r="C5" i="17"/>
  <c r="D6" i="17"/>
  <c r="E6" i="17"/>
  <c r="F6" i="17"/>
  <c r="G6" i="17"/>
  <c r="H6" i="17"/>
  <c r="I6" i="17"/>
  <c r="J6" i="17"/>
  <c r="K6" i="17"/>
  <c r="L6" i="17"/>
  <c r="M6" i="17"/>
  <c r="C6" i="17"/>
  <c r="D7" i="17"/>
  <c r="E7" i="17"/>
  <c r="F7" i="17"/>
  <c r="G7" i="17"/>
  <c r="H7" i="17"/>
  <c r="I7" i="17"/>
  <c r="J7" i="17"/>
  <c r="K7" i="17"/>
  <c r="L7" i="17"/>
  <c r="M7" i="17"/>
  <c r="C7" i="17"/>
  <c r="D8" i="17"/>
  <c r="E8" i="17"/>
  <c r="F8" i="17"/>
  <c r="G8" i="17"/>
  <c r="H8" i="17"/>
  <c r="I8" i="17"/>
  <c r="J8" i="17"/>
  <c r="K8" i="17"/>
  <c r="L8" i="17"/>
  <c r="M8" i="17"/>
  <c r="C8" i="17"/>
  <c r="I2040" i="4"/>
  <c r="I2039" i="4"/>
  <c r="I2038" i="4"/>
  <c r="I2037" i="4"/>
  <c r="I2036" i="4"/>
  <c r="I2035" i="4"/>
  <c r="I2034" i="4"/>
  <c r="I2033" i="4"/>
  <c r="I2032" i="4"/>
  <c r="I2031" i="4"/>
  <c r="I2030" i="4"/>
  <c r="I2029" i="4"/>
  <c r="I2028" i="4"/>
  <c r="I2027" i="4"/>
  <c r="I2026" i="4"/>
  <c r="I2025" i="4"/>
  <c r="I2024" i="4"/>
  <c r="I2023" i="4"/>
  <c r="I2022" i="4"/>
  <c r="I2021" i="4"/>
  <c r="I2020" i="4"/>
  <c r="I2019" i="4"/>
  <c r="I2018" i="4"/>
  <c r="I2017" i="4"/>
  <c r="I2016" i="4"/>
  <c r="I2015" i="4"/>
  <c r="I2014" i="4"/>
  <c r="I2013" i="4"/>
  <c r="I2012" i="4"/>
  <c r="I2011" i="4"/>
  <c r="I2010" i="4"/>
  <c r="H78" i="6"/>
  <c r="H79" i="6"/>
  <c r="H80" i="6"/>
  <c r="H81" i="6"/>
  <c r="H82" i="6"/>
  <c r="H83" i="6"/>
  <c r="H84" i="6"/>
  <c r="H85" i="6"/>
  <c r="H86" i="6"/>
  <c r="H87" i="6"/>
  <c r="H88" i="6"/>
  <c r="H89" i="6"/>
  <c r="H77" i="6"/>
  <c r="H101" i="6"/>
  <c r="H102" i="6"/>
  <c r="H103" i="6"/>
  <c r="H104" i="6"/>
  <c r="H105" i="6"/>
  <c r="H106" i="6"/>
  <c r="H107" i="6"/>
  <c r="H100" i="6"/>
  <c r="H91" i="6"/>
  <c r="H92" i="6"/>
  <c r="H93" i="6"/>
  <c r="H94" i="6"/>
  <c r="H95" i="6"/>
  <c r="H96" i="6"/>
  <c r="H97" i="6"/>
  <c r="H98" i="6"/>
  <c r="H99" i="6"/>
  <c r="H90" i="6"/>
  <c r="M19" i="17" l="1"/>
  <c r="M18" i="17"/>
  <c r="M17" i="17"/>
  <c r="M16" i="17"/>
  <c r="M15" i="17"/>
  <c r="M14" i="17"/>
  <c r="M13" i="17"/>
  <c r="M12" i="17"/>
  <c r="M11" i="17"/>
  <c r="M10" i="17"/>
  <c r="M9" i="17"/>
  <c r="L2" i="14"/>
  <c r="L3" i="14"/>
  <c r="L8" i="14"/>
  <c r="L9" i="14"/>
  <c r="L10" i="14"/>
  <c r="L11" i="14"/>
  <c r="L12" i="14"/>
  <c r="L13" i="14"/>
  <c r="L22" i="14"/>
  <c r="L23" i="14"/>
  <c r="L24" i="14"/>
  <c r="L25" i="14"/>
  <c r="L26" i="14"/>
  <c r="L27" i="14"/>
  <c r="L38" i="14"/>
  <c r="L39" i="14"/>
  <c r="L40" i="14"/>
  <c r="L45" i="14"/>
  <c r="L46" i="14"/>
  <c r="L49" i="14"/>
  <c r="L50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48" i="14"/>
  <c r="L47" i="14"/>
  <c r="L44" i="14"/>
  <c r="L43" i="14"/>
  <c r="L42" i="14"/>
  <c r="L41" i="14"/>
  <c r="L37" i="14"/>
  <c r="L36" i="14"/>
  <c r="L35" i="14"/>
  <c r="L34" i="14"/>
  <c r="L33" i="14"/>
  <c r="L32" i="14"/>
  <c r="L31" i="14"/>
  <c r="L30" i="14"/>
  <c r="L29" i="14"/>
  <c r="L28" i="14"/>
  <c r="L21" i="14"/>
  <c r="L20" i="14"/>
  <c r="L19" i="14"/>
  <c r="L18" i="14"/>
  <c r="L17" i="14"/>
  <c r="L16" i="14"/>
  <c r="L15" i="14"/>
  <c r="L14" i="14"/>
  <c r="L4" i="14"/>
  <c r="L5" i="14"/>
  <c r="L6" i="14"/>
  <c r="L7" i="14"/>
  <c r="L417" i="9"/>
  <c r="L418" i="9"/>
  <c r="L419" i="9"/>
  <c r="L420" i="9"/>
  <c r="L421" i="9"/>
  <c r="L422" i="9"/>
  <c r="L423" i="9"/>
  <c r="L424" i="9"/>
  <c r="L425" i="9"/>
  <c r="L426" i="9"/>
  <c r="L427" i="9"/>
  <c r="L428" i="9"/>
  <c r="L429" i="9"/>
  <c r="L430" i="9"/>
  <c r="L431" i="9"/>
  <c r="L432" i="9"/>
  <c r="L433" i="9"/>
  <c r="L434" i="9"/>
  <c r="L435" i="9"/>
  <c r="L436" i="9"/>
  <c r="L437" i="9"/>
  <c r="L438" i="9"/>
  <c r="L439" i="9"/>
  <c r="L440" i="9"/>
  <c r="L441" i="9"/>
  <c r="L442" i="9"/>
  <c r="L443" i="9"/>
  <c r="L444" i="9"/>
  <c r="L445" i="9"/>
  <c r="L446" i="9"/>
  <c r="L447" i="9"/>
  <c r="L448" i="9"/>
  <c r="L449" i="9"/>
  <c r="L450" i="9"/>
  <c r="L451" i="9"/>
  <c r="L452" i="9"/>
  <c r="L453" i="9"/>
  <c r="L454" i="9"/>
  <c r="L455" i="9"/>
  <c r="L456" i="9"/>
  <c r="L457" i="9"/>
  <c r="L458" i="9"/>
  <c r="L459" i="9"/>
  <c r="L460" i="9"/>
  <c r="L461" i="9"/>
  <c r="L462" i="9"/>
  <c r="L463" i="9"/>
  <c r="L464" i="9"/>
  <c r="L465" i="9"/>
  <c r="L466" i="9"/>
  <c r="L416" i="9"/>
  <c r="L215" i="9"/>
  <c r="L216" i="9"/>
  <c r="L217" i="9"/>
  <c r="L218" i="9"/>
  <c r="L219" i="9"/>
  <c r="L220" i="9"/>
  <c r="L221" i="9"/>
  <c r="L222" i="9"/>
  <c r="L223" i="9"/>
  <c r="L224" i="9"/>
  <c r="L225" i="9"/>
  <c r="L226" i="9"/>
  <c r="L227" i="9"/>
  <c r="L228" i="9"/>
  <c r="L229" i="9"/>
  <c r="L230" i="9"/>
  <c r="L231" i="9"/>
  <c r="L232" i="9"/>
  <c r="L233" i="9"/>
  <c r="L234" i="9"/>
  <c r="L235" i="9"/>
  <c r="L236" i="9"/>
  <c r="L237" i="9"/>
  <c r="L238" i="9"/>
  <c r="L239" i="9"/>
  <c r="L240" i="9"/>
  <c r="L241" i="9"/>
  <c r="L242" i="9"/>
  <c r="L243" i="9"/>
  <c r="L244" i="9"/>
  <c r="L245" i="9"/>
  <c r="L246" i="9"/>
  <c r="L247" i="9"/>
  <c r="L248" i="9"/>
  <c r="L249" i="9"/>
  <c r="L250" i="9"/>
  <c r="L251" i="9"/>
  <c r="L252" i="9"/>
  <c r="L253" i="9"/>
  <c r="L254" i="9"/>
  <c r="L255" i="9"/>
  <c r="L256" i="9"/>
  <c r="L257" i="9"/>
  <c r="L258" i="9"/>
  <c r="L259" i="9"/>
  <c r="L260" i="9"/>
  <c r="L261" i="9"/>
  <c r="L262" i="9"/>
  <c r="L263" i="9"/>
  <c r="L214" i="9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193" i="3"/>
  <c r="L157" i="3"/>
  <c r="L158" i="3"/>
  <c r="L159" i="3"/>
  <c r="L160" i="3"/>
  <c r="L161" i="3"/>
  <c r="L162" i="3"/>
  <c r="L163" i="3"/>
  <c r="L156" i="3"/>
  <c r="N30" i="10" l="1"/>
  <c r="M30" i="10"/>
  <c r="O30" i="10" s="1"/>
  <c r="I30" i="10"/>
  <c r="H30" i="10" s="1"/>
  <c r="J30" i="10" s="1"/>
  <c r="N29" i="10"/>
  <c r="M29" i="10"/>
  <c r="I29" i="10"/>
  <c r="H29" i="10" s="1"/>
  <c r="J29" i="10" s="1"/>
  <c r="N28" i="10"/>
  <c r="M28" i="10"/>
  <c r="O28" i="10" s="1"/>
  <c r="I28" i="10"/>
  <c r="H28" i="10" s="1"/>
  <c r="J28" i="10" s="1"/>
  <c r="N27" i="10"/>
  <c r="O27" i="10" s="1"/>
  <c r="M27" i="10"/>
  <c r="I27" i="10"/>
  <c r="H27" i="10" s="1"/>
  <c r="J27" i="10" s="1"/>
  <c r="O7" i="5"/>
  <c r="P7" i="5" s="1"/>
  <c r="M7" i="5"/>
  <c r="H7" i="5"/>
  <c r="O6" i="5"/>
  <c r="P6" i="5" s="1"/>
  <c r="M6" i="5"/>
  <c r="H6" i="5"/>
  <c r="O5" i="5"/>
  <c r="P5" i="5" s="1"/>
  <c r="M5" i="5"/>
  <c r="H5" i="5"/>
  <c r="O4" i="5"/>
  <c r="P4" i="5" s="1"/>
  <c r="M4" i="5"/>
  <c r="H4" i="5"/>
  <c r="O3" i="5"/>
  <c r="P3" i="5" s="1"/>
  <c r="M3" i="5"/>
  <c r="H3" i="5"/>
  <c r="O2" i="5"/>
  <c r="P2" i="5" s="1"/>
  <c r="M2" i="5"/>
  <c r="H2" i="5"/>
  <c r="O8" i="5"/>
  <c r="P8" i="5" s="1"/>
  <c r="M8" i="5"/>
  <c r="H8" i="5"/>
  <c r="O13" i="5"/>
  <c r="P13" i="5" s="1"/>
  <c r="O12" i="5"/>
  <c r="P12" i="5" s="1"/>
  <c r="O11" i="5"/>
  <c r="P11" i="5" s="1"/>
  <c r="O10" i="5"/>
  <c r="P10" i="5" s="1"/>
  <c r="O9" i="5"/>
  <c r="P9" i="5" s="1"/>
  <c r="H13" i="5"/>
  <c r="H12" i="5"/>
  <c r="H11" i="5"/>
  <c r="H10" i="5"/>
  <c r="H9" i="5"/>
  <c r="H14" i="5"/>
  <c r="O14" i="5"/>
  <c r="P14" i="5" s="1"/>
  <c r="M13" i="5"/>
  <c r="M12" i="5"/>
  <c r="M11" i="5"/>
  <c r="M10" i="5"/>
  <c r="M9" i="5"/>
  <c r="M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61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Q146" i="5"/>
  <c r="O148" i="5"/>
  <c r="P148" i="5" s="1"/>
  <c r="O149" i="5"/>
  <c r="P149" i="5" s="1"/>
  <c r="O150" i="5"/>
  <c r="P150" i="5" s="1"/>
  <c r="O151" i="5"/>
  <c r="P151" i="5" s="1"/>
  <c r="O152" i="5"/>
  <c r="P152" i="5" s="1"/>
  <c r="O153" i="5"/>
  <c r="P153" i="5" s="1"/>
  <c r="O154" i="5"/>
  <c r="P154" i="5" s="1"/>
  <c r="O155" i="5"/>
  <c r="P155" i="5" s="1"/>
  <c r="O156" i="5"/>
  <c r="P156" i="5" s="1"/>
  <c r="O157" i="5"/>
  <c r="P157" i="5" s="1"/>
  <c r="O158" i="5"/>
  <c r="P158" i="5" s="1"/>
  <c r="O159" i="5"/>
  <c r="P159" i="5" s="1"/>
  <c r="O160" i="5"/>
  <c r="P160" i="5" s="1"/>
  <c r="O161" i="5"/>
  <c r="P161" i="5" s="1"/>
  <c r="O162" i="5"/>
  <c r="P162" i="5" s="1"/>
  <c r="O163" i="5"/>
  <c r="P163" i="5" s="1"/>
  <c r="O164" i="5"/>
  <c r="P164" i="5" s="1"/>
  <c r="O165" i="5"/>
  <c r="P165" i="5" s="1"/>
  <c r="O166" i="5"/>
  <c r="P166" i="5" s="1"/>
  <c r="O167" i="5"/>
  <c r="P167" i="5" s="1"/>
  <c r="O168" i="5"/>
  <c r="P168" i="5" s="1"/>
  <c r="O147" i="5"/>
  <c r="P147" i="5" s="1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47" i="5"/>
  <c r="I3" i="10"/>
  <c r="J3" i="10" s="1"/>
  <c r="I4" i="10"/>
  <c r="J4" i="10" s="1"/>
  <c r="I5" i="10"/>
  <c r="H5" i="10" s="1"/>
  <c r="J5" i="10" s="1"/>
  <c r="I6" i="10"/>
  <c r="J6" i="10" s="1"/>
  <c r="I7" i="10"/>
  <c r="H7" i="10" s="1"/>
  <c r="J7" i="10" s="1"/>
  <c r="I8" i="10"/>
  <c r="J8" i="10" s="1"/>
  <c r="I9" i="10"/>
  <c r="J9" i="10" s="1"/>
  <c r="I10" i="10"/>
  <c r="J10" i="10" s="1"/>
  <c r="I11" i="10"/>
  <c r="J11" i="10" s="1"/>
  <c r="I12" i="10"/>
  <c r="J12" i="10" s="1"/>
  <c r="I13" i="10"/>
  <c r="J13" i="10" s="1"/>
  <c r="I14" i="10"/>
  <c r="J14" i="10" s="1"/>
  <c r="I15" i="10"/>
  <c r="J15" i="10" s="1"/>
  <c r="I16" i="10"/>
  <c r="J16" i="10" s="1"/>
  <c r="I17" i="10"/>
  <c r="H17" i="10" s="1"/>
  <c r="J17" i="10" s="1"/>
  <c r="I18" i="10"/>
  <c r="J18" i="10" s="1"/>
  <c r="I19" i="10"/>
  <c r="H19" i="10" s="1"/>
  <c r="J19" i="10" s="1"/>
  <c r="I20" i="10"/>
  <c r="J20" i="10" s="1"/>
  <c r="I21" i="10"/>
  <c r="J21" i="10" s="1"/>
  <c r="I22" i="10"/>
  <c r="J22" i="10" s="1"/>
  <c r="I23" i="10"/>
  <c r="J23" i="10" s="1"/>
  <c r="I24" i="10"/>
  <c r="J24" i="10" s="1"/>
  <c r="I25" i="10"/>
  <c r="H25" i="10" s="1"/>
  <c r="J25" i="10" s="1"/>
  <c r="I26" i="10"/>
  <c r="H26" i="10" s="1"/>
  <c r="J26" i="10" s="1"/>
  <c r="I2" i="10"/>
  <c r="H2" i="10" s="1"/>
  <c r="J2" i="10" s="1"/>
  <c r="O29" i="10" l="1"/>
  <c r="M168" i="5"/>
  <c r="M167" i="5"/>
  <c r="M166" i="5"/>
  <c r="M165" i="5"/>
  <c r="M164" i="5"/>
  <c r="M163" i="5"/>
  <c r="M162" i="5"/>
  <c r="M161" i="5"/>
  <c r="M160" i="5"/>
  <c r="M159" i="5"/>
  <c r="M158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157" i="5"/>
  <c r="M156" i="5"/>
  <c r="M155" i="5"/>
  <c r="M154" i="5"/>
  <c r="M153" i="5"/>
  <c r="M152" i="5"/>
  <c r="M151" i="5"/>
  <c r="M150" i="5"/>
  <c r="M149" i="5"/>
  <c r="M148" i="5"/>
  <c r="M147" i="5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" i="10"/>
  <c r="M3" i="10"/>
  <c r="O3" i="10" s="1"/>
  <c r="M4" i="10"/>
  <c r="M5" i="10"/>
  <c r="M6" i="10"/>
  <c r="O6" i="10" s="1"/>
  <c r="M7" i="10"/>
  <c r="M8" i="10"/>
  <c r="M9" i="10"/>
  <c r="M10" i="10"/>
  <c r="O10" i="10" s="1"/>
  <c r="M11" i="10"/>
  <c r="M12" i="10"/>
  <c r="M13" i="10"/>
  <c r="M14" i="10"/>
  <c r="M15" i="10"/>
  <c r="O15" i="10" s="1"/>
  <c r="M16" i="10"/>
  <c r="M17" i="10"/>
  <c r="O17" i="10" s="1"/>
  <c r="M18" i="10"/>
  <c r="O18" i="10" s="1"/>
  <c r="M19" i="10"/>
  <c r="O19" i="10" s="1"/>
  <c r="M20" i="10"/>
  <c r="O20" i="10" s="1"/>
  <c r="M21" i="10"/>
  <c r="M22" i="10"/>
  <c r="M23" i="10"/>
  <c r="M24" i="10"/>
  <c r="M25" i="10"/>
  <c r="O25" i="10" s="1"/>
  <c r="M26" i="10"/>
  <c r="O26" i="10" s="1"/>
  <c r="M2" i="10"/>
  <c r="O2" i="10" s="1"/>
  <c r="O11" i="10" l="1"/>
  <c r="O4" i="10"/>
  <c r="O14" i="10"/>
  <c r="O23" i="10"/>
  <c r="O22" i="10"/>
  <c r="O13" i="10"/>
  <c r="O5" i="10"/>
  <c r="O16" i="10"/>
  <c r="O8" i="10"/>
  <c r="O7" i="10"/>
  <c r="O24" i="10"/>
  <c r="O12" i="10"/>
  <c r="O21" i="10"/>
  <c r="O9" i="10"/>
  <c r="I3" i="4" l="1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2" i="4"/>
  <c r="J3" i="4" l="1"/>
  <c r="K3" i="4"/>
  <c r="L3" i="4"/>
  <c r="J4" i="4"/>
  <c r="K4" i="4"/>
  <c r="L4" i="4"/>
  <c r="J5" i="4"/>
  <c r="K5" i="4"/>
  <c r="L5" i="4"/>
  <c r="J6" i="4"/>
  <c r="K6" i="4"/>
  <c r="L6" i="4"/>
  <c r="J7" i="4"/>
  <c r="K7" i="4"/>
  <c r="L7" i="4"/>
  <c r="J8" i="4"/>
  <c r="K8" i="4"/>
  <c r="L8" i="4"/>
  <c r="J9" i="4"/>
  <c r="K9" i="4"/>
  <c r="L9" i="4"/>
  <c r="J10" i="4"/>
  <c r="K10" i="4"/>
  <c r="L10" i="4"/>
  <c r="J11" i="4"/>
  <c r="K11" i="4"/>
  <c r="L11" i="4"/>
  <c r="J12" i="4"/>
  <c r="K12" i="4"/>
  <c r="L12" i="4"/>
  <c r="J13" i="4"/>
  <c r="K13" i="4"/>
  <c r="L13" i="4"/>
  <c r="J14" i="4"/>
  <c r="K14" i="4"/>
  <c r="L14" i="4"/>
  <c r="J15" i="4"/>
  <c r="K15" i="4"/>
  <c r="L15" i="4"/>
  <c r="J16" i="4"/>
  <c r="K16" i="4"/>
  <c r="L16" i="4"/>
  <c r="J17" i="4"/>
  <c r="K17" i="4"/>
  <c r="L17" i="4"/>
  <c r="J18" i="4"/>
  <c r="K18" i="4"/>
  <c r="L18" i="4"/>
  <c r="J19" i="4"/>
  <c r="K19" i="4"/>
  <c r="L19" i="4"/>
  <c r="J20" i="4"/>
  <c r="K20" i="4"/>
  <c r="L20" i="4"/>
  <c r="J21" i="4"/>
  <c r="K21" i="4"/>
  <c r="L21" i="4"/>
  <c r="J22" i="4"/>
  <c r="K22" i="4"/>
  <c r="L22" i="4"/>
  <c r="J23" i="4"/>
  <c r="K23" i="4"/>
  <c r="L23" i="4"/>
  <c r="J24" i="4"/>
  <c r="K24" i="4"/>
  <c r="L24" i="4"/>
  <c r="J25" i="4"/>
  <c r="K25" i="4"/>
  <c r="L25" i="4"/>
  <c r="J26" i="4"/>
  <c r="K26" i="4"/>
  <c r="L26" i="4"/>
  <c r="J27" i="4"/>
  <c r="K27" i="4"/>
  <c r="L27" i="4"/>
  <c r="J28" i="4"/>
  <c r="K28" i="4"/>
  <c r="L28" i="4"/>
  <c r="J29" i="4"/>
  <c r="K29" i="4"/>
  <c r="L29" i="4"/>
  <c r="J30" i="4"/>
  <c r="K30" i="4"/>
  <c r="L30" i="4"/>
  <c r="J31" i="4"/>
  <c r="K31" i="4"/>
  <c r="L31" i="4"/>
  <c r="J32" i="4"/>
  <c r="K32" i="4"/>
  <c r="L32" i="4"/>
  <c r="J33" i="4"/>
  <c r="K33" i="4"/>
  <c r="L33" i="4"/>
  <c r="J34" i="4"/>
  <c r="K34" i="4"/>
  <c r="L34" i="4"/>
  <c r="J35" i="4"/>
  <c r="K35" i="4"/>
  <c r="L35" i="4"/>
  <c r="J36" i="4"/>
  <c r="K36" i="4"/>
  <c r="L36" i="4"/>
  <c r="J37" i="4"/>
  <c r="K37" i="4"/>
  <c r="L37" i="4"/>
  <c r="J38" i="4"/>
  <c r="K38" i="4"/>
  <c r="L38" i="4"/>
  <c r="J39" i="4"/>
  <c r="K39" i="4"/>
  <c r="L39" i="4"/>
  <c r="L2" i="4"/>
  <c r="K2" i="4"/>
  <c r="J2" i="4"/>
</calcChain>
</file>

<file path=xl/sharedStrings.xml><?xml version="1.0" encoding="utf-8"?>
<sst xmlns="http://schemas.openxmlformats.org/spreadsheetml/2006/main" count="24065" uniqueCount="527">
  <si>
    <t>Produsent</t>
  </si>
  <si>
    <t>Type</t>
  </si>
  <si>
    <t>Type 2</t>
  </si>
  <si>
    <t>Kvalitet</t>
  </si>
  <si>
    <t>Hode</t>
  </si>
  <si>
    <t>Betegnelse</t>
  </si>
  <si>
    <t>Nominell diameter</t>
  </si>
  <si>
    <t>Kjernediameter</t>
  </si>
  <si>
    <t>Totallengde</t>
  </si>
  <si>
    <t>Gjengdelengde</t>
  </si>
  <si>
    <t>Hodediameter</t>
  </si>
  <si>
    <t>Uttrekk</t>
  </si>
  <si>
    <t>Gjennomdragning</t>
  </si>
  <si>
    <t>Flytmoment</t>
  </si>
  <si>
    <t>Strekkbelastning</t>
  </si>
  <si>
    <t>Indrivningsmoment</t>
  </si>
  <si>
    <t>Klimaklasse</t>
  </si>
  <si>
    <t>Flytegrense</t>
  </si>
  <si>
    <t>d</t>
  </si>
  <si>
    <t>d1</t>
  </si>
  <si>
    <t>l</t>
  </si>
  <si>
    <t>lg</t>
  </si>
  <si>
    <t>dh</t>
  </si>
  <si>
    <t>f_ax,k</t>
  </si>
  <si>
    <t>f_head,k</t>
  </si>
  <si>
    <t>My,k</t>
  </si>
  <si>
    <t>f_tens,k</t>
  </si>
  <si>
    <t>F_tor,k/R_tor,k &gt;= 1.5</t>
  </si>
  <si>
    <t>fy,k</t>
  </si>
  <si>
    <t>[mm]</t>
  </si>
  <si>
    <t>[N/mm2]</t>
  </si>
  <si>
    <t>[Nmm]</t>
  </si>
  <si>
    <t>[kN]</t>
  </si>
  <si>
    <t>[Mpa]</t>
  </si>
  <si>
    <t>Nordisk Treskrue</t>
  </si>
  <si>
    <t>TD</t>
  </si>
  <si>
    <t>varmforsinket</t>
  </si>
  <si>
    <t>sekskanthode</t>
  </si>
  <si>
    <t>8,0x35</t>
  </si>
  <si>
    <t>8,0x45</t>
  </si>
  <si>
    <t>8,0x55</t>
  </si>
  <si>
    <t>8,0x75</t>
  </si>
  <si>
    <t>8,0x100</t>
  </si>
  <si>
    <t>8,0x130</t>
  </si>
  <si>
    <t>10,0x40</t>
  </si>
  <si>
    <t>10,0x50</t>
  </si>
  <si>
    <t>10,0x75</t>
  </si>
  <si>
    <t>10,0x90</t>
  </si>
  <si>
    <t>10,0x120</t>
  </si>
  <si>
    <t>10,0x150</t>
  </si>
  <si>
    <t>Treskrue</t>
  </si>
  <si>
    <t>TTUF</t>
  </si>
  <si>
    <t>elforsinket</t>
  </si>
  <si>
    <t>senkhode</t>
  </si>
  <si>
    <t>5,0x30</t>
  </si>
  <si>
    <t>5,0x40</t>
  </si>
  <si>
    <t>5,0x50</t>
  </si>
  <si>
    <t>5,0x60</t>
  </si>
  <si>
    <t>5,0x70</t>
  </si>
  <si>
    <t>5,0x80</t>
  </si>
  <si>
    <t>5,0x90</t>
  </si>
  <si>
    <t>5,0x100</t>
  </si>
  <si>
    <t>5,0x120</t>
  </si>
  <si>
    <t>6,0x40</t>
  </si>
  <si>
    <t>6,0x50</t>
  </si>
  <si>
    <t>6,0x60</t>
  </si>
  <si>
    <t>6,0x70</t>
  </si>
  <si>
    <t>6,0x80</t>
  </si>
  <si>
    <t>6,0x90</t>
  </si>
  <si>
    <t>6,0x100</t>
  </si>
  <si>
    <t>6,0x120</t>
  </si>
  <si>
    <t>6,0x140</t>
  </si>
  <si>
    <t>6,0x160</t>
  </si>
  <si>
    <t>6,0x180</t>
  </si>
  <si>
    <t>panhode</t>
  </si>
  <si>
    <t>rustfri A4</t>
  </si>
  <si>
    <t>4,2x35</t>
  </si>
  <si>
    <t>4,2x45</t>
  </si>
  <si>
    <t>4,2x55</t>
  </si>
  <si>
    <t>4,8x75</t>
  </si>
  <si>
    <t>5,5x90</t>
  </si>
  <si>
    <t>5,5x110</t>
  </si>
  <si>
    <t>5,5x120</t>
  </si>
  <si>
    <t>syrefast A4</t>
  </si>
  <si>
    <t>5,0x55</t>
  </si>
  <si>
    <t>5,0x75</t>
  </si>
  <si>
    <t>5,0x140</t>
  </si>
  <si>
    <t>6,0x55</t>
  </si>
  <si>
    <t>6,0x75</t>
  </si>
  <si>
    <t>6,0x110</t>
  </si>
  <si>
    <t>TTZN-H</t>
  </si>
  <si>
    <t>C4</t>
  </si>
  <si>
    <t>8,0x40</t>
  </si>
  <si>
    <t>8,0x50</t>
  </si>
  <si>
    <t>8,0x60</t>
  </si>
  <si>
    <t>8,0x80</t>
  </si>
  <si>
    <t>8,0x90</t>
  </si>
  <si>
    <t>8,0x120</t>
  </si>
  <si>
    <t>8,0x140</t>
  </si>
  <si>
    <t>10,0x60</t>
  </si>
  <si>
    <t>10,0x80</t>
  </si>
  <si>
    <t>10,0x100</t>
  </si>
  <si>
    <t>10,0x140</t>
  </si>
  <si>
    <t>10,0x160</t>
  </si>
  <si>
    <t>10,0x180</t>
  </si>
  <si>
    <t>12,0x60</t>
  </si>
  <si>
    <t>12,0x80</t>
  </si>
  <si>
    <t>12,0x90</t>
  </si>
  <si>
    <t>12,0x100</t>
  </si>
  <si>
    <t>12,0x120</t>
  </si>
  <si>
    <t>12,0x140</t>
  </si>
  <si>
    <t>12,0x160</t>
  </si>
  <si>
    <t>12,0x180</t>
  </si>
  <si>
    <t>12,0x200</t>
  </si>
  <si>
    <t>ZNNI</t>
  </si>
  <si>
    <t>4,5x25</t>
  </si>
  <si>
    <t>4,5x30</t>
  </si>
  <si>
    <t>4,5x40</t>
  </si>
  <si>
    <t>4,5x50</t>
  </si>
  <si>
    <t>4,5x60</t>
  </si>
  <si>
    <t>4,5x70</t>
  </si>
  <si>
    <t>Konstruksjonsskrue Tre</t>
  </si>
  <si>
    <t>TTGF-W</t>
  </si>
  <si>
    <t>C2</t>
  </si>
  <si>
    <t>skivehode</t>
  </si>
  <si>
    <t>6,0x200</t>
  </si>
  <si>
    <t>6,0x220</t>
  </si>
  <si>
    <t>6,0x240</t>
  </si>
  <si>
    <t>6,0x260</t>
  </si>
  <si>
    <t>6,0x280</t>
  </si>
  <si>
    <t>6,0x300</t>
  </si>
  <si>
    <t>8,0x160</t>
  </si>
  <si>
    <t>8,0x180</t>
  </si>
  <si>
    <t>8,0x200</t>
  </si>
  <si>
    <t>8,0x220</t>
  </si>
  <si>
    <t>8,0x240</t>
  </si>
  <si>
    <t>8,0x260</t>
  </si>
  <si>
    <t>8,0x280</t>
  </si>
  <si>
    <t>8,0x300</t>
  </si>
  <si>
    <t>8,0x320</t>
  </si>
  <si>
    <t>8,0x340</t>
  </si>
  <si>
    <t>8,0x360</t>
  </si>
  <si>
    <t>8,0x380</t>
  </si>
  <si>
    <t>8,0x400</t>
  </si>
  <si>
    <t>10,0x200</t>
  </si>
  <si>
    <t>10,0x220</t>
  </si>
  <si>
    <t>10,0x240</t>
  </si>
  <si>
    <t>10,0x260</t>
  </si>
  <si>
    <t>10,0x280</t>
  </si>
  <si>
    <t>10,0x300</t>
  </si>
  <si>
    <t>10,0x320</t>
  </si>
  <si>
    <t>10,0x340</t>
  </si>
  <si>
    <t>10,0x360</t>
  </si>
  <si>
    <t>10,0x380</t>
  </si>
  <si>
    <t>10,0x400</t>
  </si>
  <si>
    <t>TTPF-D</t>
  </si>
  <si>
    <t>C3</t>
  </si>
  <si>
    <t>6,5x90</t>
  </si>
  <si>
    <t>6,5x130</t>
  </si>
  <si>
    <t>6,5x160</t>
  </si>
  <si>
    <t>6,5x190</t>
  </si>
  <si>
    <t>6,5x220</t>
  </si>
  <si>
    <t>6,5x245</t>
  </si>
  <si>
    <t>8,0x190</t>
  </si>
  <si>
    <t>8,0x245</t>
  </si>
  <si>
    <t>8,0x275</t>
  </si>
  <si>
    <t>8,0x330</t>
  </si>
  <si>
    <t>TTGF-S</t>
  </si>
  <si>
    <t>Ah</t>
  </si>
  <si>
    <t>ht</t>
  </si>
  <si>
    <t>faxk90[N/mm^2]</t>
  </si>
  <si>
    <t>fhead,k[N/mm^2]</t>
  </si>
  <si>
    <t>ftens,k[kN]</t>
  </si>
  <si>
    <t>Nettside</t>
  </si>
  <si>
    <t>StrongTie</t>
  </si>
  <si>
    <t>FIRK</t>
  </si>
  <si>
    <t>https://www.strongtie.no/products/detail/skarpkantspiker-varmgalvanisert/1184</t>
  </si>
  <si>
    <t>FIRKS</t>
  </si>
  <si>
    <t>https://www.strongtie.no/products/detail/skarpkantspiker-syrefast-a4/1185</t>
  </si>
  <si>
    <t>FIRKSQG</t>
  </si>
  <si>
    <t>https://www.strongtie.no/products/detail/firkantspiker-varmgalvanisert/1475</t>
  </si>
  <si>
    <t>FIRKSQU</t>
  </si>
  <si>
    <t>HNZ</t>
  </si>
  <si>
    <t>https://www.strongtie.no/products/detail/herdet-stalspiker/1411</t>
  </si>
  <si>
    <t>NCNG</t>
  </si>
  <si>
    <t>https://www.strongtie.no/products/detail/bygningspiker-varmgalvanisert/1412</t>
  </si>
  <si>
    <t>BASN</t>
  </si>
  <si>
    <t>https://www.strongtie.no/products/detail/17-stavspiker-plastbandet-varmgalvanisert/1477</t>
  </si>
  <si>
    <t>FIRKD</t>
  </si>
  <si>
    <t>RSN</t>
  </si>
  <si>
    <t>KNURC</t>
  </si>
  <si>
    <t>RSNC</t>
  </si>
  <si>
    <t xml:space="preserve"> </t>
  </si>
  <si>
    <t>ROTHOBLAAS</t>
  </si>
  <si>
    <t>CTC</t>
  </si>
  <si>
    <t>HBSPLATEEVO</t>
  </si>
  <si>
    <t>HBS</t>
  </si>
  <si>
    <t>HBSEVO</t>
  </si>
  <si>
    <t>LBS</t>
  </si>
  <si>
    <t>SBD</t>
  </si>
  <si>
    <t>SKR</t>
  </si>
  <si>
    <t>SKREVO</t>
  </si>
  <si>
    <t>VGS</t>
  </si>
  <si>
    <t>VGZEVO</t>
  </si>
  <si>
    <t>VGZHARDWOOD</t>
  </si>
  <si>
    <t>VGZ</t>
  </si>
  <si>
    <t>Strongtie</t>
  </si>
  <si>
    <t>EKS</t>
  </si>
  <si>
    <t>KOTA2</t>
  </si>
  <si>
    <t>KOT</t>
  </si>
  <si>
    <t>KOSA2</t>
  </si>
  <si>
    <t>KOS</t>
  </si>
  <si>
    <t>STA</t>
  </si>
  <si>
    <t>Bolt</t>
  </si>
  <si>
    <t>faxk[N/mm^2]</t>
  </si>
  <si>
    <t>My,Rk [Nm]</t>
  </si>
  <si>
    <t>My,k [Nm]</t>
  </si>
  <si>
    <t>SDWS</t>
  </si>
  <si>
    <t>SWD</t>
  </si>
  <si>
    <t>TTSFS</t>
  </si>
  <si>
    <t>TTZNFP</t>
  </si>
  <si>
    <t>TTZNFS</t>
  </si>
  <si>
    <t>SWC</t>
  </si>
  <si>
    <t>SWW</t>
  </si>
  <si>
    <t>TTUFP</t>
  </si>
  <si>
    <t>TTUFS</t>
  </si>
  <si>
    <t>CSA</t>
  </si>
  <si>
    <t>CSA-S</t>
  </si>
  <si>
    <t>CSA-Z</t>
  </si>
  <si>
    <t>SSF</t>
  </si>
  <si>
    <t>SSH</t>
  </si>
  <si>
    <t>Usage</t>
  </si>
  <si>
    <t>Highest service class</t>
  </si>
  <si>
    <t>Round head screw for plates</t>
  </si>
  <si>
    <t>Self-drilling dowel</t>
  </si>
  <si>
    <t>Concrete screw hexagonal</t>
  </si>
  <si>
    <t>SKS</t>
  </si>
  <si>
    <t>Concrete screw countersunk</t>
  </si>
  <si>
    <t>SKSEVO</t>
  </si>
  <si>
    <t>Timber-to-concrete floors</t>
  </si>
  <si>
    <t>Pan Head Screw</t>
  </si>
  <si>
    <t>Countersunk screw</t>
  </si>
  <si>
    <t>Fully threaded screw</t>
  </si>
  <si>
    <t>Full threaded screw with cylindrical head</t>
  </si>
  <si>
    <t>Fully threaded screw for hardwoods</t>
  </si>
  <si>
    <t>Konstruksjonsskrue, utvendig</t>
  </si>
  <si>
    <t>Nordisk treskrue, dobbeltgjenget</t>
  </si>
  <si>
    <t>Nordisk treskrue, senkhode</t>
  </si>
  <si>
    <t>Nordisk treskrue, pan-hode</t>
  </si>
  <si>
    <t>Nordisk treskrue, skivehode</t>
  </si>
  <si>
    <t>Beslagskruer</t>
  </si>
  <si>
    <t>Beslagskrue, flathode</t>
  </si>
  <si>
    <t>Treskrue, 6-kant</t>
  </si>
  <si>
    <t>Skarpkantspiker</t>
  </si>
  <si>
    <t>FIRKG</t>
  </si>
  <si>
    <t>Firkantspiker</t>
  </si>
  <si>
    <t>Herdet stålspiker</t>
  </si>
  <si>
    <t>Bygningspiker</t>
  </si>
  <si>
    <t>Stavspiker</t>
  </si>
  <si>
    <t>Coilspiker</t>
  </si>
  <si>
    <t>Hexagonal Head Bolt</t>
  </si>
  <si>
    <t>Round Head Bolt</t>
  </si>
  <si>
    <t>CNA</t>
  </si>
  <si>
    <t>Beslagspiker</t>
  </si>
  <si>
    <t>LBA</t>
  </si>
  <si>
    <t>High Bond Nail</t>
  </si>
  <si>
    <t>LBAI</t>
  </si>
  <si>
    <t>ESSVE</t>
  </si>
  <si>
    <t>Senkhode</t>
  </si>
  <si>
    <t>Panhode</t>
  </si>
  <si>
    <t>Helgjenget panhode</t>
  </si>
  <si>
    <t>INV PH FZB</t>
  </si>
  <si>
    <t>ESSDRIVE UTV SH A2</t>
  </si>
  <si>
    <t>ESSDRIVE PH A2</t>
  </si>
  <si>
    <t>ESSDRIVE SH A4</t>
  </si>
  <si>
    <t>ESSDRIVE PH FZB</t>
  </si>
  <si>
    <t>ESSDRIVE UTV CS</t>
  </si>
  <si>
    <t>Utvendig senkhode CorrSeal</t>
  </si>
  <si>
    <t>ESSDRIVE SH FZB</t>
  </si>
  <si>
    <t>Innvendig senkhode</t>
  </si>
  <si>
    <t>UTV PH A2</t>
  </si>
  <si>
    <t>UTV SH CS</t>
  </si>
  <si>
    <t>Senkhode, CorrSeal</t>
  </si>
  <si>
    <t>UTV SH A2</t>
  </si>
  <si>
    <t>Senkhode, A2</t>
  </si>
  <si>
    <t>UTV SH A4</t>
  </si>
  <si>
    <t>Senkhode, A4</t>
  </si>
  <si>
    <t>INV SH FZB</t>
  </si>
  <si>
    <t>Helgjenget senkhode</t>
  </si>
  <si>
    <t>UTV HEX CS</t>
  </si>
  <si>
    <t>6-Kant, CorrSeal</t>
  </si>
  <si>
    <t>WAF FZB</t>
  </si>
  <si>
    <t>ET-T</t>
  </si>
  <si>
    <t>Konstruksjonsskrue CorrSeal</t>
  </si>
  <si>
    <t>Konstruksjonsskrue</t>
  </si>
  <si>
    <t>WAF CS</t>
  </si>
  <si>
    <t>WAF A4</t>
  </si>
  <si>
    <t>Konstruksjonsskrue A4</t>
  </si>
  <si>
    <t>Beslagskrue</t>
  </si>
  <si>
    <t>Beslagskrue CS</t>
  </si>
  <si>
    <t>d int</t>
  </si>
  <si>
    <t>d ext</t>
  </si>
  <si>
    <t>s</t>
  </si>
  <si>
    <t>rod</t>
  </si>
  <si>
    <t>Washer S235 DIN 1052</t>
  </si>
  <si>
    <t>Washer S235 DIN 9021</t>
  </si>
  <si>
    <t>Washer S235 DIN 440 R</t>
  </si>
  <si>
    <t>Washer DIN 125 A</t>
  </si>
  <si>
    <t>N ax,k</t>
  </si>
  <si>
    <t>12*t</t>
  </si>
  <si>
    <t>4*d</t>
  </si>
  <si>
    <t>Threaded rod</t>
  </si>
  <si>
    <t>MGS 4.8</t>
  </si>
  <si>
    <t>MGS 8.8</t>
  </si>
  <si>
    <t>fuk[N/mm2]</t>
  </si>
  <si>
    <t>fyk[N/mm2]</t>
  </si>
  <si>
    <t>Aef</t>
  </si>
  <si>
    <t>N/Aef [N/mm^2]</t>
  </si>
  <si>
    <t>ULS DIN 9021</t>
  </si>
  <si>
    <t>ULS DIN 440 R</t>
  </si>
  <si>
    <t>ULS DIN 1052</t>
  </si>
  <si>
    <t>ULS DIN 125 A</t>
  </si>
  <si>
    <t>def</t>
  </si>
  <si>
    <t>HUS</t>
  </si>
  <si>
    <t>HBSPLATE</t>
  </si>
  <si>
    <t>l1</t>
  </si>
  <si>
    <t>l3</t>
  </si>
  <si>
    <t>l2</t>
  </si>
  <si>
    <t>TBS</t>
  </si>
  <si>
    <t>Flange Head Screw</t>
  </si>
  <si>
    <t>TBSEVO</t>
  </si>
  <si>
    <t>Sharp Metal Low Density</t>
  </si>
  <si>
    <t>Sharp Metal High Density</t>
  </si>
  <si>
    <t>fv0k</t>
  </si>
  <si>
    <t>fv90k</t>
  </si>
  <si>
    <t>fvEGk</t>
  </si>
  <si>
    <t>kser0k</t>
  </si>
  <si>
    <t>kser90k</t>
  </si>
  <si>
    <t>kserEGk</t>
  </si>
  <si>
    <t>Width</t>
  </si>
  <si>
    <t>SHARP50</t>
  </si>
  <si>
    <t>SHARP50H</t>
  </si>
  <si>
    <t>STRONGTIE</t>
  </si>
  <si>
    <t>with screw</t>
  </si>
  <si>
    <t>Screw</t>
  </si>
  <si>
    <t>Nail</t>
  </si>
  <si>
    <t>Dowel</t>
  </si>
  <si>
    <t>false</t>
  </si>
  <si>
    <t>true</t>
  </si>
  <si>
    <t>SBD short</t>
  </si>
  <si>
    <t>Smooth Dowel, S355</t>
  </si>
  <si>
    <t>Smooth Dowel, S235</t>
  </si>
  <si>
    <t>EN 1.4404</t>
  </si>
  <si>
    <t>AISI 316L</t>
  </si>
  <si>
    <t>DIN 571</t>
  </si>
  <si>
    <t>DIN 571 (4.6)</t>
  </si>
  <si>
    <t>DIN 571 (4.8)</t>
  </si>
  <si>
    <t>DIN 571 (A2)</t>
  </si>
  <si>
    <t>Fransk treskrue (NKT)</t>
  </si>
  <si>
    <t>Fransk treskrue (INDEX)</t>
  </si>
  <si>
    <t>CY-FT</t>
  </si>
  <si>
    <t>C-PT</t>
  </si>
  <si>
    <t>H-PT</t>
  </si>
  <si>
    <t>H-FT</t>
  </si>
  <si>
    <t>HEX</t>
  </si>
  <si>
    <t>Helgjenget, sylindrisk hode, C2</t>
  </si>
  <si>
    <t>Delgjenget, forsenket hode, C2</t>
  </si>
  <si>
    <t>Herdet karbonstål, C1</t>
  </si>
  <si>
    <t>Helgjenget, sekskanthode, C1</t>
  </si>
  <si>
    <t>Dobbelgjenget, sylinderhode, C4</t>
  </si>
  <si>
    <t>Sekskanthode, C4</t>
  </si>
  <si>
    <t>Sekskanthode, C1</t>
  </si>
  <si>
    <t>Sekskanthode, C2</t>
  </si>
  <si>
    <t>Sekskanthode, C3</t>
  </si>
  <si>
    <t>Treskrue bygg</t>
  </si>
  <si>
    <t>Varmforsinket, 8.8, C3</t>
  </si>
  <si>
    <t>MOTEK</t>
  </si>
  <si>
    <t>ISO 4014</t>
  </si>
  <si>
    <t>Hexagon Head Bolt</t>
  </si>
  <si>
    <t>ISO 4014 / DIN 931</t>
  </si>
  <si>
    <t>bolt</t>
  </si>
  <si>
    <t>As,nom</t>
  </si>
  <si>
    <t>4.6</t>
  </si>
  <si>
    <t>4.8</t>
  </si>
  <si>
    <t>5.6</t>
  </si>
  <si>
    <t>5.8</t>
  </si>
  <si>
    <t>6.8</t>
  </si>
  <si>
    <t>8.8</t>
  </si>
  <si>
    <t>10.9</t>
  </si>
  <si>
    <t>50</t>
  </si>
  <si>
    <t>70</t>
  </si>
  <si>
    <t>80</t>
  </si>
  <si>
    <t>100</t>
  </si>
  <si>
    <t>f_ub</t>
  </si>
  <si>
    <t>f_ub_tab</t>
  </si>
  <si>
    <t>M12</t>
  </si>
  <si>
    <t>M14</t>
  </si>
  <si>
    <t>M16</t>
  </si>
  <si>
    <t>M18</t>
  </si>
  <si>
    <t>M20</t>
  </si>
  <si>
    <t>M22</t>
  </si>
  <si>
    <t>M24</t>
  </si>
  <si>
    <t>M27</t>
  </si>
  <si>
    <t>M30</t>
  </si>
  <si>
    <t>M33</t>
  </si>
  <si>
    <t>M36</t>
  </si>
  <si>
    <t>S 235</t>
  </si>
  <si>
    <t>S 355</t>
  </si>
  <si>
    <t>NS-EN 10025-2</t>
  </si>
  <si>
    <t>EN 1.4301</t>
  </si>
  <si>
    <t>AISI 304</t>
  </si>
  <si>
    <t>Stainless steel round bar, fuk 520 Mpa</t>
  </si>
  <si>
    <t>fuk 360 Mpa</t>
  </si>
  <si>
    <t>fuk 490 Mpa</t>
  </si>
  <si>
    <t>f_uk</t>
  </si>
  <si>
    <t>M10</t>
  </si>
  <si>
    <t>M8</t>
  </si>
  <si>
    <t>M7</t>
  </si>
  <si>
    <t>M6</t>
  </si>
  <si>
    <t>M5</t>
  </si>
  <si>
    <t>SIMPSON</t>
  </si>
  <si>
    <t>STD</t>
  </si>
  <si>
    <t>Smooth Dowel, S235JR</t>
  </si>
  <si>
    <t>STDG</t>
  </si>
  <si>
    <t>Producer</t>
  </si>
  <si>
    <t>dc</t>
  </si>
  <si>
    <t>h1</t>
  </si>
  <si>
    <t>hc</t>
  </si>
  <si>
    <t>t</t>
  </si>
  <si>
    <t>C5</t>
  </si>
  <si>
    <t>d2</t>
  </si>
  <si>
    <t>a1</t>
  </si>
  <si>
    <t>a2</t>
  </si>
  <si>
    <t>Type text</t>
  </si>
  <si>
    <t>Round single sided</t>
  </si>
  <si>
    <t>Oval single sided</t>
  </si>
  <si>
    <t>t1</t>
  </si>
  <si>
    <t>t2</t>
  </si>
  <si>
    <t>a3t</t>
  </si>
  <si>
    <t>a3c</t>
  </si>
  <si>
    <t>a4t</t>
  </si>
  <si>
    <t>a4c</t>
  </si>
  <si>
    <t>Rvk</t>
  </si>
  <si>
    <t>C1</t>
  </si>
  <si>
    <t>Round double sided</t>
  </si>
  <si>
    <t>Oval double sided</t>
  </si>
  <si>
    <t>Square double sided</t>
  </si>
  <si>
    <t>external d.</t>
  </si>
  <si>
    <t>center hole</t>
  </si>
  <si>
    <t>Teeth</t>
  </si>
  <si>
    <t>Total</t>
  </si>
  <si>
    <t>thickness</t>
  </si>
  <si>
    <t>C6</t>
  </si>
  <si>
    <t>EN 912</t>
  </si>
  <si>
    <t>C7</t>
  </si>
  <si>
    <t>Sides</t>
  </si>
  <si>
    <t>C8</t>
  </si>
  <si>
    <t>Rectangular double sided</t>
  </si>
  <si>
    <t>C9</t>
  </si>
  <si>
    <t>Rectangular single sided</t>
  </si>
  <si>
    <t>C10</t>
  </si>
  <si>
    <t>C11</t>
  </si>
  <si>
    <t>A1</t>
  </si>
  <si>
    <t>Ring dowel</t>
  </si>
  <si>
    <t>r</t>
  </si>
  <si>
    <t>radius</t>
  </si>
  <si>
    <t>Treskrue montasje</t>
  </si>
  <si>
    <t>Settherdet kullstål C1022, C4</t>
  </si>
  <si>
    <t>Product</t>
  </si>
  <si>
    <t>Detailinformation</t>
  </si>
  <si>
    <t>Detail information</t>
  </si>
  <si>
    <t>Bmax</t>
  </si>
  <si>
    <t>Fully threaded screw, Countersunk head, A4</t>
  </si>
  <si>
    <t>Fully threaded screw, Cylinder head, A4</t>
  </si>
  <si>
    <t>KonstruX ST A4 CS</t>
  </si>
  <si>
    <t>KonstruX A4 CS</t>
  </si>
  <si>
    <t>KonstruX 13mm E12</t>
  </si>
  <si>
    <t>Fully threaded screw, E12 drive, galvanized</t>
  </si>
  <si>
    <t>Fully threaded screw, Cylinder head, galvanized</t>
  </si>
  <si>
    <t>Fully threaded screw, Countersunk head, galvanized</t>
  </si>
  <si>
    <t>KonstruX Duo</t>
  </si>
  <si>
    <t>Partially threaded screw, galvanized</t>
  </si>
  <si>
    <t>EUROTEC</t>
  </si>
  <si>
    <t>KonstruX ST ZK</t>
  </si>
  <si>
    <t>KonstruX ST A4 ZK</t>
  </si>
  <si>
    <t>KonstruX ST SK</t>
  </si>
  <si>
    <t>KonstruX AG SK</t>
  </si>
  <si>
    <t>Countersunk-head, blue galvanised</t>
  </si>
  <si>
    <t>Paneltwistec AG SK</t>
  </si>
  <si>
    <t>Paneltwistec AG TK</t>
  </si>
  <si>
    <t>Flange button head, blue galvanised</t>
  </si>
  <si>
    <t>StarDrive GPR CS</t>
  </si>
  <si>
    <t>StarDrive GPR WH</t>
  </si>
  <si>
    <t>Countersunk head, partial thread</t>
  </si>
  <si>
    <t>Washer head, partial thread</t>
  </si>
  <si>
    <t>SCHMID</t>
  </si>
  <si>
    <t>SPAX</t>
  </si>
  <si>
    <t>Flat countersunk head, full thread, T-STAR plus</t>
  </si>
  <si>
    <t>T-STAR plus A2</t>
  </si>
  <si>
    <t>T-STAR plus WIROX</t>
  </si>
  <si>
    <t>T-STAR plus A4</t>
  </si>
  <si>
    <t>RAPID® CS</t>
  </si>
  <si>
    <t>RAPID® WH</t>
  </si>
  <si>
    <t>RAPID® DUAL</t>
  </si>
  <si>
    <t>Dual Hex head, partial thread</t>
  </si>
  <si>
    <t>RAPID® SSF</t>
  </si>
  <si>
    <t>SuperSenkFix Washer head, partial thread</t>
  </si>
  <si>
    <t>StarDrive GPR CS A2</t>
  </si>
  <si>
    <t>Countersunk head, partial thread, stainless steel</t>
  </si>
  <si>
    <t>StarDrive GPR WH A2</t>
  </si>
  <si>
    <t>Washer head, partial thread, stainless steel</t>
  </si>
  <si>
    <t xml:space="preserve">StarDrive GPR PS </t>
  </si>
  <si>
    <t>Washer head, full thread</t>
  </si>
  <si>
    <t>RAPID® FT CL</t>
  </si>
  <si>
    <t>Cylinder head, full thread</t>
  </si>
  <si>
    <t>Cylinder head, full thread, HSP</t>
  </si>
  <si>
    <t>RAPID® FT CS</t>
  </si>
  <si>
    <t>Countersunk head, full thread, HSP</t>
  </si>
  <si>
    <t>RAPID® T-LIFT</t>
  </si>
  <si>
    <t>Dual Hex head, full thread</t>
  </si>
  <si>
    <t>RAPID® HARDWOOD WH</t>
  </si>
  <si>
    <t>RAPID® HARDWOOD CS</t>
  </si>
  <si>
    <t>RAPID® TOP-2-ROOF</t>
  </si>
  <si>
    <t>Cylinder head, duo thread</t>
  </si>
  <si>
    <t>RAPID® T-Con</t>
  </si>
  <si>
    <t/>
  </si>
  <si>
    <t>Washer 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</si>
</sst>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7CE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0" fontId="3" fillId="9" borderId="9" applyNumberFormat="0" applyAlignment="0" applyProtection="0"/>
    <xf numFmtId="43" fontId="5" fillId="0" borderId="0" applyFont="0" applyFill="0" applyBorder="0" applyAlignment="0" applyProtection="0"/>
    <xf numFmtId="0" fontId="7" fillId="15" borderId="0" applyNumberFormat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8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/>
    <xf numFmtId="0" fontId="0" fillId="2" borderId="0" xfId="0" applyFill="1"/>
    <xf numFmtId="0" fontId="0" fillId="2" borderId="5" xfId="0" applyFill="1" applyBorder="1" applyAlignment="1">
      <alignment horizontal="center"/>
    </xf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 applyAlignment="1">
      <alignment horizontal="center"/>
    </xf>
    <xf numFmtId="0" fontId="0" fillId="0" borderId="2" xfId="0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0" fillId="3" borderId="4" xfId="0" applyFill="1" applyBorder="1"/>
    <xf numFmtId="0" fontId="0" fillId="3" borderId="0" xfId="0" applyFill="1"/>
    <xf numFmtId="0" fontId="0" fillId="3" borderId="5" xfId="0" applyFill="1" applyBorder="1" applyAlignment="1">
      <alignment horizontal="center"/>
    </xf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 applyAlignment="1">
      <alignment horizontal="center"/>
    </xf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 applyAlignment="1">
      <alignment horizontal="center"/>
    </xf>
    <xf numFmtId="0" fontId="0" fillId="4" borderId="4" xfId="0" applyFill="1" applyBorder="1"/>
    <xf numFmtId="0" fontId="0" fillId="4" borderId="0" xfId="0" applyFill="1"/>
    <xf numFmtId="0" fontId="0" fillId="4" borderId="5" xfId="0" applyFill="1" applyBorder="1" applyAlignment="1">
      <alignment horizontal="center"/>
    </xf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 applyAlignment="1">
      <alignment horizontal="center"/>
    </xf>
    <xf numFmtId="0" fontId="0" fillId="5" borderId="1" xfId="0" applyFill="1" applyBorder="1"/>
    <xf numFmtId="0" fontId="0" fillId="5" borderId="2" xfId="0" applyFill="1" applyBorder="1"/>
    <xf numFmtId="0" fontId="0" fillId="5" borderId="3" xfId="0" applyFill="1" applyBorder="1" applyAlignment="1">
      <alignment horizontal="center"/>
    </xf>
    <xf numFmtId="0" fontId="0" fillId="5" borderId="4" xfId="0" applyFill="1" applyBorder="1"/>
    <xf numFmtId="0" fontId="0" fillId="5" borderId="0" xfId="0" applyFill="1"/>
    <xf numFmtId="0" fontId="0" fillId="5" borderId="5" xfId="0" applyFill="1" applyBorder="1" applyAlignment="1">
      <alignment horizontal="center"/>
    </xf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 applyAlignment="1">
      <alignment horizontal="center"/>
    </xf>
    <xf numFmtId="0" fontId="0" fillId="0" borderId="0" xfId="0" quotePrefix="1"/>
    <xf numFmtId="0" fontId="2" fillId="0" borderId="0" xfId="1"/>
    <xf numFmtId="0" fontId="0" fillId="6" borderId="0" xfId="0" applyFill="1"/>
    <xf numFmtId="0" fontId="0" fillId="7" borderId="0" xfId="0" applyFill="1"/>
    <xf numFmtId="0" fontId="0" fillId="8" borderId="0" xfId="0" applyFill="1"/>
    <xf numFmtId="1" fontId="3" fillId="9" borderId="9" xfId="2" applyNumberFormat="1"/>
    <xf numFmtId="164" fontId="0" fillId="0" borderId="0" xfId="0" applyNumberFormat="1"/>
    <xf numFmtId="1" fontId="0" fillId="0" borderId="0" xfId="0" applyNumberFormat="1"/>
    <xf numFmtId="1" fontId="0" fillId="2" borderId="0" xfId="0" applyNumberFormat="1" applyFill="1"/>
    <xf numFmtId="43" fontId="0" fillId="0" borderId="0" xfId="3" applyFont="1"/>
    <xf numFmtId="0" fontId="0" fillId="10" borderId="0" xfId="0" applyFill="1"/>
    <xf numFmtId="43" fontId="0" fillId="10" borderId="0" xfId="3" applyFont="1" applyFill="1"/>
    <xf numFmtId="0" fontId="1" fillId="11" borderId="0" xfId="0" applyFont="1" applyFill="1"/>
    <xf numFmtId="0" fontId="1" fillId="11" borderId="0" xfId="0" quotePrefix="1" applyFont="1" applyFill="1" applyAlignment="1">
      <alignment horizontal="center"/>
    </xf>
    <xf numFmtId="0" fontId="0" fillId="12" borderId="0" xfId="0" applyFill="1"/>
    <xf numFmtId="0" fontId="0" fillId="13" borderId="0" xfId="0" quotePrefix="1" applyFill="1"/>
    <xf numFmtId="0" fontId="0" fillId="13" borderId="0" xfId="0" quotePrefix="1" applyFill="1" applyAlignment="1">
      <alignment horizontal="right"/>
    </xf>
    <xf numFmtId="0" fontId="0" fillId="13" borderId="0" xfId="0" applyFill="1" applyAlignment="1">
      <alignment horizontal="right"/>
    </xf>
    <xf numFmtId="0" fontId="0" fillId="0" borderId="0" xfId="0" applyAlignment="1">
      <alignment horizontal="right"/>
    </xf>
    <xf numFmtId="0" fontId="0" fillId="13" borderId="0" xfId="0" applyFill="1"/>
    <xf numFmtId="0" fontId="0" fillId="14" borderId="0" xfId="0" applyFill="1"/>
    <xf numFmtId="164" fontId="0" fillId="14" borderId="0" xfId="0" applyNumberFormat="1" applyFill="1"/>
    <xf numFmtId="164" fontId="0" fillId="8" borderId="0" xfId="0" applyNumberFormat="1" applyFill="1"/>
    <xf numFmtId="1" fontId="6" fillId="0" borderId="0" xfId="0" applyNumberFormat="1" applyFont="1"/>
    <xf numFmtId="0" fontId="7" fillId="15" borderId="0" xfId="4"/>
    <xf numFmtId="0" fontId="7" fillId="15" borderId="0" xfId="4" quotePrefix="1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10" borderId="0" xfId="0" applyFill="1" applyAlignment="1">
      <alignment horizontal="center" vertical="top" wrapText="1"/>
    </xf>
    <xf numFmtId="0" fontId="1" fillId="14" borderId="0" xfId="0" applyFont="1" applyFill="1"/>
    <xf numFmtId="0" fontId="9" fillId="0" borderId="0" xfId="0" applyFont="1"/>
    <xf numFmtId="0" fontId="8" fillId="0" borderId="0" xfId="0" applyFont="1"/>
    <xf numFmtId="2" fontId="9" fillId="0" borderId="0" xfId="0" applyNumberFormat="1" applyFont="1"/>
    <xf numFmtId="2" fontId="10" fillId="9" borderId="9" xfId="2" applyNumberFormat="1" applyFont="1" applyAlignment="1">
      <alignment horizontal="right"/>
    </xf>
    <xf numFmtId="1" fontId="9" fillId="0" borderId="0" xfId="0" applyNumberFormat="1" applyFont="1"/>
    <xf numFmtId="0" fontId="0" fillId="0" borderId="0" xfId="0" applyAlignment="1">
      <alignment horizontal="right" wrapText="1"/>
    </xf>
  </cellXfs>
  <cellStyles count="8">
    <cellStyle name="Beregning" xfId="2" builtinId="22"/>
    <cellStyle name="Dårlig" xfId="4" builtinId="27"/>
    <cellStyle name="Hyperkobling" xfId="1" builtinId="8"/>
    <cellStyle name="Komma" xfId="3" builtinId="3"/>
    <cellStyle name="Komma 2" xfId="5" xr:uid="{AA47772F-2D51-43D2-AB53-FB49A26F12A8}"/>
    <cellStyle name="Komma 2 2" xfId="7" xr:uid="{8E4B763A-1C28-4750-A3B9-FBF3197F2727}"/>
    <cellStyle name="Komma 3" xfId="6" xr:uid="{EE5CA376-B1A9-4799-A3D6-E686E215F364}"/>
    <cellStyle name="Normal" xfId="0" builtinId="0"/>
  </cellStyles>
  <dxfs count="7">
    <dxf>
      <font>
        <color theme="8" tint="-0.24994659260841701"/>
      </font>
    </dxf>
    <dxf>
      <font>
        <color theme="8" tint="-0.24994659260841701"/>
      </font>
    </dxf>
    <dxf>
      <font>
        <color theme="8" tint="-0.24994659260841701"/>
      </font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66</xdr:row>
      <xdr:rowOff>0</xdr:rowOff>
    </xdr:from>
    <xdr:to>
      <xdr:col>22</xdr:col>
      <xdr:colOff>143746</xdr:colOff>
      <xdr:row>73</xdr:row>
      <xdr:rowOff>57344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87E8DBCC-B11D-7F64-A015-2B1C3DB5C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87600" y="12573000"/>
          <a:ext cx="6239746" cy="13908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trongtie.no/products/detail/bygningspiker-varmgalvanisert/1412" TargetMode="External"/><Relationship Id="rId1" Type="http://schemas.openxmlformats.org/officeDocument/2006/relationships/hyperlink" Target="https://www.strongtie.no/products/detail/skarpkantspiker-varmgalvanisert/1184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0070C0"/>
  </sheetPr>
  <dimension ref="A1:P3024"/>
  <sheetViews>
    <sheetView workbookViewId="0">
      <pane ySplit="1" topLeftCell="A1935" activePane="bottomLeft" state="frozen"/>
      <selection pane="bottomLeft"/>
    </sheetView>
  </sheetViews>
  <sheetFormatPr baseColWidth="10" defaultColWidth="15.5703125" defaultRowHeight="15" x14ac:dyDescent="0.25"/>
  <cols>
    <col min="3" max="3" width="18.85546875" bestFit="1" customWidth="1"/>
    <col min="4" max="4" width="26.140625" customWidth="1"/>
    <col min="5" max="5" width="8.85546875" customWidth="1"/>
    <col min="6" max="15" width="11.140625" customWidth="1"/>
  </cols>
  <sheetData>
    <row r="1" spans="1:16" s="74" customFormat="1" ht="45.75" customHeight="1" x14ac:dyDescent="0.25">
      <c r="A1" s="74" t="s">
        <v>1</v>
      </c>
      <c r="B1" s="74" t="s">
        <v>424</v>
      </c>
      <c r="C1" s="74" t="s">
        <v>468</v>
      </c>
      <c r="D1" s="75" t="s">
        <v>469</v>
      </c>
      <c r="E1" s="75" t="s">
        <v>232</v>
      </c>
      <c r="F1" s="74" t="s">
        <v>18</v>
      </c>
      <c r="G1" s="74" t="s">
        <v>20</v>
      </c>
      <c r="H1" s="74" t="s">
        <v>22</v>
      </c>
      <c r="I1" s="75" t="s">
        <v>215</v>
      </c>
      <c r="J1" s="75" t="s">
        <v>214</v>
      </c>
      <c r="K1" s="75" t="s">
        <v>171</v>
      </c>
      <c r="L1" s="75" t="s">
        <v>172</v>
      </c>
      <c r="M1" s="74" t="s">
        <v>325</v>
      </c>
      <c r="N1" s="74" t="s">
        <v>326</v>
      </c>
      <c r="O1" s="74" t="s">
        <v>414</v>
      </c>
      <c r="P1" s="74" t="s">
        <v>471</v>
      </c>
    </row>
    <row r="2" spans="1:16" s="1" customFormat="1" hidden="1" x14ac:dyDescent="0.25">
      <c r="A2" t="s">
        <v>345</v>
      </c>
      <c r="B2" s="43" t="s">
        <v>342</v>
      </c>
      <c r="C2" s="43" t="s">
        <v>175</v>
      </c>
      <c r="D2" s="43" t="s">
        <v>253</v>
      </c>
      <c r="E2" s="43">
        <v>3</v>
      </c>
      <c r="F2">
        <v>2</v>
      </c>
      <c r="G2">
        <v>50</v>
      </c>
      <c r="H2">
        <v>5</v>
      </c>
      <c r="I2" s="43">
        <f>'Strongtie Nails'!J2</f>
        <v>1.2889999999999999</v>
      </c>
      <c r="J2" s="43">
        <f>'Strongtie Nails'!K2</f>
        <v>2.5</v>
      </c>
      <c r="K2" s="43">
        <f>'Strongtie Nails'!L2</f>
        <v>8.6</v>
      </c>
      <c r="L2" s="43">
        <f>'Strongtie Nails'!M2</f>
        <v>0</v>
      </c>
    </row>
    <row r="3" spans="1:16" s="1" customFormat="1" hidden="1" x14ac:dyDescent="0.25">
      <c r="A3" t="s">
        <v>345</v>
      </c>
      <c r="B3" s="43" t="s">
        <v>342</v>
      </c>
      <c r="C3" s="43" t="s">
        <v>177</v>
      </c>
      <c r="D3" s="43" t="s">
        <v>253</v>
      </c>
      <c r="E3" s="43">
        <v>3</v>
      </c>
      <c r="F3">
        <v>2.2999999999999998</v>
      </c>
      <c r="G3">
        <v>60</v>
      </c>
      <c r="H3">
        <v>5.4</v>
      </c>
      <c r="I3" s="43">
        <f>'Strongtie Nails'!J4</f>
        <v>2.5659999999999998</v>
      </c>
      <c r="J3" s="43">
        <f>'Strongtie Nails'!K4</f>
        <v>2.5</v>
      </c>
      <c r="K3" s="43">
        <f>'Strongtie Nails'!L4</f>
        <v>8.6</v>
      </c>
      <c r="L3" s="43">
        <f>'Strongtie Nails'!M4</f>
        <v>0</v>
      </c>
    </row>
    <row r="4" spans="1:16" s="1" customFormat="1" hidden="1" x14ac:dyDescent="0.25">
      <c r="A4" t="s">
        <v>345</v>
      </c>
      <c r="B4" s="43" t="s">
        <v>342</v>
      </c>
      <c r="C4" s="43" t="s">
        <v>177</v>
      </c>
      <c r="D4" s="43" t="s">
        <v>253</v>
      </c>
      <c r="E4" s="43">
        <v>3</v>
      </c>
      <c r="F4">
        <v>2.8</v>
      </c>
      <c r="G4">
        <v>75</v>
      </c>
      <c r="H4">
        <v>6.4</v>
      </c>
      <c r="I4" s="43">
        <f>'Strongtie Nails'!J5</f>
        <v>4.1440000000000001</v>
      </c>
      <c r="J4" s="43">
        <f>'Strongtie Nails'!K5</f>
        <v>2.5</v>
      </c>
      <c r="K4" s="43">
        <f>'Strongtie Nails'!L5</f>
        <v>8.6</v>
      </c>
      <c r="L4" s="43">
        <f>'Strongtie Nails'!M5</f>
        <v>0</v>
      </c>
    </row>
    <row r="5" spans="1:16" s="1" customFormat="1" hidden="1" x14ac:dyDescent="0.25">
      <c r="A5" t="s">
        <v>345</v>
      </c>
      <c r="B5" s="43" t="s">
        <v>342</v>
      </c>
      <c r="C5" s="43" t="s">
        <v>179</v>
      </c>
      <c r="D5" s="43" t="s">
        <v>255</v>
      </c>
      <c r="E5" s="43">
        <v>3</v>
      </c>
      <c r="F5">
        <v>2.5</v>
      </c>
      <c r="G5">
        <v>65</v>
      </c>
      <c r="H5">
        <v>6</v>
      </c>
      <c r="I5" s="43">
        <f>'Strongtie Nails'!J13</f>
        <v>3.3</v>
      </c>
      <c r="J5" s="43">
        <f>'Strongtie Nails'!K13</f>
        <v>2.5</v>
      </c>
      <c r="K5" s="43">
        <f>'Strongtie Nails'!L13</f>
        <v>8.6</v>
      </c>
      <c r="L5" s="43">
        <f>'Strongtie Nails'!M13</f>
        <v>0</v>
      </c>
    </row>
    <row r="6" spans="1:16" s="1" customFormat="1" hidden="1" x14ac:dyDescent="0.25">
      <c r="A6" t="s">
        <v>345</v>
      </c>
      <c r="B6" s="43" t="s">
        <v>342</v>
      </c>
      <c r="C6" s="43" t="s">
        <v>179</v>
      </c>
      <c r="D6" s="43" t="s">
        <v>255</v>
      </c>
      <c r="E6" s="43">
        <v>3</v>
      </c>
      <c r="F6">
        <v>2.8</v>
      </c>
      <c r="G6">
        <v>65</v>
      </c>
      <c r="H6">
        <v>6.8</v>
      </c>
      <c r="I6" s="43">
        <f>'Strongtie Nails'!J14</f>
        <v>4.3</v>
      </c>
      <c r="J6" s="43">
        <f>'Strongtie Nails'!K14</f>
        <v>2.5</v>
      </c>
      <c r="K6" s="43">
        <f>'Strongtie Nails'!L14</f>
        <v>8.6</v>
      </c>
      <c r="L6" s="43">
        <f>'Strongtie Nails'!M14</f>
        <v>0</v>
      </c>
    </row>
    <row r="7" spans="1:16" s="1" customFormat="1" hidden="1" x14ac:dyDescent="0.25">
      <c r="A7" t="s">
        <v>345</v>
      </c>
      <c r="B7" s="43" t="s">
        <v>342</v>
      </c>
      <c r="C7" s="43" t="s">
        <v>179</v>
      </c>
      <c r="D7" s="43" t="s">
        <v>255</v>
      </c>
      <c r="E7" s="43">
        <v>3</v>
      </c>
      <c r="F7">
        <v>2.8</v>
      </c>
      <c r="G7">
        <v>75</v>
      </c>
      <c r="H7">
        <v>6.8</v>
      </c>
      <c r="I7" s="43">
        <f>'Strongtie Nails'!J15</f>
        <v>4.3</v>
      </c>
      <c r="J7" s="43">
        <f>'Strongtie Nails'!K15</f>
        <v>2.5</v>
      </c>
      <c r="K7" s="43">
        <f>'Strongtie Nails'!L15</f>
        <v>8.6</v>
      </c>
      <c r="L7" s="43">
        <f>'Strongtie Nails'!M15</f>
        <v>0</v>
      </c>
    </row>
    <row r="8" spans="1:16" s="1" customFormat="1" hidden="1" x14ac:dyDescent="0.25">
      <c r="A8" t="s">
        <v>345</v>
      </c>
      <c r="B8" s="43" t="s">
        <v>342</v>
      </c>
      <c r="C8" s="43" t="s">
        <v>179</v>
      </c>
      <c r="D8" s="43" t="s">
        <v>255</v>
      </c>
      <c r="E8" s="43">
        <v>3</v>
      </c>
      <c r="F8">
        <v>2.8</v>
      </c>
      <c r="G8">
        <v>90</v>
      </c>
      <c r="H8">
        <v>6.8</v>
      </c>
      <c r="I8" s="43">
        <f>'Strongtie Nails'!J16</f>
        <v>4.3</v>
      </c>
      <c r="J8" s="43">
        <f>'Strongtie Nails'!K16</f>
        <v>2.5</v>
      </c>
      <c r="K8" s="43">
        <f>'Strongtie Nails'!L16</f>
        <v>8.6</v>
      </c>
      <c r="L8" s="43">
        <f>'Strongtie Nails'!M16</f>
        <v>0</v>
      </c>
    </row>
    <row r="9" spans="1:16" s="1" customFormat="1" hidden="1" x14ac:dyDescent="0.25">
      <c r="A9" t="s">
        <v>345</v>
      </c>
      <c r="B9" s="43" t="s">
        <v>342</v>
      </c>
      <c r="C9" s="43" t="s">
        <v>179</v>
      </c>
      <c r="D9" s="43" t="s">
        <v>255</v>
      </c>
      <c r="E9" s="43">
        <v>3</v>
      </c>
      <c r="F9">
        <v>3.4</v>
      </c>
      <c r="G9">
        <v>95</v>
      </c>
      <c r="H9">
        <v>7.6</v>
      </c>
      <c r="I9" s="43">
        <f>'Strongtie Nails'!J17</f>
        <v>7</v>
      </c>
      <c r="J9" s="43">
        <f>'Strongtie Nails'!K17</f>
        <v>2.5</v>
      </c>
      <c r="K9" s="43">
        <f>'Strongtie Nails'!L17</f>
        <v>8.6</v>
      </c>
      <c r="L9" s="43">
        <f>'Strongtie Nails'!M17</f>
        <v>0</v>
      </c>
    </row>
    <row r="10" spans="1:16" s="1" customFormat="1" hidden="1" x14ac:dyDescent="0.25">
      <c r="A10" t="s">
        <v>345</v>
      </c>
      <c r="B10" s="43" t="s">
        <v>342</v>
      </c>
      <c r="C10" s="43" t="s">
        <v>179</v>
      </c>
      <c r="D10" s="43" t="s">
        <v>255</v>
      </c>
      <c r="E10" s="43">
        <v>3</v>
      </c>
      <c r="F10">
        <v>3.8</v>
      </c>
      <c r="G10">
        <v>125</v>
      </c>
      <c r="H10">
        <v>8</v>
      </c>
      <c r="I10" s="43">
        <f>'Strongtie Nails'!J18</f>
        <v>13.7</v>
      </c>
      <c r="J10" s="43">
        <f>'Strongtie Nails'!K18</f>
        <v>2.5</v>
      </c>
      <c r="K10" s="43">
        <f>'Strongtie Nails'!L18</f>
        <v>8.6</v>
      </c>
      <c r="L10" s="43">
        <f>'Strongtie Nails'!M18</f>
        <v>0</v>
      </c>
    </row>
    <row r="11" spans="1:16" s="1" customFormat="1" hidden="1" x14ac:dyDescent="0.25">
      <c r="A11" t="s">
        <v>345</v>
      </c>
      <c r="B11" s="43" t="s">
        <v>342</v>
      </c>
      <c r="C11" s="43" t="s">
        <v>179</v>
      </c>
      <c r="D11" s="43" t="s">
        <v>255</v>
      </c>
      <c r="E11" s="43">
        <v>3</v>
      </c>
      <c r="F11">
        <v>4.2</v>
      </c>
      <c r="G11">
        <v>125</v>
      </c>
      <c r="H11">
        <v>8.6999999999999993</v>
      </c>
      <c r="I11" s="43">
        <f>'Strongtie Nails'!J19</f>
        <v>15.1</v>
      </c>
      <c r="J11" s="43">
        <f>'Strongtie Nails'!K19</f>
        <v>2.5</v>
      </c>
      <c r="K11" s="43">
        <f>'Strongtie Nails'!L19</f>
        <v>8.6</v>
      </c>
      <c r="L11" s="43">
        <f>'Strongtie Nails'!M19</f>
        <v>0</v>
      </c>
    </row>
    <row r="12" spans="1:16" s="1" customFormat="1" hidden="1" x14ac:dyDescent="0.25">
      <c r="A12" t="s">
        <v>345</v>
      </c>
      <c r="B12" s="43" t="s">
        <v>342</v>
      </c>
      <c r="C12" s="43" t="s">
        <v>179</v>
      </c>
      <c r="D12" s="43" t="s">
        <v>255</v>
      </c>
      <c r="E12" s="43">
        <v>3</v>
      </c>
      <c r="F12">
        <v>4.8</v>
      </c>
      <c r="G12">
        <v>150</v>
      </c>
      <c r="H12">
        <v>10</v>
      </c>
      <c r="I12" s="43">
        <f>'Strongtie Nails'!J20</f>
        <v>29.3</v>
      </c>
      <c r="J12" s="43">
        <f>'Strongtie Nails'!K20</f>
        <v>2.5</v>
      </c>
      <c r="K12" s="43">
        <f>'Strongtie Nails'!L20</f>
        <v>8.6</v>
      </c>
      <c r="L12" s="43">
        <f>'Strongtie Nails'!M20</f>
        <v>0</v>
      </c>
    </row>
    <row r="13" spans="1:16" s="1" customFormat="1" hidden="1" x14ac:dyDescent="0.25">
      <c r="A13" t="s">
        <v>345</v>
      </c>
      <c r="B13" s="43" t="s">
        <v>342</v>
      </c>
      <c r="C13" s="43" t="s">
        <v>179</v>
      </c>
      <c r="D13" s="43" t="s">
        <v>255</v>
      </c>
      <c r="E13" s="43">
        <v>3</v>
      </c>
      <c r="F13">
        <v>5.5</v>
      </c>
      <c r="G13">
        <v>175</v>
      </c>
      <c r="H13">
        <v>11.5</v>
      </c>
      <c r="I13" s="43">
        <f>'Strongtie Nails'!J21</f>
        <v>34</v>
      </c>
      <c r="J13" s="43">
        <f>'Strongtie Nails'!K21</f>
        <v>2.5</v>
      </c>
      <c r="K13" s="43">
        <f>'Strongtie Nails'!L21</f>
        <v>8.6</v>
      </c>
      <c r="L13" s="43">
        <f>'Strongtie Nails'!M21</f>
        <v>0</v>
      </c>
    </row>
    <row r="14" spans="1:16" s="1" customFormat="1" hidden="1" x14ac:dyDescent="0.25">
      <c r="A14" t="s">
        <v>345</v>
      </c>
      <c r="B14" s="43" t="s">
        <v>342</v>
      </c>
      <c r="C14" s="43" t="s">
        <v>179</v>
      </c>
      <c r="D14" s="43" t="s">
        <v>255</v>
      </c>
      <c r="E14" s="43">
        <v>3</v>
      </c>
      <c r="F14">
        <v>6</v>
      </c>
      <c r="G14">
        <v>190</v>
      </c>
      <c r="H14">
        <v>13</v>
      </c>
      <c r="I14" s="43">
        <f>'Strongtie Nails'!J22</f>
        <v>35.1</v>
      </c>
      <c r="J14" s="43">
        <f>'Strongtie Nails'!K22</f>
        <v>2.5</v>
      </c>
      <c r="K14" s="43">
        <f>'Strongtie Nails'!L22</f>
        <v>8.6</v>
      </c>
      <c r="L14" s="43">
        <f>'Strongtie Nails'!M22</f>
        <v>0</v>
      </c>
    </row>
    <row r="15" spans="1:16" s="1" customFormat="1" hidden="1" x14ac:dyDescent="0.25">
      <c r="A15" t="s">
        <v>345</v>
      </c>
      <c r="B15" s="43" t="s">
        <v>342</v>
      </c>
      <c r="C15" s="43" t="s">
        <v>181</v>
      </c>
      <c r="D15" s="43" t="s">
        <v>255</v>
      </c>
      <c r="E15" s="43">
        <v>1</v>
      </c>
      <c r="F15">
        <v>2.5</v>
      </c>
      <c r="G15">
        <v>65</v>
      </c>
      <c r="H15">
        <v>6</v>
      </c>
      <c r="I15" s="43">
        <f>'Strongtie Nails'!J25</f>
        <v>3.3</v>
      </c>
      <c r="J15" s="43">
        <f>'Strongtie Nails'!K25</f>
        <v>2.5</v>
      </c>
      <c r="K15" s="43">
        <f>'Strongtie Nails'!L25</f>
        <v>8.6</v>
      </c>
      <c r="L15" s="43">
        <f>'Strongtie Nails'!M25</f>
        <v>0</v>
      </c>
    </row>
    <row r="16" spans="1:16" s="1" customFormat="1" hidden="1" x14ac:dyDescent="0.25">
      <c r="A16" t="s">
        <v>345</v>
      </c>
      <c r="B16" s="43" t="s">
        <v>342</v>
      </c>
      <c r="C16" s="43" t="s">
        <v>181</v>
      </c>
      <c r="D16" s="43" t="s">
        <v>255</v>
      </c>
      <c r="E16" s="43">
        <v>1</v>
      </c>
      <c r="F16">
        <v>2.8</v>
      </c>
      <c r="G16">
        <v>75</v>
      </c>
      <c r="H16">
        <v>6.8</v>
      </c>
      <c r="I16" s="43">
        <f>'Strongtie Nails'!J26</f>
        <v>4.3</v>
      </c>
      <c r="J16" s="43">
        <f>'Strongtie Nails'!K26</f>
        <v>2.5</v>
      </c>
      <c r="K16" s="43">
        <f>'Strongtie Nails'!L26</f>
        <v>8.6</v>
      </c>
      <c r="L16" s="43">
        <f>'Strongtie Nails'!M26</f>
        <v>0</v>
      </c>
    </row>
    <row r="17" spans="1:12" s="1" customFormat="1" hidden="1" x14ac:dyDescent="0.25">
      <c r="A17" t="s">
        <v>345</v>
      </c>
      <c r="B17" s="43" t="s">
        <v>342</v>
      </c>
      <c r="C17" s="43" t="s">
        <v>181</v>
      </c>
      <c r="D17" s="43" t="s">
        <v>255</v>
      </c>
      <c r="E17" s="43">
        <v>1</v>
      </c>
      <c r="F17">
        <v>3.4</v>
      </c>
      <c r="G17">
        <v>95</v>
      </c>
      <c r="H17">
        <v>7.6</v>
      </c>
      <c r="I17" s="43">
        <f>'Strongtie Nails'!J27</f>
        <v>7</v>
      </c>
      <c r="J17" s="43">
        <f>'Strongtie Nails'!K27</f>
        <v>2.5</v>
      </c>
      <c r="K17" s="43">
        <f>'Strongtie Nails'!L27</f>
        <v>8.6</v>
      </c>
      <c r="L17" s="43">
        <f>'Strongtie Nails'!M27</f>
        <v>0</v>
      </c>
    </row>
    <row r="18" spans="1:12" s="1" customFormat="1" hidden="1" x14ac:dyDescent="0.25">
      <c r="A18" t="s">
        <v>345</v>
      </c>
      <c r="B18" s="43" t="s">
        <v>342</v>
      </c>
      <c r="C18" s="43" t="s">
        <v>186</v>
      </c>
      <c r="D18" s="43" t="s">
        <v>258</v>
      </c>
      <c r="E18" s="43">
        <v>3</v>
      </c>
      <c r="F18">
        <v>2.8</v>
      </c>
      <c r="G18">
        <v>49.5</v>
      </c>
      <c r="H18">
        <v>6.6</v>
      </c>
      <c r="I18" s="43">
        <f>'Strongtie Nails'!J37</f>
        <v>2.6</v>
      </c>
      <c r="J18" s="43">
        <f>'Strongtie Nails'!K37</f>
        <v>4.9000000000000004</v>
      </c>
      <c r="K18" s="43">
        <f>'Strongtie Nails'!L37</f>
        <v>22.6</v>
      </c>
      <c r="L18" s="43">
        <f>'Strongtie Nails'!M37</f>
        <v>4</v>
      </c>
    </row>
    <row r="19" spans="1:12" s="1" customFormat="1" hidden="1" x14ac:dyDescent="0.25">
      <c r="A19" t="s">
        <v>345</v>
      </c>
      <c r="B19" s="43" t="s">
        <v>342</v>
      </c>
      <c r="C19" s="43" t="s">
        <v>186</v>
      </c>
      <c r="D19" s="43" t="s">
        <v>258</v>
      </c>
      <c r="E19" s="43">
        <v>3</v>
      </c>
      <c r="F19">
        <v>2.8</v>
      </c>
      <c r="G19">
        <v>54.5</v>
      </c>
      <c r="H19">
        <v>6.6</v>
      </c>
      <c r="I19" s="43">
        <f>'Strongtie Nails'!J38</f>
        <v>2.6</v>
      </c>
      <c r="J19" s="43">
        <f>'Strongtie Nails'!K38</f>
        <v>4.9000000000000004</v>
      </c>
      <c r="K19" s="43">
        <f>'Strongtie Nails'!L38</f>
        <v>22.6</v>
      </c>
      <c r="L19" s="43">
        <f>'Strongtie Nails'!M38</f>
        <v>4</v>
      </c>
    </row>
    <row r="20" spans="1:12" s="1" customFormat="1" hidden="1" x14ac:dyDescent="0.25">
      <c r="A20" t="s">
        <v>345</v>
      </c>
      <c r="B20" s="43" t="s">
        <v>342</v>
      </c>
      <c r="C20" s="43" t="s">
        <v>186</v>
      </c>
      <c r="D20" s="43" t="s">
        <v>258</v>
      </c>
      <c r="E20" s="43">
        <v>3</v>
      </c>
      <c r="F20">
        <v>2.8</v>
      </c>
      <c r="G20">
        <v>63.5</v>
      </c>
      <c r="H20">
        <v>6.6</v>
      </c>
      <c r="I20" s="43">
        <f>'Strongtie Nails'!J39</f>
        <v>2.6</v>
      </c>
      <c r="J20" s="43">
        <f>'Strongtie Nails'!K39</f>
        <v>4.9000000000000004</v>
      </c>
      <c r="K20" s="43">
        <f>'Strongtie Nails'!L39</f>
        <v>22.6</v>
      </c>
      <c r="L20" s="43">
        <f>'Strongtie Nails'!M39</f>
        <v>4</v>
      </c>
    </row>
    <row r="21" spans="1:12" s="1" customFormat="1" hidden="1" x14ac:dyDescent="0.25">
      <c r="A21" t="s">
        <v>345</v>
      </c>
      <c r="B21" s="43" t="s">
        <v>342</v>
      </c>
      <c r="C21" s="43" t="s">
        <v>186</v>
      </c>
      <c r="D21" s="43" t="s">
        <v>258</v>
      </c>
      <c r="E21" s="43">
        <v>3</v>
      </c>
      <c r="F21">
        <v>2.8</v>
      </c>
      <c r="G21">
        <v>73.5</v>
      </c>
      <c r="H21">
        <v>6.6</v>
      </c>
      <c r="I21" s="43">
        <f>'Strongtie Nails'!J40</f>
        <v>2.6</v>
      </c>
      <c r="J21" s="43">
        <f>'Strongtie Nails'!K40</f>
        <v>4.9000000000000004</v>
      </c>
      <c r="K21" s="43">
        <f>'Strongtie Nails'!L40</f>
        <v>22.6</v>
      </c>
      <c r="L21" s="43">
        <f>'Strongtie Nails'!M40</f>
        <v>4</v>
      </c>
    </row>
    <row r="22" spans="1:12" s="1" customFormat="1" hidden="1" x14ac:dyDescent="0.25">
      <c r="A22" t="s">
        <v>345</v>
      </c>
      <c r="B22" s="43" t="s">
        <v>342</v>
      </c>
      <c r="C22" s="43" t="s">
        <v>186</v>
      </c>
      <c r="D22" s="43" t="s">
        <v>258</v>
      </c>
      <c r="E22" s="43">
        <v>3</v>
      </c>
      <c r="F22">
        <v>3</v>
      </c>
      <c r="G22">
        <v>88</v>
      </c>
      <c r="H22">
        <v>6.6</v>
      </c>
      <c r="I22" s="43">
        <f>'Strongtie Nails'!J41</f>
        <v>3.9</v>
      </c>
      <c r="J22" s="43">
        <f>'Strongtie Nails'!K41</f>
        <v>5.4</v>
      </c>
      <c r="K22" s="43">
        <f>'Strongtie Nails'!L41</f>
        <v>20.9</v>
      </c>
      <c r="L22" s="43">
        <f>'Strongtie Nails'!M41</f>
        <v>4.8</v>
      </c>
    </row>
    <row r="23" spans="1:12" s="1" customFormat="1" hidden="1" x14ac:dyDescent="0.25">
      <c r="A23" t="s">
        <v>345</v>
      </c>
      <c r="B23" s="43" t="s">
        <v>342</v>
      </c>
      <c r="C23" s="43" t="s">
        <v>188</v>
      </c>
      <c r="D23" s="43" t="s">
        <v>258</v>
      </c>
      <c r="E23" s="43">
        <v>3</v>
      </c>
      <c r="F23">
        <v>2.8</v>
      </c>
      <c r="G23">
        <v>64</v>
      </c>
      <c r="H23">
        <v>11.5</v>
      </c>
      <c r="I23" s="43">
        <f>'Strongtie Nails'!J42</f>
        <v>3.7</v>
      </c>
      <c r="J23" s="43">
        <f>'Strongtie Nails'!K42</f>
        <v>2.5</v>
      </c>
      <c r="K23" s="43">
        <f>'Strongtie Nails'!L42</f>
        <v>20.5</v>
      </c>
      <c r="L23" s="43">
        <f>'Strongtie Nails'!M42</f>
        <v>0</v>
      </c>
    </row>
    <row r="24" spans="1:12" s="1" customFormat="1" hidden="1" x14ac:dyDescent="0.25">
      <c r="A24" t="s">
        <v>345</v>
      </c>
      <c r="B24" s="43" t="s">
        <v>342</v>
      </c>
      <c r="C24" s="43" t="s">
        <v>188</v>
      </c>
      <c r="D24" s="43" t="s">
        <v>258</v>
      </c>
      <c r="E24" s="43">
        <v>3</v>
      </c>
      <c r="F24">
        <v>2.8</v>
      </c>
      <c r="G24">
        <v>73</v>
      </c>
      <c r="H24">
        <v>11.5</v>
      </c>
      <c r="I24" s="43">
        <f>'Strongtie Nails'!J43</f>
        <v>3.7</v>
      </c>
      <c r="J24" s="43">
        <f>'Strongtie Nails'!K43</f>
        <v>2.5</v>
      </c>
      <c r="K24" s="43">
        <f>'Strongtie Nails'!L43</f>
        <v>20.5</v>
      </c>
      <c r="L24" s="43">
        <f>'Strongtie Nails'!M43</f>
        <v>0</v>
      </c>
    </row>
    <row r="25" spans="1:12" s="1" customFormat="1" hidden="1" x14ac:dyDescent="0.25">
      <c r="A25" t="s">
        <v>345</v>
      </c>
      <c r="B25" s="43" t="s">
        <v>342</v>
      </c>
      <c r="C25" s="43" t="s">
        <v>188</v>
      </c>
      <c r="D25" s="43" t="s">
        <v>258</v>
      </c>
      <c r="E25" s="43">
        <v>3</v>
      </c>
      <c r="F25">
        <v>2.8</v>
      </c>
      <c r="G25">
        <v>87</v>
      </c>
      <c r="H25">
        <v>11.5</v>
      </c>
      <c r="I25" s="43">
        <f>'Strongtie Nails'!J44</f>
        <v>3.7</v>
      </c>
      <c r="J25" s="43">
        <f>'Strongtie Nails'!K44</f>
        <v>2.5</v>
      </c>
      <c r="K25" s="43">
        <f>'Strongtie Nails'!L44</f>
        <v>20.5</v>
      </c>
      <c r="L25" s="43">
        <f>'Strongtie Nails'!M44</f>
        <v>0</v>
      </c>
    </row>
    <row r="26" spans="1:12" s="1" customFormat="1" hidden="1" x14ac:dyDescent="0.25">
      <c r="A26" t="s">
        <v>345</v>
      </c>
      <c r="B26" s="43" t="s">
        <v>342</v>
      </c>
      <c r="C26" s="43" t="s">
        <v>189</v>
      </c>
      <c r="D26" s="43" t="s">
        <v>258</v>
      </c>
      <c r="E26" s="43">
        <v>1</v>
      </c>
      <c r="F26">
        <v>2.8</v>
      </c>
      <c r="G26">
        <v>63.5</v>
      </c>
      <c r="H26">
        <v>6.2</v>
      </c>
      <c r="I26" s="43">
        <f>'Strongtie Nails'!J45</f>
        <v>3.2</v>
      </c>
      <c r="J26" s="43">
        <f>'Strongtie Nails'!K45</f>
        <v>8.9</v>
      </c>
      <c r="K26" s="43">
        <f>'Strongtie Nails'!L45</f>
        <v>29.4</v>
      </c>
      <c r="L26" s="43">
        <f>'Strongtie Nails'!M45</f>
        <v>3.4</v>
      </c>
    </row>
    <row r="27" spans="1:12" s="1" customFormat="1" hidden="1" x14ac:dyDescent="0.25">
      <c r="A27" t="s">
        <v>345</v>
      </c>
      <c r="B27" s="43" t="s">
        <v>342</v>
      </c>
      <c r="C27" s="43" t="s">
        <v>189</v>
      </c>
      <c r="D27" s="43" t="s">
        <v>258</v>
      </c>
      <c r="E27" s="43">
        <v>1</v>
      </c>
      <c r="F27">
        <v>2.8</v>
      </c>
      <c r="G27">
        <v>73.5</v>
      </c>
      <c r="H27">
        <v>6.9</v>
      </c>
      <c r="I27" s="43">
        <f>'Strongtie Nails'!J46</f>
        <v>3.2</v>
      </c>
      <c r="J27" s="43">
        <f>'Strongtie Nails'!K46</f>
        <v>8.9</v>
      </c>
      <c r="K27" s="43">
        <f>'Strongtie Nails'!L46</f>
        <v>29.4</v>
      </c>
      <c r="L27" s="43">
        <f>'Strongtie Nails'!M46</f>
        <v>3.4</v>
      </c>
    </row>
    <row r="28" spans="1:12" s="1" customFormat="1" hidden="1" x14ac:dyDescent="0.25">
      <c r="A28" t="s">
        <v>345</v>
      </c>
      <c r="B28" s="43" t="s">
        <v>342</v>
      </c>
      <c r="C28" s="43" t="s">
        <v>189</v>
      </c>
      <c r="D28" s="43" t="s">
        <v>258</v>
      </c>
      <c r="E28" s="43">
        <v>1</v>
      </c>
      <c r="F28">
        <v>3.1</v>
      </c>
      <c r="G28">
        <v>88</v>
      </c>
      <c r="H28">
        <v>6.9</v>
      </c>
      <c r="I28" s="43">
        <f>'Strongtie Nails'!J47</f>
        <v>4.5999999999999996</v>
      </c>
      <c r="J28" s="43">
        <f>'Strongtie Nails'!K47</f>
        <v>8.3000000000000007</v>
      </c>
      <c r="K28" s="43">
        <f>'Strongtie Nails'!L47</f>
        <v>18.100000000000001</v>
      </c>
      <c r="L28" s="43">
        <f>'Strongtie Nails'!M47</f>
        <v>3.8</v>
      </c>
    </row>
    <row r="29" spans="1:12" s="1" customFormat="1" hidden="1" x14ac:dyDescent="0.25">
      <c r="A29" t="s">
        <v>345</v>
      </c>
      <c r="B29" s="43" t="s">
        <v>342</v>
      </c>
      <c r="C29" s="43" t="s">
        <v>189</v>
      </c>
      <c r="D29" s="43" t="s">
        <v>258</v>
      </c>
      <c r="E29" s="43">
        <v>1</v>
      </c>
      <c r="F29">
        <v>3.1</v>
      </c>
      <c r="G29">
        <v>64.5</v>
      </c>
      <c r="H29">
        <v>6.9</v>
      </c>
      <c r="I29" s="43">
        <f>'Strongtie Nails'!J48</f>
        <v>4.5999999999999996</v>
      </c>
      <c r="J29" s="43">
        <f>'Strongtie Nails'!K48</f>
        <v>8.3000000000000007</v>
      </c>
      <c r="K29" s="43">
        <f>'Strongtie Nails'!L48</f>
        <v>18.100000000000001</v>
      </c>
      <c r="L29" s="43">
        <f>'Strongtie Nails'!M48</f>
        <v>3.8</v>
      </c>
    </row>
    <row r="30" spans="1:12" s="1" customFormat="1" hidden="1" x14ac:dyDescent="0.25">
      <c r="A30" t="s">
        <v>345</v>
      </c>
      <c r="B30" s="43" t="s">
        <v>342</v>
      </c>
      <c r="C30" s="43" t="s">
        <v>189</v>
      </c>
      <c r="D30" s="43" t="s">
        <v>258</v>
      </c>
      <c r="E30" s="43">
        <v>1</v>
      </c>
      <c r="F30">
        <v>2.8</v>
      </c>
      <c r="G30">
        <v>65</v>
      </c>
      <c r="H30">
        <v>6.5</v>
      </c>
      <c r="I30" s="43">
        <f>'Strongtie Nails'!J49</f>
        <v>3.2</v>
      </c>
      <c r="J30" s="43">
        <f>'Strongtie Nails'!K49</f>
        <v>10.7</v>
      </c>
      <c r="K30" s="43">
        <f>'Strongtie Nails'!L49</f>
        <v>30.1</v>
      </c>
      <c r="L30" s="43">
        <f>'Strongtie Nails'!M49</f>
        <v>3.1</v>
      </c>
    </row>
    <row r="31" spans="1:12" s="1" customFormat="1" hidden="1" x14ac:dyDescent="0.25">
      <c r="A31" t="s">
        <v>345</v>
      </c>
      <c r="B31" s="43" t="s">
        <v>342</v>
      </c>
      <c r="C31" s="43" t="s">
        <v>189</v>
      </c>
      <c r="D31" s="43" t="s">
        <v>258</v>
      </c>
      <c r="E31" s="43">
        <v>1</v>
      </c>
      <c r="F31">
        <v>2.8</v>
      </c>
      <c r="G31">
        <v>75</v>
      </c>
      <c r="H31">
        <v>6.5</v>
      </c>
      <c r="I31" s="43">
        <f>'Strongtie Nails'!J50</f>
        <v>3.2</v>
      </c>
      <c r="J31" s="43">
        <f>'Strongtie Nails'!K50</f>
        <v>10.7</v>
      </c>
      <c r="K31" s="43">
        <f>'Strongtie Nails'!L50</f>
        <v>30.1</v>
      </c>
      <c r="L31" s="43">
        <f>'Strongtie Nails'!M50</f>
        <v>3.1</v>
      </c>
    </row>
    <row r="32" spans="1:12" s="1" customFormat="1" hidden="1" x14ac:dyDescent="0.25">
      <c r="A32" t="s">
        <v>345</v>
      </c>
      <c r="B32" s="43" t="s">
        <v>342</v>
      </c>
      <c r="C32" s="43" t="s">
        <v>189</v>
      </c>
      <c r="D32" s="43" t="s">
        <v>258</v>
      </c>
      <c r="E32" s="43">
        <v>1</v>
      </c>
      <c r="F32">
        <v>3.1</v>
      </c>
      <c r="G32">
        <v>88</v>
      </c>
      <c r="H32">
        <v>6.5</v>
      </c>
      <c r="I32" s="43">
        <f>'Strongtie Nails'!J51</f>
        <v>4.4000000000000004</v>
      </c>
      <c r="J32" s="43">
        <f>'Strongtie Nails'!K51</f>
        <v>9.5</v>
      </c>
      <c r="K32" s="43">
        <f>'Strongtie Nails'!L51</f>
        <v>20.8</v>
      </c>
      <c r="L32" s="43">
        <f>'Strongtie Nails'!M51</f>
        <v>3.1</v>
      </c>
    </row>
    <row r="33" spans="1:14" s="1" customFormat="1" hidden="1" x14ac:dyDescent="0.25">
      <c r="A33" t="s">
        <v>345</v>
      </c>
      <c r="B33" s="43" t="s">
        <v>342</v>
      </c>
      <c r="C33" s="43" t="s">
        <v>190</v>
      </c>
      <c r="D33" s="43" t="s">
        <v>259</v>
      </c>
      <c r="E33" s="43">
        <v>1</v>
      </c>
      <c r="F33">
        <v>2.5</v>
      </c>
      <c r="G33">
        <v>32</v>
      </c>
      <c r="H33">
        <v>5.5</v>
      </c>
      <c r="I33" s="43">
        <f>'Strongtie Nails'!J52</f>
        <v>3.9</v>
      </c>
      <c r="J33" s="43">
        <f>'Strongtie Nails'!K52</f>
        <v>2.2999999999999998</v>
      </c>
      <c r="K33" s="43">
        <f>'Strongtie Nails'!L52</f>
        <v>19.399999999999999</v>
      </c>
      <c r="L33" s="43">
        <f>'Strongtie Nails'!M52</f>
        <v>6.4</v>
      </c>
    </row>
    <row r="34" spans="1:14" s="1" customFormat="1" hidden="1" x14ac:dyDescent="0.25">
      <c r="A34" t="s">
        <v>345</v>
      </c>
      <c r="B34" s="43" t="s">
        <v>342</v>
      </c>
      <c r="C34" s="43" t="s">
        <v>191</v>
      </c>
      <c r="D34" s="43" t="s">
        <v>259</v>
      </c>
      <c r="E34" s="43">
        <v>1</v>
      </c>
      <c r="F34">
        <v>2.5</v>
      </c>
      <c r="G34">
        <v>43.5</v>
      </c>
      <c r="H34">
        <v>5.7</v>
      </c>
      <c r="I34" s="43">
        <f>'Strongtie Nails'!J53</f>
        <v>2</v>
      </c>
      <c r="J34" s="43">
        <f>'Strongtie Nails'!K53</f>
        <v>5.0999999999999996</v>
      </c>
      <c r="K34" s="43">
        <f>'Strongtie Nails'!L53</f>
        <v>22</v>
      </c>
      <c r="L34" s="43">
        <f>'Strongtie Nails'!M53</f>
        <v>3</v>
      </c>
    </row>
    <row r="35" spans="1:14" s="1" customFormat="1" hidden="1" x14ac:dyDescent="0.25">
      <c r="A35" t="s">
        <v>345</v>
      </c>
      <c r="B35" s="43" t="s">
        <v>342</v>
      </c>
      <c r="C35" s="43" t="s">
        <v>191</v>
      </c>
      <c r="D35" s="43" t="s">
        <v>259</v>
      </c>
      <c r="E35" s="43">
        <v>1</v>
      </c>
      <c r="F35">
        <v>2.5</v>
      </c>
      <c r="G35">
        <v>53.5</v>
      </c>
      <c r="H35">
        <v>5.7</v>
      </c>
      <c r="I35" s="43">
        <f>'Strongtie Nails'!J54</f>
        <v>2</v>
      </c>
      <c r="J35" s="43">
        <f>'Strongtie Nails'!K54</f>
        <v>5.0999999999999996</v>
      </c>
      <c r="K35" s="43">
        <f>'Strongtie Nails'!L54</f>
        <v>22</v>
      </c>
      <c r="L35" s="43">
        <f>'Strongtie Nails'!M54</f>
        <v>3</v>
      </c>
    </row>
    <row r="36" spans="1:14" s="1" customFormat="1" hidden="1" x14ac:dyDescent="0.25">
      <c r="A36" t="s">
        <v>345</v>
      </c>
      <c r="B36" s="43" t="s">
        <v>342</v>
      </c>
      <c r="C36" s="43" t="s">
        <v>191</v>
      </c>
      <c r="D36" s="43" t="s">
        <v>259</v>
      </c>
      <c r="E36" s="43">
        <v>1</v>
      </c>
      <c r="F36">
        <v>2.5</v>
      </c>
      <c r="G36">
        <v>63.5</v>
      </c>
      <c r="H36">
        <v>5.7</v>
      </c>
      <c r="I36" s="43">
        <f>'Strongtie Nails'!J55</f>
        <v>2</v>
      </c>
      <c r="J36" s="43">
        <f>'Strongtie Nails'!K55</f>
        <v>5.0999999999999996</v>
      </c>
      <c r="K36" s="43">
        <f>'Strongtie Nails'!L55</f>
        <v>22</v>
      </c>
      <c r="L36" s="43">
        <f>'Strongtie Nails'!M55</f>
        <v>3</v>
      </c>
    </row>
    <row r="37" spans="1:14" s="1" customFormat="1" hidden="1" x14ac:dyDescent="0.25">
      <c r="A37" t="s">
        <v>345</v>
      </c>
      <c r="B37" s="43" t="s">
        <v>342</v>
      </c>
      <c r="C37" s="43" t="s">
        <v>191</v>
      </c>
      <c r="D37" s="43" t="s">
        <v>259</v>
      </c>
      <c r="E37" s="43">
        <v>1</v>
      </c>
      <c r="F37">
        <v>2.8</v>
      </c>
      <c r="G37">
        <v>73.5</v>
      </c>
      <c r="H37">
        <v>6.9</v>
      </c>
      <c r="I37" s="43">
        <f>'Strongtie Nails'!J56</f>
        <v>3.2</v>
      </c>
      <c r="J37" s="43">
        <f>'Strongtie Nails'!K56</f>
        <v>8.9</v>
      </c>
      <c r="K37" s="43">
        <f>'Strongtie Nails'!L56</f>
        <v>29.4</v>
      </c>
      <c r="L37" s="43">
        <f>'Strongtie Nails'!M56</f>
        <v>3.4</v>
      </c>
    </row>
    <row r="38" spans="1:14" s="1" customFormat="1" hidden="1" x14ac:dyDescent="0.25">
      <c r="A38" t="s">
        <v>345</v>
      </c>
      <c r="B38" s="43" t="s">
        <v>342</v>
      </c>
      <c r="C38" s="43" t="s">
        <v>191</v>
      </c>
      <c r="D38" s="43" t="s">
        <v>259</v>
      </c>
      <c r="E38" s="43">
        <v>1</v>
      </c>
      <c r="F38">
        <v>3.1</v>
      </c>
      <c r="G38">
        <v>88</v>
      </c>
      <c r="H38">
        <v>6.9</v>
      </c>
      <c r="I38" s="43">
        <f>'Strongtie Nails'!J57</f>
        <v>4.5999999999999996</v>
      </c>
      <c r="J38" s="43">
        <f>'Strongtie Nails'!K57</f>
        <v>8.3000000000000007</v>
      </c>
      <c r="K38" s="43">
        <f>'Strongtie Nails'!L57</f>
        <v>18.100000000000001</v>
      </c>
      <c r="L38" s="43">
        <f>'Strongtie Nails'!M57</f>
        <v>3.8</v>
      </c>
    </row>
    <row r="39" spans="1:14" s="1" customFormat="1" hidden="1" x14ac:dyDescent="0.25">
      <c r="A39" t="s">
        <v>345</v>
      </c>
      <c r="B39" s="43" t="s">
        <v>342</v>
      </c>
      <c r="C39" s="43" t="s">
        <v>191</v>
      </c>
      <c r="D39" s="43" t="s">
        <v>259</v>
      </c>
      <c r="E39" s="43">
        <v>1</v>
      </c>
      <c r="F39">
        <v>3.1</v>
      </c>
      <c r="G39">
        <v>64.5</v>
      </c>
      <c r="H39">
        <v>6.9</v>
      </c>
      <c r="I39" s="43">
        <f>'Strongtie Nails'!J58</f>
        <v>4.5999999999999996</v>
      </c>
      <c r="J39" s="43">
        <f>'Strongtie Nails'!K58</f>
        <v>8.3000000000000007</v>
      </c>
      <c r="K39" s="43">
        <f>'Strongtie Nails'!L58</f>
        <v>18.100000000000001</v>
      </c>
      <c r="L39" s="43">
        <f>'Strongtie Nails'!M58</f>
        <v>3.8</v>
      </c>
    </row>
    <row r="40" spans="1:14" s="1" customFormat="1" hidden="1" x14ac:dyDescent="0.25">
      <c r="A40" t="s">
        <v>344</v>
      </c>
      <c r="B40" s="34" t="s">
        <v>342</v>
      </c>
      <c r="C40" s="34" t="s">
        <v>217</v>
      </c>
      <c r="D40" s="34" t="s">
        <v>245</v>
      </c>
      <c r="E40" s="34">
        <v>3</v>
      </c>
      <c r="F40">
        <v>8</v>
      </c>
      <c r="G40">
        <v>75</v>
      </c>
      <c r="H40">
        <v>19.399999999999999</v>
      </c>
      <c r="I40" s="34">
        <v>17.399999999999999</v>
      </c>
      <c r="J40" s="34">
        <v>13.2</v>
      </c>
      <c r="K40" s="34">
        <v>21.4</v>
      </c>
      <c r="L40" s="34">
        <v>21.4</v>
      </c>
      <c r="M40" s="1">
        <v>37</v>
      </c>
    </row>
    <row r="41" spans="1:14" s="1" customFormat="1" hidden="1" x14ac:dyDescent="0.25">
      <c r="A41" t="s">
        <v>344</v>
      </c>
      <c r="B41" s="34" t="s">
        <v>342</v>
      </c>
      <c r="C41" s="34" t="s">
        <v>217</v>
      </c>
      <c r="D41" s="34" t="s">
        <v>245</v>
      </c>
      <c r="E41" s="34">
        <v>3</v>
      </c>
      <c r="F41">
        <v>8</v>
      </c>
      <c r="G41">
        <v>100</v>
      </c>
      <c r="H41">
        <v>19.399999999999999</v>
      </c>
      <c r="I41" s="34">
        <v>17.399999999999999</v>
      </c>
      <c r="J41" s="34">
        <v>13.2</v>
      </c>
      <c r="K41" s="34">
        <v>21.4</v>
      </c>
      <c r="L41" s="34">
        <v>21.4</v>
      </c>
      <c r="M41" s="1">
        <v>59</v>
      </c>
    </row>
    <row r="42" spans="1:14" s="1" customFormat="1" hidden="1" x14ac:dyDescent="0.25">
      <c r="A42" t="s">
        <v>344</v>
      </c>
      <c r="B42" s="34" t="s">
        <v>342</v>
      </c>
      <c r="C42" s="34" t="s">
        <v>217</v>
      </c>
      <c r="D42" s="34" t="s">
        <v>245</v>
      </c>
      <c r="E42" s="34">
        <v>3</v>
      </c>
      <c r="F42">
        <v>8</v>
      </c>
      <c r="G42">
        <v>126</v>
      </c>
      <c r="H42">
        <v>19.399999999999999</v>
      </c>
      <c r="I42" s="34">
        <v>17.399999999999999</v>
      </c>
      <c r="J42" s="34">
        <v>13.2</v>
      </c>
      <c r="K42" s="34">
        <v>21.4</v>
      </c>
      <c r="L42" s="34">
        <v>21.4</v>
      </c>
      <c r="M42" s="1">
        <v>69</v>
      </c>
    </row>
    <row r="43" spans="1:14" s="1" customFormat="1" hidden="1" x14ac:dyDescent="0.25">
      <c r="A43" t="s">
        <v>344</v>
      </c>
      <c r="B43" s="34" t="s">
        <v>342</v>
      </c>
      <c r="C43" s="34" t="s">
        <v>217</v>
      </c>
      <c r="D43" s="34" t="s">
        <v>245</v>
      </c>
      <c r="E43" s="34">
        <v>3</v>
      </c>
      <c r="F43">
        <v>8</v>
      </c>
      <c r="G43">
        <v>151</v>
      </c>
      <c r="H43">
        <v>19.399999999999999</v>
      </c>
      <c r="I43" s="34">
        <v>17.399999999999999</v>
      </c>
      <c r="J43" s="34">
        <v>13.2</v>
      </c>
      <c r="K43" s="34">
        <v>21.4</v>
      </c>
      <c r="L43" s="34">
        <v>21.4</v>
      </c>
      <c r="M43" s="1">
        <v>69</v>
      </c>
    </row>
    <row r="44" spans="1:14" s="1" customFormat="1" hidden="1" x14ac:dyDescent="0.25">
      <c r="A44" t="s">
        <v>344</v>
      </c>
      <c r="B44" s="34" t="s">
        <v>342</v>
      </c>
      <c r="C44" s="34" t="s">
        <v>217</v>
      </c>
      <c r="D44" s="34" t="s">
        <v>245</v>
      </c>
      <c r="E44" s="34">
        <v>3</v>
      </c>
      <c r="F44">
        <v>8</v>
      </c>
      <c r="G44">
        <v>202</v>
      </c>
      <c r="H44">
        <v>19.399999999999999</v>
      </c>
      <c r="I44" s="34">
        <v>17.399999999999999</v>
      </c>
      <c r="J44" s="34">
        <v>13.2</v>
      </c>
      <c r="K44" s="34">
        <v>21.4</v>
      </c>
      <c r="L44" s="34">
        <v>21.4</v>
      </c>
      <c r="M44" s="1">
        <v>69</v>
      </c>
    </row>
    <row r="45" spans="1:14" s="1" customFormat="1" hidden="1" x14ac:dyDescent="0.25">
      <c r="A45" t="s">
        <v>344</v>
      </c>
      <c r="B45" s="34" t="s">
        <v>342</v>
      </c>
      <c r="C45" s="34" t="s">
        <v>217</v>
      </c>
      <c r="D45" s="34" t="s">
        <v>245</v>
      </c>
      <c r="E45" s="34">
        <v>3</v>
      </c>
      <c r="F45">
        <v>8</v>
      </c>
      <c r="G45">
        <v>252</v>
      </c>
      <c r="H45">
        <v>19.399999999999999</v>
      </c>
      <c r="I45" s="34">
        <v>17.399999999999999</v>
      </c>
      <c r="J45" s="34">
        <v>13.2</v>
      </c>
      <c r="K45" s="34">
        <v>21.4</v>
      </c>
      <c r="L45" s="34">
        <v>21.4</v>
      </c>
      <c r="M45" s="1">
        <v>69</v>
      </c>
    </row>
    <row r="46" spans="1:14" s="1" customFormat="1" hidden="1" x14ac:dyDescent="0.25">
      <c r="A46" t="s">
        <v>344</v>
      </c>
      <c r="B46" s="34" t="s">
        <v>342</v>
      </c>
      <c r="C46" s="34" t="s">
        <v>218</v>
      </c>
      <c r="D46" s="34" t="s">
        <v>246</v>
      </c>
      <c r="E46" s="34">
        <v>2</v>
      </c>
      <c r="F46">
        <v>6.5</v>
      </c>
      <c r="G46">
        <v>65</v>
      </c>
      <c r="H46">
        <v>8</v>
      </c>
      <c r="I46" s="34">
        <v>14.5</v>
      </c>
      <c r="J46" s="34">
        <v>13</v>
      </c>
      <c r="K46" s="34">
        <v>29.4</v>
      </c>
      <c r="L46" s="34">
        <v>14.3</v>
      </c>
      <c r="M46" s="1">
        <v>28</v>
      </c>
      <c r="N46" s="1">
        <v>21.5</v>
      </c>
    </row>
    <row r="47" spans="1:14" s="1" customFormat="1" hidden="1" x14ac:dyDescent="0.25">
      <c r="A47" t="s">
        <v>344</v>
      </c>
      <c r="B47" s="34" t="s">
        <v>342</v>
      </c>
      <c r="C47" s="34" t="s">
        <v>218</v>
      </c>
      <c r="D47" s="34" t="s">
        <v>246</v>
      </c>
      <c r="E47" s="34">
        <v>2</v>
      </c>
      <c r="F47">
        <v>6.5</v>
      </c>
      <c r="G47">
        <v>90</v>
      </c>
      <c r="H47">
        <v>8</v>
      </c>
      <c r="I47" s="34">
        <v>14.5</v>
      </c>
      <c r="J47" s="34">
        <v>13</v>
      </c>
      <c r="K47" s="34">
        <v>29.4</v>
      </c>
      <c r="L47" s="34">
        <v>14.3</v>
      </c>
      <c r="M47" s="1">
        <v>40</v>
      </c>
      <c r="N47" s="1">
        <v>33.5</v>
      </c>
    </row>
    <row r="48" spans="1:14" s="1" customFormat="1" hidden="1" x14ac:dyDescent="0.25">
      <c r="A48" t="s">
        <v>344</v>
      </c>
      <c r="B48" s="34" t="s">
        <v>342</v>
      </c>
      <c r="C48" s="34" t="s">
        <v>218</v>
      </c>
      <c r="D48" s="34" t="s">
        <v>246</v>
      </c>
      <c r="E48" s="34">
        <v>2</v>
      </c>
      <c r="F48">
        <v>6.5</v>
      </c>
      <c r="G48">
        <v>130</v>
      </c>
      <c r="H48">
        <v>8</v>
      </c>
      <c r="I48" s="34">
        <v>14.5</v>
      </c>
      <c r="J48" s="34">
        <v>13</v>
      </c>
      <c r="K48" s="34">
        <v>29.4</v>
      </c>
      <c r="L48" s="34">
        <v>14.3</v>
      </c>
      <c r="M48" s="1">
        <v>40</v>
      </c>
      <c r="N48" s="1">
        <v>33.5</v>
      </c>
    </row>
    <row r="49" spans="1:14" s="1" customFormat="1" hidden="1" x14ac:dyDescent="0.25">
      <c r="A49" t="s">
        <v>344</v>
      </c>
      <c r="B49" s="34" t="s">
        <v>342</v>
      </c>
      <c r="C49" s="34" t="s">
        <v>218</v>
      </c>
      <c r="D49" s="34" t="s">
        <v>246</v>
      </c>
      <c r="E49" s="34">
        <v>2</v>
      </c>
      <c r="F49">
        <v>6.5</v>
      </c>
      <c r="G49">
        <v>160</v>
      </c>
      <c r="H49">
        <v>8</v>
      </c>
      <c r="I49" s="34">
        <v>14.5</v>
      </c>
      <c r="J49" s="34">
        <v>13</v>
      </c>
      <c r="K49" s="34">
        <v>29.4</v>
      </c>
      <c r="L49" s="34">
        <v>14.3</v>
      </c>
      <c r="M49" s="1">
        <v>65</v>
      </c>
      <c r="N49" s="1">
        <v>58.5</v>
      </c>
    </row>
    <row r="50" spans="1:14" s="1" customFormat="1" hidden="1" x14ac:dyDescent="0.25">
      <c r="A50" t="s">
        <v>344</v>
      </c>
      <c r="B50" s="34" t="s">
        <v>342</v>
      </c>
      <c r="C50" s="34" t="s">
        <v>218</v>
      </c>
      <c r="D50" s="34" t="s">
        <v>246</v>
      </c>
      <c r="E50" s="34">
        <v>2</v>
      </c>
      <c r="F50">
        <v>6.5</v>
      </c>
      <c r="G50">
        <v>190</v>
      </c>
      <c r="H50">
        <v>8</v>
      </c>
      <c r="I50" s="34">
        <v>14.5</v>
      </c>
      <c r="J50" s="34">
        <v>13</v>
      </c>
      <c r="K50" s="34">
        <v>29.4</v>
      </c>
      <c r="L50" s="34">
        <v>14.3</v>
      </c>
      <c r="M50" s="1">
        <v>80</v>
      </c>
      <c r="N50" s="1">
        <v>73.5</v>
      </c>
    </row>
    <row r="51" spans="1:14" s="1" customFormat="1" hidden="1" x14ac:dyDescent="0.25">
      <c r="A51" t="s">
        <v>344</v>
      </c>
      <c r="B51" s="34" t="s">
        <v>342</v>
      </c>
      <c r="C51" s="34" t="s">
        <v>218</v>
      </c>
      <c r="D51" s="34" t="s">
        <v>246</v>
      </c>
      <c r="E51" s="34">
        <v>2</v>
      </c>
      <c r="F51">
        <v>6.5</v>
      </c>
      <c r="G51">
        <v>220</v>
      </c>
      <c r="H51">
        <v>8</v>
      </c>
      <c r="I51" s="34">
        <v>14.5</v>
      </c>
      <c r="J51" s="34">
        <v>13</v>
      </c>
      <c r="K51" s="34">
        <v>29.4</v>
      </c>
      <c r="L51" s="34">
        <v>14.3</v>
      </c>
      <c r="M51" s="1">
        <v>95</v>
      </c>
      <c r="N51" s="1">
        <v>88.5</v>
      </c>
    </row>
    <row r="52" spans="1:14" s="1" customFormat="1" hidden="1" x14ac:dyDescent="0.25">
      <c r="A52" t="s">
        <v>344</v>
      </c>
      <c r="B52" s="34" t="s">
        <v>342</v>
      </c>
      <c r="C52" s="34" t="s">
        <v>218</v>
      </c>
      <c r="D52" s="34" t="s">
        <v>246</v>
      </c>
      <c r="E52" s="34">
        <v>2</v>
      </c>
      <c r="F52">
        <v>8</v>
      </c>
      <c r="G52">
        <v>90</v>
      </c>
      <c r="H52">
        <v>10</v>
      </c>
      <c r="I52" s="34">
        <v>31.2</v>
      </c>
      <c r="J52" s="34">
        <v>14.2</v>
      </c>
      <c r="K52" s="34">
        <v>38.799999999999997</v>
      </c>
      <c r="L52" s="34">
        <v>21.9</v>
      </c>
      <c r="M52" s="1">
        <v>40</v>
      </c>
      <c r="N52" s="1">
        <v>31.5</v>
      </c>
    </row>
    <row r="53" spans="1:14" s="1" customFormat="1" hidden="1" x14ac:dyDescent="0.25">
      <c r="A53" t="s">
        <v>344</v>
      </c>
      <c r="B53" s="34" t="s">
        <v>342</v>
      </c>
      <c r="C53" s="34" t="s">
        <v>218</v>
      </c>
      <c r="D53" s="34" t="s">
        <v>246</v>
      </c>
      <c r="E53" s="34">
        <v>2</v>
      </c>
      <c r="F53">
        <v>8</v>
      </c>
      <c r="G53">
        <v>130</v>
      </c>
      <c r="H53">
        <v>10</v>
      </c>
      <c r="I53" s="34">
        <v>31.2</v>
      </c>
      <c r="J53" s="34">
        <v>14.2</v>
      </c>
      <c r="K53" s="34">
        <v>38.799999999999997</v>
      </c>
      <c r="L53" s="34">
        <v>21.9</v>
      </c>
      <c r="M53" s="1">
        <v>40</v>
      </c>
      <c r="N53" s="1">
        <v>31.5</v>
      </c>
    </row>
    <row r="54" spans="1:14" s="1" customFormat="1" hidden="1" x14ac:dyDescent="0.25">
      <c r="A54" t="s">
        <v>344</v>
      </c>
      <c r="B54" s="34" t="s">
        <v>342</v>
      </c>
      <c r="C54" s="34" t="s">
        <v>218</v>
      </c>
      <c r="D54" s="34" t="s">
        <v>246</v>
      </c>
      <c r="E54" s="34">
        <v>2</v>
      </c>
      <c r="F54">
        <v>8</v>
      </c>
      <c r="G54">
        <v>160</v>
      </c>
      <c r="H54">
        <v>10</v>
      </c>
      <c r="I54" s="34">
        <v>31.2</v>
      </c>
      <c r="J54" s="34">
        <v>14.2</v>
      </c>
      <c r="K54" s="34">
        <v>38.799999999999997</v>
      </c>
      <c r="L54" s="34">
        <v>21.9</v>
      </c>
      <c r="M54" s="1">
        <v>65</v>
      </c>
      <c r="N54" s="1">
        <v>56.5</v>
      </c>
    </row>
    <row r="55" spans="1:14" s="1" customFormat="1" hidden="1" x14ac:dyDescent="0.25">
      <c r="A55" t="s">
        <v>344</v>
      </c>
      <c r="B55" s="34" t="s">
        <v>342</v>
      </c>
      <c r="C55" s="34" t="s">
        <v>218</v>
      </c>
      <c r="D55" s="34" t="s">
        <v>246</v>
      </c>
      <c r="E55" s="34">
        <v>2</v>
      </c>
      <c r="F55">
        <v>8</v>
      </c>
      <c r="G55">
        <v>190</v>
      </c>
      <c r="H55">
        <v>10</v>
      </c>
      <c r="I55" s="34">
        <v>31.2</v>
      </c>
      <c r="J55" s="34">
        <v>14.2</v>
      </c>
      <c r="K55" s="34">
        <v>38.799999999999997</v>
      </c>
      <c r="L55" s="34">
        <v>21.9</v>
      </c>
      <c r="M55" s="1">
        <v>80</v>
      </c>
      <c r="N55" s="1">
        <v>71.5</v>
      </c>
    </row>
    <row r="56" spans="1:14" s="1" customFormat="1" hidden="1" x14ac:dyDescent="0.25">
      <c r="A56" t="s">
        <v>344</v>
      </c>
      <c r="B56" s="34" t="s">
        <v>342</v>
      </c>
      <c r="C56" s="34" t="s">
        <v>218</v>
      </c>
      <c r="D56" s="34" t="s">
        <v>246</v>
      </c>
      <c r="E56" s="34">
        <v>2</v>
      </c>
      <c r="F56">
        <v>8</v>
      </c>
      <c r="G56">
        <v>220</v>
      </c>
      <c r="H56">
        <v>10</v>
      </c>
      <c r="I56" s="34">
        <v>31.2</v>
      </c>
      <c r="J56" s="34">
        <v>14.2</v>
      </c>
      <c r="K56" s="34">
        <v>38.799999999999997</v>
      </c>
      <c r="L56" s="34">
        <v>21.9</v>
      </c>
      <c r="M56" s="1">
        <v>95</v>
      </c>
      <c r="N56" s="1">
        <v>86.5</v>
      </c>
    </row>
    <row r="57" spans="1:14" s="1" customFormat="1" hidden="1" x14ac:dyDescent="0.25">
      <c r="A57" t="s">
        <v>344</v>
      </c>
      <c r="B57" s="34" t="s">
        <v>342</v>
      </c>
      <c r="C57" s="34" t="s">
        <v>218</v>
      </c>
      <c r="D57" s="34" t="s">
        <v>246</v>
      </c>
      <c r="E57" s="34">
        <v>2</v>
      </c>
      <c r="F57">
        <v>8</v>
      </c>
      <c r="G57">
        <v>245</v>
      </c>
      <c r="H57">
        <v>10</v>
      </c>
      <c r="I57" s="34">
        <v>31.2</v>
      </c>
      <c r="J57" s="34">
        <v>14.2</v>
      </c>
      <c r="K57" s="34">
        <v>38.799999999999997</v>
      </c>
      <c r="L57" s="34">
        <v>21.9</v>
      </c>
      <c r="M57" s="1">
        <v>107.5</v>
      </c>
      <c r="N57" s="1">
        <v>99</v>
      </c>
    </row>
    <row r="58" spans="1:14" s="1" customFormat="1" hidden="1" x14ac:dyDescent="0.25">
      <c r="A58" t="s">
        <v>344</v>
      </c>
      <c r="B58" s="34" t="s">
        <v>342</v>
      </c>
      <c r="C58" s="34" t="s">
        <v>218</v>
      </c>
      <c r="D58" s="34" t="s">
        <v>246</v>
      </c>
      <c r="E58" s="34">
        <v>2</v>
      </c>
      <c r="F58">
        <v>8</v>
      </c>
      <c r="G58">
        <v>275</v>
      </c>
      <c r="H58">
        <v>10</v>
      </c>
      <c r="I58" s="34">
        <v>31.2</v>
      </c>
      <c r="J58" s="34">
        <v>14.2</v>
      </c>
      <c r="K58" s="34">
        <v>38.799999999999997</v>
      </c>
      <c r="L58" s="34">
        <v>21.9</v>
      </c>
      <c r="M58" s="1">
        <v>107.5</v>
      </c>
      <c r="N58" s="1">
        <v>99</v>
      </c>
    </row>
    <row r="59" spans="1:14" s="1" customFormat="1" hidden="1" x14ac:dyDescent="0.25">
      <c r="A59" t="s">
        <v>344</v>
      </c>
      <c r="B59" s="34" t="s">
        <v>342</v>
      </c>
      <c r="C59" s="34" t="s">
        <v>218</v>
      </c>
      <c r="D59" s="34" t="s">
        <v>246</v>
      </c>
      <c r="E59" s="34">
        <v>2</v>
      </c>
      <c r="F59">
        <v>8</v>
      </c>
      <c r="G59">
        <v>300</v>
      </c>
      <c r="H59">
        <v>10</v>
      </c>
      <c r="I59" s="34">
        <v>31.2</v>
      </c>
      <c r="J59" s="34">
        <v>14.2</v>
      </c>
      <c r="K59" s="34">
        <v>38.799999999999997</v>
      </c>
      <c r="L59" s="34">
        <v>21.9</v>
      </c>
      <c r="M59" s="1">
        <v>135</v>
      </c>
      <c r="N59" s="1">
        <v>126.5</v>
      </c>
    </row>
    <row r="60" spans="1:14" s="1" customFormat="1" hidden="1" x14ac:dyDescent="0.25">
      <c r="A60" t="s">
        <v>344</v>
      </c>
      <c r="B60" s="34" t="s">
        <v>342</v>
      </c>
      <c r="C60" s="34" t="s">
        <v>218</v>
      </c>
      <c r="D60" s="34" t="s">
        <v>246</v>
      </c>
      <c r="E60" s="34">
        <v>2</v>
      </c>
      <c r="F60">
        <v>8</v>
      </c>
      <c r="G60">
        <v>330</v>
      </c>
      <c r="H60">
        <v>10</v>
      </c>
      <c r="I60" s="34">
        <v>31.2</v>
      </c>
      <c r="J60" s="34">
        <v>14.2</v>
      </c>
      <c r="K60" s="34">
        <v>38.799999999999997</v>
      </c>
      <c r="L60" s="34">
        <v>21.9</v>
      </c>
      <c r="M60" s="1">
        <v>135</v>
      </c>
      <c r="N60" s="1">
        <v>126.5</v>
      </c>
    </row>
    <row r="61" spans="1:14" s="1" customFormat="1" hidden="1" x14ac:dyDescent="0.25">
      <c r="A61" t="s">
        <v>344</v>
      </c>
      <c r="B61" s="34" t="s">
        <v>342</v>
      </c>
      <c r="C61" s="34" t="s">
        <v>219</v>
      </c>
      <c r="D61" s="34" t="s">
        <v>247</v>
      </c>
      <c r="E61" s="34">
        <v>3</v>
      </c>
      <c r="F61">
        <v>5</v>
      </c>
      <c r="G61">
        <v>60</v>
      </c>
      <c r="H61">
        <v>9.5</v>
      </c>
      <c r="I61" s="34">
        <v>5.4720000000000004</v>
      </c>
      <c r="J61" s="34">
        <v>17.3</v>
      </c>
      <c r="K61" s="34">
        <v>19.600000000000001</v>
      </c>
      <c r="L61" s="34">
        <v>6.5</v>
      </c>
      <c r="M61" s="1">
        <v>32</v>
      </c>
    </row>
    <row r="62" spans="1:14" s="1" customFormat="1" hidden="1" x14ac:dyDescent="0.25">
      <c r="A62" t="s">
        <v>344</v>
      </c>
      <c r="B62" s="34" t="s">
        <v>342</v>
      </c>
      <c r="C62" s="34" t="s">
        <v>219</v>
      </c>
      <c r="D62" s="34" t="s">
        <v>247</v>
      </c>
      <c r="E62" s="34">
        <v>3</v>
      </c>
      <c r="F62">
        <v>5</v>
      </c>
      <c r="G62">
        <v>70</v>
      </c>
      <c r="H62">
        <v>9.5</v>
      </c>
      <c r="I62" s="34">
        <v>5.4720000000000004</v>
      </c>
      <c r="J62" s="34">
        <v>17.3</v>
      </c>
      <c r="K62" s="34">
        <v>19.600000000000001</v>
      </c>
      <c r="L62" s="34">
        <v>6.5</v>
      </c>
      <c r="M62" s="1">
        <v>35</v>
      </c>
    </row>
    <row r="63" spans="1:14" s="1" customFormat="1" hidden="1" x14ac:dyDescent="0.25">
      <c r="A63" t="s">
        <v>344</v>
      </c>
      <c r="B63" s="34" t="s">
        <v>342</v>
      </c>
      <c r="C63" s="34" t="s">
        <v>219</v>
      </c>
      <c r="D63" s="34" t="s">
        <v>247</v>
      </c>
      <c r="E63" s="34">
        <v>3</v>
      </c>
      <c r="F63">
        <v>5</v>
      </c>
      <c r="G63">
        <v>80</v>
      </c>
      <c r="H63">
        <v>9.5</v>
      </c>
      <c r="I63" s="34">
        <v>5.4720000000000004</v>
      </c>
      <c r="J63" s="34">
        <v>17.3</v>
      </c>
      <c r="K63" s="34">
        <v>19.600000000000001</v>
      </c>
      <c r="L63" s="34">
        <v>6.5</v>
      </c>
      <c r="M63" s="1">
        <v>40</v>
      </c>
    </row>
    <row r="64" spans="1:14" s="1" customFormat="1" hidden="1" x14ac:dyDescent="0.25">
      <c r="A64" t="s">
        <v>344</v>
      </c>
      <c r="B64" s="34" t="s">
        <v>342</v>
      </c>
      <c r="C64" s="34" t="s">
        <v>219</v>
      </c>
      <c r="D64" s="34" t="s">
        <v>247</v>
      </c>
      <c r="E64" s="34">
        <v>3</v>
      </c>
      <c r="F64">
        <v>5</v>
      </c>
      <c r="G64">
        <v>90</v>
      </c>
      <c r="H64">
        <v>9.5</v>
      </c>
      <c r="I64" s="34">
        <v>5.4720000000000004</v>
      </c>
      <c r="J64" s="34">
        <v>17.3</v>
      </c>
      <c r="K64" s="34">
        <v>19.600000000000001</v>
      </c>
      <c r="L64" s="34">
        <v>6.5</v>
      </c>
      <c r="M64" s="1">
        <v>45</v>
      </c>
    </row>
    <row r="65" spans="1:13" s="1" customFormat="1" hidden="1" x14ac:dyDescent="0.25">
      <c r="A65" t="s">
        <v>344</v>
      </c>
      <c r="B65" s="34" t="s">
        <v>342</v>
      </c>
      <c r="C65" s="34" t="s">
        <v>219</v>
      </c>
      <c r="D65" s="34" t="s">
        <v>247</v>
      </c>
      <c r="E65" s="34">
        <v>3</v>
      </c>
      <c r="F65">
        <v>5</v>
      </c>
      <c r="G65">
        <v>100</v>
      </c>
      <c r="H65">
        <v>9.5</v>
      </c>
      <c r="I65" s="34">
        <v>5.4720000000000004</v>
      </c>
      <c r="J65" s="34">
        <v>17.3</v>
      </c>
      <c r="K65" s="34">
        <v>19.600000000000001</v>
      </c>
      <c r="L65" s="34">
        <v>6.5</v>
      </c>
      <c r="M65" s="1">
        <v>55</v>
      </c>
    </row>
    <row r="66" spans="1:13" s="1" customFormat="1" hidden="1" x14ac:dyDescent="0.25">
      <c r="A66" t="s">
        <v>344</v>
      </c>
      <c r="B66" s="34" t="s">
        <v>342</v>
      </c>
      <c r="C66" s="34" t="s">
        <v>219</v>
      </c>
      <c r="D66" s="34" t="s">
        <v>247</v>
      </c>
      <c r="E66" s="34">
        <v>3</v>
      </c>
      <c r="F66">
        <v>5</v>
      </c>
      <c r="G66">
        <v>120</v>
      </c>
      <c r="H66">
        <v>9.5</v>
      </c>
      <c r="I66" s="34">
        <v>5.4720000000000004</v>
      </c>
      <c r="J66" s="34">
        <v>17.3</v>
      </c>
      <c r="K66" s="34">
        <v>19.600000000000001</v>
      </c>
      <c r="L66" s="34">
        <v>6.5</v>
      </c>
      <c r="M66" s="1">
        <v>60</v>
      </c>
    </row>
    <row r="67" spans="1:13" s="1" customFormat="1" hidden="1" x14ac:dyDescent="0.25">
      <c r="A67" t="s">
        <v>344</v>
      </c>
      <c r="B67" s="34" t="s">
        <v>342</v>
      </c>
      <c r="C67" s="34" t="s">
        <v>219</v>
      </c>
      <c r="D67" s="34" t="s">
        <v>247</v>
      </c>
      <c r="E67" s="34">
        <v>3</v>
      </c>
      <c r="F67">
        <v>6</v>
      </c>
      <c r="G67">
        <v>70</v>
      </c>
      <c r="H67">
        <v>11.6</v>
      </c>
      <c r="I67" s="34">
        <v>8.4670000000000005</v>
      </c>
      <c r="J67" s="34">
        <v>15.9</v>
      </c>
      <c r="K67" s="34">
        <v>22.6</v>
      </c>
      <c r="L67" s="34">
        <v>8.8000000000000007</v>
      </c>
      <c r="M67" s="1">
        <v>35</v>
      </c>
    </row>
    <row r="68" spans="1:13" s="1" customFormat="1" hidden="1" x14ac:dyDescent="0.25">
      <c r="A68" t="s">
        <v>344</v>
      </c>
      <c r="B68" s="34" t="s">
        <v>342</v>
      </c>
      <c r="C68" s="34" t="s">
        <v>219</v>
      </c>
      <c r="D68" s="34" t="s">
        <v>247</v>
      </c>
      <c r="E68" s="34">
        <v>3</v>
      </c>
      <c r="F68">
        <v>6</v>
      </c>
      <c r="G68">
        <v>80</v>
      </c>
      <c r="H68">
        <v>11.6</v>
      </c>
      <c r="I68" s="34">
        <v>8.4670000000000005</v>
      </c>
      <c r="J68" s="34">
        <v>15.9</v>
      </c>
      <c r="K68" s="34">
        <v>22.6</v>
      </c>
      <c r="L68" s="34">
        <v>8.8000000000000007</v>
      </c>
      <c r="M68" s="1">
        <v>40</v>
      </c>
    </row>
    <row r="69" spans="1:13" s="1" customFormat="1" hidden="1" x14ac:dyDescent="0.25">
      <c r="A69" t="s">
        <v>344</v>
      </c>
      <c r="B69" s="34" t="s">
        <v>342</v>
      </c>
      <c r="C69" s="34" t="s">
        <v>219</v>
      </c>
      <c r="D69" s="34" t="s">
        <v>247</v>
      </c>
      <c r="E69" s="34">
        <v>3</v>
      </c>
      <c r="F69">
        <v>6</v>
      </c>
      <c r="G69">
        <v>90</v>
      </c>
      <c r="H69">
        <v>11.6</v>
      </c>
      <c r="I69" s="34">
        <v>8.4670000000000005</v>
      </c>
      <c r="J69" s="34">
        <v>15.9</v>
      </c>
      <c r="K69" s="34">
        <v>22.6</v>
      </c>
      <c r="L69" s="34">
        <v>8.8000000000000007</v>
      </c>
      <c r="M69" s="1">
        <v>45</v>
      </c>
    </row>
    <row r="70" spans="1:13" s="1" customFormat="1" hidden="1" x14ac:dyDescent="0.25">
      <c r="A70" t="s">
        <v>344</v>
      </c>
      <c r="B70" s="34" t="s">
        <v>342</v>
      </c>
      <c r="C70" s="34" t="s">
        <v>219</v>
      </c>
      <c r="D70" s="34" t="s">
        <v>247</v>
      </c>
      <c r="E70" s="34">
        <v>3</v>
      </c>
      <c r="F70">
        <v>6</v>
      </c>
      <c r="G70">
        <v>100</v>
      </c>
      <c r="H70">
        <v>11.6</v>
      </c>
      <c r="I70" s="34">
        <v>8.4670000000000005</v>
      </c>
      <c r="J70" s="34">
        <v>15.9</v>
      </c>
      <c r="K70" s="34">
        <v>22.6</v>
      </c>
      <c r="L70" s="34">
        <v>8.8000000000000007</v>
      </c>
      <c r="M70" s="1">
        <v>55</v>
      </c>
    </row>
    <row r="71" spans="1:13" s="1" customFormat="1" hidden="1" x14ac:dyDescent="0.25">
      <c r="A71" t="s">
        <v>344</v>
      </c>
      <c r="B71" s="34" t="s">
        <v>342</v>
      </c>
      <c r="C71" s="34" t="s">
        <v>219</v>
      </c>
      <c r="D71" s="34" t="s">
        <v>247</v>
      </c>
      <c r="E71" s="34">
        <v>3</v>
      </c>
      <c r="F71">
        <v>6</v>
      </c>
      <c r="G71">
        <v>120</v>
      </c>
      <c r="H71">
        <v>11.6</v>
      </c>
      <c r="I71" s="34">
        <v>8.4670000000000005</v>
      </c>
      <c r="J71" s="34">
        <v>15.9</v>
      </c>
      <c r="K71" s="34">
        <v>22.6</v>
      </c>
      <c r="L71" s="34">
        <v>8.8000000000000007</v>
      </c>
      <c r="M71" s="1">
        <v>60</v>
      </c>
    </row>
    <row r="72" spans="1:13" s="1" customFormat="1" hidden="1" x14ac:dyDescent="0.25">
      <c r="A72" t="s">
        <v>344</v>
      </c>
      <c r="B72" s="34" t="s">
        <v>342</v>
      </c>
      <c r="C72" s="34" t="s">
        <v>219</v>
      </c>
      <c r="D72" s="34" t="s">
        <v>247</v>
      </c>
      <c r="E72" s="34">
        <v>3</v>
      </c>
      <c r="F72">
        <v>6</v>
      </c>
      <c r="G72">
        <v>140</v>
      </c>
      <c r="H72">
        <v>11.6</v>
      </c>
      <c r="I72" s="34">
        <v>8.4670000000000005</v>
      </c>
      <c r="J72" s="34">
        <v>15.9</v>
      </c>
      <c r="K72" s="34">
        <v>22.6</v>
      </c>
      <c r="L72" s="34">
        <v>8.8000000000000007</v>
      </c>
      <c r="M72" s="1">
        <v>65</v>
      </c>
    </row>
    <row r="73" spans="1:13" s="1" customFormat="1" hidden="1" x14ac:dyDescent="0.25">
      <c r="A73" t="s">
        <v>344</v>
      </c>
      <c r="B73" s="34" t="s">
        <v>342</v>
      </c>
      <c r="C73" s="34" t="s">
        <v>220</v>
      </c>
      <c r="D73" s="34" t="s">
        <v>248</v>
      </c>
      <c r="E73" s="34">
        <v>3</v>
      </c>
      <c r="F73">
        <v>4</v>
      </c>
      <c r="G73">
        <v>30</v>
      </c>
      <c r="H73">
        <v>8</v>
      </c>
      <c r="I73" s="34"/>
      <c r="J73" s="34"/>
      <c r="K73" s="34"/>
      <c r="L73" s="34"/>
      <c r="M73" s="1">
        <v>30</v>
      </c>
    </row>
    <row r="74" spans="1:13" s="1" customFormat="1" hidden="1" x14ac:dyDescent="0.25">
      <c r="A74" t="s">
        <v>344</v>
      </c>
      <c r="B74" s="34" t="s">
        <v>342</v>
      </c>
      <c r="C74" s="34" t="s">
        <v>220</v>
      </c>
      <c r="D74" s="34" t="s">
        <v>248</v>
      </c>
      <c r="E74" s="34">
        <v>3</v>
      </c>
      <c r="F74">
        <v>4</v>
      </c>
      <c r="G74">
        <v>40</v>
      </c>
      <c r="H74">
        <v>8</v>
      </c>
      <c r="I74" s="34"/>
      <c r="J74" s="34"/>
      <c r="K74" s="34"/>
      <c r="L74" s="34"/>
      <c r="M74" s="1">
        <v>40</v>
      </c>
    </row>
    <row r="75" spans="1:13" s="1" customFormat="1" hidden="1" x14ac:dyDescent="0.25">
      <c r="A75" t="s">
        <v>344</v>
      </c>
      <c r="B75" s="34" t="s">
        <v>342</v>
      </c>
      <c r="C75" s="34" t="s">
        <v>220</v>
      </c>
      <c r="D75" s="34" t="s">
        <v>248</v>
      </c>
      <c r="E75" s="34">
        <v>3</v>
      </c>
      <c r="F75">
        <v>4</v>
      </c>
      <c r="G75">
        <v>50</v>
      </c>
      <c r="H75">
        <v>8</v>
      </c>
      <c r="I75" s="34"/>
      <c r="J75" s="34"/>
      <c r="K75" s="34"/>
      <c r="L75" s="34"/>
      <c r="M75" s="1">
        <v>30</v>
      </c>
    </row>
    <row r="76" spans="1:13" s="1" customFormat="1" hidden="1" x14ac:dyDescent="0.25">
      <c r="A76" t="s">
        <v>344</v>
      </c>
      <c r="B76" s="34" t="s">
        <v>342</v>
      </c>
      <c r="C76" s="34" t="s">
        <v>220</v>
      </c>
      <c r="D76" s="34" t="s">
        <v>248</v>
      </c>
      <c r="E76" s="34">
        <v>3</v>
      </c>
      <c r="F76">
        <v>5</v>
      </c>
      <c r="G76">
        <v>40</v>
      </c>
      <c r="H76">
        <v>9.6999999999999993</v>
      </c>
      <c r="I76" s="34">
        <v>7.6020000000000003</v>
      </c>
      <c r="J76" s="34">
        <v>13</v>
      </c>
      <c r="K76" s="34">
        <v>23.2</v>
      </c>
      <c r="L76" s="34">
        <v>9.9</v>
      </c>
      <c r="M76" s="1">
        <v>36</v>
      </c>
    </row>
    <row r="77" spans="1:13" s="1" customFormat="1" hidden="1" x14ac:dyDescent="0.25">
      <c r="A77" t="s">
        <v>344</v>
      </c>
      <c r="B77" s="34" t="s">
        <v>342</v>
      </c>
      <c r="C77" s="34" t="s">
        <v>220</v>
      </c>
      <c r="D77" s="34" t="s">
        <v>248</v>
      </c>
      <c r="E77" s="34">
        <v>3</v>
      </c>
      <c r="F77">
        <v>5</v>
      </c>
      <c r="G77">
        <v>50</v>
      </c>
      <c r="H77">
        <v>9.6999999999999993</v>
      </c>
      <c r="I77" s="34">
        <v>7.6020000000000003</v>
      </c>
      <c r="J77" s="34">
        <v>13</v>
      </c>
      <c r="K77" s="34">
        <v>23.2</v>
      </c>
      <c r="L77" s="34">
        <v>9.9</v>
      </c>
      <c r="M77" s="1">
        <v>30</v>
      </c>
    </row>
    <row r="78" spans="1:13" s="1" customFormat="1" hidden="1" x14ac:dyDescent="0.25">
      <c r="A78" t="s">
        <v>344</v>
      </c>
      <c r="B78" s="34" t="s">
        <v>342</v>
      </c>
      <c r="C78" s="34" t="s">
        <v>220</v>
      </c>
      <c r="D78" s="34" t="s">
        <v>248</v>
      </c>
      <c r="E78" s="34">
        <v>3</v>
      </c>
      <c r="F78">
        <v>5</v>
      </c>
      <c r="G78">
        <v>60</v>
      </c>
      <c r="H78">
        <v>9.6999999999999993</v>
      </c>
      <c r="I78" s="34">
        <v>7.6020000000000003</v>
      </c>
      <c r="J78" s="34">
        <v>13</v>
      </c>
      <c r="K78" s="34">
        <v>23.2</v>
      </c>
      <c r="L78" s="34">
        <v>9.9</v>
      </c>
      <c r="M78" s="1">
        <v>35</v>
      </c>
    </row>
    <row r="79" spans="1:13" s="1" customFormat="1" hidden="1" x14ac:dyDescent="0.25">
      <c r="A79" t="s">
        <v>344</v>
      </c>
      <c r="B79" s="34" t="s">
        <v>342</v>
      </c>
      <c r="C79" s="34" t="s">
        <v>220</v>
      </c>
      <c r="D79" s="34" t="s">
        <v>248</v>
      </c>
      <c r="E79" s="34">
        <v>3</v>
      </c>
      <c r="F79">
        <v>5</v>
      </c>
      <c r="G79">
        <v>70</v>
      </c>
      <c r="H79">
        <v>9.6999999999999993</v>
      </c>
      <c r="I79" s="34">
        <v>7.6020000000000003</v>
      </c>
      <c r="J79" s="34">
        <v>13</v>
      </c>
      <c r="K79" s="34">
        <v>23.2</v>
      </c>
      <c r="L79" s="34">
        <v>9.9</v>
      </c>
      <c r="M79" s="1">
        <v>40</v>
      </c>
    </row>
    <row r="80" spans="1:13" s="1" customFormat="1" hidden="1" x14ac:dyDescent="0.25">
      <c r="A80" t="s">
        <v>344</v>
      </c>
      <c r="B80" s="34" t="s">
        <v>342</v>
      </c>
      <c r="C80" s="34" t="s">
        <v>221</v>
      </c>
      <c r="D80" s="34" t="s">
        <v>247</v>
      </c>
      <c r="E80" s="34">
        <v>3</v>
      </c>
      <c r="F80">
        <v>3.5</v>
      </c>
      <c r="G80">
        <v>16</v>
      </c>
      <c r="H80">
        <v>7</v>
      </c>
      <c r="I80" s="34"/>
      <c r="J80" s="34"/>
      <c r="K80" s="34"/>
      <c r="L80" s="34"/>
      <c r="M80" s="1">
        <v>10</v>
      </c>
    </row>
    <row r="81" spans="1:13" s="1" customFormat="1" hidden="1" x14ac:dyDescent="0.25">
      <c r="A81" t="s">
        <v>344</v>
      </c>
      <c r="B81" s="34" t="s">
        <v>342</v>
      </c>
      <c r="C81" s="34" t="s">
        <v>221</v>
      </c>
      <c r="D81" s="34" t="s">
        <v>247</v>
      </c>
      <c r="E81" s="34">
        <v>3</v>
      </c>
      <c r="F81">
        <v>3.5</v>
      </c>
      <c r="G81">
        <v>20</v>
      </c>
      <c r="H81">
        <v>7</v>
      </c>
      <c r="I81" s="34"/>
      <c r="J81" s="34"/>
      <c r="K81" s="34"/>
      <c r="L81" s="34"/>
      <c r="M81" s="1">
        <v>14</v>
      </c>
    </row>
    <row r="82" spans="1:13" s="1" customFormat="1" hidden="1" x14ac:dyDescent="0.25">
      <c r="A82" t="s">
        <v>344</v>
      </c>
      <c r="B82" s="34" t="s">
        <v>342</v>
      </c>
      <c r="C82" s="34" t="s">
        <v>221</v>
      </c>
      <c r="D82" s="34" t="s">
        <v>247</v>
      </c>
      <c r="E82" s="34">
        <v>3</v>
      </c>
      <c r="F82">
        <v>3.5</v>
      </c>
      <c r="G82">
        <v>30</v>
      </c>
      <c r="H82">
        <v>7</v>
      </c>
      <c r="I82" s="34"/>
      <c r="J82" s="34"/>
      <c r="K82" s="34"/>
      <c r="L82" s="34"/>
      <c r="M82" s="1">
        <v>24</v>
      </c>
    </row>
    <row r="83" spans="1:13" s="1" customFormat="1" hidden="1" x14ac:dyDescent="0.25">
      <c r="A83" t="s">
        <v>344</v>
      </c>
      <c r="B83" s="34" t="s">
        <v>342</v>
      </c>
      <c r="C83" s="34" t="s">
        <v>221</v>
      </c>
      <c r="D83" s="34" t="s">
        <v>247</v>
      </c>
      <c r="E83" s="34">
        <v>3</v>
      </c>
      <c r="F83">
        <v>4</v>
      </c>
      <c r="G83">
        <v>20</v>
      </c>
      <c r="H83">
        <v>8</v>
      </c>
      <c r="I83" s="34"/>
      <c r="J83" s="34"/>
      <c r="K83" s="34"/>
      <c r="L83" s="34"/>
      <c r="M83" s="1">
        <v>10</v>
      </c>
    </row>
    <row r="84" spans="1:13" s="1" customFormat="1" hidden="1" x14ac:dyDescent="0.25">
      <c r="A84" t="s">
        <v>344</v>
      </c>
      <c r="B84" s="34" t="s">
        <v>342</v>
      </c>
      <c r="C84" s="34" t="s">
        <v>221</v>
      </c>
      <c r="D84" s="34" t="s">
        <v>247</v>
      </c>
      <c r="E84" s="34">
        <v>3</v>
      </c>
      <c r="F84">
        <v>4</v>
      </c>
      <c r="G84">
        <v>30</v>
      </c>
      <c r="H84">
        <v>8</v>
      </c>
      <c r="I84" s="34"/>
      <c r="J84" s="34"/>
      <c r="K84" s="34"/>
      <c r="L84" s="34"/>
      <c r="M84" s="1">
        <v>20</v>
      </c>
    </row>
    <row r="85" spans="1:13" s="1" customFormat="1" hidden="1" x14ac:dyDescent="0.25">
      <c r="A85" t="s">
        <v>344</v>
      </c>
      <c r="B85" s="34" t="s">
        <v>342</v>
      </c>
      <c r="C85" s="34" t="s">
        <v>221</v>
      </c>
      <c r="D85" s="34" t="s">
        <v>247</v>
      </c>
      <c r="E85" s="34">
        <v>3</v>
      </c>
      <c r="F85">
        <v>4.5</v>
      </c>
      <c r="G85">
        <v>25</v>
      </c>
      <c r="H85">
        <v>8.4</v>
      </c>
      <c r="I85" s="34"/>
      <c r="J85" s="34"/>
      <c r="K85" s="34"/>
      <c r="L85" s="34"/>
      <c r="M85" s="1">
        <v>20</v>
      </c>
    </row>
    <row r="86" spans="1:13" s="1" customFormat="1" hidden="1" x14ac:dyDescent="0.25">
      <c r="A86" t="s">
        <v>344</v>
      </c>
      <c r="B86" s="34" t="s">
        <v>342</v>
      </c>
      <c r="C86" s="34" t="s">
        <v>221</v>
      </c>
      <c r="D86" s="34" t="s">
        <v>247</v>
      </c>
      <c r="E86" s="34">
        <v>3</v>
      </c>
      <c r="F86">
        <v>4.5</v>
      </c>
      <c r="G86">
        <v>30</v>
      </c>
      <c r="H86">
        <v>8.4</v>
      </c>
      <c r="I86" s="34"/>
      <c r="J86" s="34"/>
      <c r="K86" s="34"/>
      <c r="L86" s="34"/>
      <c r="M86" s="1">
        <v>25</v>
      </c>
    </row>
    <row r="87" spans="1:13" s="1" customFormat="1" hidden="1" x14ac:dyDescent="0.25">
      <c r="A87" t="s">
        <v>344</v>
      </c>
      <c r="B87" s="34" t="s">
        <v>342</v>
      </c>
      <c r="C87" s="34" t="s">
        <v>221</v>
      </c>
      <c r="D87" s="34" t="s">
        <v>247</v>
      </c>
      <c r="E87" s="34">
        <v>3</v>
      </c>
      <c r="F87">
        <v>4.5</v>
      </c>
      <c r="G87">
        <v>40</v>
      </c>
      <c r="H87">
        <v>8.4</v>
      </c>
      <c r="I87" s="34"/>
      <c r="J87" s="34"/>
      <c r="K87" s="34"/>
      <c r="L87" s="34"/>
      <c r="M87" s="1">
        <v>35</v>
      </c>
    </row>
    <row r="88" spans="1:13" s="1" customFormat="1" hidden="1" x14ac:dyDescent="0.25">
      <c r="A88" t="s">
        <v>344</v>
      </c>
      <c r="B88" s="34" t="s">
        <v>342</v>
      </c>
      <c r="C88" s="34" t="s">
        <v>221</v>
      </c>
      <c r="D88" s="34" t="s">
        <v>247</v>
      </c>
      <c r="E88" s="34">
        <v>3</v>
      </c>
      <c r="F88">
        <v>4.5</v>
      </c>
      <c r="G88">
        <v>50</v>
      </c>
      <c r="H88">
        <v>8.4</v>
      </c>
      <c r="I88" s="34"/>
      <c r="J88" s="34"/>
      <c r="K88" s="34"/>
      <c r="L88" s="34"/>
      <c r="M88" s="1">
        <v>30</v>
      </c>
    </row>
    <row r="89" spans="1:13" s="1" customFormat="1" hidden="1" x14ac:dyDescent="0.25">
      <c r="A89" t="s">
        <v>344</v>
      </c>
      <c r="B89" s="34" t="s">
        <v>342</v>
      </c>
      <c r="C89" s="34" t="s">
        <v>221</v>
      </c>
      <c r="D89" s="34" t="s">
        <v>247</v>
      </c>
      <c r="E89" s="34">
        <v>3</v>
      </c>
      <c r="F89">
        <v>4.5</v>
      </c>
      <c r="G89">
        <v>60</v>
      </c>
      <c r="H89">
        <v>8.4</v>
      </c>
      <c r="I89" s="34"/>
      <c r="J89" s="34"/>
      <c r="K89" s="34"/>
      <c r="L89" s="34"/>
      <c r="M89" s="1">
        <v>35</v>
      </c>
    </row>
    <row r="90" spans="1:13" s="1" customFormat="1" hidden="1" x14ac:dyDescent="0.25">
      <c r="A90" t="s">
        <v>344</v>
      </c>
      <c r="B90" s="34" t="s">
        <v>342</v>
      </c>
      <c r="C90" s="34" t="s">
        <v>221</v>
      </c>
      <c r="D90" s="34" t="s">
        <v>247</v>
      </c>
      <c r="E90" s="34">
        <v>3</v>
      </c>
      <c r="F90">
        <v>4.5</v>
      </c>
      <c r="G90">
        <v>70</v>
      </c>
      <c r="H90">
        <v>8.4</v>
      </c>
      <c r="I90" s="34"/>
      <c r="J90" s="34"/>
      <c r="K90" s="34"/>
      <c r="L90" s="34"/>
      <c r="M90" s="1">
        <v>40</v>
      </c>
    </row>
    <row r="91" spans="1:13" s="1" customFormat="1" hidden="1" x14ac:dyDescent="0.25">
      <c r="A91" t="s">
        <v>344</v>
      </c>
      <c r="B91" s="34" t="s">
        <v>342</v>
      </c>
      <c r="C91" s="34" t="s">
        <v>221</v>
      </c>
      <c r="D91" s="34" t="s">
        <v>247</v>
      </c>
      <c r="E91" s="34">
        <v>3</v>
      </c>
      <c r="F91">
        <v>5</v>
      </c>
      <c r="G91">
        <v>50</v>
      </c>
      <c r="H91">
        <v>9.5</v>
      </c>
      <c r="I91" s="34"/>
      <c r="J91" s="34"/>
      <c r="K91" s="34"/>
      <c r="L91" s="34"/>
      <c r="M91" s="1">
        <v>30</v>
      </c>
    </row>
    <row r="92" spans="1:13" s="1" customFormat="1" hidden="1" x14ac:dyDescent="0.25">
      <c r="A92" t="s">
        <v>344</v>
      </c>
      <c r="B92" s="34" t="s">
        <v>342</v>
      </c>
      <c r="C92" s="34" t="s">
        <v>221</v>
      </c>
      <c r="D92" s="34" t="s">
        <v>247</v>
      </c>
      <c r="E92" s="34">
        <v>3</v>
      </c>
      <c r="F92">
        <v>5</v>
      </c>
      <c r="G92">
        <v>60</v>
      </c>
      <c r="H92">
        <v>9.5</v>
      </c>
      <c r="I92" s="34"/>
      <c r="J92" s="34"/>
      <c r="K92" s="34"/>
      <c r="L92" s="34"/>
      <c r="M92" s="1">
        <v>35</v>
      </c>
    </row>
    <row r="93" spans="1:13" s="1" customFormat="1" hidden="1" x14ac:dyDescent="0.25">
      <c r="A93" t="s">
        <v>344</v>
      </c>
      <c r="B93" s="34" t="s">
        <v>342</v>
      </c>
      <c r="C93" s="34" t="s">
        <v>221</v>
      </c>
      <c r="D93" s="34" t="s">
        <v>247</v>
      </c>
      <c r="E93" s="34">
        <v>3</v>
      </c>
      <c r="F93">
        <v>5</v>
      </c>
      <c r="G93">
        <v>70</v>
      </c>
      <c r="H93">
        <v>9.5</v>
      </c>
      <c r="I93" s="34"/>
      <c r="J93" s="34"/>
      <c r="K93" s="34"/>
      <c r="L93" s="34"/>
      <c r="M93" s="1">
        <v>40</v>
      </c>
    </row>
    <row r="94" spans="1:13" s="1" customFormat="1" hidden="1" x14ac:dyDescent="0.25">
      <c r="A94" t="s">
        <v>344</v>
      </c>
      <c r="B94" s="34" t="s">
        <v>342</v>
      </c>
      <c r="C94" s="34" t="s">
        <v>221</v>
      </c>
      <c r="D94" s="34" t="s">
        <v>247</v>
      </c>
      <c r="E94" s="34">
        <v>3</v>
      </c>
      <c r="F94">
        <v>5</v>
      </c>
      <c r="G94">
        <v>80</v>
      </c>
      <c r="H94">
        <v>9.5</v>
      </c>
      <c r="I94" s="34"/>
      <c r="J94" s="34"/>
      <c r="K94" s="34"/>
      <c r="L94" s="34"/>
      <c r="M94" s="1">
        <v>40</v>
      </c>
    </row>
    <row r="95" spans="1:13" s="1" customFormat="1" hidden="1" x14ac:dyDescent="0.25">
      <c r="A95" t="s">
        <v>344</v>
      </c>
      <c r="B95" s="34" t="s">
        <v>342</v>
      </c>
      <c r="C95" s="34" t="s">
        <v>221</v>
      </c>
      <c r="D95" s="34" t="s">
        <v>247</v>
      </c>
      <c r="E95" s="34">
        <v>3</v>
      </c>
      <c r="F95">
        <v>5</v>
      </c>
      <c r="G95">
        <v>90</v>
      </c>
      <c r="H95">
        <v>9.5</v>
      </c>
      <c r="I95" s="34"/>
      <c r="J95" s="34"/>
      <c r="K95" s="34"/>
      <c r="L95" s="34"/>
      <c r="M95" s="1">
        <v>45</v>
      </c>
    </row>
    <row r="96" spans="1:13" s="1" customFormat="1" hidden="1" x14ac:dyDescent="0.25">
      <c r="A96" t="s">
        <v>344</v>
      </c>
      <c r="B96" s="34" t="s">
        <v>342</v>
      </c>
      <c r="C96" s="34" t="s">
        <v>221</v>
      </c>
      <c r="D96" s="34" t="s">
        <v>247</v>
      </c>
      <c r="E96" s="34">
        <v>3</v>
      </c>
      <c r="F96">
        <v>5</v>
      </c>
      <c r="G96">
        <v>100</v>
      </c>
      <c r="H96">
        <v>9.5</v>
      </c>
      <c r="I96" s="34"/>
      <c r="J96" s="34"/>
      <c r="K96" s="34"/>
      <c r="L96" s="34"/>
      <c r="M96" s="1">
        <v>60</v>
      </c>
    </row>
    <row r="97" spans="1:13" s="1" customFormat="1" hidden="1" x14ac:dyDescent="0.25">
      <c r="A97" t="s">
        <v>344</v>
      </c>
      <c r="B97" s="34" t="s">
        <v>342</v>
      </c>
      <c r="C97" s="34" t="s">
        <v>221</v>
      </c>
      <c r="D97" s="34" t="s">
        <v>247</v>
      </c>
      <c r="E97" s="34">
        <v>3</v>
      </c>
      <c r="F97">
        <v>5</v>
      </c>
      <c r="G97">
        <v>120</v>
      </c>
      <c r="H97">
        <v>9.5</v>
      </c>
      <c r="I97" s="34"/>
      <c r="J97" s="34"/>
      <c r="K97" s="34"/>
      <c r="L97" s="34"/>
      <c r="M97" s="1">
        <v>60</v>
      </c>
    </row>
    <row r="98" spans="1:13" s="1" customFormat="1" hidden="1" x14ac:dyDescent="0.25">
      <c r="A98" t="s">
        <v>344</v>
      </c>
      <c r="B98" s="34" t="s">
        <v>342</v>
      </c>
      <c r="C98" s="34" t="s">
        <v>221</v>
      </c>
      <c r="D98" s="34" t="s">
        <v>247</v>
      </c>
      <c r="E98" s="34">
        <v>3</v>
      </c>
      <c r="F98">
        <v>6</v>
      </c>
      <c r="G98">
        <v>60</v>
      </c>
      <c r="H98">
        <v>11.6</v>
      </c>
      <c r="I98" s="34"/>
      <c r="J98" s="34"/>
      <c r="K98" s="34"/>
      <c r="L98" s="34"/>
      <c r="M98" s="1">
        <v>35</v>
      </c>
    </row>
    <row r="99" spans="1:13" s="1" customFormat="1" hidden="1" x14ac:dyDescent="0.25">
      <c r="A99" t="s">
        <v>344</v>
      </c>
      <c r="B99" s="34" t="s">
        <v>342</v>
      </c>
      <c r="C99" s="34" t="s">
        <v>221</v>
      </c>
      <c r="D99" s="34" t="s">
        <v>247</v>
      </c>
      <c r="E99" s="34">
        <v>3</v>
      </c>
      <c r="F99">
        <v>6</v>
      </c>
      <c r="G99">
        <v>70</v>
      </c>
      <c r="H99">
        <v>11.6</v>
      </c>
      <c r="I99" s="34"/>
      <c r="J99" s="34"/>
      <c r="K99" s="34"/>
      <c r="L99" s="34"/>
      <c r="M99" s="1">
        <v>40</v>
      </c>
    </row>
    <row r="100" spans="1:13" s="1" customFormat="1" hidden="1" x14ac:dyDescent="0.25">
      <c r="A100" t="s">
        <v>344</v>
      </c>
      <c r="B100" s="34" t="s">
        <v>342</v>
      </c>
      <c r="C100" s="34" t="s">
        <v>221</v>
      </c>
      <c r="D100" s="34" t="s">
        <v>247</v>
      </c>
      <c r="E100" s="34">
        <v>3</v>
      </c>
      <c r="F100">
        <v>6</v>
      </c>
      <c r="G100">
        <v>80</v>
      </c>
      <c r="H100">
        <v>11.6</v>
      </c>
      <c r="I100" s="34"/>
      <c r="J100" s="34"/>
      <c r="K100" s="34"/>
      <c r="L100" s="34"/>
      <c r="M100" s="1">
        <v>40</v>
      </c>
    </row>
    <row r="101" spans="1:13" s="1" customFormat="1" hidden="1" x14ac:dyDescent="0.25">
      <c r="A101" t="s">
        <v>344</v>
      </c>
      <c r="B101" s="34" t="s">
        <v>342</v>
      </c>
      <c r="C101" s="34" t="s">
        <v>221</v>
      </c>
      <c r="D101" s="34" t="s">
        <v>247</v>
      </c>
      <c r="E101" s="34">
        <v>3</v>
      </c>
      <c r="F101">
        <v>6</v>
      </c>
      <c r="G101">
        <v>90</v>
      </c>
      <c r="H101">
        <v>11.6</v>
      </c>
      <c r="I101" s="34"/>
      <c r="J101" s="34"/>
      <c r="K101" s="34"/>
      <c r="L101" s="34"/>
      <c r="M101" s="1">
        <v>45</v>
      </c>
    </row>
    <row r="102" spans="1:13" s="1" customFormat="1" hidden="1" x14ac:dyDescent="0.25">
      <c r="A102" t="s">
        <v>344</v>
      </c>
      <c r="B102" s="34" t="s">
        <v>342</v>
      </c>
      <c r="C102" s="34" t="s">
        <v>221</v>
      </c>
      <c r="D102" s="34" t="s">
        <v>247</v>
      </c>
      <c r="E102" s="34">
        <v>3</v>
      </c>
      <c r="F102">
        <v>6</v>
      </c>
      <c r="G102">
        <v>100</v>
      </c>
      <c r="H102">
        <v>11.6</v>
      </c>
      <c r="I102" s="34"/>
      <c r="J102" s="34"/>
      <c r="K102" s="34"/>
      <c r="L102" s="34"/>
      <c r="M102" s="1">
        <v>60</v>
      </c>
    </row>
    <row r="103" spans="1:13" s="1" customFormat="1" hidden="1" x14ac:dyDescent="0.25">
      <c r="A103" t="s">
        <v>344</v>
      </c>
      <c r="B103" s="34" t="s">
        <v>342</v>
      </c>
      <c r="C103" s="34" t="s">
        <v>221</v>
      </c>
      <c r="D103" s="34" t="s">
        <v>247</v>
      </c>
      <c r="E103" s="34">
        <v>3</v>
      </c>
      <c r="F103">
        <v>6</v>
      </c>
      <c r="G103">
        <v>120</v>
      </c>
      <c r="H103">
        <v>11.6</v>
      </c>
      <c r="I103" s="34"/>
      <c r="J103" s="34"/>
      <c r="K103" s="34"/>
      <c r="L103" s="34"/>
      <c r="M103" s="1">
        <v>70</v>
      </c>
    </row>
    <row r="104" spans="1:13" s="1" customFormat="1" hidden="1" x14ac:dyDescent="0.25">
      <c r="A104" t="s">
        <v>344</v>
      </c>
      <c r="B104" s="34" t="s">
        <v>342</v>
      </c>
      <c r="C104" s="34" t="s">
        <v>221</v>
      </c>
      <c r="D104" s="34" t="s">
        <v>247</v>
      </c>
      <c r="E104" s="34">
        <v>3</v>
      </c>
      <c r="F104">
        <v>6</v>
      </c>
      <c r="G104">
        <v>140</v>
      </c>
      <c r="H104">
        <v>11.6</v>
      </c>
      <c r="I104" s="34"/>
      <c r="J104" s="34"/>
      <c r="K104" s="34"/>
      <c r="L104" s="34"/>
      <c r="M104" s="1">
        <v>70</v>
      </c>
    </row>
    <row r="105" spans="1:13" s="1" customFormat="1" hidden="1" x14ac:dyDescent="0.25">
      <c r="A105" t="s">
        <v>344</v>
      </c>
      <c r="B105" s="34" t="s">
        <v>342</v>
      </c>
      <c r="C105" s="34" t="s">
        <v>221</v>
      </c>
      <c r="D105" s="34" t="s">
        <v>247</v>
      </c>
      <c r="E105" s="34">
        <v>3</v>
      </c>
      <c r="F105">
        <v>6</v>
      </c>
      <c r="G105">
        <v>160</v>
      </c>
      <c r="H105">
        <v>11.6</v>
      </c>
      <c r="I105" s="34"/>
      <c r="J105" s="34"/>
      <c r="K105" s="34"/>
      <c r="L105" s="34"/>
      <c r="M105" s="1">
        <v>70</v>
      </c>
    </row>
    <row r="106" spans="1:13" s="1" customFormat="1" hidden="1" x14ac:dyDescent="0.25">
      <c r="A106" t="s">
        <v>344</v>
      </c>
      <c r="B106" s="34" t="s">
        <v>342</v>
      </c>
      <c r="C106" s="34" t="s">
        <v>221</v>
      </c>
      <c r="D106" s="34" t="s">
        <v>247</v>
      </c>
      <c r="E106" s="34">
        <v>3</v>
      </c>
      <c r="F106">
        <v>6</v>
      </c>
      <c r="G106">
        <v>180</v>
      </c>
      <c r="H106">
        <v>11.6</v>
      </c>
      <c r="I106" s="34"/>
      <c r="J106" s="34"/>
      <c r="K106" s="34"/>
      <c r="L106" s="34"/>
      <c r="M106" s="1">
        <v>70</v>
      </c>
    </row>
    <row r="107" spans="1:13" s="1" customFormat="1" hidden="1" x14ac:dyDescent="0.25">
      <c r="A107" t="s">
        <v>344</v>
      </c>
      <c r="B107" s="34" t="s">
        <v>342</v>
      </c>
      <c r="C107" s="34" t="s">
        <v>222</v>
      </c>
      <c r="D107" s="34" t="s">
        <v>247</v>
      </c>
      <c r="E107" s="34">
        <v>1</v>
      </c>
      <c r="F107">
        <v>6</v>
      </c>
      <c r="G107">
        <v>200</v>
      </c>
      <c r="H107">
        <v>11.8</v>
      </c>
      <c r="I107" s="34">
        <v>12.6</v>
      </c>
      <c r="J107" s="34">
        <v>13</v>
      </c>
      <c r="K107" s="34">
        <v>20</v>
      </c>
      <c r="L107" s="34">
        <v>14</v>
      </c>
      <c r="M107" s="1">
        <v>70</v>
      </c>
    </row>
    <row r="108" spans="1:13" s="1" customFormat="1" hidden="1" x14ac:dyDescent="0.25">
      <c r="A108" t="s">
        <v>344</v>
      </c>
      <c r="B108" s="34" t="s">
        <v>342</v>
      </c>
      <c r="C108" s="34" t="s">
        <v>222</v>
      </c>
      <c r="D108" s="34" t="s">
        <v>247</v>
      </c>
      <c r="E108" s="34">
        <v>1</v>
      </c>
      <c r="F108">
        <v>6</v>
      </c>
      <c r="G108">
        <v>220</v>
      </c>
      <c r="H108">
        <v>11.8</v>
      </c>
      <c r="I108" s="34">
        <v>12.6</v>
      </c>
      <c r="J108" s="34">
        <v>13</v>
      </c>
      <c r="K108" s="34">
        <v>20</v>
      </c>
      <c r="L108" s="34">
        <v>14</v>
      </c>
      <c r="M108" s="1">
        <v>70</v>
      </c>
    </row>
    <row r="109" spans="1:13" s="1" customFormat="1" hidden="1" x14ac:dyDescent="0.25">
      <c r="A109" t="s">
        <v>344</v>
      </c>
      <c r="B109" s="34" t="s">
        <v>342</v>
      </c>
      <c r="C109" s="34" t="s">
        <v>222</v>
      </c>
      <c r="D109" s="34" t="s">
        <v>247</v>
      </c>
      <c r="E109" s="34">
        <v>1</v>
      </c>
      <c r="F109">
        <v>6</v>
      </c>
      <c r="G109">
        <v>240</v>
      </c>
      <c r="H109">
        <v>11.8</v>
      </c>
      <c r="I109" s="34">
        <v>12.6</v>
      </c>
      <c r="J109" s="34">
        <v>13</v>
      </c>
      <c r="K109" s="34">
        <v>20</v>
      </c>
      <c r="L109" s="34">
        <v>14</v>
      </c>
      <c r="M109" s="1">
        <v>70</v>
      </c>
    </row>
    <row r="110" spans="1:13" s="1" customFormat="1" hidden="1" x14ac:dyDescent="0.25">
      <c r="A110" t="s">
        <v>344</v>
      </c>
      <c r="B110" s="34" t="s">
        <v>342</v>
      </c>
      <c r="C110" s="34" t="s">
        <v>222</v>
      </c>
      <c r="D110" s="34" t="s">
        <v>247</v>
      </c>
      <c r="E110" s="34">
        <v>1</v>
      </c>
      <c r="F110">
        <v>6</v>
      </c>
      <c r="G110">
        <v>260</v>
      </c>
      <c r="H110">
        <v>11.8</v>
      </c>
      <c r="I110" s="34">
        <v>12.6</v>
      </c>
      <c r="J110" s="34">
        <v>13</v>
      </c>
      <c r="K110" s="34">
        <v>20</v>
      </c>
      <c r="L110" s="34">
        <v>14</v>
      </c>
      <c r="M110" s="1">
        <v>70</v>
      </c>
    </row>
    <row r="111" spans="1:13" s="1" customFormat="1" hidden="1" x14ac:dyDescent="0.25">
      <c r="A111" t="s">
        <v>344</v>
      </c>
      <c r="B111" s="34" t="s">
        <v>342</v>
      </c>
      <c r="C111" s="34" t="s">
        <v>222</v>
      </c>
      <c r="D111" s="34" t="s">
        <v>247</v>
      </c>
      <c r="E111" s="34">
        <v>1</v>
      </c>
      <c r="F111">
        <v>6</v>
      </c>
      <c r="G111">
        <v>280</v>
      </c>
      <c r="H111">
        <v>11.8</v>
      </c>
      <c r="I111" s="34">
        <v>12.6</v>
      </c>
      <c r="J111" s="34">
        <v>13</v>
      </c>
      <c r="K111" s="34">
        <v>20</v>
      </c>
      <c r="L111" s="34">
        <v>14</v>
      </c>
      <c r="M111" s="1">
        <v>70</v>
      </c>
    </row>
    <row r="112" spans="1:13" s="1" customFormat="1" hidden="1" x14ac:dyDescent="0.25">
      <c r="A112" t="s">
        <v>344</v>
      </c>
      <c r="B112" s="34" t="s">
        <v>342</v>
      </c>
      <c r="C112" s="34" t="s">
        <v>222</v>
      </c>
      <c r="D112" s="34" t="s">
        <v>247</v>
      </c>
      <c r="E112" s="34">
        <v>1</v>
      </c>
      <c r="F112">
        <v>6</v>
      </c>
      <c r="G112">
        <v>300</v>
      </c>
      <c r="H112">
        <v>11.8</v>
      </c>
      <c r="I112" s="34">
        <v>12.6</v>
      </c>
      <c r="J112" s="34">
        <v>13</v>
      </c>
      <c r="K112" s="34">
        <v>20</v>
      </c>
      <c r="L112" s="34">
        <v>14</v>
      </c>
      <c r="M112" s="1">
        <v>70</v>
      </c>
    </row>
    <row r="113" spans="1:13" s="1" customFormat="1" hidden="1" x14ac:dyDescent="0.25">
      <c r="A113" t="s">
        <v>344</v>
      </c>
      <c r="B113" s="34" t="s">
        <v>342</v>
      </c>
      <c r="C113" s="34" t="s">
        <v>222</v>
      </c>
      <c r="D113" s="34" t="s">
        <v>247</v>
      </c>
      <c r="E113" s="34">
        <v>1</v>
      </c>
      <c r="F113">
        <v>8</v>
      </c>
      <c r="G113">
        <v>80</v>
      </c>
      <c r="H113">
        <v>14.6</v>
      </c>
      <c r="I113" s="34">
        <v>40.1</v>
      </c>
      <c r="J113" s="34">
        <v>13.5</v>
      </c>
      <c r="K113" s="34">
        <v>17.899999999999999</v>
      </c>
      <c r="L113" s="34">
        <v>26.9</v>
      </c>
      <c r="M113" s="1">
        <v>50</v>
      </c>
    </row>
    <row r="114" spans="1:13" s="1" customFormat="1" hidden="1" x14ac:dyDescent="0.25">
      <c r="A114" t="s">
        <v>344</v>
      </c>
      <c r="B114" s="34" t="s">
        <v>342</v>
      </c>
      <c r="C114" s="34" t="s">
        <v>222</v>
      </c>
      <c r="D114" s="34" t="s">
        <v>247</v>
      </c>
      <c r="E114" s="34">
        <v>1</v>
      </c>
      <c r="F114">
        <v>8</v>
      </c>
      <c r="G114">
        <v>100</v>
      </c>
      <c r="H114">
        <v>14.6</v>
      </c>
      <c r="I114" s="34">
        <v>40.1</v>
      </c>
      <c r="J114" s="34">
        <v>13.5</v>
      </c>
      <c r="K114" s="34">
        <v>17.899999999999999</v>
      </c>
      <c r="L114" s="34">
        <v>26.9</v>
      </c>
      <c r="M114" s="1">
        <v>50</v>
      </c>
    </row>
    <row r="115" spans="1:13" s="1" customFormat="1" hidden="1" x14ac:dyDescent="0.25">
      <c r="A115" t="s">
        <v>344</v>
      </c>
      <c r="B115" s="34" t="s">
        <v>342</v>
      </c>
      <c r="C115" s="34" t="s">
        <v>222</v>
      </c>
      <c r="D115" s="34" t="s">
        <v>247</v>
      </c>
      <c r="E115" s="34">
        <v>1</v>
      </c>
      <c r="F115">
        <v>8</v>
      </c>
      <c r="G115">
        <v>120</v>
      </c>
      <c r="H115">
        <v>14.6</v>
      </c>
      <c r="I115" s="34">
        <v>40.1</v>
      </c>
      <c r="J115" s="34">
        <v>13.5</v>
      </c>
      <c r="K115" s="34">
        <v>17.899999999999999</v>
      </c>
      <c r="L115" s="34">
        <v>26.9</v>
      </c>
      <c r="M115" s="1">
        <v>80</v>
      </c>
    </row>
    <row r="116" spans="1:13" s="1" customFormat="1" hidden="1" x14ac:dyDescent="0.25">
      <c r="A116" t="s">
        <v>344</v>
      </c>
      <c r="B116" s="34" t="s">
        <v>342</v>
      </c>
      <c r="C116" s="34" t="s">
        <v>222</v>
      </c>
      <c r="D116" s="34" t="s">
        <v>247</v>
      </c>
      <c r="E116" s="34">
        <v>1</v>
      </c>
      <c r="F116">
        <v>8</v>
      </c>
      <c r="G116">
        <v>140</v>
      </c>
      <c r="H116">
        <v>14.6</v>
      </c>
      <c r="I116" s="34">
        <v>40.1</v>
      </c>
      <c r="J116" s="34">
        <v>13.5</v>
      </c>
      <c r="K116" s="34">
        <v>17.899999999999999</v>
      </c>
      <c r="L116" s="34">
        <v>26.9</v>
      </c>
      <c r="M116" s="1">
        <v>80</v>
      </c>
    </row>
    <row r="117" spans="1:13" s="1" customFormat="1" hidden="1" x14ac:dyDescent="0.25">
      <c r="A117" t="s">
        <v>344</v>
      </c>
      <c r="B117" s="34" t="s">
        <v>342</v>
      </c>
      <c r="C117" s="34" t="s">
        <v>222</v>
      </c>
      <c r="D117" s="34" t="s">
        <v>247</v>
      </c>
      <c r="E117" s="34">
        <v>1</v>
      </c>
      <c r="F117">
        <v>8</v>
      </c>
      <c r="G117">
        <v>160</v>
      </c>
      <c r="H117">
        <v>14.6</v>
      </c>
      <c r="I117" s="34">
        <v>40.1</v>
      </c>
      <c r="J117" s="34">
        <v>13.5</v>
      </c>
      <c r="K117" s="34">
        <v>17.899999999999999</v>
      </c>
      <c r="L117" s="34">
        <v>26.9</v>
      </c>
      <c r="M117" s="1">
        <v>80</v>
      </c>
    </row>
    <row r="118" spans="1:13" s="1" customFormat="1" hidden="1" x14ac:dyDescent="0.25">
      <c r="A118" t="s">
        <v>344</v>
      </c>
      <c r="B118" s="34" t="s">
        <v>342</v>
      </c>
      <c r="C118" s="34" t="s">
        <v>222</v>
      </c>
      <c r="D118" s="34" t="s">
        <v>247</v>
      </c>
      <c r="E118" s="34">
        <v>1</v>
      </c>
      <c r="F118">
        <v>8</v>
      </c>
      <c r="G118">
        <v>180</v>
      </c>
      <c r="H118">
        <v>14.6</v>
      </c>
      <c r="I118" s="34">
        <v>40.1</v>
      </c>
      <c r="J118" s="34">
        <v>13.5</v>
      </c>
      <c r="K118" s="34">
        <v>17.899999999999999</v>
      </c>
      <c r="L118" s="34">
        <v>26.9</v>
      </c>
      <c r="M118" s="1">
        <v>80</v>
      </c>
    </row>
    <row r="119" spans="1:13" s="1" customFormat="1" hidden="1" x14ac:dyDescent="0.25">
      <c r="A119" t="s">
        <v>344</v>
      </c>
      <c r="B119" s="34" t="s">
        <v>342</v>
      </c>
      <c r="C119" s="34" t="s">
        <v>222</v>
      </c>
      <c r="D119" s="34" t="s">
        <v>247</v>
      </c>
      <c r="E119" s="34">
        <v>1</v>
      </c>
      <c r="F119">
        <v>8</v>
      </c>
      <c r="G119">
        <v>200</v>
      </c>
      <c r="H119">
        <v>14.6</v>
      </c>
      <c r="I119" s="34">
        <v>40.1</v>
      </c>
      <c r="J119" s="34">
        <v>13.5</v>
      </c>
      <c r="K119" s="34">
        <v>17.899999999999999</v>
      </c>
      <c r="L119" s="34">
        <v>26.9</v>
      </c>
      <c r="M119" s="1">
        <v>80</v>
      </c>
    </row>
    <row r="120" spans="1:13" s="1" customFormat="1" hidden="1" x14ac:dyDescent="0.25">
      <c r="A120" t="s">
        <v>344</v>
      </c>
      <c r="B120" s="34" t="s">
        <v>342</v>
      </c>
      <c r="C120" s="34" t="s">
        <v>222</v>
      </c>
      <c r="D120" s="34" t="s">
        <v>247</v>
      </c>
      <c r="E120" s="34">
        <v>1</v>
      </c>
      <c r="F120">
        <v>8</v>
      </c>
      <c r="G120">
        <v>220</v>
      </c>
      <c r="H120">
        <v>14.6</v>
      </c>
      <c r="I120" s="34">
        <v>40.1</v>
      </c>
      <c r="J120" s="34">
        <v>13.5</v>
      </c>
      <c r="K120" s="34">
        <v>17.899999999999999</v>
      </c>
      <c r="L120" s="34">
        <v>26.9</v>
      </c>
      <c r="M120" s="1">
        <v>80</v>
      </c>
    </row>
    <row r="121" spans="1:13" s="1" customFormat="1" hidden="1" x14ac:dyDescent="0.25">
      <c r="A121" t="s">
        <v>344</v>
      </c>
      <c r="B121" s="34" t="s">
        <v>342</v>
      </c>
      <c r="C121" s="34" t="s">
        <v>222</v>
      </c>
      <c r="D121" s="34" t="s">
        <v>247</v>
      </c>
      <c r="E121" s="34">
        <v>1</v>
      </c>
      <c r="F121">
        <v>8</v>
      </c>
      <c r="G121">
        <v>240</v>
      </c>
      <c r="H121">
        <v>14.6</v>
      </c>
      <c r="I121" s="34">
        <v>40.1</v>
      </c>
      <c r="J121" s="34">
        <v>13.5</v>
      </c>
      <c r="K121" s="34">
        <v>17.899999999999999</v>
      </c>
      <c r="L121" s="34">
        <v>26.9</v>
      </c>
      <c r="M121" s="1">
        <v>80</v>
      </c>
    </row>
    <row r="122" spans="1:13" s="1" customFormat="1" hidden="1" x14ac:dyDescent="0.25">
      <c r="A122" t="s">
        <v>344</v>
      </c>
      <c r="B122" s="34" t="s">
        <v>342</v>
      </c>
      <c r="C122" s="34" t="s">
        <v>222</v>
      </c>
      <c r="D122" s="34" t="s">
        <v>247</v>
      </c>
      <c r="E122" s="34">
        <v>1</v>
      </c>
      <c r="F122">
        <v>8</v>
      </c>
      <c r="G122">
        <v>260</v>
      </c>
      <c r="H122">
        <v>14.6</v>
      </c>
      <c r="I122" s="34">
        <v>40.1</v>
      </c>
      <c r="J122" s="34">
        <v>13.5</v>
      </c>
      <c r="K122" s="34">
        <v>17.899999999999999</v>
      </c>
      <c r="L122" s="34">
        <v>26.9</v>
      </c>
      <c r="M122" s="1">
        <v>80</v>
      </c>
    </row>
    <row r="123" spans="1:13" s="1" customFormat="1" hidden="1" x14ac:dyDescent="0.25">
      <c r="A123" t="s">
        <v>344</v>
      </c>
      <c r="B123" s="34" t="s">
        <v>342</v>
      </c>
      <c r="C123" s="34" t="s">
        <v>222</v>
      </c>
      <c r="D123" s="34" t="s">
        <v>247</v>
      </c>
      <c r="E123" s="34">
        <v>1</v>
      </c>
      <c r="F123">
        <v>8</v>
      </c>
      <c r="G123">
        <v>280</v>
      </c>
      <c r="H123">
        <v>14.6</v>
      </c>
      <c r="I123" s="34">
        <v>40.1</v>
      </c>
      <c r="J123" s="34">
        <v>13.5</v>
      </c>
      <c r="K123" s="34">
        <v>17.899999999999999</v>
      </c>
      <c r="L123" s="34">
        <v>26.9</v>
      </c>
      <c r="M123" s="1">
        <v>80</v>
      </c>
    </row>
    <row r="124" spans="1:13" s="1" customFormat="1" hidden="1" x14ac:dyDescent="0.25">
      <c r="A124" t="s">
        <v>344</v>
      </c>
      <c r="B124" s="34" t="s">
        <v>342</v>
      </c>
      <c r="C124" s="34" t="s">
        <v>222</v>
      </c>
      <c r="D124" s="34" t="s">
        <v>247</v>
      </c>
      <c r="E124" s="34">
        <v>1</v>
      </c>
      <c r="F124">
        <v>8</v>
      </c>
      <c r="G124">
        <v>300</v>
      </c>
      <c r="H124">
        <v>14.6</v>
      </c>
      <c r="I124" s="34">
        <v>40.1</v>
      </c>
      <c r="J124" s="34">
        <v>13.5</v>
      </c>
      <c r="K124" s="34">
        <v>17.899999999999999</v>
      </c>
      <c r="L124" s="34">
        <v>26.9</v>
      </c>
      <c r="M124" s="1">
        <v>80</v>
      </c>
    </row>
    <row r="125" spans="1:13" s="1" customFormat="1" hidden="1" x14ac:dyDescent="0.25">
      <c r="A125" t="s">
        <v>344</v>
      </c>
      <c r="B125" s="34" t="s">
        <v>342</v>
      </c>
      <c r="C125" s="34" t="s">
        <v>222</v>
      </c>
      <c r="D125" s="34" t="s">
        <v>247</v>
      </c>
      <c r="E125" s="34">
        <v>1</v>
      </c>
      <c r="F125">
        <v>8</v>
      </c>
      <c r="G125">
        <v>320</v>
      </c>
      <c r="H125">
        <v>14.6</v>
      </c>
      <c r="I125" s="34">
        <v>40.1</v>
      </c>
      <c r="J125" s="34">
        <v>13.5</v>
      </c>
      <c r="K125" s="34">
        <v>17.899999999999999</v>
      </c>
      <c r="L125" s="34">
        <v>26.9</v>
      </c>
      <c r="M125" s="1">
        <v>80</v>
      </c>
    </row>
    <row r="126" spans="1:13" s="1" customFormat="1" hidden="1" x14ac:dyDescent="0.25">
      <c r="A126" t="s">
        <v>344</v>
      </c>
      <c r="B126" s="34" t="s">
        <v>342</v>
      </c>
      <c r="C126" s="34" t="s">
        <v>222</v>
      </c>
      <c r="D126" s="34" t="s">
        <v>247</v>
      </c>
      <c r="E126" s="34">
        <v>1</v>
      </c>
      <c r="F126">
        <v>8</v>
      </c>
      <c r="G126">
        <v>340</v>
      </c>
      <c r="H126">
        <v>14.6</v>
      </c>
      <c r="I126" s="34">
        <v>40.1</v>
      </c>
      <c r="J126" s="34">
        <v>13.5</v>
      </c>
      <c r="K126" s="34">
        <v>17.899999999999999</v>
      </c>
      <c r="L126" s="34">
        <v>26.9</v>
      </c>
      <c r="M126" s="1">
        <v>80</v>
      </c>
    </row>
    <row r="127" spans="1:13" s="1" customFormat="1" hidden="1" x14ac:dyDescent="0.25">
      <c r="A127" t="s">
        <v>344</v>
      </c>
      <c r="B127" s="34" t="s">
        <v>342</v>
      </c>
      <c r="C127" s="34" t="s">
        <v>222</v>
      </c>
      <c r="D127" s="34" t="s">
        <v>247</v>
      </c>
      <c r="E127" s="34">
        <v>1</v>
      </c>
      <c r="F127">
        <v>8</v>
      </c>
      <c r="G127">
        <v>360</v>
      </c>
      <c r="H127">
        <v>14.6</v>
      </c>
      <c r="I127" s="34">
        <v>40.1</v>
      </c>
      <c r="J127" s="34">
        <v>13.5</v>
      </c>
      <c r="K127" s="34">
        <v>17.899999999999999</v>
      </c>
      <c r="L127" s="34">
        <v>26.9</v>
      </c>
      <c r="M127" s="1">
        <v>80</v>
      </c>
    </row>
    <row r="128" spans="1:13" s="1" customFormat="1" hidden="1" x14ac:dyDescent="0.25">
      <c r="A128" t="s">
        <v>344</v>
      </c>
      <c r="B128" s="34" t="s">
        <v>342</v>
      </c>
      <c r="C128" s="34" t="s">
        <v>222</v>
      </c>
      <c r="D128" s="34" t="s">
        <v>247</v>
      </c>
      <c r="E128" s="34">
        <v>1</v>
      </c>
      <c r="F128">
        <v>8</v>
      </c>
      <c r="G128">
        <v>380</v>
      </c>
      <c r="H128">
        <v>14.6</v>
      </c>
      <c r="I128" s="34">
        <v>40.1</v>
      </c>
      <c r="J128" s="34">
        <v>13.5</v>
      </c>
      <c r="K128" s="34">
        <v>17.899999999999999</v>
      </c>
      <c r="L128" s="34">
        <v>26.9</v>
      </c>
      <c r="M128" s="1">
        <v>80</v>
      </c>
    </row>
    <row r="129" spans="1:13" s="1" customFormat="1" hidden="1" x14ac:dyDescent="0.25">
      <c r="A129" t="s">
        <v>344</v>
      </c>
      <c r="B129" s="34" t="s">
        <v>342</v>
      </c>
      <c r="C129" s="34" t="s">
        <v>222</v>
      </c>
      <c r="D129" s="34" t="s">
        <v>247</v>
      </c>
      <c r="E129" s="34">
        <v>1</v>
      </c>
      <c r="F129">
        <v>8</v>
      </c>
      <c r="G129">
        <v>400</v>
      </c>
      <c r="H129">
        <v>14.6</v>
      </c>
      <c r="I129" s="34">
        <v>40.1</v>
      </c>
      <c r="J129" s="34">
        <v>13.5</v>
      </c>
      <c r="K129" s="34">
        <v>17.899999999999999</v>
      </c>
      <c r="L129" s="34">
        <v>26.9</v>
      </c>
      <c r="M129" s="1">
        <v>80</v>
      </c>
    </row>
    <row r="130" spans="1:13" s="1" customFormat="1" hidden="1" x14ac:dyDescent="0.25">
      <c r="A130" t="s">
        <v>344</v>
      </c>
      <c r="B130" s="34" t="s">
        <v>342</v>
      </c>
      <c r="C130" s="34" t="s">
        <v>222</v>
      </c>
      <c r="D130" s="34" t="s">
        <v>247</v>
      </c>
      <c r="E130" s="34">
        <v>1</v>
      </c>
      <c r="F130">
        <v>10</v>
      </c>
      <c r="G130">
        <v>160</v>
      </c>
      <c r="H130">
        <v>17.8</v>
      </c>
      <c r="I130" s="34">
        <v>59.6</v>
      </c>
      <c r="J130" s="34">
        <v>12.9</v>
      </c>
      <c r="K130" s="34">
        <v>17.399999999999999</v>
      </c>
      <c r="L130" s="34">
        <v>33.9</v>
      </c>
      <c r="M130" s="1">
        <v>80</v>
      </c>
    </row>
    <row r="131" spans="1:13" s="1" customFormat="1" hidden="1" x14ac:dyDescent="0.25">
      <c r="A131" t="s">
        <v>344</v>
      </c>
      <c r="B131" s="34" t="s">
        <v>342</v>
      </c>
      <c r="C131" s="34" t="s">
        <v>222</v>
      </c>
      <c r="D131" s="34" t="s">
        <v>247</v>
      </c>
      <c r="E131" s="34">
        <v>1</v>
      </c>
      <c r="F131">
        <v>10</v>
      </c>
      <c r="G131">
        <v>180</v>
      </c>
      <c r="H131">
        <v>17.8</v>
      </c>
      <c r="I131" s="34">
        <v>59.6</v>
      </c>
      <c r="J131" s="34">
        <v>12.9</v>
      </c>
      <c r="K131" s="34">
        <v>17.399999999999999</v>
      </c>
      <c r="L131" s="34">
        <v>33.9</v>
      </c>
      <c r="M131" s="1">
        <v>80</v>
      </c>
    </row>
    <row r="132" spans="1:13" s="1" customFormat="1" hidden="1" x14ac:dyDescent="0.25">
      <c r="A132" t="s">
        <v>344</v>
      </c>
      <c r="B132" s="34" t="s">
        <v>342</v>
      </c>
      <c r="C132" s="34" t="s">
        <v>222</v>
      </c>
      <c r="D132" s="34" t="s">
        <v>247</v>
      </c>
      <c r="E132" s="34">
        <v>1</v>
      </c>
      <c r="F132">
        <v>10</v>
      </c>
      <c r="G132">
        <v>200</v>
      </c>
      <c r="H132">
        <v>17.8</v>
      </c>
      <c r="I132" s="34">
        <v>59.6</v>
      </c>
      <c r="J132" s="34">
        <v>12.9</v>
      </c>
      <c r="K132" s="34">
        <v>17.399999999999999</v>
      </c>
      <c r="L132" s="34">
        <v>33.9</v>
      </c>
      <c r="M132" s="1">
        <v>80</v>
      </c>
    </row>
    <row r="133" spans="1:13" s="1" customFormat="1" hidden="1" x14ac:dyDescent="0.25">
      <c r="A133" t="s">
        <v>344</v>
      </c>
      <c r="B133" s="34" t="s">
        <v>342</v>
      </c>
      <c r="C133" s="34" t="s">
        <v>222</v>
      </c>
      <c r="D133" s="34" t="s">
        <v>247</v>
      </c>
      <c r="E133" s="34">
        <v>1</v>
      </c>
      <c r="F133">
        <v>10</v>
      </c>
      <c r="G133">
        <v>220</v>
      </c>
      <c r="H133">
        <v>17.8</v>
      </c>
      <c r="I133" s="34">
        <v>59.6</v>
      </c>
      <c r="J133" s="34">
        <v>12.9</v>
      </c>
      <c r="K133" s="34">
        <v>17.399999999999999</v>
      </c>
      <c r="L133" s="34">
        <v>33.9</v>
      </c>
      <c r="M133" s="1">
        <v>80</v>
      </c>
    </row>
    <row r="134" spans="1:13" s="1" customFormat="1" hidden="1" x14ac:dyDescent="0.25">
      <c r="A134" t="s">
        <v>344</v>
      </c>
      <c r="B134" s="34" t="s">
        <v>342</v>
      </c>
      <c r="C134" s="34" t="s">
        <v>222</v>
      </c>
      <c r="D134" s="34" t="s">
        <v>247</v>
      </c>
      <c r="E134" s="34">
        <v>1</v>
      </c>
      <c r="F134">
        <v>10</v>
      </c>
      <c r="G134">
        <v>240</v>
      </c>
      <c r="H134">
        <v>17.8</v>
      </c>
      <c r="I134" s="34">
        <v>59.6</v>
      </c>
      <c r="J134" s="34">
        <v>12.9</v>
      </c>
      <c r="K134" s="34">
        <v>17.399999999999999</v>
      </c>
      <c r="L134" s="34">
        <v>33.9</v>
      </c>
      <c r="M134" s="1">
        <v>80</v>
      </c>
    </row>
    <row r="135" spans="1:13" s="1" customFormat="1" hidden="1" x14ac:dyDescent="0.25">
      <c r="A135" t="s">
        <v>344</v>
      </c>
      <c r="B135" s="34" t="s">
        <v>342</v>
      </c>
      <c r="C135" s="34" t="s">
        <v>222</v>
      </c>
      <c r="D135" s="34" t="s">
        <v>247</v>
      </c>
      <c r="E135" s="34">
        <v>1</v>
      </c>
      <c r="F135">
        <v>10</v>
      </c>
      <c r="G135">
        <v>260</v>
      </c>
      <c r="H135">
        <v>17.8</v>
      </c>
      <c r="I135" s="34">
        <v>59.6</v>
      </c>
      <c r="J135" s="34">
        <v>12.9</v>
      </c>
      <c r="K135" s="34">
        <v>17.399999999999999</v>
      </c>
      <c r="L135" s="34">
        <v>33.9</v>
      </c>
      <c r="M135" s="1">
        <v>80</v>
      </c>
    </row>
    <row r="136" spans="1:13" s="1" customFormat="1" hidden="1" x14ac:dyDescent="0.25">
      <c r="A136" t="s">
        <v>344</v>
      </c>
      <c r="B136" s="34" t="s">
        <v>342</v>
      </c>
      <c r="C136" s="34" t="s">
        <v>222</v>
      </c>
      <c r="D136" s="34" t="s">
        <v>247</v>
      </c>
      <c r="E136" s="34">
        <v>1</v>
      </c>
      <c r="F136">
        <v>10</v>
      </c>
      <c r="G136">
        <v>280</v>
      </c>
      <c r="H136">
        <v>17.8</v>
      </c>
      <c r="I136" s="34">
        <v>59.6</v>
      </c>
      <c r="J136" s="34">
        <v>12.9</v>
      </c>
      <c r="K136" s="34">
        <v>17.399999999999999</v>
      </c>
      <c r="L136" s="34">
        <v>33.9</v>
      </c>
      <c r="M136" s="1">
        <v>80</v>
      </c>
    </row>
    <row r="137" spans="1:13" s="1" customFormat="1" hidden="1" x14ac:dyDescent="0.25">
      <c r="A137" t="s">
        <v>344</v>
      </c>
      <c r="B137" s="34" t="s">
        <v>342</v>
      </c>
      <c r="C137" s="34" t="s">
        <v>222</v>
      </c>
      <c r="D137" s="34" t="s">
        <v>247</v>
      </c>
      <c r="E137" s="34">
        <v>1</v>
      </c>
      <c r="F137">
        <v>10</v>
      </c>
      <c r="G137">
        <v>300</v>
      </c>
      <c r="H137">
        <v>17.8</v>
      </c>
      <c r="I137" s="34">
        <v>59.6</v>
      </c>
      <c r="J137" s="34">
        <v>12.9</v>
      </c>
      <c r="K137" s="34">
        <v>17.399999999999999</v>
      </c>
      <c r="L137" s="34">
        <v>33.9</v>
      </c>
      <c r="M137" s="1">
        <v>80</v>
      </c>
    </row>
    <row r="138" spans="1:13" s="1" customFormat="1" hidden="1" x14ac:dyDescent="0.25">
      <c r="A138" t="s">
        <v>344</v>
      </c>
      <c r="B138" s="34" t="s">
        <v>342</v>
      </c>
      <c r="C138" s="34" t="s">
        <v>222</v>
      </c>
      <c r="D138" s="34" t="s">
        <v>247</v>
      </c>
      <c r="E138" s="34">
        <v>1</v>
      </c>
      <c r="F138">
        <v>10</v>
      </c>
      <c r="G138">
        <v>320</v>
      </c>
      <c r="H138">
        <v>17.8</v>
      </c>
      <c r="I138" s="34">
        <v>59.6</v>
      </c>
      <c r="J138" s="34">
        <v>12.9</v>
      </c>
      <c r="K138" s="34">
        <v>17.399999999999999</v>
      </c>
      <c r="L138" s="34">
        <v>33.9</v>
      </c>
      <c r="M138" s="1">
        <v>80</v>
      </c>
    </row>
    <row r="139" spans="1:13" s="1" customFormat="1" hidden="1" x14ac:dyDescent="0.25">
      <c r="A139" t="s">
        <v>344</v>
      </c>
      <c r="B139" s="34" t="s">
        <v>342</v>
      </c>
      <c r="C139" s="34" t="s">
        <v>222</v>
      </c>
      <c r="D139" s="34" t="s">
        <v>247</v>
      </c>
      <c r="E139" s="34">
        <v>1</v>
      </c>
      <c r="F139">
        <v>10</v>
      </c>
      <c r="G139">
        <v>340</v>
      </c>
      <c r="H139">
        <v>17.8</v>
      </c>
      <c r="I139" s="34">
        <v>59.6</v>
      </c>
      <c r="J139" s="34">
        <v>12.9</v>
      </c>
      <c r="K139" s="34">
        <v>17.399999999999999</v>
      </c>
      <c r="L139" s="34">
        <v>33.9</v>
      </c>
      <c r="M139" s="1">
        <v>80</v>
      </c>
    </row>
    <row r="140" spans="1:13" s="1" customFormat="1" hidden="1" x14ac:dyDescent="0.25">
      <c r="A140" t="s">
        <v>344</v>
      </c>
      <c r="B140" s="34" t="s">
        <v>342</v>
      </c>
      <c r="C140" s="34" t="s">
        <v>222</v>
      </c>
      <c r="D140" s="34" t="s">
        <v>247</v>
      </c>
      <c r="E140" s="34">
        <v>1</v>
      </c>
      <c r="F140">
        <v>10</v>
      </c>
      <c r="G140">
        <v>360</v>
      </c>
      <c r="H140">
        <v>17.8</v>
      </c>
      <c r="I140" s="34">
        <v>59.6</v>
      </c>
      <c r="J140" s="34">
        <v>12.9</v>
      </c>
      <c r="K140" s="34">
        <v>17.399999999999999</v>
      </c>
      <c r="L140" s="34">
        <v>33.9</v>
      </c>
      <c r="M140" s="1">
        <v>80</v>
      </c>
    </row>
    <row r="141" spans="1:13" s="1" customFormat="1" hidden="1" x14ac:dyDescent="0.25">
      <c r="A141" t="s">
        <v>344</v>
      </c>
      <c r="B141" s="34" t="s">
        <v>342</v>
      </c>
      <c r="C141" s="34" t="s">
        <v>222</v>
      </c>
      <c r="D141" s="34" t="s">
        <v>247</v>
      </c>
      <c r="E141" s="34">
        <v>1</v>
      </c>
      <c r="F141">
        <v>10</v>
      </c>
      <c r="G141">
        <v>380</v>
      </c>
      <c r="H141">
        <v>17.8</v>
      </c>
      <c r="I141" s="34">
        <v>59.6</v>
      </c>
      <c r="J141" s="34">
        <v>12.9</v>
      </c>
      <c r="K141" s="34">
        <v>17.399999999999999</v>
      </c>
      <c r="L141" s="34">
        <v>33.9</v>
      </c>
      <c r="M141" s="1">
        <v>80</v>
      </c>
    </row>
    <row r="142" spans="1:13" s="1" customFormat="1" hidden="1" x14ac:dyDescent="0.25">
      <c r="A142" t="s">
        <v>344</v>
      </c>
      <c r="B142" s="34" t="s">
        <v>342</v>
      </c>
      <c r="C142" s="34" t="s">
        <v>222</v>
      </c>
      <c r="D142" s="34" t="s">
        <v>247</v>
      </c>
      <c r="E142" s="34">
        <v>1</v>
      </c>
      <c r="F142">
        <v>10</v>
      </c>
      <c r="G142">
        <v>400</v>
      </c>
      <c r="H142">
        <v>17.8</v>
      </c>
      <c r="I142" s="34">
        <v>59.6</v>
      </c>
      <c r="J142" s="34">
        <v>12.9</v>
      </c>
      <c r="K142" s="34">
        <v>17.399999999999999</v>
      </c>
      <c r="L142" s="34">
        <v>33.9</v>
      </c>
      <c r="M142" s="1">
        <v>80</v>
      </c>
    </row>
    <row r="143" spans="1:13" s="1" customFormat="1" hidden="1" x14ac:dyDescent="0.25">
      <c r="A143" t="s">
        <v>344</v>
      </c>
      <c r="B143" s="34" t="s">
        <v>342</v>
      </c>
      <c r="C143" s="34" t="s">
        <v>223</v>
      </c>
      <c r="D143" s="34" t="s">
        <v>249</v>
      </c>
      <c r="E143" s="34">
        <v>1</v>
      </c>
      <c r="F143">
        <v>6</v>
      </c>
      <c r="G143">
        <v>60</v>
      </c>
      <c r="H143">
        <v>14</v>
      </c>
      <c r="I143" s="34">
        <v>12.6</v>
      </c>
      <c r="J143" s="34">
        <v>13</v>
      </c>
      <c r="K143" s="34">
        <v>24.6</v>
      </c>
      <c r="L143" s="34">
        <v>14</v>
      </c>
      <c r="M143" s="1">
        <v>42</v>
      </c>
    </row>
    <row r="144" spans="1:13" s="1" customFormat="1" hidden="1" x14ac:dyDescent="0.25">
      <c r="A144" t="s">
        <v>344</v>
      </c>
      <c r="B144" s="34" t="s">
        <v>342</v>
      </c>
      <c r="C144" s="34" t="s">
        <v>223</v>
      </c>
      <c r="D144" s="34" t="s">
        <v>249</v>
      </c>
      <c r="E144" s="34">
        <v>1</v>
      </c>
      <c r="F144">
        <v>6</v>
      </c>
      <c r="G144">
        <v>80</v>
      </c>
      <c r="H144">
        <v>14</v>
      </c>
      <c r="I144" s="34">
        <v>12.6</v>
      </c>
      <c r="J144" s="34">
        <v>13</v>
      </c>
      <c r="K144" s="34">
        <v>24.6</v>
      </c>
      <c r="L144" s="34">
        <v>14</v>
      </c>
      <c r="M144" s="1">
        <v>50</v>
      </c>
    </row>
    <row r="145" spans="1:13" s="1" customFormat="1" hidden="1" x14ac:dyDescent="0.25">
      <c r="A145" t="s">
        <v>344</v>
      </c>
      <c r="B145" s="34" t="s">
        <v>342</v>
      </c>
      <c r="C145" s="34" t="s">
        <v>223</v>
      </c>
      <c r="D145" s="34" t="s">
        <v>249</v>
      </c>
      <c r="E145" s="34">
        <v>1</v>
      </c>
      <c r="F145">
        <v>6</v>
      </c>
      <c r="G145">
        <v>100</v>
      </c>
      <c r="H145">
        <v>14</v>
      </c>
      <c r="I145" s="34">
        <v>12.6</v>
      </c>
      <c r="J145" s="34">
        <v>13</v>
      </c>
      <c r="K145" s="34">
        <v>24.6</v>
      </c>
      <c r="L145" s="34">
        <v>14</v>
      </c>
      <c r="M145" s="1">
        <v>70</v>
      </c>
    </row>
    <row r="146" spans="1:13" s="1" customFormat="1" hidden="1" x14ac:dyDescent="0.25">
      <c r="A146" t="s">
        <v>344</v>
      </c>
      <c r="B146" s="34" t="s">
        <v>342</v>
      </c>
      <c r="C146" s="34" t="s">
        <v>223</v>
      </c>
      <c r="D146" s="34" t="s">
        <v>249</v>
      </c>
      <c r="E146" s="34">
        <v>1</v>
      </c>
      <c r="F146">
        <v>6</v>
      </c>
      <c r="G146">
        <v>120</v>
      </c>
      <c r="H146">
        <v>14</v>
      </c>
      <c r="I146" s="34">
        <v>12.6</v>
      </c>
      <c r="J146" s="34">
        <v>13</v>
      </c>
      <c r="K146" s="34">
        <v>24.6</v>
      </c>
      <c r="L146" s="34">
        <v>14</v>
      </c>
      <c r="M146" s="1">
        <v>70</v>
      </c>
    </row>
    <row r="147" spans="1:13" s="1" customFormat="1" hidden="1" x14ac:dyDescent="0.25">
      <c r="A147" t="s">
        <v>344</v>
      </c>
      <c r="B147" s="34" t="s">
        <v>342</v>
      </c>
      <c r="C147" s="34" t="s">
        <v>223</v>
      </c>
      <c r="D147" s="34" t="s">
        <v>249</v>
      </c>
      <c r="E147" s="34">
        <v>1</v>
      </c>
      <c r="F147">
        <v>6</v>
      </c>
      <c r="G147">
        <v>140</v>
      </c>
      <c r="H147">
        <v>14</v>
      </c>
      <c r="I147" s="34">
        <v>12.6</v>
      </c>
      <c r="J147" s="34">
        <v>13</v>
      </c>
      <c r="K147" s="34">
        <v>24.6</v>
      </c>
      <c r="L147" s="34">
        <v>14</v>
      </c>
      <c r="M147" s="1">
        <v>70</v>
      </c>
    </row>
    <row r="148" spans="1:13" s="1" customFormat="1" hidden="1" x14ac:dyDescent="0.25">
      <c r="A148" t="s">
        <v>344</v>
      </c>
      <c r="B148" s="34" t="s">
        <v>342</v>
      </c>
      <c r="C148" s="34" t="s">
        <v>223</v>
      </c>
      <c r="D148" s="34" t="s">
        <v>249</v>
      </c>
      <c r="E148" s="34">
        <v>1</v>
      </c>
      <c r="F148">
        <v>6</v>
      </c>
      <c r="G148">
        <v>160</v>
      </c>
      <c r="H148">
        <v>14</v>
      </c>
      <c r="I148" s="34">
        <v>12.6</v>
      </c>
      <c r="J148" s="34">
        <v>13</v>
      </c>
      <c r="K148" s="34">
        <v>24.6</v>
      </c>
      <c r="L148" s="34">
        <v>14</v>
      </c>
      <c r="M148" s="1">
        <v>70</v>
      </c>
    </row>
    <row r="149" spans="1:13" s="1" customFormat="1" hidden="1" x14ac:dyDescent="0.25">
      <c r="A149" t="s">
        <v>344</v>
      </c>
      <c r="B149" s="34" t="s">
        <v>342</v>
      </c>
      <c r="C149" s="34" t="s">
        <v>223</v>
      </c>
      <c r="D149" s="34" t="s">
        <v>249</v>
      </c>
      <c r="E149" s="34">
        <v>1</v>
      </c>
      <c r="F149">
        <v>6</v>
      </c>
      <c r="G149">
        <v>180</v>
      </c>
      <c r="H149">
        <v>14</v>
      </c>
      <c r="I149" s="34">
        <v>12.6</v>
      </c>
      <c r="J149" s="34">
        <v>13</v>
      </c>
      <c r="K149" s="34">
        <v>24.6</v>
      </c>
      <c r="L149" s="34">
        <v>14</v>
      </c>
      <c r="M149" s="1">
        <v>70</v>
      </c>
    </row>
    <row r="150" spans="1:13" s="1" customFormat="1" hidden="1" x14ac:dyDescent="0.25">
      <c r="A150" t="s">
        <v>344</v>
      </c>
      <c r="B150" s="34" t="s">
        <v>342</v>
      </c>
      <c r="C150" s="34" t="s">
        <v>223</v>
      </c>
      <c r="D150" s="34" t="s">
        <v>249</v>
      </c>
      <c r="E150" s="34">
        <v>1</v>
      </c>
      <c r="F150">
        <v>6</v>
      </c>
      <c r="G150">
        <v>200</v>
      </c>
      <c r="H150">
        <v>14</v>
      </c>
      <c r="I150" s="34">
        <v>12.6</v>
      </c>
      <c r="J150" s="34">
        <v>13</v>
      </c>
      <c r="K150" s="34">
        <v>24.6</v>
      </c>
      <c r="L150" s="34">
        <v>14</v>
      </c>
      <c r="M150" s="1">
        <v>70</v>
      </c>
    </row>
    <row r="151" spans="1:13" s="1" customFormat="1" hidden="1" x14ac:dyDescent="0.25">
      <c r="A151" t="s">
        <v>344</v>
      </c>
      <c r="B151" s="34" t="s">
        <v>342</v>
      </c>
      <c r="C151" s="34" t="s">
        <v>223</v>
      </c>
      <c r="D151" s="34" t="s">
        <v>249</v>
      </c>
      <c r="E151" s="34">
        <v>1</v>
      </c>
      <c r="F151">
        <v>6</v>
      </c>
      <c r="G151">
        <v>220</v>
      </c>
      <c r="H151">
        <v>14</v>
      </c>
      <c r="I151" s="34">
        <v>12.6</v>
      </c>
      <c r="J151" s="34">
        <v>13</v>
      </c>
      <c r="K151" s="34">
        <v>24.6</v>
      </c>
      <c r="L151" s="34">
        <v>14</v>
      </c>
      <c r="M151" s="1">
        <v>70</v>
      </c>
    </row>
    <row r="152" spans="1:13" s="1" customFormat="1" hidden="1" x14ac:dyDescent="0.25">
      <c r="A152" t="s">
        <v>344</v>
      </c>
      <c r="B152" s="34" t="s">
        <v>342</v>
      </c>
      <c r="C152" s="34" t="s">
        <v>223</v>
      </c>
      <c r="D152" s="34" t="s">
        <v>249</v>
      </c>
      <c r="E152" s="34">
        <v>1</v>
      </c>
      <c r="F152">
        <v>6</v>
      </c>
      <c r="G152">
        <v>240</v>
      </c>
      <c r="H152">
        <v>14</v>
      </c>
      <c r="I152" s="34">
        <v>12.6</v>
      </c>
      <c r="J152" s="34">
        <v>13</v>
      </c>
      <c r="K152" s="34">
        <v>24.6</v>
      </c>
      <c r="L152" s="34">
        <v>14</v>
      </c>
      <c r="M152" s="1">
        <v>70</v>
      </c>
    </row>
    <row r="153" spans="1:13" s="1" customFormat="1" hidden="1" x14ac:dyDescent="0.25">
      <c r="A153" t="s">
        <v>344</v>
      </c>
      <c r="B153" s="34" t="s">
        <v>342</v>
      </c>
      <c r="C153" s="34" t="s">
        <v>223</v>
      </c>
      <c r="D153" s="34" t="s">
        <v>249</v>
      </c>
      <c r="E153" s="34">
        <v>1</v>
      </c>
      <c r="F153">
        <v>6</v>
      </c>
      <c r="G153">
        <v>260</v>
      </c>
      <c r="H153">
        <v>14</v>
      </c>
      <c r="I153" s="34">
        <v>12.6</v>
      </c>
      <c r="J153" s="34">
        <v>13</v>
      </c>
      <c r="K153" s="34">
        <v>24.6</v>
      </c>
      <c r="L153" s="34">
        <v>14</v>
      </c>
      <c r="M153" s="1">
        <v>70</v>
      </c>
    </row>
    <row r="154" spans="1:13" s="1" customFormat="1" hidden="1" x14ac:dyDescent="0.25">
      <c r="A154" t="s">
        <v>344</v>
      </c>
      <c r="B154" s="34" t="s">
        <v>342</v>
      </c>
      <c r="C154" s="34" t="s">
        <v>223</v>
      </c>
      <c r="D154" s="34" t="s">
        <v>249</v>
      </c>
      <c r="E154" s="34">
        <v>1</v>
      </c>
      <c r="F154">
        <v>6</v>
      </c>
      <c r="G154">
        <v>280</v>
      </c>
      <c r="H154">
        <v>14</v>
      </c>
      <c r="I154" s="34">
        <v>12.6</v>
      </c>
      <c r="J154" s="34">
        <v>13</v>
      </c>
      <c r="K154" s="34">
        <v>24.6</v>
      </c>
      <c r="L154" s="34">
        <v>14</v>
      </c>
      <c r="M154" s="1">
        <v>70</v>
      </c>
    </row>
    <row r="155" spans="1:13" s="1" customFormat="1" hidden="1" x14ac:dyDescent="0.25">
      <c r="A155" t="s">
        <v>344</v>
      </c>
      <c r="B155" s="34" t="s">
        <v>342</v>
      </c>
      <c r="C155" s="34" t="s">
        <v>223</v>
      </c>
      <c r="D155" s="34" t="s">
        <v>249</v>
      </c>
      <c r="E155" s="34">
        <v>1</v>
      </c>
      <c r="F155">
        <v>6</v>
      </c>
      <c r="G155">
        <v>300</v>
      </c>
      <c r="H155">
        <v>14</v>
      </c>
      <c r="I155" s="34">
        <v>12.6</v>
      </c>
      <c r="J155" s="34">
        <v>13</v>
      </c>
      <c r="K155" s="34">
        <v>24.6</v>
      </c>
      <c r="L155" s="34">
        <v>14</v>
      </c>
      <c r="M155" s="1">
        <v>70</v>
      </c>
    </row>
    <row r="156" spans="1:13" s="1" customFormat="1" hidden="1" x14ac:dyDescent="0.25">
      <c r="A156" t="s">
        <v>344</v>
      </c>
      <c r="B156" s="34" t="s">
        <v>342</v>
      </c>
      <c r="C156" s="34" t="s">
        <v>223</v>
      </c>
      <c r="D156" s="34" t="s">
        <v>249</v>
      </c>
      <c r="E156" s="34">
        <v>1</v>
      </c>
      <c r="F156">
        <v>8</v>
      </c>
      <c r="G156">
        <v>80</v>
      </c>
      <c r="H156">
        <v>22.2</v>
      </c>
      <c r="I156" s="34">
        <v>40</v>
      </c>
      <c r="J156" s="34">
        <v>13.5</v>
      </c>
      <c r="K156" s="34">
        <v>20.9</v>
      </c>
      <c r="L156" s="34">
        <v>26.9</v>
      </c>
      <c r="M156" s="1">
        <v>50</v>
      </c>
    </row>
    <row r="157" spans="1:13" s="1" customFormat="1" hidden="1" x14ac:dyDescent="0.25">
      <c r="A157" t="s">
        <v>344</v>
      </c>
      <c r="B157" s="34" t="s">
        <v>342</v>
      </c>
      <c r="C157" s="34" t="s">
        <v>223</v>
      </c>
      <c r="D157" s="34" t="s">
        <v>249</v>
      </c>
      <c r="E157" s="34">
        <v>1</v>
      </c>
      <c r="F157">
        <v>8</v>
      </c>
      <c r="G157">
        <v>100</v>
      </c>
      <c r="H157">
        <v>22.2</v>
      </c>
      <c r="I157" s="34">
        <v>40</v>
      </c>
      <c r="J157" s="34">
        <v>13.5</v>
      </c>
      <c r="K157" s="34">
        <v>20.9</v>
      </c>
      <c r="L157" s="34">
        <v>26.9</v>
      </c>
      <c r="M157" s="1">
        <v>50</v>
      </c>
    </row>
    <row r="158" spans="1:13" s="1" customFormat="1" hidden="1" x14ac:dyDescent="0.25">
      <c r="A158" t="s">
        <v>344</v>
      </c>
      <c r="B158" s="34" t="s">
        <v>342</v>
      </c>
      <c r="C158" s="34" t="s">
        <v>223</v>
      </c>
      <c r="D158" s="34" t="s">
        <v>249</v>
      </c>
      <c r="E158" s="34">
        <v>1</v>
      </c>
      <c r="F158">
        <v>8</v>
      </c>
      <c r="G158">
        <v>120</v>
      </c>
      <c r="H158">
        <v>22.2</v>
      </c>
      <c r="I158" s="34">
        <v>40</v>
      </c>
      <c r="J158" s="34">
        <v>13.5</v>
      </c>
      <c r="K158" s="34">
        <v>20.9</v>
      </c>
      <c r="L158" s="34">
        <v>26.9</v>
      </c>
      <c r="M158" s="1">
        <v>80</v>
      </c>
    </row>
    <row r="159" spans="1:13" s="1" customFormat="1" hidden="1" x14ac:dyDescent="0.25">
      <c r="A159" t="s">
        <v>344</v>
      </c>
      <c r="B159" s="34" t="s">
        <v>342</v>
      </c>
      <c r="C159" s="34" t="s">
        <v>223</v>
      </c>
      <c r="D159" s="34" t="s">
        <v>249</v>
      </c>
      <c r="E159" s="34">
        <v>1</v>
      </c>
      <c r="F159">
        <v>8</v>
      </c>
      <c r="G159">
        <v>140</v>
      </c>
      <c r="H159">
        <v>22.2</v>
      </c>
      <c r="I159" s="34">
        <v>40</v>
      </c>
      <c r="J159" s="34">
        <v>13.5</v>
      </c>
      <c r="K159" s="34">
        <v>20.9</v>
      </c>
      <c r="L159" s="34">
        <v>26.9</v>
      </c>
      <c r="M159" s="1">
        <v>80</v>
      </c>
    </row>
    <row r="160" spans="1:13" s="1" customFormat="1" hidden="1" x14ac:dyDescent="0.25">
      <c r="A160" t="s">
        <v>344</v>
      </c>
      <c r="B160" s="34" t="s">
        <v>342</v>
      </c>
      <c r="C160" s="34" t="s">
        <v>223</v>
      </c>
      <c r="D160" s="34" t="s">
        <v>249</v>
      </c>
      <c r="E160" s="34">
        <v>1</v>
      </c>
      <c r="F160">
        <v>8</v>
      </c>
      <c r="G160">
        <v>160</v>
      </c>
      <c r="H160">
        <v>22.2</v>
      </c>
      <c r="I160" s="34">
        <v>40</v>
      </c>
      <c r="J160" s="34">
        <v>13.5</v>
      </c>
      <c r="K160" s="34">
        <v>20.9</v>
      </c>
      <c r="L160" s="34">
        <v>26.9</v>
      </c>
      <c r="M160" s="1">
        <v>80</v>
      </c>
    </row>
    <row r="161" spans="1:13" s="1" customFormat="1" hidden="1" x14ac:dyDescent="0.25">
      <c r="A161" t="s">
        <v>344</v>
      </c>
      <c r="B161" s="34" t="s">
        <v>342</v>
      </c>
      <c r="C161" s="34" t="s">
        <v>223</v>
      </c>
      <c r="D161" s="34" t="s">
        <v>249</v>
      </c>
      <c r="E161" s="34">
        <v>1</v>
      </c>
      <c r="F161">
        <v>8</v>
      </c>
      <c r="G161">
        <v>180</v>
      </c>
      <c r="H161">
        <v>22.2</v>
      </c>
      <c r="I161" s="34">
        <v>40</v>
      </c>
      <c r="J161" s="34">
        <v>13.5</v>
      </c>
      <c r="K161" s="34">
        <v>20.9</v>
      </c>
      <c r="L161" s="34">
        <v>26.9</v>
      </c>
      <c r="M161" s="1">
        <v>80</v>
      </c>
    </row>
    <row r="162" spans="1:13" s="1" customFormat="1" hidden="1" x14ac:dyDescent="0.25">
      <c r="A162" t="s">
        <v>344</v>
      </c>
      <c r="B162" s="34" t="s">
        <v>342</v>
      </c>
      <c r="C162" s="34" t="s">
        <v>223</v>
      </c>
      <c r="D162" s="34" t="s">
        <v>249</v>
      </c>
      <c r="E162" s="34">
        <v>1</v>
      </c>
      <c r="F162">
        <v>8</v>
      </c>
      <c r="G162">
        <v>200</v>
      </c>
      <c r="H162">
        <v>22.2</v>
      </c>
      <c r="I162" s="34">
        <v>40</v>
      </c>
      <c r="J162" s="34">
        <v>13.5</v>
      </c>
      <c r="K162" s="34">
        <v>20.9</v>
      </c>
      <c r="L162" s="34">
        <v>26.9</v>
      </c>
      <c r="M162" s="1">
        <v>80</v>
      </c>
    </row>
    <row r="163" spans="1:13" s="1" customFormat="1" hidden="1" x14ac:dyDescent="0.25">
      <c r="A163" t="s">
        <v>344</v>
      </c>
      <c r="B163" s="34" t="s">
        <v>342</v>
      </c>
      <c r="C163" s="34" t="s">
        <v>223</v>
      </c>
      <c r="D163" s="34" t="s">
        <v>249</v>
      </c>
      <c r="E163" s="34">
        <v>1</v>
      </c>
      <c r="F163">
        <v>8</v>
      </c>
      <c r="G163">
        <v>220</v>
      </c>
      <c r="H163">
        <v>22.2</v>
      </c>
      <c r="I163" s="34">
        <v>40</v>
      </c>
      <c r="J163" s="34">
        <v>13.5</v>
      </c>
      <c r="K163" s="34">
        <v>20.9</v>
      </c>
      <c r="L163" s="34">
        <v>26.9</v>
      </c>
      <c r="M163" s="1">
        <v>80</v>
      </c>
    </row>
    <row r="164" spans="1:13" s="1" customFormat="1" hidden="1" x14ac:dyDescent="0.25">
      <c r="A164" t="s">
        <v>344</v>
      </c>
      <c r="B164" s="34" t="s">
        <v>342</v>
      </c>
      <c r="C164" s="34" t="s">
        <v>223</v>
      </c>
      <c r="D164" s="34" t="s">
        <v>249</v>
      </c>
      <c r="E164" s="34">
        <v>1</v>
      </c>
      <c r="F164">
        <v>8</v>
      </c>
      <c r="G164">
        <v>240</v>
      </c>
      <c r="H164">
        <v>22.2</v>
      </c>
      <c r="I164" s="34">
        <v>40</v>
      </c>
      <c r="J164" s="34">
        <v>13.5</v>
      </c>
      <c r="K164" s="34">
        <v>20.9</v>
      </c>
      <c r="L164" s="34">
        <v>26.9</v>
      </c>
      <c r="M164" s="1">
        <v>80</v>
      </c>
    </row>
    <row r="165" spans="1:13" s="1" customFormat="1" hidden="1" x14ac:dyDescent="0.25">
      <c r="A165" t="s">
        <v>344</v>
      </c>
      <c r="B165" s="34" t="s">
        <v>342</v>
      </c>
      <c r="C165" s="34" t="s">
        <v>223</v>
      </c>
      <c r="D165" s="34" t="s">
        <v>249</v>
      </c>
      <c r="E165" s="34">
        <v>1</v>
      </c>
      <c r="F165">
        <v>8</v>
      </c>
      <c r="G165">
        <v>260</v>
      </c>
      <c r="H165">
        <v>22.2</v>
      </c>
      <c r="I165" s="34">
        <v>40</v>
      </c>
      <c r="J165" s="34">
        <v>13.5</v>
      </c>
      <c r="K165" s="34">
        <v>20.9</v>
      </c>
      <c r="L165" s="34">
        <v>26.9</v>
      </c>
      <c r="M165" s="1">
        <v>80</v>
      </c>
    </row>
    <row r="166" spans="1:13" s="1" customFormat="1" hidden="1" x14ac:dyDescent="0.25">
      <c r="A166" t="s">
        <v>344</v>
      </c>
      <c r="B166" s="34" t="s">
        <v>342</v>
      </c>
      <c r="C166" s="34" t="s">
        <v>223</v>
      </c>
      <c r="D166" s="34" t="s">
        <v>249</v>
      </c>
      <c r="E166" s="34">
        <v>1</v>
      </c>
      <c r="F166">
        <v>8</v>
      </c>
      <c r="G166">
        <v>280</v>
      </c>
      <c r="H166">
        <v>22.2</v>
      </c>
      <c r="I166" s="34">
        <v>40</v>
      </c>
      <c r="J166" s="34">
        <v>13.5</v>
      </c>
      <c r="K166" s="34">
        <v>20.9</v>
      </c>
      <c r="L166" s="34">
        <v>26.9</v>
      </c>
      <c r="M166" s="1">
        <v>80</v>
      </c>
    </row>
    <row r="167" spans="1:13" s="1" customFormat="1" hidden="1" x14ac:dyDescent="0.25">
      <c r="A167" t="s">
        <v>344</v>
      </c>
      <c r="B167" s="34" t="s">
        <v>342</v>
      </c>
      <c r="C167" s="34" t="s">
        <v>223</v>
      </c>
      <c r="D167" s="34" t="s">
        <v>249</v>
      </c>
      <c r="E167" s="34">
        <v>1</v>
      </c>
      <c r="F167">
        <v>8</v>
      </c>
      <c r="G167">
        <v>300</v>
      </c>
      <c r="H167">
        <v>22.2</v>
      </c>
      <c r="I167" s="34">
        <v>40</v>
      </c>
      <c r="J167" s="34">
        <v>13.5</v>
      </c>
      <c r="K167" s="34">
        <v>20.9</v>
      </c>
      <c r="L167" s="34">
        <v>26.9</v>
      </c>
      <c r="M167" s="1">
        <v>80</v>
      </c>
    </row>
    <row r="168" spans="1:13" s="1" customFormat="1" hidden="1" x14ac:dyDescent="0.25">
      <c r="A168" t="s">
        <v>344</v>
      </c>
      <c r="B168" s="34" t="s">
        <v>342</v>
      </c>
      <c r="C168" s="34" t="s">
        <v>223</v>
      </c>
      <c r="D168" s="34" t="s">
        <v>249</v>
      </c>
      <c r="E168" s="34">
        <v>1</v>
      </c>
      <c r="F168">
        <v>8</v>
      </c>
      <c r="G168">
        <v>320</v>
      </c>
      <c r="H168">
        <v>22.2</v>
      </c>
      <c r="I168" s="34">
        <v>40</v>
      </c>
      <c r="J168" s="34">
        <v>13.5</v>
      </c>
      <c r="K168" s="34">
        <v>20.9</v>
      </c>
      <c r="L168" s="34">
        <v>26.9</v>
      </c>
      <c r="M168" s="1">
        <v>80</v>
      </c>
    </row>
    <row r="169" spans="1:13" s="1" customFormat="1" hidden="1" x14ac:dyDescent="0.25">
      <c r="A169" t="s">
        <v>344</v>
      </c>
      <c r="B169" s="34" t="s">
        <v>342</v>
      </c>
      <c r="C169" s="34" t="s">
        <v>223</v>
      </c>
      <c r="D169" s="34" t="s">
        <v>249</v>
      </c>
      <c r="E169" s="34">
        <v>1</v>
      </c>
      <c r="F169">
        <v>8</v>
      </c>
      <c r="G169">
        <v>340</v>
      </c>
      <c r="H169">
        <v>22.2</v>
      </c>
      <c r="I169" s="34">
        <v>40</v>
      </c>
      <c r="J169" s="34">
        <v>13.5</v>
      </c>
      <c r="K169" s="34">
        <v>20.9</v>
      </c>
      <c r="L169" s="34">
        <v>26.9</v>
      </c>
      <c r="M169" s="1">
        <v>80</v>
      </c>
    </row>
    <row r="170" spans="1:13" s="1" customFormat="1" hidden="1" x14ac:dyDescent="0.25">
      <c r="A170" t="s">
        <v>344</v>
      </c>
      <c r="B170" s="34" t="s">
        <v>342</v>
      </c>
      <c r="C170" s="34" t="s">
        <v>223</v>
      </c>
      <c r="D170" s="34" t="s">
        <v>249</v>
      </c>
      <c r="E170" s="34">
        <v>1</v>
      </c>
      <c r="F170">
        <v>8</v>
      </c>
      <c r="G170">
        <v>360</v>
      </c>
      <c r="H170">
        <v>22.2</v>
      </c>
      <c r="I170" s="34">
        <v>40</v>
      </c>
      <c r="J170" s="34">
        <v>13.5</v>
      </c>
      <c r="K170" s="34">
        <v>20.9</v>
      </c>
      <c r="L170" s="34">
        <v>26.9</v>
      </c>
      <c r="M170" s="1">
        <v>80</v>
      </c>
    </row>
    <row r="171" spans="1:13" s="1" customFormat="1" hidden="1" x14ac:dyDescent="0.25">
      <c r="A171" t="s">
        <v>344</v>
      </c>
      <c r="B171" s="34" t="s">
        <v>342</v>
      </c>
      <c r="C171" s="34" t="s">
        <v>223</v>
      </c>
      <c r="D171" s="34" t="s">
        <v>249</v>
      </c>
      <c r="E171" s="34">
        <v>1</v>
      </c>
      <c r="F171">
        <v>8</v>
      </c>
      <c r="G171">
        <v>380</v>
      </c>
      <c r="H171">
        <v>22.2</v>
      </c>
      <c r="I171" s="34">
        <v>40</v>
      </c>
      <c r="J171" s="34">
        <v>13.5</v>
      </c>
      <c r="K171" s="34">
        <v>20.9</v>
      </c>
      <c r="L171" s="34">
        <v>26.9</v>
      </c>
      <c r="M171" s="1">
        <v>80</v>
      </c>
    </row>
    <row r="172" spans="1:13" s="1" customFormat="1" hidden="1" x14ac:dyDescent="0.25">
      <c r="A172" t="s">
        <v>344</v>
      </c>
      <c r="B172" s="34" t="s">
        <v>342</v>
      </c>
      <c r="C172" s="34" t="s">
        <v>223</v>
      </c>
      <c r="D172" s="34" t="s">
        <v>249</v>
      </c>
      <c r="E172" s="34">
        <v>1</v>
      </c>
      <c r="F172">
        <v>8</v>
      </c>
      <c r="G172">
        <v>400</v>
      </c>
      <c r="H172">
        <v>22.2</v>
      </c>
      <c r="I172" s="34">
        <v>40</v>
      </c>
      <c r="J172" s="34">
        <v>13.5</v>
      </c>
      <c r="K172" s="34">
        <v>20.9</v>
      </c>
      <c r="L172" s="34">
        <v>26.9</v>
      </c>
      <c r="M172" s="1">
        <v>80</v>
      </c>
    </row>
    <row r="173" spans="1:13" s="1" customFormat="1" hidden="1" x14ac:dyDescent="0.25">
      <c r="A173" t="s">
        <v>344</v>
      </c>
      <c r="B173" s="34" t="s">
        <v>342</v>
      </c>
      <c r="C173" s="34" t="s">
        <v>223</v>
      </c>
      <c r="D173" s="34" t="s">
        <v>249</v>
      </c>
      <c r="E173" s="34">
        <v>1</v>
      </c>
      <c r="F173">
        <v>10</v>
      </c>
      <c r="G173">
        <v>160</v>
      </c>
      <c r="H173">
        <v>25.9</v>
      </c>
      <c r="I173" s="34">
        <v>59.6</v>
      </c>
      <c r="J173" s="34">
        <v>12.9</v>
      </c>
      <c r="K173" s="34">
        <v>22.1</v>
      </c>
      <c r="L173" s="34">
        <v>33.9</v>
      </c>
      <c r="M173" s="1">
        <v>80</v>
      </c>
    </row>
    <row r="174" spans="1:13" s="1" customFormat="1" hidden="1" x14ac:dyDescent="0.25">
      <c r="A174" t="s">
        <v>344</v>
      </c>
      <c r="B174" s="34" t="s">
        <v>342</v>
      </c>
      <c r="C174" s="34" t="s">
        <v>223</v>
      </c>
      <c r="D174" s="34" t="s">
        <v>249</v>
      </c>
      <c r="E174" s="34">
        <v>1</v>
      </c>
      <c r="F174">
        <v>10</v>
      </c>
      <c r="G174">
        <v>180</v>
      </c>
      <c r="H174">
        <v>25.9</v>
      </c>
      <c r="I174" s="34">
        <v>59.6</v>
      </c>
      <c r="J174" s="34">
        <v>12.9</v>
      </c>
      <c r="K174" s="34">
        <v>22.1</v>
      </c>
      <c r="L174" s="34">
        <v>33.9</v>
      </c>
      <c r="M174" s="1">
        <v>80</v>
      </c>
    </row>
    <row r="175" spans="1:13" s="1" customFormat="1" hidden="1" x14ac:dyDescent="0.25">
      <c r="A175" t="s">
        <v>344</v>
      </c>
      <c r="B175" s="34" t="s">
        <v>342</v>
      </c>
      <c r="C175" s="34" t="s">
        <v>223</v>
      </c>
      <c r="D175" s="34" t="s">
        <v>249</v>
      </c>
      <c r="E175" s="34">
        <v>1</v>
      </c>
      <c r="F175">
        <v>10</v>
      </c>
      <c r="G175">
        <v>200</v>
      </c>
      <c r="H175">
        <v>25.9</v>
      </c>
      <c r="I175" s="34">
        <v>59.6</v>
      </c>
      <c r="J175" s="34">
        <v>12.9</v>
      </c>
      <c r="K175" s="34">
        <v>22.1</v>
      </c>
      <c r="L175" s="34">
        <v>33.9</v>
      </c>
      <c r="M175" s="1">
        <v>80</v>
      </c>
    </row>
    <row r="176" spans="1:13" s="1" customFormat="1" hidden="1" x14ac:dyDescent="0.25">
      <c r="A176" t="s">
        <v>344</v>
      </c>
      <c r="B176" s="34" t="s">
        <v>342</v>
      </c>
      <c r="C176" s="34" t="s">
        <v>223</v>
      </c>
      <c r="D176" s="34" t="s">
        <v>249</v>
      </c>
      <c r="E176" s="34">
        <v>1</v>
      </c>
      <c r="F176">
        <v>10</v>
      </c>
      <c r="G176">
        <v>220</v>
      </c>
      <c r="H176">
        <v>25.9</v>
      </c>
      <c r="I176" s="34">
        <v>59.6</v>
      </c>
      <c r="J176" s="34">
        <v>12.9</v>
      </c>
      <c r="K176" s="34">
        <v>22.1</v>
      </c>
      <c r="L176" s="34">
        <v>33.9</v>
      </c>
      <c r="M176" s="1">
        <v>80</v>
      </c>
    </row>
    <row r="177" spans="1:13" s="1" customFormat="1" hidden="1" x14ac:dyDescent="0.25">
      <c r="A177" t="s">
        <v>344</v>
      </c>
      <c r="B177" s="34" t="s">
        <v>342</v>
      </c>
      <c r="C177" s="34" t="s">
        <v>223</v>
      </c>
      <c r="D177" s="34" t="s">
        <v>249</v>
      </c>
      <c r="E177" s="34">
        <v>1</v>
      </c>
      <c r="F177">
        <v>10</v>
      </c>
      <c r="G177">
        <v>240</v>
      </c>
      <c r="H177">
        <v>25.9</v>
      </c>
      <c r="I177" s="34">
        <v>59.6</v>
      </c>
      <c r="J177" s="34">
        <v>12.9</v>
      </c>
      <c r="K177" s="34">
        <v>22.1</v>
      </c>
      <c r="L177" s="34">
        <v>33.9</v>
      </c>
      <c r="M177" s="1">
        <v>80</v>
      </c>
    </row>
    <row r="178" spans="1:13" s="1" customFormat="1" hidden="1" x14ac:dyDescent="0.25">
      <c r="A178" t="s">
        <v>344</v>
      </c>
      <c r="B178" s="34" t="s">
        <v>342</v>
      </c>
      <c r="C178" s="34" t="s">
        <v>223</v>
      </c>
      <c r="D178" s="34" t="s">
        <v>249</v>
      </c>
      <c r="E178" s="34">
        <v>1</v>
      </c>
      <c r="F178">
        <v>10</v>
      </c>
      <c r="G178">
        <v>260</v>
      </c>
      <c r="H178">
        <v>25.9</v>
      </c>
      <c r="I178" s="34">
        <v>59.6</v>
      </c>
      <c r="J178" s="34">
        <v>12.9</v>
      </c>
      <c r="K178" s="34">
        <v>22.1</v>
      </c>
      <c r="L178" s="34">
        <v>33.9</v>
      </c>
      <c r="M178" s="1">
        <v>80</v>
      </c>
    </row>
    <row r="179" spans="1:13" s="1" customFormat="1" hidden="1" x14ac:dyDescent="0.25">
      <c r="A179" t="s">
        <v>344</v>
      </c>
      <c r="B179" s="34" t="s">
        <v>342</v>
      </c>
      <c r="C179" s="34" t="s">
        <v>223</v>
      </c>
      <c r="D179" s="34" t="s">
        <v>249</v>
      </c>
      <c r="E179" s="34">
        <v>1</v>
      </c>
      <c r="F179">
        <v>10</v>
      </c>
      <c r="G179">
        <v>280</v>
      </c>
      <c r="H179">
        <v>25.9</v>
      </c>
      <c r="I179" s="34">
        <v>59.6</v>
      </c>
      <c r="J179" s="34">
        <v>12.9</v>
      </c>
      <c r="K179" s="34">
        <v>22.1</v>
      </c>
      <c r="L179" s="34">
        <v>33.9</v>
      </c>
      <c r="M179" s="1">
        <v>80</v>
      </c>
    </row>
    <row r="180" spans="1:13" s="1" customFormat="1" hidden="1" x14ac:dyDescent="0.25">
      <c r="A180" t="s">
        <v>344</v>
      </c>
      <c r="B180" s="34" t="s">
        <v>342</v>
      </c>
      <c r="C180" s="34" t="s">
        <v>223</v>
      </c>
      <c r="D180" s="34" t="s">
        <v>249</v>
      </c>
      <c r="E180" s="34">
        <v>1</v>
      </c>
      <c r="F180">
        <v>10</v>
      </c>
      <c r="G180">
        <v>300</v>
      </c>
      <c r="H180">
        <v>25.9</v>
      </c>
      <c r="I180" s="34">
        <v>59.6</v>
      </c>
      <c r="J180" s="34">
        <v>12.9</v>
      </c>
      <c r="K180" s="34">
        <v>22.1</v>
      </c>
      <c r="L180" s="34">
        <v>33.9</v>
      </c>
      <c r="M180" s="1">
        <v>80</v>
      </c>
    </row>
    <row r="181" spans="1:13" s="1" customFormat="1" hidden="1" x14ac:dyDescent="0.25">
      <c r="A181" t="s">
        <v>344</v>
      </c>
      <c r="B181" s="34" t="s">
        <v>342</v>
      </c>
      <c r="C181" s="34" t="s">
        <v>223</v>
      </c>
      <c r="D181" s="34" t="s">
        <v>249</v>
      </c>
      <c r="E181" s="34">
        <v>1</v>
      </c>
      <c r="F181">
        <v>10</v>
      </c>
      <c r="G181">
        <v>320</v>
      </c>
      <c r="H181">
        <v>25.9</v>
      </c>
      <c r="I181" s="34">
        <v>59.6</v>
      </c>
      <c r="J181" s="34">
        <v>12.9</v>
      </c>
      <c r="K181" s="34">
        <v>22.1</v>
      </c>
      <c r="L181" s="34">
        <v>33.9</v>
      </c>
      <c r="M181" s="1">
        <v>80</v>
      </c>
    </row>
    <row r="182" spans="1:13" s="1" customFormat="1" hidden="1" x14ac:dyDescent="0.25">
      <c r="A182" t="s">
        <v>344</v>
      </c>
      <c r="B182" s="34" t="s">
        <v>342</v>
      </c>
      <c r="C182" s="34" t="s">
        <v>223</v>
      </c>
      <c r="D182" s="34" t="s">
        <v>249</v>
      </c>
      <c r="E182" s="34">
        <v>1</v>
      </c>
      <c r="F182">
        <v>10</v>
      </c>
      <c r="G182">
        <v>340</v>
      </c>
      <c r="H182">
        <v>25.9</v>
      </c>
      <c r="I182" s="34">
        <v>59.6</v>
      </c>
      <c r="J182" s="34">
        <v>12.9</v>
      </c>
      <c r="K182" s="34">
        <v>22.1</v>
      </c>
      <c r="L182" s="34">
        <v>33.9</v>
      </c>
      <c r="M182" s="1">
        <v>80</v>
      </c>
    </row>
    <row r="183" spans="1:13" s="1" customFormat="1" hidden="1" x14ac:dyDescent="0.25">
      <c r="A183" t="s">
        <v>344</v>
      </c>
      <c r="B183" s="34" t="s">
        <v>342</v>
      </c>
      <c r="C183" s="34" t="s">
        <v>223</v>
      </c>
      <c r="D183" s="34" t="s">
        <v>249</v>
      </c>
      <c r="E183" s="34">
        <v>1</v>
      </c>
      <c r="F183">
        <v>10</v>
      </c>
      <c r="G183">
        <v>360</v>
      </c>
      <c r="H183">
        <v>25.9</v>
      </c>
      <c r="I183" s="34">
        <v>59.6</v>
      </c>
      <c r="J183" s="34">
        <v>12.9</v>
      </c>
      <c r="K183" s="34">
        <v>22.1</v>
      </c>
      <c r="L183" s="34">
        <v>33.9</v>
      </c>
      <c r="M183" s="1">
        <v>80</v>
      </c>
    </row>
    <row r="184" spans="1:13" s="1" customFormat="1" hidden="1" x14ac:dyDescent="0.25">
      <c r="A184" t="s">
        <v>344</v>
      </c>
      <c r="B184" s="34" t="s">
        <v>342</v>
      </c>
      <c r="C184" s="34" t="s">
        <v>223</v>
      </c>
      <c r="D184" s="34" t="s">
        <v>249</v>
      </c>
      <c r="E184" s="34">
        <v>1</v>
      </c>
      <c r="F184">
        <v>10</v>
      </c>
      <c r="G184">
        <v>380</v>
      </c>
      <c r="H184">
        <v>25.9</v>
      </c>
      <c r="I184" s="34">
        <v>59.6</v>
      </c>
      <c r="J184" s="34">
        <v>12.9</v>
      </c>
      <c r="K184" s="34">
        <v>22.1</v>
      </c>
      <c r="L184" s="34">
        <v>33.9</v>
      </c>
      <c r="M184" s="1">
        <v>80</v>
      </c>
    </row>
    <row r="185" spans="1:13" s="1" customFormat="1" hidden="1" x14ac:dyDescent="0.25">
      <c r="A185" t="s">
        <v>344</v>
      </c>
      <c r="B185" s="34" t="s">
        <v>342</v>
      </c>
      <c r="C185" s="34" t="s">
        <v>223</v>
      </c>
      <c r="D185" s="34" t="s">
        <v>249</v>
      </c>
      <c r="E185" s="34">
        <v>1</v>
      </c>
      <c r="F185">
        <v>10</v>
      </c>
      <c r="G185">
        <v>400</v>
      </c>
      <c r="H185">
        <v>25.9</v>
      </c>
      <c r="I185" s="34">
        <v>59.6</v>
      </c>
      <c r="J185" s="34">
        <v>12.9</v>
      </c>
      <c r="K185" s="34">
        <v>22.1</v>
      </c>
      <c r="L185" s="34">
        <v>33.9</v>
      </c>
      <c r="M185" s="1">
        <v>80</v>
      </c>
    </row>
    <row r="186" spans="1:13" s="1" customFormat="1" hidden="1" x14ac:dyDescent="0.25">
      <c r="A186" t="s">
        <v>344</v>
      </c>
      <c r="B186" s="34" t="s">
        <v>342</v>
      </c>
      <c r="C186" s="34" t="s">
        <v>224</v>
      </c>
      <c r="D186" s="34" t="s">
        <v>248</v>
      </c>
      <c r="E186" s="34">
        <v>1</v>
      </c>
      <c r="F186">
        <v>3</v>
      </c>
      <c r="G186">
        <v>15</v>
      </c>
      <c r="H186">
        <v>5.5</v>
      </c>
      <c r="I186" s="34"/>
      <c r="J186" s="34"/>
      <c r="K186" s="34"/>
      <c r="L186" s="34"/>
      <c r="M186" s="1">
        <v>15</v>
      </c>
    </row>
    <row r="187" spans="1:13" s="1" customFormat="1" hidden="1" x14ac:dyDescent="0.25">
      <c r="A187" t="s">
        <v>344</v>
      </c>
      <c r="B187" s="34" t="s">
        <v>342</v>
      </c>
      <c r="C187" s="34" t="s">
        <v>224</v>
      </c>
      <c r="D187" s="34" t="s">
        <v>248</v>
      </c>
      <c r="E187" s="34">
        <v>1</v>
      </c>
      <c r="F187">
        <v>3</v>
      </c>
      <c r="G187">
        <v>20</v>
      </c>
      <c r="H187">
        <v>5.5</v>
      </c>
      <c r="I187" s="34"/>
      <c r="J187" s="34"/>
      <c r="K187" s="34"/>
      <c r="L187" s="34"/>
      <c r="M187" s="1">
        <v>20</v>
      </c>
    </row>
    <row r="188" spans="1:13" s="1" customFormat="1" hidden="1" x14ac:dyDescent="0.25">
      <c r="A188" t="s">
        <v>344</v>
      </c>
      <c r="B188" s="34" t="s">
        <v>342</v>
      </c>
      <c r="C188" s="34" t="s">
        <v>224</v>
      </c>
      <c r="D188" s="34" t="s">
        <v>248</v>
      </c>
      <c r="E188" s="34">
        <v>1</v>
      </c>
      <c r="F188">
        <v>3.5</v>
      </c>
      <c r="G188">
        <v>15</v>
      </c>
      <c r="H188">
        <v>6.6</v>
      </c>
      <c r="I188" s="34"/>
      <c r="J188" s="34"/>
      <c r="K188" s="34"/>
      <c r="L188" s="34"/>
      <c r="M188" s="1">
        <v>15</v>
      </c>
    </row>
    <row r="189" spans="1:13" s="1" customFormat="1" hidden="1" x14ac:dyDescent="0.25">
      <c r="A189" t="s">
        <v>344</v>
      </c>
      <c r="B189" s="34" t="s">
        <v>342</v>
      </c>
      <c r="C189" s="34" t="s">
        <v>224</v>
      </c>
      <c r="D189" s="34" t="s">
        <v>248</v>
      </c>
      <c r="E189" s="34">
        <v>1</v>
      </c>
      <c r="F189">
        <v>3.5</v>
      </c>
      <c r="G189">
        <v>20</v>
      </c>
      <c r="H189">
        <v>6.6</v>
      </c>
      <c r="I189" s="34"/>
      <c r="J189" s="34"/>
      <c r="K189" s="34"/>
      <c r="L189" s="34"/>
      <c r="M189" s="1">
        <v>20</v>
      </c>
    </row>
    <row r="190" spans="1:13" s="1" customFormat="1" hidden="1" x14ac:dyDescent="0.25">
      <c r="A190" t="s">
        <v>344</v>
      </c>
      <c r="B190" s="34" t="s">
        <v>342</v>
      </c>
      <c r="C190" s="34" t="s">
        <v>224</v>
      </c>
      <c r="D190" s="34" t="s">
        <v>248</v>
      </c>
      <c r="E190" s="34">
        <v>1</v>
      </c>
      <c r="F190">
        <v>3.5</v>
      </c>
      <c r="G190">
        <v>25</v>
      </c>
      <c r="H190">
        <v>6.6</v>
      </c>
      <c r="I190" s="34"/>
      <c r="J190" s="34"/>
      <c r="K190" s="34"/>
      <c r="L190" s="34"/>
      <c r="M190" s="1">
        <v>25</v>
      </c>
    </row>
    <row r="191" spans="1:13" s="1" customFormat="1" hidden="1" x14ac:dyDescent="0.25">
      <c r="A191" t="s">
        <v>344</v>
      </c>
      <c r="B191" s="34" t="s">
        <v>342</v>
      </c>
      <c r="C191" s="34" t="s">
        <v>224</v>
      </c>
      <c r="D191" s="34" t="s">
        <v>248</v>
      </c>
      <c r="E191" s="34">
        <v>1</v>
      </c>
      <c r="F191">
        <v>3.5</v>
      </c>
      <c r="G191">
        <v>30</v>
      </c>
      <c r="H191">
        <v>6.6</v>
      </c>
      <c r="I191" s="34"/>
      <c r="J191" s="34"/>
      <c r="K191" s="34"/>
      <c r="L191" s="34"/>
      <c r="M191" s="1">
        <v>30</v>
      </c>
    </row>
    <row r="192" spans="1:13" s="1" customFormat="1" hidden="1" x14ac:dyDescent="0.25">
      <c r="A192" t="s">
        <v>344</v>
      </c>
      <c r="B192" s="34" t="s">
        <v>342</v>
      </c>
      <c r="C192" s="34" t="s">
        <v>224</v>
      </c>
      <c r="D192" s="34" t="s">
        <v>248</v>
      </c>
      <c r="E192" s="34">
        <v>1</v>
      </c>
      <c r="F192">
        <v>4</v>
      </c>
      <c r="G192">
        <v>15</v>
      </c>
      <c r="H192">
        <v>7.6</v>
      </c>
      <c r="I192" s="34"/>
      <c r="J192" s="34"/>
      <c r="K192" s="34"/>
      <c r="L192" s="34"/>
      <c r="M192" s="1">
        <v>15</v>
      </c>
    </row>
    <row r="193" spans="1:13" s="1" customFormat="1" hidden="1" x14ac:dyDescent="0.25">
      <c r="A193" t="s">
        <v>344</v>
      </c>
      <c r="B193" s="34" t="s">
        <v>342</v>
      </c>
      <c r="C193" s="34" t="s">
        <v>224</v>
      </c>
      <c r="D193" s="34" t="s">
        <v>248</v>
      </c>
      <c r="E193" s="34">
        <v>1</v>
      </c>
      <c r="F193">
        <v>4</v>
      </c>
      <c r="G193">
        <v>20</v>
      </c>
      <c r="H193">
        <v>7.6</v>
      </c>
      <c r="I193" s="34"/>
      <c r="J193" s="34"/>
      <c r="K193" s="34"/>
      <c r="L193" s="34"/>
      <c r="M193" s="1">
        <v>20</v>
      </c>
    </row>
    <row r="194" spans="1:13" s="1" customFormat="1" hidden="1" x14ac:dyDescent="0.25">
      <c r="A194" t="s">
        <v>344</v>
      </c>
      <c r="B194" s="34" t="s">
        <v>342</v>
      </c>
      <c r="C194" s="34" t="s">
        <v>224</v>
      </c>
      <c r="D194" s="34" t="s">
        <v>248</v>
      </c>
      <c r="E194" s="34">
        <v>1</v>
      </c>
      <c r="F194">
        <v>4</v>
      </c>
      <c r="G194">
        <v>25</v>
      </c>
      <c r="H194">
        <v>7.6</v>
      </c>
      <c r="I194" s="34"/>
      <c r="J194" s="34"/>
      <c r="K194" s="34"/>
      <c r="L194" s="34"/>
      <c r="M194" s="1">
        <v>25</v>
      </c>
    </row>
    <row r="195" spans="1:13" s="1" customFormat="1" hidden="1" x14ac:dyDescent="0.25">
      <c r="A195" t="s">
        <v>344</v>
      </c>
      <c r="B195" s="34" t="s">
        <v>342</v>
      </c>
      <c r="C195" s="34" t="s">
        <v>224</v>
      </c>
      <c r="D195" s="34" t="s">
        <v>248</v>
      </c>
      <c r="E195" s="34">
        <v>1</v>
      </c>
      <c r="F195">
        <v>4</v>
      </c>
      <c r="G195">
        <v>30</v>
      </c>
      <c r="H195">
        <v>7.6</v>
      </c>
      <c r="I195" s="34"/>
      <c r="J195" s="34"/>
      <c r="K195" s="34"/>
      <c r="L195" s="34"/>
      <c r="M195" s="1">
        <v>30</v>
      </c>
    </row>
    <row r="196" spans="1:13" s="1" customFormat="1" hidden="1" x14ac:dyDescent="0.25">
      <c r="A196" t="s">
        <v>344</v>
      </c>
      <c r="B196" s="34" t="s">
        <v>342</v>
      </c>
      <c r="C196" s="34" t="s">
        <v>224</v>
      </c>
      <c r="D196" s="34" t="s">
        <v>248</v>
      </c>
      <c r="E196" s="34">
        <v>1</v>
      </c>
      <c r="F196">
        <v>4</v>
      </c>
      <c r="G196">
        <v>35</v>
      </c>
      <c r="H196">
        <v>7.6</v>
      </c>
      <c r="I196" s="34"/>
      <c r="J196" s="34"/>
      <c r="K196" s="34"/>
      <c r="L196" s="34"/>
      <c r="M196" s="1">
        <v>35</v>
      </c>
    </row>
    <row r="197" spans="1:13" s="1" customFormat="1" hidden="1" x14ac:dyDescent="0.25">
      <c r="A197" t="s">
        <v>344</v>
      </c>
      <c r="B197" s="34" t="s">
        <v>342</v>
      </c>
      <c r="C197" s="34" t="s">
        <v>224</v>
      </c>
      <c r="D197" s="34" t="s">
        <v>248</v>
      </c>
      <c r="E197" s="34">
        <v>1</v>
      </c>
      <c r="F197">
        <v>4</v>
      </c>
      <c r="G197">
        <v>40</v>
      </c>
      <c r="H197">
        <v>7.6</v>
      </c>
      <c r="I197" s="34"/>
      <c r="J197" s="34"/>
      <c r="K197" s="34"/>
      <c r="L197" s="34"/>
      <c r="M197" s="1">
        <v>40</v>
      </c>
    </row>
    <row r="198" spans="1:13" s="1" customFormat="1" hidden="1" x14ac:dyDescent="0.25">
      <c r="A198" t="s">
        <v>344</v>
      </c>
      <c r="B198" s="34" t="s">
        <v>342</v>
      </c>
      <c r="C198" s="34" t="s">
        <v>224</v>
      </c>
      <c r="D198" s="34" t="s">
        <v>248</v>
      </c>
      <c r="E198" s="34">
        <v>1</v>
      </c>
      <c r="F198">
        <v>4</v>
      </c>
      <c r="G198">
        <v>50</v>
      </c>
      <c r="H198">
        <v>7.6</v>
      </c>
      <c r="I198" s="34"/>
      <c r="J198" s="34"/>
      <c r="K198" s="34"/>
      <c r="L198" s="34"/>
      <c r="M198" s="1">
        <v>30</v>
      </c>
    </row>
    <row r="199" spans="1:13" s="1" customFormat="1" hidden="1" x14ac:dyDescent="0.25">
      <c r="A199" t="s">
        <v>344</v>
      </c>
      <c r="B199" s="34" t="s">
        <v>342</v>
      </c>
      <c r="C199" s="34" t="s">
        <v>224</v>
      </c>
      <c r="D199" s="34" t="s">
        <v>248</v>
      </c>
      <c r="E199" s="34">
        <v>1</v>
      </c>
      <c r="F199">
        <v>5</v>
      </c>
      <c r="G199">
        <v>30</v>
      </c>
      <c r="H199">
        <v>9.6999999999999993</v>
      </c>
      <c r="I199" s="34">
        <v>7.6020000000000003</v>
      </c>
      <c r="J199" s="34">
        <v>12.9</v>
      </c>
      <c r="K199" s="34">
        <v>23.2</v>
      </c>
      <c r="L199" s="34">
        <v>9.9</v>
      </c>
      <c r="M199" s="1">
        <v>26</v>
      </c>
    </row>
    <row r="200" spans="1:13" s="1" customFormat="1" hidden="1" x14ac:dyDescent="0.25">
      <c r="A200" t="s">
        <v>344</v>
      </c>
      <c r="B200" s="34" t="s">
        <v>342</v>
      </c>
      <c r="C200" s="34" t="s">
        <v>224</v>
      </c>
      <c r="D200" s="34" t="s">
        <v>248</v>
      </c>
      <c r="E200" s="34">
        <v>1</v>
      </c>
      <c r="F200">
        <v>5</v>
      </c>
      <c r="G200">
        <v>40</v>
      </c>
      <c r="H200">
        <v>9.6999999999999993</v>
      </c>
      <c r="I200" s="34">
        <v>7.6020000000000003</v>
      </c>
      <c r="J200" s="34">
        <v>12.9</v>
      </c>
      <c r="K200" s="34">
        <v>23.2</v>
      </c>
      <c r="L200" s="34">
        <v>9.9</v>
      </c>
      <c r="M200" s="1">
        <v>36</v>
      </c>
    </row>
    <row r="201" spans="1:13" s="1" customFormat="1" hidden="1" x14ac:dyDescent="0.25">
      <c r="A201" t="s">
        <v>344</v>
      </c>
      <c r="B201" s="34" t="s">
        <v>342</v>
      </c>
      <c r="C201" s="34" t="s">
        <v>224</v>
      </c>
      <c r="D201" s="34" t="s">
        <v>248</v>
      </c>
      <c r="E201" s="34">
        <v>1</v>
      </c>
      <c r="F201">
        <v>5</v>
      </c>
      <c r="G201">
        <v>50</v>
      </c>
      <c r="H201">
        <v>9.6999999999999993</v>
      </c>
      <c r="I201" s="34">
        <v>7.6020000000000003</v>
      </c>
      <c r="J201" s="34">
        <v>12.9</v>
      </c>
      <c r="K201" s="34">
        <v>23.2</v>
      </c>
      <c r="L201" s="34">
        <v>9.9</v>
      </c>
      <c r="M201" s="1">
        <v>30</v>
      </c>
    </row>
    <row r="202" spans="1:13" s="1" customFormat="1" hidden="1" x14ac:dyDescent="0.25">
      <c r="A202" t="s">
        <v>344</v>
      </c>
      <c r="B202" s="34" t="s">
        <v>342</v>
      </c>
      <c r="C202" s="34" t="s">
        <v>224</v>
      </c>
      <c r="D202" s="34" t="s">
        <v>248</v>
      </c>
      <c r="E202" s="34">
        <v>1</v>
      </c>
      <c r="F202">
        <v>5</v>
      </c>
      <c r="G202">
        <v>60</v>
      </c>
      <c r="H202">
        <v>9.6999999999999993</v>
      </c>
      <c r="I202" s="34">
        <v>7.6020000000000003</v>
      </c>
      <c r="J202" s="34">
        <v>12.9</v>
      </c>
      <c r="K202" s="34">
        <v>23.2</v>
      </c>
      <c r="L202" s="34">
        <v>9.9</v>
      </c>
      <c r="M202" s="1">
        <v>35</v>
      </c>
    </row>
    <row r="203" spans="1:13" s="1" customFormat="1" hidden="1" x14ac:dyDescent="0.25">
      <c r="A203" t="s">
        <v>344</v>
      </c>
      <c r="B203" s="34" t="s">
        <v>342</v>
      </c>
      <c r="C203" s="34" t="s">
        <v>224</v>
      </c>
      <c r="D203" s="34" t="s">
        <v>248</v>
      </c>
      <c r="E203" s="34">
        <v>1</v>
      </c>
      <c r="F203">
        <v>5</v>
      </c>
      <c r="G203">
        <v>70</v>
      </c>
      <c r="H203">
        <v>9.6999999999999993</v>
      </c>
      <c r="I203" s="34">
        <v>7.6020000000000003</v>
      </c>
      <c r="J203" s="34">
        <v>12.9</v>
      </c>
      <c r="K203" s="34">
        <v>23.2</v>
      </c>
      <c r="L203" s="34">
        <v>9.9</v>
      </c>
      <c r="M203" s="1">
        <v>40</v>
      </c>
    </row>
    <row r="204" spans="1:13" s="1" customFormat="1" hidden="1" x14ac:dyDescent="0.25">
      <c r="A204" t="s">
        <v>344</v>
      </c>
      <c r="B204" s="34" t="s">
        <v>342</v>
      </c>
      <c r="C204" s="34" t="s">
        <v>224</v>
      </c>
      <c r="D204" s="34" t="s">
        <v>248</v>
      </c>
      <c r="E204" s="34">
        <v>1</v>
      </c>
      <c r="F204">
        <v>5</v>
      </c>
      <c r="G204">
        <v>80</v>
      </c>
      <c r="H204">
        <v>9.6999999999999993</v>
      </c>
      <c r="I204" s="34">
        <v>7.6020000000000003</v>
      </c>
      <c r="J204" s="34">
        <v>12.9</v>
      </c>
      <c r="K204" s="34">
        <v>23.2</v>
      </c>
      <c r="L204" s="34">
        <v>9.9</v>
      </c>
      <c r="M204" s="1">
        <v>50</v>
      </c>
    </row>
    <row r="205" spans="1:13" s="1" customFormat="1" hidden="1" x14ac:dyDescent="0.25">
      <c r="A205" t="s">
        <v>344</v>
      </c>
      <c r="B205" s="34" t="s">
        <v>342</v>
      </c>
      <c r="C205" s="34" t="s">
        <v>224</v>
      </c>
      <c r="D205" s="34" t="s">
        <v>248</v>
      </c>
      <c r="E205" s="34">
        <v>1</v>
      </c>
      <c r="F205">
        <v>6</v>
      </c>
      <c r="G205">
        <v>40</v>
      </c>
      <c r="H205">
        <v>11.7</v>
      </c>
      <c r="I205" s="34">
        <v>11.930999999999999</v>
      </c>
      <c r="J205" s="34">
        <v>16.8</v>
      </c>
      <c r="K205" s="34">
        <v>18.8</v>
      </c>
      <c r="L205" s="34">
        <v>13.5</v>
      </c>
      <c r="M205" s="1">
        <v>35</v>
      </c>
    </row>
    <row r="206" spans="1:13" s="1" customFormat="1" hidden="1" x14ac:dyDescent="0.25">
      <c r="A206" t="s">
        <v>344</v>
      </c>
      <c r="B206" s="34" t="s">
        <v>342</v>
      </c>
      <c r="C206" s="34" t="s">
        <v>224</v>
      </c>
      <c r="D206" s="34" t="s">
        <v>248</v>
      </c>
      <c r="E206" s="34">
        <v>1</v>
      </c>
      <c r="F206">
        <v>6</v>
      </c>
      <c r="G206">
        <v>50</v>
      </c>
      <c r="H206">
        <v>11.7</v>
      </c>
      <c r="I206" s="34">
        <v>11.930999999999999</v>
      </c>
      <c r="J206" s="34">
        <v>16.8</v>
      </c>
      <c r="K206" s="34">
        <v>18.8</v>
      </c>
      <c r="L206" s="34">
        <v>13.5</v>
      </c>
      <c r="M206" s="1">
        <v>30</v>
      </c>
    </row>
    <row r="207" spans="1:13" s="1" customFormat="1" hidden="1" x14ac:dyDescent="0.25">
      <c r="A207" t="s">
        <v>344</v>
      </c>
      <c r="B207" s="34" t="s">
        <v>342</v>
      </c>
      <c r="C207" s="34" t="s">
        <v>224</v>
      </c>
      <c r="D207" s="34" t="s">
        <v>248</v>
      </c>
      <c r="E207" s="34">
        <v>1</v>
      </c>
      <c r="F207">
        <v>6</v>
      </c>
      <c r="G207">
        <v>60</v>
      </c>
      <c r="H207">
        <v>11.7</v>
      </c>
      <c r="I207" s="34">
        <v>11.930999999999999</v>
      </c>
      <c r="J207" s="34">
        <v>16.8</v>
      </c>
      <c r="K207" s="34">
        <v>18.8</v>
      </c>
      <c r="L207" s="34">
        <v>13.5</v>
      </c>
      <c r="M207" s="1">
        <v>35</v>
      </c>
    </row>
    <row r="208" spans="1:13" s="1" customFormat="1" hidden="1" x14ac:dyDescent="0.25">
      <c r="A208" t="s">
        <v>344</v>
      </c>
      <c r="B208" s="34" t="s">
        <v>342</v>
      </c>
      <c r="C208" s="34" t="s">
        <v>224</v>
      </c>
      <c r="D208" s="34" t="s">
        <v>248</v>
      </c>
      <c r="E208" s="34">
        <v>1</v>
      </c>
      <c r="F208">
        <v>6</v>
      </c>
      <c r="G208">
        <v>70</v>
      </c>
      <c r="H208">
        <v>11.7</v>
      </c>
      <c r="I208" s="34">
        <v>11.930999999999999</v>
      </c>
      <c r="J208" s="34">
        <v>16.8</v>
      </c>
      <c r="K208" s="34">
        <v>18.8</v>
      </c>
      <c r="L208" s="34">
        <v>13.5</v>
      </c>
      <c r="M208" s="1">
        <v>40</v>
      </c>
    </row>
    <row r="209" spans="1:13" s="1" customFormat="1" hidden="1" x14ac:dyDescent="0.25">
      <c r="A209" t="s">
        <v>344</v>
      </c>
      <c r="B209" s="34" t="s">
        <v>342</v>
      </c>
      <c r="C209" s="34" t="s">
        <v>224</v>
      </c>
      <c r="D209" s="34" t="s">
        <v>248</v>
      </c>
      <c r="E209" s="34">
        <v>1</v>
      </c>
      <c r="F209">
        <v>6</v>
      </c>
      <c r="G209">
        <v>80</v>
      </c>
      <c r="H209">
        <v>11.7</v>
      </c>
      <c r="I209" s="34">
        <v>11.930999999999999</v>
      </c>
      <c r="J209" s="34">
        <v>16.8</v>
      </c>
      <c r="K209" s="34">
        <v>18.8</v>
      </c>
      <c r="L209" s="34">
        <v>13.5</v>
      </c>
      <c r="M209" s="1">
        <v>50</v>
      </c>
    </row>
    <row r="210" spans="1:13" s="1" customFormat="1" hidden="1" x14ac:dyDescent="0.25">
      <c r="A210" t="s">
        <v>344</v>
      </c>
      <c r="B210" s="34" t="s">
        <v>342</v>
      </c>
      <c r="C210" s="34" t="s">
        <v>224</v>
      </c>
      <c r="D210" s="34" t="s">
        <v>248</v>
      </c>
      <c r="E210" s="34">
        <v>1</v>
      </c>
      <c r="F210">
        <v>6</v>
      </c>
      <c r="G210">
        <v>100</v>
      </c>
      <c r="H210">
        <v>11.7</v>
      </c>
      <c r="I210" s="34">
        <v>11.930999999999999</v>
      </c>
      <c r="J210" s="34">
        <v>16.8</v>
      </c>
      <c r="K210" s="34">
        <v>18.8</v>
      </c>
      <c r="L210" s="34">
        <v>13.5</v>
      </c>
      <c r="M210" s="1">
        <v>60</v>
      </c>
    </row>
    <row r="211" spans="1:13" s="1" customFormat="1" hidden="1" x14ac:dyDescent="0.25">
      <c r="A211" t="s">
        <v>344</v>
      </c>
      <c r="B211" s="34" t="s">
        <v>342</v>
      </c>
      <c r="C211" s="34" t="s">
        <v>225</v>
      </c>
      <c r="D211" s="34" t="s">
        <v>247</v>
      </c>
      <c r="E211" s="34">
        <v>1</v>
      </c>
      <c r="F211">
        <v>3</v>
      </c>
      <c r="G211">
        <v>16</v>
      </c>
      <c r="H211">
        <v>6</v>
      </c>
      <c r="I211" s="34"/>
      <c r="J211" s="34"/>
      <c r="K211" s="34"/>
      <c r="L211" s="34"/>
      <c r="M211" s="1">
        <v>11</v>
      </c>
    </row>
    <row r="212" spans="1:13" s="1" customFormat="1" hidden="1" x14ac:dyDescent="0.25">
      <c r="A212" t="s">
        <v>344</v>
      </c>
      <c r="B212" s="34" t="s">
        <v>342</v>
      </c>
      <c r="C212" s="34" t="s">
        <v>225</v>
      </c>
      <c r="D212" s="34" t="s">
        <v>247</v>
      </c>
      <c r="E212" s="34">
        <v>1</v>
      </c>
      <c r="F212">
        <v>3</v>
      </c>
      <c r="G212">
        <v>20</v>
      </c>
      <c r="H212">
        <v>6</v>
      </c>
      <c r="I212" s="34"/>
      <c r="J212" s="34"/>
      <c r="K212" s="34"/>
      <c r="L212" s="34"/>
      <c r="M212" s="1">
        <v>15</v>
      </c>
    </row>
    <row r="213" spans="1:13" s="1" customFormat="1" hidden="1" x14ac:dyDescent="0.25">
      <c r="A213" t="s">
        <v>344</v>
      </c>
      <c r="B213" s="34" t="s">
        <v>342</v>
      </c>
      <c r="C213" s="34" t="s">
        <v>225</v>
      </c>
      <c r="D213" s="34" t="s">
        <v>247</v>
      </c>
      <c r="E213" s="34">
        <v>1</v>
      </c>
      <c r="F213">
        <v>3</v>
      </c>
      <c r="G213">
        <v>25</v>
      </c>
      <c r="H213">
        <v>6</v>
      </c>
      <c r="I213" s="34"/>
      <c r="J213" s="34"/>
      <c r="K213" s="34"/>
      <c r="L213" s="34"/>
      <c r="M213" s="1">
        <v>20</v>
      </c>
    </row>
    <row r="214" spans="1:13" s="1" customFormat="1" hidden="1" x14ac:dyDescent="0.25">
      <c r="A214" t="s">
        <v>344</v>
      </c>
      <c r="B214" s="34" t="s">
        <v>342</v>
      </c>
      <c r="C214" s="34" t="s">
        <v>225</v>
      </c>
      <c r="D214" s="34" t="s">
        <v>247</v>
      </c>
      <c r="E214" s="34">
        <v>1</v>
      </c>
      <c r="F214">
        <v>3</v>
      </c>
      <c r="G214">
        <v>30</v>
      </c>
      <c r="H214">
        <v>6</v>
      </c>
      <c r="I214" s="34"/>
      <c r="J214" s="34"/>
      <c r="K214" s="34"/>
      <c r="L214" s="34"/>
      <c r="M214" s="1">
        <v>25</v>
      </c>
    </row>
    <row r="215" spans="1:13" s="1" customFormat="1" hidden="1" x14ac:dyDescent="0.25">
      <c r="A215" t="s">
        <v>344</v>
      </c>
      <c r="B215" s="34" t="s">
        <v>342</v>
      </c>
      <c r="C215" s="34" t="s">
        <v>225</v>
      </c>
      <c r="D215" s="34" t="s">
        <v>247</v>
      </c>
      <c r="E215" s="34">
        <v>1</v>
      </c>
      <c r="F215">
        <v>3.5</v>
      </c>
      <c r="G215">
        <v>16</v>
      </c>
      <c r="H215">
        <v>7</v>
      </c>
      <c r="I215" s="34"/>
      <c r="J215" s="34"/>
      <c r="K215" s="34"/>
      <c r="L215" s="34"/>
      <c r="M215" s="1">
        <v>11</v>
      </c>
    </row>
    <row r="216" spans="1:13" s="1" customFormat="1" hidden="1" x14ac:dyDescent="0.25">
      <c r="A216" t="s">
        <v>344</v>
      </c>
      <c r="B216" s="34" t="s">
        <v>342</v>
      </c>
      <c r="C216" s="34" t="s">
        <v>225</v>
      </c>
      <c r="D216" s="34" t="s">
        <v>247</v>
      </c>
      <c r="E216" s="34">
        <v>1</v>
      </c>
      <c r="F216">
        <v>3.5</v>
      </c>
      <c r="G216">
        <v>20</v>
      </c>
      <c r="H216">
        <v>7</v>
      </c>
      <c r="I216" s="34"/>
      <c r="J216" s="34"/>
      <c r="K216" s="34"/>
      <c r="L216" s="34"/>
      <c r="M216" s="1">
        <v>15</v>
      </c>
    </row>
    <row r="217" spans="1:13" s="1" customFormat="1" hidden="1" x14ac:dyDescent="0.25">
      <c r="A217" t="s">
        <v>344</v>
      </c>
      <c r="B217" s="34" t="s">
        <v>342</v>
      </c>
      <c r="C217" s="34" t="s">
        <v>225</v>
      </c>
      <c r="D217" s="34" t="s">
        <v>247</v>
      </c>
      <c r="E217" s="34">
        <v>1</v>
      </c>
      <c r="F217">
        <v>3.5</v>
      </c>
      <c r="G217">
        <v>25</v>
      </c>
      <c r="H217">
        <v>7</v>
      </c>
      <c r="I217" s="34"/>
      <c r="J217" s="34"/>
      <c r="K217" s="34"/>
      <c r="L217" s="34"/>
      <c r="M217" s="1">
        <v>20</v>
      </c>
    </row>
    <row r="218" spans="1:13" s="1" customFormat="1" hidden="1" x14ac:dyDescent="0.25">
      <c r="A218" t="s">
        <v>344</v>
      </c>
      <c r="B218" s="34" t="s">
        <v>342</v>
      </c>
      <c r="C218" s="34" t="s">
        <v>225</v>
      </c>
      <c r="D218" s="34" t="s">
        <v>247</v>
      </c>
      <c r="E218" s="34">
        <v>1</v>
      </c>
      <c r="F218">
        <v>3.5</v>
      </c>
      <c r="G218">
        <v>30</v>
      </c>
      <c r="H218">
        <v>7</v>
      </c>
      <c r="I218" s="34"/>
      <c r="J218" s="34"/>
      <c r="K218" s="34"/>
      <c r="L218" s="34"/>
      <c r="M218" s="1">
        <v>25</v>
      </c>
    </row>
    <row r="219" spans="1:13" s="1" customFormat="1" hidden="1" x14ac:dyDescent="0.25">
      <c r="A219" t="s">
        <v>344</v>
      </c>
      <c r="B219" s="34" t="s">
        <v>342</v>
      </c>
      <c r="C219" s="34" t="s">
        <v>225</v>
      </c>
      <c r="D219" s="34" t="s">
        <v>247</v>
      </c>
      <c r="E219" s="34">
        <v>1</v>
      </c>
      <c r="F219">
        <v>3.5</v>
      </c>
      <c r="G219">
        <v>35</v>
      </c>
      <c r="H219">
        <v>7</v>
      </c>
      <c r="I219" s="34"/>
      <c r="J219" s="34"/>
      <c r="K219" s="34"/>
      <c r="L219" s="34"/>
      <c r="M219" s="1">
        <v>30</v>
      </c>
    </row>
    <row r="220" spans="1:13" s="1" customFormat="1" hidden="1" x14ac:dyDescent="0.25">
      <c r="A220" t="s">
        <v>344</v>
      </c>
      <c r="B220" s="34" t="s">
        <v>342</v>
      </c>
      <c r="C220" s="34" t="s">
        <v>225</v>
      </c>
      <c r="D220" s="34" t="s">
        <v>247</v>
      </c>
      <c r="E220" s="34">
        <v>1</v>
      </c>
      <c r="F220">
        <v>3.5</v>
      </c>
      <c r="G220">
        <v>40</v>
      </c>
      <c r="H220">
        <v>7</v>
      </c>
      <c r="I220" s="34"/>
      <c r="J220" s="34"/>
      <c r="K220" s="34"/>
      <c r="L220" s="34"/>
      <c r="M220" s="1">
        <v>35</v>
      </c>
    </row>
    <row r="221" spans="1:13" s="1" customFormat="1" hidden="1" x14ac:dyDescent="0.25">
      <c r="A221" t="s">
        <v>344</v>
      </c>
      <c r="B221" s="34" t="s">
        <v>342</v>
      </c>
      <c r="C221" s="34" t="s">
        <v>225</v>
      </c>
      <c r="D221" s="34" t="s">
        <v>247</v>
      </c>
      <c r="E221" s="34">
        <v>1</v>
      </c>
      <c r="F221">
        <v>3.5</v>
      </c>
      <c r="G221">
        <v>50</v>
      </c>
      <c r="H221">
        <v>7</v>
      </c>
      <c r="I221" s="34"/>
      <c r="J221" s="34"/>
      <c r="K221" s="34"/>
      <c r="L221" s="34"/>
      <c r="M221" s="1">
        <v>30</v>
      </c>
    </row>
    <row r="222" spans="1:13" s="1" customFormat="1" hidden="1" x14ac:dyDescent="0.25">
      <c r="A222" t="s">
        <v>344</v>
      </c>
      <c r="B222" s="34" t="s">
        <v>342</v>
      </c>
      <c r="C222" s="34" t="s">
        <v>225</v>
      </c>
      <c r="D222" s="34" t="s">
        <v>247</v>
      </c>
      <c r="E222" s="34">
        <v>1</v>
      </c>
      <c r="F222">
        <v>4</v>
      </c>
      <c r="G222">
        <v>20</v>
      </c>
      <c r="H222">
        <v>8</v>
      </c>
      <c r="I222" s="34"/>
      <c r="J222" s="34"/>
      <c r="K222" s="34"/>
      <c r="L222" s="34"/>
      <c r="M222" s="1">
        <v>15</v>
      </c>
    </row>
    <row r="223" spans="1:13" s="1" customFormat="1" hidden="1" x14ac:dyDescent="0.25">
      <c r="A223" t="s">
        <v>344</v>
      </c>
      <c r="B223" s="34" t="s">
        <v>342</v>
      </c>
      <c r="C223" s="34" t="s">
        <v>225</v>
      </c>
      <c r="D223" s="34" t="s">
        <v>247</v>
      </c>
      <c r="E223" s="34">
        <v>1</v>
      </c>
      <c r="F223">
        <v>4</v>
      </c>
      <c r="G223">
        <v>25</v>
      </c>
      <c r="H223">
        <v>8</v>
      </c>
      <c r="I223" s="34"/>
      <c r="J223" s="34"/>
      <c r="K223" s="34"/>
      <c r="L223" s="34"/>
      <c r="M223" s="1">
        <v>20</v>
      </c>
    </row>
    <row r="224" spans="1:13" s="1" customFormat="1" hidden="1" x14ac:dyDescent="0.25">
      <c r="A224" t="s">
        <v>344</v>
      </c>
      <c r="B224" s="34" t="s">
        <v>342</v>
      </c>
      <c r="C224" s="34" t="s">
        <v>225</v>
      </c>
      <c r="D224" s="34" t="s">
        <v>247</v>
      </c>
      <c r="E224" s="34">
        <v>1</v>
      </c>
      <c r="F224">
        <v>4</v>
      </c>
      <c r="G224">
        <v>30</v>
      </c>
      <c r="H224">
        <v>8</v>
      </c>
      <c r="I224" s="34"/>
      <c r="J224" s="34"/>
      <c r="K224" s="34"/>
      <c r="L224" s="34"/>
      <c r="M224" s="1">
        <v>25</v>
      </c>
    </row>
    <row r="225" spans="1:13" s="1" customFormat="1" hidden="1" x14ac:dyDescent="0.25">
      <c r="A225" t="s">
        <v>344</v>
      </c>
      <c r="B225" s="34" t="s">
        <v>342</v>
      </c>
      <c r="C225" s="34" t="s">
        <v>225</v>
      </c>
      <c r="D225" s="34" t="s">
        <v>247</v>
      </c>
      <c r="E225" s="34">
        <v>1</v>
      </c>
      <c r="F225">
        <v>4</v>
      </c>
      <c r="G225">
        <v>35</v>
      </c>
      <c r="H225">
        <v>8</v>
      </c>
      <c r="I225" s="34"/>
      <c r="J225" s="34"/>
      <c r="K225" s="34"/>
      <c r="L225" s="34"/>
      <c r="M225" s="1">
        <v>30</v>
      </c>
    </row>
    <row r="226" spans="1:13" s="1" customFormat="1" hidden="1" x14ac:dyDescent="0.25">
      <c r="A226" t="s">
        <v>344</v>
      </c>
      <c r="B226" s="34" t="s">
        <v>342</v>
      </c>
      <c r="C226" s="34" t="s">
        <v>225</v>
      </c>
      <c r="D226" s="34" t="s">
        <v>247</v>
      </c>
      <c r="E226" s="34">
        <v>1</v>
      </c>
      <c r="F226">
        <v>4</v>
      </c>
      <c r="G226">
        <v>40</v>
      </c>
      <c r="H226">
        <v>8</v>
      </c>
      <c r="I226" s="34"/>
      <c r="J226" s="34"/>
      <c r="K226" s="34"/>
      <c r="L226" s="34"/>
      <c r="M226" s="1">
        <v>35</v>
      </c>
    </row>
    <row r="227" spans="1:13" s="1" customFormat="1" hidden="1" x14ac:dyDescent="0.25">
      <c r="A227" t="s">
        <v>344</v>
      </c>
      <c r="B227" s="34" t="s">
        <v>342</v>
      </c>
      <c r="C227" s="34" t="s">
        <v>225</v>
      </c>
      <c r="D227" s="34" t="s">
        <v>247</v>
      </c>
      <c r="E227" s="34">
        <v>1</v>
      </c>
      <c r="F227">
        <v>4</v>
      </c>
      <c r="G227">
        <v>45</v>
      </c>
      <c r="H227">
        <v>8</v>
      </c>
      <c r="I227" s="34"/>
      <c r="J227" s="34"/>
      <c r="K227" s="34"/>
      <c r="L227" s="34"/>
      <c r="M227" s="1">
        <v>29</v>
      </c>
    </row>
    <row r="228" spans="1:13" s="1" customFormat="1" hidden="1" x14ac:dyDescent="0.25">
      <c r="A228" t="s">
        <v>344</v>
      </c>
      <c r="B228" s="34" t="s">
        <v>342</v>
      </c>
      <c r="C228" s="34" t="s">
        <v>225</v>
      </c>
      <c r="D228" s="34" t="s">
        <v>247</v>
      </c>
      <c r="E228" s="34">
        <v>1</v>
      </c>
      <c r="F228">
        <v>4</v>
      </c>
      <c r="G228">
        <v>50</v>
      </c>
      <c r="H228">
        <v>8</v>
      </c>
      <c r="I228" s="34"/>
      <c r="J228" s="34"/>
      <c r="K228" s="34"/>
      <c r="L228" s="34"/>
      <c r="M228" s="1">
        <v>30</v>
      </c>
    </row>
    <row r="229" spans="1:13" s="1" customFormat="1" hidden="1" x14ac:dyDescent="0.25">
      <c r="A229" t="s">
        <v>344</v>
      </c>
      <c r="B229" s="34" t="s">
        <v>342</v>
      </c>
      <c r="C229" s="34" t="s">
        <v>225</v>
      </c>
      <c r="D229" s="34" t="s">
        <v>247</v>
      </c>
      <c r="E229" s="34">
        <v>1</v>
      </c>
      <c r="F229">
        <v>4</v>
      </c>
      <c r="G229">
        <v>60</v>
      </c>
      <c r="H229">
        <v>8</v>
      </c>
      <c r="I229" s="34"/>
      <c r="J229" s="34"/>
      <c r="K229" s="34"/>
      <c r="L229" s="34"/>
      <c r="M229" s="1">
        <v>35</v>
      </c>
    </row>
    <row r="230" spans="1:13" s="1" customFormat="1" hidden="1" x14ac:dyDescent="0.25">
      <c r="A230" t="s">
        <v>344</v>
      </c>
      <c r="B230" s="34" t="s">
        <v>342</v>
      </c>
      <c r="C230" s="34" t="s">
        <v>225</v>
      </c>
      <c r="D230" s="34" t="s">
        <v>247</v>
      </c>
      <c r="E230" s="34">
        <v>1</v>
      </c>
      <c r="F230">
        <v>4</v>
      </c>
      <c r="G230">
        <v>70</v>
      </c>
      <c r="H230">
        <v>8</v>
      </c>
      <c r="I230" s="34"/>
      <c r="J230" s="34"/>
      <c r="K230" s="34"/>
      <c r="L230" s="34"/>
      <c r="M230" s="1">
        <v>40</v>
      </c>
    </row>
    <row r="231" spans="1:13" s="1" customFormat="1" hidden="1" x14ac:dyDescent="0.25">
      <c r="A231" t="s">
        <v>344</v>
      </c>
      <c r="B231" s="34" t="s">
        <v>342</v>
      </c>
      <c r="C231" s="34" t="s">
        <v>225</v>
      </c>
      <c r="D231" s="34" t="s">
        <v>247</v>
      </c>
      <c r="E231" s="34">
        <v>1</v>
      </c>
      <c r="F231">
        <v>4.5</v>
      </c>
      <c r="G231">
        <v>25</v>
      </c>
      <c r="H231">
        <v>8.4</v>
      </c>
      <c r="I231" s="34">
        <v>5.5</v>
      </c>
      <c r="J231" s="34">
        <v>19.2</v>
      </c>
      <c r="K231" s="34">
        <v>16.8</v>
      </c>
      <c r="L231" s="34">
        <v>7.6</v>
      </c>
      <c r="M231" s="1">
        <v>20</v>
      </c>
    </row>
    <row r="232" spans="1:13" s="1" customFormat="1" hidden="1" x14ac:dyDescent="0.25">
      <c r="A232" t="s">
        <v>344</v>
      </c>
      <c r="B232" s="34" t="s">
        <v>342</v>
      </c>
      <c r="C232" s="34" t="s">
        <v>225</v>
      </c>
      <c r="D232" s="34" t="s">
        <v>247</v>
      </c>
      <c r="E232" s="34">
        <v>1</v>
      </c>
      <c r="F232">
        <v>4.5</v>
      </c>
      <c r="G232">
        <v>30</v>
      </c>
      <c r="H232">
        <v>8.4</v>
      </c>
      <c r="I232" s="34">
        <v>5.5</v>
      </c>
      <c r="J232" s="34">
        <v>19.2</v>
      </c>
      <c r="K232" s="34">
        <v>16.8</v>
      </c>
      <c r="L232" s="34">
        <v>7.6</v>
      </c>
      <c r="M232" s="1">
        <v>25</v>
      </c>
    </row>
    <row r="233" spans="1:13" s="1" customFormat="1" hidden="1" x14ac:dyDescent="0.25">
      <c r="A233" t="s">
        <v>344</v>
      </c>
      <c r="B233" s="34" t="s">
        <v>342</v>
      </c>
      <c r="C233" s="34" t="s">
        <v>225</v>
      </c>
      <c r="D233" s="34" t="s">
        <v>247</v>
      </c>
      <c r="E233" s="34">
        <v>1</v>
      </c>
      <c r="F233">
        <v>4.5</v>
      </c>
      <c r="G233">
        <v>35</v>
      </c>
      <c r="H233">
        <v>8.4</v>
      </c>
      <c r="I233" s="34">
        <v>5.5</v>
      </c>
      <c r="J233" s="34">
        <v>19.2</v>
      </c>
      <c r="K233" s="34">
        <v>16.8</v>
      </c>
      <c r="L233" s="34">
        <v>7.6</v>
      </c>
      <c r="M233" s="1">
        <v>30</v>
      </c>
    </row>
    <row r="234" spans="1:13" s="1" customFormat="1" hidden="1" x14ac:dyDescent="0.25">
      <c r="A234" t="s">
        <v>344</v>
      </c>
      <c r="B234" s="34" t="s">
        <v>342</v>
      </c>
      <c r="C234" s="34" t="s">
        <v>225</v>
      </c>
      <c r="D234" s="34" t="s">
        <v>247</v>
      </c>
      <c r="E234" s="34">
        <v>1</v>
      </c>
      <c r="F234">
        <v>4.5</v>
      </c>
      <c r="G234">
        <v>40</v>
      </c>
      <c r="H234">
        <v>8.4</v>
      </c>
      <c r="I234" s="34">
        <v>5.5</v>
      </c>
      <c r="J234" s="34">
        <v>19.2</v>
      </c>
      <c r="K234" s="34">
        <v>16.8</v>
      </c>
      <c r="L234" s="34">
        <v>7.6</v>
      </c>
      <c r="M234" s="1">
        <v>35</v>
      </c>
    </row>
    <row r="235" spans="1:13" s="1" customFormat="1" hidden="1" x14ac:dyDescent="0.25">
      <c r="A235" t="s">
        <v>344</v>
      </c>
      <c r="B235" s="34" t="s">
        <v>342</v>
      </c>
      <c r="C235" s="34" t="s">
        <v>225</v>
      </c>
      <c r="D235" s="34" t="s">
        <v>247</v>
      </c>
      <c r="E235" s="34">
        <v>1</v>
      </c>
      <c r="F235">
        <v>4.5</v>
      </c>
      <c r="G235">
        <v>45</v>
      </c>
      <c r="H235">
        <v>8.4</v>
      </c>
      <c r="I235" s="34">
        <v>5.5</v>
      </c>
      <c r="J235" s="34">
        <v>19.2</v>
      </c>
      <c r="K235" s="34">
        <v>16.8</v>
      </c>
      <c r="L235" s="34">
        <v>7.6</v>
      </c>
      <c r="M235" s="1">
        <v>29</v>
      </c>
    </row>
    <row r="236" spans="1:13" s="1" customFormat="1" hidden="1" x14ac:dyDescent="0.25">
      <c r="A236" t="s">
        <v>344</v>
      </c>
      <c r="B236" s="34" t="s">
        <v>342</v>
      </c>
      <c r="C236" s="34" t="s">
        <v>225</v>
      </c>
      <c r="D236" s="34" t="s">
        <v>247</v>
      </c>
      <c r="E236" s="34">
        <v>1</v>
      </c>
      <c r="F236">
        <v>4.5</v>
      </c>
      <c r="G236">
        <v>50</v>
      </c>
      <c r="H236">
        <v>8.4</v>
      </c>
      <c r="I236" s="34">
        <v>5.5</v>
      </c>
      <c r="J236" s="34">
        <v>19.2</v>
      </c>
      <c r="K236" s="34">
        <v>16.8</v>
      </c>
      <c r="L236" s="34">
        <v>7.6</v>
      </c>
      <c r="M236" s="1">
        <v>30</v>
      </c>
    </row>
    <row r="237" spans="1:13" s="1" customFormat="1" hidden="1" x14ac:dyDescent="0.25">
      <c r="A237" t="s">
        <v>344</v>
      </c>
      <c r="B237" s="34" t="s">
        <v>342</v>
      </c>
      <c r="C237" s="34" t="s">
        <v>225</v>
      </c>
      <c r="D237" s="34" t="s">
        <v>247</v>
      </c>
      <c r="E237" s="34">
        <v>1</v>
      </c>
      <c r="F237">
        <v>4.5</v>
      </c>
      <c r="G237">
        <v>60</v>
      </c>
      <c r="H237">
        <v>8.4</v>
      </c>
      <c r="I237" s="34">
        <v>5.5</v>
      </c>
      <c r="J237" s="34">
        <v>19.2</v>
      </c>
      <c r="K237" s="34">
        <v>16.8</v>
      </c>
      <c r="L237" s="34">
        <v>7.6</v>
      </c>
      <c r="M237" s="1">
        <v>35</v>
      </c>
    </row>
    <row r="238" spans="1:13" s="1" customFormat="1" hidden="1" x14ac:dyDescent="0.25">
      <c r="A238" t="s">
        <v>344</v>
      </c>
      <c r="B238" s="34" t="s">
        <v>342</v>
      </c>
      <c r="C238" s="34" t="s">
        <v>225</v>
      </c>
      <c r="D238" s="34" t="s">
        <v>247</v>
      </c>
      <c r="E238" s="34">
        <v>1</v>
      </c>
      <c r="F238">
        <v>4.5</v>
      </c>
      <c r="G238">
        <v>70</v>
      </c>
      <c r="H238">
        <v>8.4</v>
      </c>
      <c r="I238" s="34">
        <v>5.5</v>
      </c>
      <c r="J238" s="34">
        <v>19.2</v>
      </c>
      <c r="K238" s="34">
        <v>16.8</v>
      </c>
      <c r="L238" s="34">
        <v>7.6</v>
      </c>
      <c r="M238" s="1">
        <v>40</v>
      </c>
    </row>
    <row r="239" spans="1:13" s="1" customFormat="1" hidden="1" x14ac:dyDescent="0.25">
      <c r="A239" t="s">
        <v>344</v>
      </c>
      <c r="B239" s="34" t="s">
        <v>342</v>
      </c>
      <c r="C239" s="34" t="s">
        <v>225</v>
      </c>
      <c r="D239" s="34" t="s">
        <v>247</v>
      </c>
      <c r="E239" s="34">
        <v>1</v>
      </c>
      <c r="F239">
        <v>4.5</v>
      </c>
      <c r="G239">
        <v>80</v>
      </c>
      <c r="H239">
        <v>8.4</v>
      </c>
      <c r="I239" s="34">
        <v>5.5</v>
      </c>
      <c r="J239" s="34">
        <v>19.2</v>
      </c>
      <c r="K239" s="34">
        <v>16.8</v>
      </c>
      <c r="L239" s="34">
        <v>7.6</v>
      </c>
      <c r="M239" s="1">
        <v>50</v>
      </c>
    </row>
    <row r="240" spans="1:13" s="1" customFormat="1" hidden="1" x14ac:dyDescent="0.25">
      <c r="A240" t="s">
        <v>344</v>
      </c>
      <c r="B240" s="34" t="s">
        <v>342</v>
      </c>
      <c r="C240" s="34" t="s">
        <v>225</v>
      </c>
      <c r="D240" s="34" t="s">
        <v>247</v>
      </c>
      <c r="E240" s="34">
        <v>1</v>
      </c>
      <c r="F240">
        <v>5</v>
      </c>
      <c r="G240">
        <v>30</v>
      </c>
      <c r="H240">
        <v>9.5</v>
      </c>
      <c r="I240" s="34">
        <v>7.6</v>
      </c>
      <c r="J240" s="34">
        <v>13.2</v>
      </c>
      <c r="K240" s="34">
        <v>18.2</v>
      </c>
      <c r="L240" s="34">
        <v>9.3000000000000007</v>
      </c>
      <c r="M240" s="1">
        <v>25</v>
      </c>
    </row>
    <row r="241" spans="1:13" s="1" customFormat="1" hidden="1" x14ac:dyDescent="0.25">
      <c r="A241" t="s">
        <v>344</v>
      </c>
      <c r="B241" s="34" t="s">
        <v>342</v>
      </c>
      <c r="C241" s="34" t="s">
        <v>225</v>
      </c>
      <c r="D241" s="34" t="s">
        <v>247</v>
      </c>
      <c r="E241" s="34">
        <v>1</v>
      </c>
      <c r="F241">
        <v>5</v>
      </c>
      <c r="G241">
        <v>40</v>
      </c>
      <c r="H241">
        <v>9.5</v>
      </c>
      <c r="I241" s="34">
        <v>7.6</v>
      </c>
      <c r="J241" s="34">
        <v>13.2</v>
      </c>
      <c r="K241" s="34">
        <v>18.2</v>
      </c>
      <c r="L241" s="34">
        <v>9.3000000000000007</v>
      </c>
      <c r="M241" s="1">
        <v>35</v>
      </c>
    </row>
    <row r="242" spans="1:13" s="1" customFormat="1" hidden="1" x14ac:dyDescent="0.25">
      <c r="A242" t="s">
        <v>344</v>
      </c>
      <c r="B242" s="34" t="s">
        <v>342</v>
      </c>
      <c r="C242" s="34" t="s">
        <v>225</v>
      </c>
      <c r="D242" s="34" t="s">
        <v>247</v>
      </c>
      <c r="E242" s="34">
        <v>1</v>
      </c>
      <c r="F242">
        <v>5</v>
      </c>
      <c r="G242">
        <v>50</v>
      </c>
      <c r="H242">
        <v>9.5</v>
      </c>
      <c r="I242" s="34">
        <v>7.6</v>
      </c>
      <c r="J242" s="34">
        <v>13.2</v>
      </c>
      <c r="K242" s="34">
        <v>18.2</v>
      </c>
      <c r="L242" s="34">
        <v>9.3000000000000007</v>
      </c>
      <c r="M242" s="1">
        <v>30</v>
      </c>
    </row>
    <row r="243" spans="1:13" s="1" customFormat="1" hidden="1" x14ac:dyDescent="0.25">
      <c r="A243" t="s">
        <v>344</v>
      </c>
      <c r="B243" s="34" t="s">
        <v>342</v>
      </c>
      <c r="C243" s="34" t="s">
        <v>225</v>
      </c>
      <c r="D243" s="34" t="s">
        <v>247</v>
      </c>
      <c r="E243" s="34">
        <v>1</v>
      </c>
      <c r="F243">
        <v>5</v>
      </c>
      <c r="G243">
        <v>60</v>
      </c>
      <c r="H243">
        <v>9.5</v>
      </c>
      <c r="I243" s="34">
        <v>7.6</v>
      </c>
      <c r="J243" s="34">
        <v>13.2</v>
      </c>
      <c r="K243" s="34">
        <v>18.2</v>
      </c>
      <c r="L243" s="34">
        <v>9.3000000000000007</v>
      </c>
      <c r="M243" s="1">
        <v>35</v>
      </c>
    </row>
    <row r="244" spans="1:13" s="1" customFormat="1" hidden="1" x14ac:dyDescent="0.25">
      <c r="A244" t="s">
        <v>344</v>
      </c>
      <c r="B244" s="34" t="s">
        <v>342</v>
      </c>
      <c r="C244" s="34" t="s">
        <v>225</v>
      </c>
      <c r="D244" s="34" t="s">
        <v>247</v>
      </c>
      <c r="E244" s="34">
        <v>1</v>
      </c>
      <c r="F244">
        <v>5</v>
      </c>
      <c r="G244">
        <v>70</v>
      </c>
      <c r="H244">
        <v>9.5</v>
      </c>
      <c r="I244" s="34">
        <v>7.6</v>
      </c>
      <c r="J244" s="34">
        <v>13.2</v>
      </c>
      <c r="K244" s="34">
        <v>18.2</v>
      </c>
      <c r="L244" s="34">
        <v>9.3000000000000007</v>
      </c>
      <c r="M244" s="1">
        <v>40</v>
      </c>
    </row>
    <row r="245" spans="1:13" s="1" customFormat="1" hidden="1" x14ac:dyDescent="0.25">
      <c r="A245" t="s">
        <v>344</v>
      </c>
      <c r="B245" s="34" t="s">
        <v>342</v>
      </c>
      <c r="C245" s="34" t="s">
        <v>225</v>
      </c>
      <c r="D245" s="34" t="s">
        <v>247</v>
      </c>
      <c r="E245" s="34">
        <v>1</v>
      </c>
      <c r="F245">
        <v>5</v>
      </c>
      <c r="G245">
        <v>80</v>
      </c>
      <c r="H245">
        <v>9.5</v>
      </c>
      <c r="I245" s="34">
        <v>7.6</v>
      </c>
      <c r="J245" s="34">
        <v>13.2</v>
      </c>
      <c r="K245" s="34">
        <v>18.2</v>
      </c>
      <c r="L245" s="34">
        <v>9.3000000000000007</v>
      </c>
      <c r="M245" s="1">
        <v>40</v>
      </c>
    </row>
    <row r="246" spans="1:13" s="1" customFormat="1" hidden="1" x14ac:dyDescent="0.25">
      <c r="A246" t="s">
        <v>344</v>
      </c>
      <c r="B246" s="34" t="s">
        <v>342</v>
      </c>
      <c r="C246" s="34" t="s">
        <v>225</v>
      </c>
      <c r="D246" s="34" t="s">
        <v>247</v>
      </c>
      <c r="E246" s="34">
        <v>1</v>
      </c>
      <c r="F246">
        <v>5</v>
      </c>
      <c r="G246">
        <v>90</v>
      </c>
      <c r="H246">
        <v>9.5</v>
      </c>
      <c r="I246" s="34">
        <v>7.6</v>
      </c>
      <c r="J246" s="34">
        <v>13.2</v>
      </c>
      <c r="K246" s="34">
        <v>18.2</v>
      </c>
      <c r="L246" s="34">
        <v>9.3000000000000007</v>
      </c>
      <c r="M246" s="1">
        <v>45</v>
      </c>
    </row>
    <row r="247" spans="1:13" s="1" customFormat="1" hidden="1" x14ac:dyDescent="0.25">
      <c r="A247" t="s">
        <v>344</v>
      </c>
      <c r="B247" s="34" t="s">
        <v>342</v>
      </c>
      <c r="C247" s="34" t="s">
        <v>225</v>
      </c>
      <c r="D247" s="34" t="s">
        <v>247</v>
      </c>
      <c r="E247" s="34">
        <v>1</v>
      </c>
      <c r="F247">
        <v>5</v>
      </c>
      <c r="G247">
        <v>100</v>
      </c>
      <c r="H247">
        <v>9.5</v>
      </c>
      <c r="I247" s="34">
        <v>7.6</v>
      </c>
      <c r="J247" s="34">
        <v>13.2</v>
      </c>
      <c r="K247" s="34">
        <v>18.2</v>
      </c>
      <c r="L247" s="34">
        <v>9.3000000000000007</v>
      </c>
      <c r="M247" s="1">
        <v>60</v>
      </c>
    </row>
    <row r="248" spans="1:13" s="1" customFormat="1" hidden="1" x14ac:dyDescent="0.25">
      <c r="A248" t="s">
        <v>344</v>
      </c>
      <c r="B248" s="34" t="s">
        <v>342</v>
      </c>
      <c r="C248" s="34" t="s">
        <v>225</v>
      </c>
      <c r="D248" s="34" t="s">
        <v>247</v>
      </c>
      <c r="E248" s="34">
        <v>1</v>
      </c>
      <c r="F248">
        <v>5</v>
      </c>
      <c r="G248">
        <v>120</v>
      </c>
      <c r="H248">
        <v>9.5</v>
      </c>
      <c r="I248" s="34">
        <v>7.6</v>
      </c>
      <c r="J248" s="34">
        <v>13.2</v>
      </c>
      <c r="K248" s="34">
        <v>18.2</v>
      </c>
      <c r="L248" s="34">
        <v>9.3000000000000007</v>
      </c>
      <c r="M248" s="1">
        <v>60</v>
      </c>
    </row>
    <row r="249" spans="1:13" s="1" customFormat="1" hidden="1" x14ac:dyDescent="0.25">
      <c r="A249" t="s">
        <v>344</v>
      </c>
      <c r="B249" s="34" t="s">
        <v>342</v>
      </c>
      <c r="C249" s="34" t="s">
        <v>225</v>
      </c>
      <c r="D249" s="34" t="s">
        <v>247</v>
      </c>
      <c r="E249" s="34">
        <v>1</v>
      </c>
      <c r="F249">
        <v>6</v>
      </c>
      <c r="G249">
        <v>40</v>
      </c>
      <c r="H249">
        <v>11.6</v>
      </c>
      <c r="I249" s="34">
        <v>12.3</v>
      </c>
      <c r="J249" s="34">
        <v>17.2</v>
      </c>
      <c r="K249" s="34">
        <v>20.3</v>
      </c>
      <c r="L249" s="34">
        <v>12.4</v>
      </c>
      <c r="M249" s="1">
        <v>34</v>
      </c>
    </row>
    <row r="250" spans="1:13" s="1" customFormat="1" hidden="1" x14ac:dyDescent="0.25">
      <c r="A250" t="s">
        <v>344</v>
      </c>
      <c r="B250" s="34" t="s">
        <v>342</v>
      </c>
      <c r="C250" s="34" t="s">
        <v>225</v>
      </c>
      <c r="D250" s="34" t="s">
        <v>247</v>
      </c>
      <c r="E250" s="34">
        <v>1</v>
      </c>
      <c r="F250">
        <v>6</v>
      </c>
      <c r="G250">
        <v>50</v>
      </c>
      <c r="H250">
        <v>11.6</v>
      </c>
      <c r="I250" s="34">
        <v>12.3</v>
      </c>
      <c r="J250" s="34">
        <v>17.2</v>
      </c>
      <c r="K250" s="34">
        <v>20.3</v>
      </c>
      <c r="L250" s="34">
        <v>12.4</v>
      </c>
      <c r="M250" s="1">
        <v>30</v>
      </c>
    </row>
    <row r="251" spans="1:13" s="1" customFormat="1" hidden="1" x14ac:dyDescent="0.25">
      <c r="A251" t="s">
        <v>344</v>
      </c>
      <c r="B251" s="34" t="s">
        <v>342</v>
      </c>
      <c r="C251" s="34" t="s">
        <v>225</v>
      </c>
      <c r="D251" s="34" t="s">
        <v>247</v>
      </c>
      <c r="E251" s="34">
        <v>1</v>
      </c>
      <c r="F251">
        <v>6</v>
      </c>
      <c r="G251">
        <v>60</v>
      </c>
      <c r="H251">
        <v>11.6</v>
      </c>
      <c r="I251" s="34">
        <v>12.3</v>
      </c>
      <c r="J251" s="34">
        <v>17.2</v>
      </c>
      <c r="K251" s="34">
        <v>20.3</v>
      </c>
      <c r="L251" s="34">
        <v>12.4</v>
      </c>
      <c r="M251" s="1">
        <v>35</v>
      </c>
    </row>
    <row r="252" spans="1:13" s="1" customFormat="1" hidden="1" x14ac:dyDescent="0.25">
      <c r="A252" t="s">
        <v>344</v>
      </c>
      <c r="B252" s="34" t="s">
        <v>342</v>
      </c>
      <c r="C252" s="34" t="s">
        <v>225</v>
      </c>
      <c r="D252" s="34" t="s">
        <v>247</v>
      </c>
      <c r="E252" s="34">
        <v>1</v>
      </c>
      <c r="F252">
        <v>6</v>
      </c>
      <c r="G252">
        <v>70</v>
      </c>
      <c r="H252">
        <v>11.6</v>
      </c>
      <c r="I252" s="34">
        <v>12.3</v>
      </c>
      <c r="J252" s="34">
        <v>17.2</v>
      </c>
      <c r="K252" s="34">
        <v>20.3</v>
      </c>
      <c r="L252" s="34">
        <v>12.4</v>
      </c>
      <c r="M252" s="1">
        <v>40</v>
      </c>
    </row>
    <row r="253" spans="1:13" s="1" customFormat="1" hidden="1" x14ac:dyDescent="0.25">
      <c r="A253" t="s">
        <v>344</v>
      </c>
      <c r="B253" s="34" t="s">
        <v>342</v>
      </c>
      <c r="C253" s="34" t="s">
        <v>225</v>
      </c>
      <c r="D253" s="34" t="s">
        <v>247</v>
      </c>
      <c r="E253" s="34">
        <v>1</v>
      </c>
      <c r="F253">
        <v>6</v>
      </c>
      <c r="G253">
        <v>80</v>
      </c>
      <c r="H253">
        <v>11.6</v>
      </c>
      <c r="I253" s="34">
        <v>12.3</v>
      </c>
      <c r="J253" s="34">
        <v>17.2</v>
      </c>
      <c r="K253" s="34">
        <v>20.3</v>
      </c>
      <c r="L253" s="34">
        <v>12.4</v>
      </c>
      <c r="M253" s="1">
        <v>40</v>
      </c>
    </row>
    <row r="254" spans="1:13" s="1" customFormat="1" hidden="1" x14ac:dyDescent="0.25">
      <c r="A254" t="s">
        <v>344</v>
      </c>
      <c r="B254" s="34" t="s">
        <v>342</v>
      </c>
      <c r="C254" s="34" t="s">
        <v>225</v>
      </c>
      <c r="D254" s="34" t="s">
        <v>247</v>
      </c>
      <c r="E254" s="34">
        <v>1</v>
      </c>
      <c r="F254">
        <v>6</v>
      </c>
      <c r="G254">
        <v>90</v>
      </c>
      <c r="H254">
        <v>11.6</v>
      </c>
      <c r="I254" s="34">
        <v>12.3</v>
      </c>
      <c r="J254" s="34">
        <v>17.2</v>
      </c>
      <c r="K254" s="34">
        <v>20.3</v>
      </c>
      <c r="L254" s="34">
        <v>12.4</v>
      </c>
      <c r="M254" s="1">
        <v>45</v>
      </c>
    </row>
    <row r="255" spans="1:13" s="1" customFormat="1" hidden="1" x14ac:dyDescent="0.25">
      <c r="A255" t="s">
        <v>344</v>
      </c>
      <c r="B255" s="34" t="s">
        <v>342</v>
      </c>
      <c r="C255" s="34" t="s">
        <v>225</v>
      </c>
      <c r="D255" s="34" t="s">
        <v>247</v>
      </c>
      <c r="E255" s="34">
        <v>1</v>
      </c>
      <c r="F255">
        <v>6</v>
      </c>
      <c r="G255">
        <v>100</v>
      </c>
      <c r="H255">
        <v>11.6</v>
      </c>
      <c r="I255" s="34">
        <v>12.3</v>
      </c>
      <c r="J255" s="34">
        <v>17.2</v>
      </c>
      <c r="K255" s="34">
        <v>20.3</v>
      </c>
      <c r="L255" s="34">
        <v>12.4</v>
      </c>
      <c r="M255" s="1">
        <v>60</v>
      </c>
    </row>
    <row r="256" spans="1:13" s="1" customFormat="1" hidden="1" x14ac:dyDescent="0.25">
      <c r="A256" t="s">
        <v>344</v>
      </c>
      <c r="B256" s="34" t="s">
        <v>342</v>
      </c>
      <c r="C256" s="34" t="s">
        <v>225</v>
      </c>
      <c r="D256" s="34" t="s">
        <v>247</v>
      </c>
      <c r="E256" s="34">
        <v>1</v>
      </c>
      <c r="F256">
        <v>6</v>
      </c>
      <c r="G256">
        <v>120</v>
      </c>
      <c r="H256">
        <v>11.6</v>
      </c>
      <c r="I256" s="34">
        <v>12.3</v>
      </c>
      <c r="J256" s="34">
        <v>17.2</v>
      </c>
      <c r="K256" s="34">
        <v>20.3</v>
      </c>
      <c r="L256" s="34">
        <v>12.4</v>
      </c>
      <c r="M256" s="1">
        <v>70</v>
      </c>
    </row>
    <row r="257" spans="1:13" s="1" customFormat="1" hidden="1" x14ac:dyDescent="0.25">
      <c r="A257" t="s">
        <v>344</v>
      </c>
      <c r="B257" s="34" t="s">
        <v>342</v>
      </c>
      <c r="C257" s="34" t="s">
        <v>225</v>
      </c>
      <c r="D257" s="34" t="s">
        <v>247</v>
      </c>
      <c r="E257" s="34">
        <v>1</v>
      </c>
      <c r="F257">
        <v>6</v>
      </c>
      <c r="G257">
        <v>140</v>
      </c>
      <c r="H257">
        <v>11.6</v>
      </c>
      <c r="I257" s="34">
        <v>12.3</v>
      </c>
      <c r="J257" s="34">
        <v>17.2</v>
      </c>
      <c r="K257" s="34">
        <v>20.3</v>
      </c>
      <c r="L257" s="34">
        <v>12.4</v>
      </c>
      <c r="M257" s="1">
        <v>70</v>
      </c>
    </row>
    <row r="258" spans="1:13" s="1" customFormat="1" hidden="1" x14ac:dyDescent="0.25">
      <c r="A258" t="s">
        <v>344</v>
      </c>
      <c r="B258" s="34" t="s">
        <v>342</v>
      </c>
      <c r="C258" s="34" t="s">
        <v>225</v>
      </c>
      <c r="D258" s="34" t="s">
        <v>247</v>
      </c>
      <c r="E258" s="34">
        <v>1</v>
      </c>
      <c r="F258">
        <v>6</v>
      </c>
      <c r="G258">
        <v>160</v>
      </c>
      <c r="H258">
        <v>11.6</v>
      </c>
      <c r="I258" s="34">
        <v>12.3</v>
      </c>
      <c r="J258" s="34">
        <v>17.2</v>
      </c>
      <c r="K258" s="34">
        <v>20.3</v>
      </c>
      <c r="L258" s="34">
        <v>12.4</v>
      </c>
      <c r="M258" s="1">
        <v>70</v>
      </c>
    </row>
    <row r="259" spans="1:13" s="1" customFormat="1" hidden="1" x14ac:dyDescent="0.25">
      <c r="A259" t="s">
        <v>344</v>
      </c>
      <c r="B259" s="34" t="s">
        <v>342</v>
      </c>
      <c r="C259" s="34" t="s">
        <v>225</v>
      </c>
      <c r="D259" s="34" t="s">
        <v>247</v>
      </c>
      <c r="E259" s="34">
        <v>1</v>
      </c>
      <c r="F259">
        <v>6</v>
      </c>
      <c r="G259">
        <v>180</v>
      </c>
      <c r="H259">
        <v>11.6</v>
      </c>
      <c r="I259" s="34">
        <v>12.3</v>
      </c>
      <c r="J259" s="34">
        <v>17.2</v>
      </c>
      <c r="K259" s="34">
        <v>20.3</v>
      </c>
      <c r="L259" s="34">
        <v>12.4</v>
      </c>
      <c r="M259" s="1">
        <v>70</v>
      </c>
    </row>
    <row r="260" spans="1:13" s="1" customFormat="1" hidden="1" x14ac:dyDescent="0.25">
      <c r="A260" t="s">
        <v>344</v>
      </c>
      <c r="B260" s="34" t="s">
        <v>342</v>
      </c>
      <c r="C260" s="34" t="s">
        <v>226</v>
      </c>
      <c r="D260" s="34" t="s">
        <v>250</v>
      </c>
      <c r="E260" s="34">
        <v>1</v>
      </c>
      <c r="F260">
        <v>4</v>
      </c>
      <c r="G260">
        <v>30</v>
      </c>
      <c r="H260">
        <v>7.3</v>
      </c>
      <c r="I260" s="34">
        <v>3.5</v>
      </c>
      <c r="J260" s="34">
        <v>13.8</v>
      </c>
      <c r="K260" s="34"/>
      <c r="L260" s="34">
        <v>6</v>
      </c>
      <c r="M260" s="1">
        <v>24</v>
      </c>
    </row>
    <row r="261" spans="1:13" s="1" customFormat="1" hidden="1" x14ac:dyDescent="0.25">
      <c r="A261" t="s">
        <v>344</v>
      </c>
      <c r="B261" s="34" t="s">
        <v>342</v>
      </c>
      <c r="C261" s="34" t="s">
        <v>226</v>
      </c>
      <c r="D261" s="34" t="s">
        <v>250</v>
      </c>
      <c r="E261" s="34">
        <v>1</v>
      </c>
      <c r="F261">
        <v>5</v>
      </c>
      <c r="G261">
        <v>25</v>
      </c>
      <c r="H261">
        <v>8.3000000000000007</v>
      </c>
      <c r="I261" s="34">
        <v>5</v>
      </c>
      <c r="J261" s="34">
        <v>15</v>
      </c>
      <c r="K261" s="34"/>
      <c r="L261" s="34">
        <v>6.8</v>
      </c>
      <c r="M261" s="1">
        <v>19</v>
      </c>
    </row>
    <row r="262" spans="1:13" s="1" customFormat="1" hidden="1" x14ac:dyDescent="0.25">
      <c r="A262" t="s">
        <v>344</v>
      </c>
      <c r="B262" s="34" t="s">
        <v>342</v>
      </c>
      <c r="C262" s="34" t="s">
        <v>226</v>
      </c>
      <c r="D262" s="34" t="s">
        <v>250</v>
      </c>
      <c r="E262" s="34">
        <v>1</v>
      </c>
      <c r="F262">
        <v>5</v>
      </c>
      <c r="G262">
        <v>35</v>
      </c>
      <c r="H262">
        <v>8.3000000000000007</v>
      </c>
      <c r="I262" s="34">
        <v>5</v>
      </c>
      <c r="J262" s="34">
        <v>15</v>
      </c>
      <c r="K262" s="34"/>
      <c r="L262" s="34">
        <v>6.8</v>
      </c>
      <c r="M262" s="1">
        <v>29</v>
      </c>
    </row>
    <row r="263" spans="1:13" s="1" customFormat="1" hidden="1" x14ac:dyDescent="0.25">
      <c r="A263" t="s">
        <v>344</v>
      </c>
      <c r="B263" s="34" t="s">
        <v>342</v>
      </c>
      <c r="C263" s="34" t="s">
        <v>226</v>
      </c>
      <c r="D263" s="34" t="s">
        <v>250</v>
      </c>
      <c r="E263" s="34">
        <v>1</v>
      </c>
      <c r="F263">
        <v>5</v>
      </c>
      <c r="G263">
        <v>40</v>
      </c>
      <c r="H263">
        <v>8.3000000000000007</v>
      </c>
      <c r="I263" s="34">
        <v>5</v>
      </c>
      <c r="J263" s="34">
        <v>15</v>
      </c>
      <c r="K263" s="34"/>
      <c r="L263" s="34">
        <v>6.8</v>
      </c>
      <c r="M263" s="1">
        <v>34</v>
      </c>
    </row>
    <row r="264" spans="1:13" s="1" customFormat="1" hidden="1" x14ac:dyDescent="0.25">
      <c r="A264" t="s">
        <v>344</v>
      </c>
      <c r="B264" s="34" t="s">
        <v>342</v>
      </c>
      <c r="C264" s="34" t="s">
        <v>226</v>
      </c>
      <c r="D264" s="34" t="s">
        <v>250</v>
      </c>
      <c r="E264" s="34">
        <v>1</v>
      </c>
      <c r="F264">
        <v>5</v>
      </c>
      <c r="G264">
        <v>50</v>
      </c>
      <c r="H264">
        <v>8.3000000000000007</v>
      </c>
      <c r="I264" s="34">
        <v>5</v>
      </c>
      <c r="J264" s="34">
        <v>15</v>
      </c>
      <c r="K264" s="34"/>
      <c r="L264" s="34">
        <v>6.8</v>
      </c>
      <c r="M264" s="1">
        <v>44</v>
      </c>
    </row>
    <row r="265" spans="1:13" s="1" customFormat="1" hidden="1" x14ac:dyDescent="0.25">
      <c r="A265" t="s">
        <v>344</v>
      </c>
      <c r="B265" s="34" t="s">
        <v>342</v>
      </c>
      <c r="C265" s="34" t="s">
        <v>226</v>
      </c>
      <c r="D265" s="34" t="s">
        <v>250</v>
      </c>
      <c r="E265" s="34">
        <v>1</v>
      </c>
      <c r="F265">
        <v>5</v>
      </c>
      <c r="G265">
        <v>80</v>
      </c>
      <c r="H265">
        <v>8.3000000000000007</v>
      </c>
      <c r="I265" s="34">
        <v>5</v>
      </c>
      <c r="J265" s="34">
        <v>15</v>
      </c>
      <c r="K265" s="34"/>
      <c r="L265" s="34">
        <v>6.8</v>
      </c>
      <c r="M265" s="1">
        <v>74</v>
      </c>
    </row>
    <row r="266" spans="1:13" s="1" customFormat="1" hidden="1" x14ac:dyDescent="0.25">
      <c r="A266" t="s">
        <v>344</v>
      </c>
      <c r="B266" s="34" t="s">
        <v>342</v>
      </c>
      <c r="C266" s="34" t="s">
        <v>227</v>
      </c>
      <c r="D266" s="34" t="s">
        <v>250</v>
      </c>
      <c r="E266" s="34">
        <v>3</v>
      </c>
      <c r="F266">
        <v>5</v>
      </c>
      <c r="G266">
        <v>25</v>
      </c>
      <c r="H266">
        <v>8.3000000000000007</v>
      </c>
      <c r="I266" s="34">
        <v>5</v>
      </c>
      <c r="J266" s="34">
        <v>15</v>
      </c>
      <c r="K266" s="34"/>
      <c r="L266" s="34">
        <v>6.8</v>
      </c>
      <c r="M266" s="1">
        <v>19</v>
      </c>
    </row>
    <row r="267" spans="1:13" s="1" customFormat="1" hidden="1" x14ac:dyDescent="0.25">
      <c r="A267" t="s">
        <v>344</v>
      </c>
      <c r="B267" s="34" t="s">
        <v>342</v>
      </c>
      <c r="C267" s="34" t="s">
        <v>227</v>
      </c>
      <c r="D267" s="34" t="s">
        <v>250</v>
      </c>
      <c r="E267" s="34">
        <v>3</v>
      </c>
      <c r="F267">
        <v>5</v>
      </c>
      <c r="G267">
        <v>35</v>
      </c>
      <c r="H267">
        <v>8.3000000000000007</v>
      </c>
      <c r="I267" s="34">
        <v>5</v>
      </c>
      <c r="J267" s="34">
        <v>15</v>
      </c>
      <c r="K267" s="34"/>
      <c r="L267" s="34">
        <v>6.8</v>
      </c>
      <c r="M267" s="1">
        <v>29</v>
      </c>
    </row>
    <row r="268" spans="1:13" s="1" customFormat="1" hidden="1" x14ac:dyDescent="0.25">
      <c r="A268" t="s">
        <v>344</v>
      </c>
      <c r="B268" s="34" t="s">
        <v>342</v>
      </c>
      <c r="C268" s="34" t="s">
        <v>227</v>
      </c>
      <c r="D268" s="34" t="s">
        <v>250</v>
      </c>
      <c r="E268" s="34">
        <v>3</v>
      </c>
      <c r="F268">
        <v>5</v>
      </c>
      <c r="G268">
        <v>40</v>
      </c>
      <c r="H268">
        <v>8.3000000000000007</v>
      </c>
      <c r="I268" s="34">
        <v>5</v>
      </c>
      <c r="J268" s="34">
        <v>15</v>
      </c>
      <c r="K268" s="34"/>
      <c r="L268" s="34">
        <v>6.8</v>
      </c>
      <c r="M268" s="1">
        <v>34</v>
      </c>
    </row>
    <row r="269" spans="1:13" s="1" customFormat="1" hidden="1" x14ac:dyDescent="0.25">
      <c r="A269" t="s">
        <v>344</v>
      </c>
      <c r="B269" s="34" t="s">
        <v>342</v>
      </c>
      <c r="C269" s="34" t="s">
        <v>228</v>
      </c>
      <c r="D269" s="34" t="s">
        <v>250</v>
      </c>
      <c r="E269" s="34">
        <v>3</v>
      </c>
      <c r="F269">
        <v>5</v>
      </c>
      <c r="G269">
        <v>35</v>
      </c>
      <c r="H269">
        <v>8.3000000000000007</v>
      </c>
      <c r="I269" s="34">
        <v>5</v>
      </c>
      <c r="J269" s="34">
        <v>15</v>
      </c>
      <c r="K269" s="34"/>
      <c r="L269" s="34">
        <v>6.8</v>
      </c>
      <c r="M269" s="1">
        <v>29</v>
      </c>
    </row>
    <row r="270" spans="1:13" s="1" customFormat="1" hidden="1" x14ac:dyDescent="0.25">
      <c r="A270" t="s">
        <v>344</v>
      </c>
      <c r="B270" s="34" t="s">
        <v>342</v>
      </c>
      <c r="C270" s="34" t="s">
        <v>228</v>
      </c>
      <c r="D270" s="34" t="s">
        <v>250</v>
      </c>
      <c r="E270" s="34">
        <v>3</v>
      </c>
      <c r="F270">
        <v>5</v>
      </c>
      <c r="G270">
        <v>40</v>
      </c>
      <c r="H270">
        <v>8.3000000000000007</v>
      </c>
      <c r="I270" s="34">
        <v>5</v>
      </c>
      <c r="J270" s="34">
        <v>15</v>
      </c>
      <c r="K270" s="34"/>
      <c r="L270" s="34">
        <v>6.8</v>
      </c>
      <c r="M270" s="1">
        <v>34</v>
      </c>
    </row>
    <row r="271" spans="1:13" s="1" customFormat="1" hidden="1" x14ac:dyDescent="0.25">
      <c r="A271" t="s">
        <v>344</v>
      </c>
      <c r="B271" s="34" t="s">
        <v>342</v>
      </c>
      <c r="C271" s="34" t="s">
        <v>229</v>
      </c>
      <c r="D271" s="34" t="s">
        <v>251</v>
      </c>
      <c r="E271" s="34">
        <v>3</v>
      </c>
      <c r="F271">
        <v>8</v>
      </c>
      <c r="G271">
        <v>40</v>
      </c>
      <c r="H271">
        <v>13</v>
      </c>
      <c r="I271" s="34">
        <v>32.6</v>
      </c>
      <c r="J271" s="34">
        <v>14.1</v>
      </c>
      <c r="K271" s="34">
        <v>27.3</v>
      </c>
      <c r="L271" s="34">
        <v>22.1</v>
      </c>
      <c r="M271" s="1">
        <v>32</v>
      </c>
    </row>
    <row r="272" spans="1:13" s="1" customFormat="1" hidden="1" x14ac:dyDescent="0.25">
      <c r="A272" t="s">
        <v>344</v>
      </c>
      <c r="B272" s="34" t="s">
        <v>342</v>
      </c>
      <c r="C272" s="34" t="s">
        <v>229</v>
      </c>
      <c r="D272" s="34" t="s">
        <v>251</v>
      </c>
      <c r="E272" s="34">
        <v>3</v>
      </c>
      <c r="F272">
        <v>8</v>
      </c>
      <c r="G272">
        <v>60</v>
      </c>
      <c r="H272">
        <v>13</v>
      </c>
      <c r="I272" s="34">
        <v>32.6</v>
      </c>
      <c r="J272" s="34">
        <v>14.1</v>
      </c>
      <c r="K272" s="34">
        <v>27.3</v>
      </c>
      <c r="L272" s="34">
        <v>22.1</v>
      </c>
      <c r="M272" s="1">
        <v>42</v>
      </c>
    </row>
    <row r="273" spans="1:13" s="1" customFormat="1" hidden="1" x14ac:dyDescent="0.25">
      <c r="A273" t="s">
        <v>344</v>
      </c>
      <c r="B273" s="34" t="s">
        <v>342</v>
      </c>
      <c r="C273" s="34" t="s">
        <v>229</v>
      </c>
      <c r="D273" s="34" t="s">
        <v>251</v>
      </c>
      <c r="E273" s="34">
        <v>3</v>
      </c>
      <c r="F273">
        <v>8</v>
      </c>
      <c r="G273">
        <v>80</v>
      </c>
      <c r="H273">
        <v>13</v>
      </c>
      <c r="I273" s="34">
        <v>32.6</v>
      </c>
      <c r="J273" s="34">
        <v>14.1</v>
      </c>
      <c r="K273" s="34">
        <v>27.3</v>
      </c>
      <c r="L273" s="34">
        <v>22.1</v>
      </c>
      <c r="M273" s="1">
        <v>42</v>
      </c>
    </row>
    <row r="274" spans="1:13" s="1" customFormat="1" hidden="1" x14ac:dyDescent="0.25">
      <c r="A274" t="s">
        <v>344</v>
      </c>
      <c r="B274" s="34" t="s">
        <v>342</v>
      </c>
      <c r="C274" s="34" t="s">
        <v>229</v>
      </c>
      <c r="D274" s="34" t="s">
        <v>251</v>
      </c>
      <c r="E274" s="34">
        <v>3</v>
      </c>
      <c r="F274">
        <v>10</v>
      </c>
      <c r="G274">
        <v>40</v>
      </c>
      <c r="H274">
        <v>15</v>
      </c>
      <c r="I274" s="34">
        <v>43.5</v>
      </c>
      <c r="J274" s="34">
        <v>12.6</v>
      </c>
      <c r="K274" s="34">
        <v>25.8</v>
      </c>
      <c r="L274" s="34">
        <v>32.299999999999997</v>
      </c>
      <c r="M274" s="1">
        <v>32</v>
      </c>
    </row>
    <row r="275" spans="1:13" s="1" customFormat="1" hidden="1" x14ac:dyDescent="0.25">
      <c r="A275" t="s">
        <v>344</v>
      </c>
      <c r="B275" s="34" t="s">
        <v>342</v>
      </c>
      <c r="C275" s="34" t="s">
        <v>229</v>
      </c>
      <c r="D275" s="34" t="s">
        <v>251</v>
      </c>
      <c r="E275" s="34">
        <v>3</v>
      </c>
      <c r="F275">
        <v>10</v>
      </c>
      <c r="G275">
        <v>60</v>
      </c>
      <c r="H275">
        <v>15</v>
      </c>
      <c r="I275" s="34">
        <v>43.5</v>
      </c>
      <c r="J275" s="34">
        <v>12.6</v>
      </c>
      <c r="K275" s="34">
        <v>25.8</v>
      </c>
      <c r="L275" s="34">
        <v>32.299999999999997</v>
      </c>
      <c r="M275" s="1">
        <v>42</v>
      </c>
    </row>
    <row r="276" spans="1:13" s="1" customFormat="1" hidden="1" x14ac:dyDescent="0.25">
      <c r="A276" t="s">
        <v>344</v>
      </c>
      <c r="B276" s="34" t="s">
        <v>342</v>
      </c>
      <c r="C276" s="34" t="s">
        <v>229</v>
      </c>
      <c r="D276" s="34" t="s">
        <v>251</v>
      </c>
      <c r="E276" s="34">
        <v>3</v>
      </c>
      <c r="F276">
        <v>10</v>
      </c>
      <c r="G276">
        <v>80</v>
      </c>
      <c r="H276">
        <v>15</v>
      </c>
      <c r="I276" s="34">
        <v>43.5</v>
      </c>
      <c r="J276" s="34">
        <v>12.6</v>
      </c>
      <c r="K276" s="34">
        <v>25.8</v>
      </c>
      <c r="L276" s="34">
        <v>32.299999999999997</v>
      </c>
      <c r="M276" s="1">
        <v>42</v>
      </c>
    </row>
    <row r="277" spans="1:13" s="1" customFormat="1" hidden="1" x14ac:dyDescent="0.25">
      <c r="A277" t="s">
        <v>344</v>
      </c>
      <c r="B277" s="34" t="s">
        <v>342</v>
      </c>
      <c r="C277" s="34" t="s">
        <v>230</v>
      </c>
      <c r="D277" s="34" t="s">
        <v>252</v>
      </c>
      <c r="E277" s="34">
        <v>3</v>
      </c>
      <c r="F277">
        <v>6</v>
      </c>
      <c r="G277">
        <v>40</v>
      </c>
      <c r="H277">
        <v>10</v>
      </c>
      <c r="I277" s="34">
        <v>12.4</v>
      </c>
      <c r="J277" s="34">
        <v>16.899999999999999</v>
      </c>
      <c r="K277" s="34">
        <v>31.8</v>
      </c>
      <c r="L277" s="34">
        <v>12.8</v>
      </c>
      <c r="M277" s="1">
        <v>23</v>
      </c>
    </row>
    <row r="278" spans="1:13" s="1" customFormat="1" hidden="1" x14ac:dyDescent="0.25">
      <c r="A278" t="s">
        <v>344</v>
      </c>
      <c r="B278" s="34" t="s">
        <v>342</v>
      </c>
      <c r="C278" s="34" t="s">
        <v>230</v>
      </c>
      <c r="D278" s="34" t="s">
        <v>252</v>
      </c>
      <c r="E278" s="34">
        <v>3</v>
      </c>
      <c r="F278">
        <v>6</v>
      </c>
      <c r="G278">
        <v>50</v>
      </c>
      <c r="H278">
        <v>10</v>
      </c>
      <c r="I278" s="34">
        <v>12.4</v>
      </c>
      <c r="J278" s="34">
        <v>16.899999999999999</v>
      </c>
      <c r="K278" s="34">
        <v>31.8</v>
      </c>
      <c r="L278" s="34">
        <v>12.8</v>
      </c>
      <c r="M278" s="1">
        <v>33</v>
      </c>
    </row>
    <row r="279" spans="1:13" s="1" customFormat="1" hidden="1" x14ac:dyDescent="0.25">
      <c r="A279" t="s">
        <v>344</v>
      </c>
      <c r="B279" s="34" t="s">
        <v>342</v>
      </c>
      <c r="C279" s="34" t="s">
        <v>230</v>
      </c>
      <c r="D279" s="34" t="s">
        <v>252</v>
      </c>
      <c r="E279" s="34">
        <v>3</v>
      </c>
      <c r="F279">
        <v>6</v>
      </c>
      <c r="G279">
        <v>60</v>
      </c>
      <c r="H279">
        <v>10</v>
      </c>
      <c r="I279" s="34">
        <v>12.4</v>
      </c>
      <c r="J279" s="34">
        <v>16.899999999999999</v>
      </c>
      <c r="K279" s="34">
        <v>31.8</v>
      </c>
      <c r="L279" s="34">
        <v>12.8</v>
      </c>
      <c r="M279" s="1">
        <v>42</v>
      </c>
    </row>
    <row r="280" spans="1:13" s="1" customFormat="1" hidden="1" x14ac:dyDescent="0.25">
      <c r="A280" t="s">
        <v>344</v>
      </c>
      <c r="B280" s="34" t="s">
        <v>342</v>
      </c>
      <c r="C280" s="34" t="s">
        <v>230</v>
      </c>
      <c r="D280" s="34" t="s">
        <v>252</v>
      </c>
      <c r="E280" s="34">
        <v>3</v>
      </c>
      <c r="F280">
        <v>6</v>
      </c>
      <c r="G280">
        <v>75</v>
      </c>
      <c r="H280">
        <v>10</v>
      </c>
      <c r="I280" s="34">
        <v>12.4</v>
      </c>
      <c r="J280" s="34">
        <v>16.899999999999999</v>
      </c>
      <c r="K280" s="34">
        <v>31.8</v>
      </c>
      <c r="L280" s="34">
        <v>12.8</v>
      </c>
      <c r="M280" s="1">
        <v>42</v>
      </c>
    </row>
    <row r="281" spans="1:13" s="1" customFormat="1" hidden="1" x14ac:dyDescent="0.25">
      <c r="A281" t="s">
        <v>344</v>
      </c>
      <c r="B281" s="34" t="s">
        <v>342</v>
      </c>
      <c r="C281" s="34" t="s">
        <v>230</v>
      </c>
      <c r="D281" s="34" t="s">
        <v>252</v>
      </c>
      <c r="E281" s="34">
        <v>3</v>
      </c>
      <c r="F281">
        <v>6</v>
      </c>
      <c r="G281">
        <v>90</v>
      </c>
      <c r="H281">
        <v>10</v>
      </c>
      <c r="I281" s="34">
        <v>12.4</v>
      </c>
      <c r="J281" s="34">
        <v>16.899999999999999</v>
      </c>
      <c r="K281" s="34">
        <v>31.8</v>
      </c>
      <c r="L281" s="34">
        <v>12.8</v>
      </c>
      <c r="M281" s="1">
        <v>42</v>
      </c>
    </row>
    <row r="282" spans="1:13" s="1" customFormat="1" hidden="1" x14ac:dyDescent="0.25">
      <c r="A282" t="s">
        <v>344</v>
      </c>
      <c r="B282" s="34" t="s">
        <v>342</v>
      </c>
      <c r="C282" s="34" t="s">
        <v>230</v>
      </c>
      <c r="D282" s="34" t="s">
        <v>252</v>
      </c>
      <c r="E282" s="34">
        <v>3</v>
      </c>
      <c r="F282">
        <v>6</v>
      </c>
      <c r="G282">
        <v>120</v>
      </c>
      <c r="H282">
        <v>10</v>
      </c>
      <c r="I282" s="34">
        <v>12.4</v>
      </c>
      <c r="J282" s="34">
        <v>16.899999999999999</v>
      </c>
      <c r="K282" s="34">
        <v>31.8</v>
      </c>
      <c r="L282" s="34">
        <v>12.8</v>
      </c>
      <c r="M282" s="1">
        <v>75</v>
      </c>
    </row>
    <row r="283" spans="1:13" s="1" customFormat="1" hidden="1" x14ac:dyDescent="0.25">
      <c r="A283" t="s">
        <v>344</v>
      </c>
      <c r="B283" s="34" t="s">
        <v>342</v>
      </c>
      <c r="C283" s="34" t="s">
        <v>230</v>
      </c>
      <c r="D283" s="34" t="s">
        <v>252</v>
      </c>
      <c r="E283" s="34">
        <v>3</v>
      </c>
      <c r="F283">
        <v>8</v>
      </c>
      <c r="G283">
        <v>40</v>
      </c>
      <c r="H283">
        <v>13</v>
      </c>
      <c r="I283" s="34">
        <v>29.4</v>
      </c>
      <c r="J283" s="34">
        <v>15.6</v>
      </c>
      <c r="K283" s="34">
        <v>22</v>
      </c>
      <c r="L283" s="34">
        <v>23.2</v>
      </c>
      <c r="M283" s="1">
        <v>32</v>
      </c>
    </row>
    <row r="284" spans="1:13" s="1" customFormat="1" hidden="1" x14ac:dyDescent="0.25">
      <c r="A284" t="s">
        <v>344</v>
      </c>
      <c r="B284" s="34" t="s">
        <v>342</v>
      </c>
      <c r="C284" s="34" t="s">
        <v>230</v>
      </c>
      <c r="D284" s="34" t="s">
        <v>252</v>
      </c>
      <c r="E284" s="34">
        <v>3</v>
      </c>
      <c r="F284">
        <v>8</v>
      </c>
      <c r="G284">
        <v>50</v>
      </c>
      <c r="H284">
        <v>13</v>
      </c>
      <c r="I284" s="34">
        <v>29.4</v>
      </c>
      <c r="J284" s="34">
        <v>15.6</v>
      </c>
      <c r="K284" s="34">
        <v>22</v>
      </c>
      <c r="L284" s="34">
        <v>23.2</v>
      </c>
      <c r="M284" s="1">
        <v>42</v>
      </c>
    </row>
    <row r="285" spans="1:13" s="1" customFormat="1" hidden="1" x14ac:dyDescent="0.25">
      <c r="A285" t="s">
        <v>344</v>
      </c>
      <c r="B285" s="34" t="s">
        <v>342</v>
      </c>
      <c r="C285" s="34" t="s">
        <v>230</v>
      </c>
      <c r="D285" s="34" t="s">
        <v>252</v>
      </c>
      <c r="E285" s="34">
        <v>3</v>
      </c>
      <c r="F285">
        <v>8</v>
      </c>
      <c r="G285">
        <v>60</v>
      </c>
      <c r="H285">
        <v>13</v>
      </c>
      <c r="I285" s="34">
        <v>29.4</v>
      </c>
      <c r="J285" s="34">
        <v>15.6</v>
      </c>
      <c r="K285" s="34">
        <v>22</v>
      </c>
      <c r="L285" s="34">
        <v>23.2</v>
      </c>
      <c r="M285" s="1">
        <v>42</v>
      </c>
    </row>
    <row r="286" spans="1:13" s="1" customFormat="1" hidden="1" x14ac:dyDescent="0.25">
      <c r="A286" t="s">
        <v>344</v>
      </c>
      <c r="B286" s="34" t="s">
        <v>342</v>
      </c>
      <c r="C286" s="34" t="s">
        <v>230</v>
      </c>
      <c r="D286" s="34" t="s">
        <v>252</v>
      </c>
      <c r="E286" s="34">
        <v>3</v>
      </c>
      <c r="F286">
        <v>8</v>
      </c>
      <c r="G286">
        <v>80</v>
      </c>
      <c r="H286">
        <v>13</v>
      </c>
      <c r="I286" s="34">
        <v>29.4</v>
      </c>
      <c r="J286" s="34">
        <v>15.6</v>
      </c>
      <c r="K286" s="34">
        <v>22</v>
      </c>
      <c r="L286" s="34">
        <v>23.2</v>
      </c>
      <c r="M286" s="1">
        <v>42</v>
      </c>
    </row>
    <row r="287" spans="1:13" s="1" customFormat="1" hidden="1" x14ac:dyDescent="0.25">
      <c r="A287" t="s">
        <v>344</v>
      </c>
      <c r="B287" s="34" t="s">
        <v>342</v>
      </c>
      <c r="C287" s="34" t="s">
        <v>230</v>
      </c>
      <c r="D287" s="34" t="s">
        <v>252</v>
      </c>
      <c r="E287" s="34">
        <v>3</v>
      </c>
      <c r="F287">
        <v>8</v>
      </c>
      <c r="G287">
        <v>90</v>
      </c>
      <c r="H287">
        <v>13</v>
      </c>
      <c r="I287" s="34">
        <v>29.4</v>
      </c>
      <c r="J287" s="34">
        <v>15.6</v>
      </c>
      <c r="K287" s="34">
        <v>22</v>
      </c>
      <c r="L287" s="34">
        <v>23.2</v>
      </c>
      <c r="M287" s="1">
        <v>42</v>
      </c>
    </row>
    <row r="288" spans="1:13" s="1" customFormat="1" hidden="1" x14ac:dyDescent="0.25">
      <c r="A288" t="s">
        <v>344</v>
      </c>
      <c r="B288" s="34" t="s">
        <v>342</v>
      </c>
      <c r="C288" s="34" t="s">
        <v>230</v>
      </c>
      <c r="D288" s="34" t="s">
        <v>252</v>
      </c>
      <c r="E288" s="34">
        <v>3</v>
      </c>
      <c r="F288">
        <v>8</v>
      </c>
      <c r="G288">
        <v>100</v>
      </c>
      <c r="H288">
        <v>13</v>
      </c>
      <c r="I288" s="34">
        <v>29.4</v>
      </c>
      <c r="J288" s="34">
        <v>15.6</v>
      </c>
      <c r="K288" s="34">
        <v>22</v>
      </c>
      <c r="L288" s="34">
        <v>23.2</v>
      </c>
      <c r="M288" s="1">
        <v>55</v>
      </c>
    </row>
    <row r="289" spans="1:13" s="1" customFormat="1" hidden="1" x14ac:dyDescent="0.25">
      <c r="A289" t="s">
        <v>344</v>
      </c>
      <c r="B289" s="34" t="s">
        <v>342</v>
      </c>
      <c r="C289" s="34" t="s">
        <v>230</v>
      </c>
      <c r="D289" s="34" t="s">
        <v>252</v>
      </c>
      <c r="E289" s="34">
        <v>3</v>
      </c>
      <c r="F289">
        <v>8</v>
      </c>
      <c r="G289">
        <v>120</v>
      </c>
      <c r="H289">
        <v>13</v>
      </c>
      <c r="I289" s="34">
        <v>29.4</v>
      </c>
      <c r="J289" s="34">
        <v>15.6</v>
      </c>
      <c r="K289" s="34">
        <v>22</v>
      </c>
      <c r="L289" s="34">
        <v>23.2</v>
      </c>
      <c r="M289" s="1">
        <v>85</v>
      </c>
    </row>
    <row r="290" spans="1:13" s="1" customFormat="1" hidden="1" x14ac:dyDescent="0.25">
      <c r="A290" t="s">
        <v>344</v>
      </c>
      <c r="B290" s="34" t="s">
        <v>342</v>
      </c>
      <c r="C290" s="34" t="s">
        <v>230</v>
      </c>
      <c r="D290" s="34" t="s">
        <v>252</v>
      </c>
      <c r="E290" s="34">
        <v>3</v>
      </c>
      <c r="F290">
        <v>8</v>
      </c>
      <c r="G290">
        <v>140</v>
      </c>
      <c r="H290">
        <v>13</v>
      </c>
      <c r="I290" s="34">
        <v>29.4</v>
      </c>
      <c r="J290" s="34">
        <v>15.6</v>
      </c>
      <c r="K290" s="34">
        <v>22</v>
      </c>
      <c r="L290" s="34">
        <v>23.2</v>
      </c>
      <c r="M290" s="1">
        <v>85</v>
      </c>
    </row>
    <row r="291" spans="1:13" s="1" customFormat="1" hidden="1" x14ac:dyDescent="0.25">
      <c r="A291" t="s">
        <v>344</v>
      </c>
      <c r="B291" s="34" t="s">
        <v>342</v>
      </c>
      <c r="C291" s="34" t="s">
        <v>230</v>
      </c>
      <c r="D291" s="34" t="s">
        <v>252</v>
      </c>
      <c r="E291" s="34">
        <v>3</v>
      </c>
      <c r="F291">
        <v>10</v>
      </c>
      <c r="G291">
        <v>40</v>
      </c>
      <c r="H291">
        <v>15</v>
      </c>
      <c r="I291" s="34">
        <v>50.3</v>
      </c>
      <c r="J291" s="34">
        <v>13.2</v>
      </c>
      <c r="K291" s="34">
        <v>20.100000000000001</v>
      </c>
      <c r="L291" s="34">
        <v>32</v>
      </c>
      <c r="M291" s="1">
        <v>32</v>
      </c>
    </row>
    <row r="292" spans="1:13" s="1" customFormat="1" hidden="1" x14ac:dyDescent="0.25">
      <c r="A292" t="s">
        <v>344</v>
      </c>
      <c r="B292" s="34" t="s">
        <v>342</v>
      </c>
      <c r="C292" s="34" t="s">
        <v>230</v>
      </c>
      <c r="D292" s="34" t="s">
        <v>252</v>
      </c>
      <c r="E292" s="34">
        <v>3</v>
      </c>
      <c r="F292">
        <v>10</v>
      </c>
      <c r="G292">
        <v>50</v>
      </c>
      <c r="H292">
        <v>15</v>
      </c>
      <c r="I292" s="34">
        <v>50.3</v>
      </c>
      <c r="J292" s="34">
        <v>13.2</v>
      </c>
      <c r="K292" s="34">
        <v>20.100000000000001</v>
      </c>
      <c r="L292" s="34">
        <v>32</v>
      </c>
      <c r="M292" s="1">
        <v>42</v>
      </c>
    </row>
    <row r="293" spans="1:13" s="1" customFormat="1" hidden="1" x14ac:dyDescent="0.25">
      <c r="A293" t="s">
        <v>344</v>
      </c>
      <c r="B293" s="34" t="s">
        <v>342</v>
      </c>
      <c r="C293" s="34" t="s">
        <v>230</v>
      </c>
      <c r="D293" s="34" t="s">
        <v>252</v>
      </c>
      <c r="E293" s="34">
        <v>3</v>
      </c>
      <c r="F293">
        <v>10</v>
      </c>
      <c r="G293">
        <v>60</v>
      </c>
      <c r="H293">
        <v>15</v>
      </c>
      <c r="I293" s="34">
        <v>50.3</v>
      </c>
      <c r="J293" s="34">
        <v>13.2</v>
      </c>
      <c r="K293" s="34">
        <v>20.100000000000001</v>
      </c>
      <c r="L293" s="34">
        <v>32</v>
      </c>
      <c r="M293" s="1">
        <v>42</v>
      </c>
    </row>
    <row r="294" spans="1:13" s="1" customFormat="1" hidden="1" x14ac:dyDescent="0.25">
      <c r="A294" t="s">
        <v>344</v>
      </c>
      <c r="B294" s="34" t="s">
        <v>342</v>
      </c>
      <c r="C294" s="34" t="s">
        <v>230</v>
      </c>
      <c r="D294" s="34" t="s">
        <v>252</v>
      </c>
      <c r="E294" s="34">
        <v>3</v>
      </c>
      <c r="F294">
        <v>10</v>
      </c>
      <c r="G294">
        <v>80</v>
      </c>
      <c r="H294">
        <v>15</v>
      </c>
      <c r="I294" s="34">
        <v>50.3</v>
      </c>
      <c r="J294" s="34">
        <v>13.2</v>
      </c>
      <c r="K294" s="34">
        <v>20.100000000000001</v>
      </c>
      <c r="L294" s="34">
        <v>32</v>
      </c>
      <c r="M294" s="1">
        <v>42</v>
      </c>
    </row>
    <row r="295" spans="1:13" s="1" customFormat="1" hidden="1" x14ac:dyDescent="0.25">
      <c r="A295" t="s">
        <v>344</v>
      </c>
      <c r="B295" s="34" t="s">
        <v>342</v>
      </c>
      <c r="C295" s="34" t="s">
        <v>230</v>
      </c>
      <c r="D295" s="34" t="s">
        <v>252</v>
      </c>
      <c r="E295" s="34">
        <v>3</v>
      </c>
      <c r="F295">
        <v>10</v>
      </c>
      <c r="G295">
        <v>90</v>
      </c>
      <c r="H295">
        <v>15</v>
      </c>
      <c r="I295" s="34">
        <v>50.3</v>
      </c>
      <c r="J295" s="34">
        <v>13.2</v>
      </c>
      <c r="K295" s="34">
        <v>20.100000000000001</v>
      </c>
      <c r="L295" s="34">
        <v>32</v>
      </c>
      <c r="M295" s="1">
        <v>42</v>
      </c>
    </row>
    <row r="296" spans="1:13" s="1" customFormat="1" hidden="1" x14ac:dyDescent="0.25">
      <c r="A296" t="s">
        <v>344</v>
      </c>
      <c r="B296" s="34" t="s">
        <v>342</v>
      </c>
      <c r="C296" s="34" t="s">
        <v>230</v>
      </c>
      <c r="D296" s="34" t="s">
        <v>252</v>
      </c>
      <c r="E296" s="34">
        <v>3</v>
      </c>
      <c r="F296">
        <v>10</v>
      </c>
      <c r="G296">
        <v>100</v>
      </c>
      <c r="H296">
        <v>15</v>
      </c>
      <c r="I296" s="34">
        <v>50.3</v>
      </c>
      <c r="J296" s="34">
        <v>13.2</v>
      </c>
      <c r="K296" s="34">
        <v>20.100000000000001</v>
      </c>
      <c r="L296" s="34">
        <v>32</v>
      </c>
      <c r="M296" s="1">
        <v>55</v>
      </c>
    </row>
    <row r="297" spans="1:13" s="1" customFormat="1" hidden="1" x14ac:dyDescent="0.25">
      <c r="A297" t="s">
        <v>344</v>
      </c>
      <c r="B297" s="34" t="s">
        <v>342</v>
      </c>
      <c r="C297" s="34" t="s">
        <v>230</v>
      </c>
      <c r="D297" s="34" t="s">
        <v>252</v>
      </c>
      <c r="E297" s="34">
        <v>3</v>
      </c>
      <c r="F297">
        <v>10</v>
      </c>
      <c r="G297">
        <v>120</v>
      </c>
      <c r="H297">
        <v>15</v>
      </c>
      <c r="I297" s="34">
        <v>50.3</v>
      </c>
      <c r="J297" s="34">
        <v>13.2</v>
      </c>
      <c r="K297" s="34">
        <v>20.100000000000001</v>
      </c>
      <c r="L297" s="34">
        <v>32</v>
      </c>
      <c r="M297" s="1">
        <v>85</v>
      </c>
    </row>
    <row r="298" spans="1:13" s="1" customFormat="1" hidden="1" x14ac:dyDescent="0.25">
      <c r="A298" t="s">
        <v>344</v>
      </c>
      <c r="B298" s="34" t="s">
        <v>342</v>
      </c>
      <c r="C298" s="34" t="s">
        <v>230</v>
      </c>
      <c r="D298" s="34" t="s">
        <v>252</v>
      </c>
      <c r="E298" s="34">
        <v>3</v>
      </c>
      <c r="F298">
        <v>10</v>
      </c>
      <c r="G298">
        <v>140</v>
      </c>
      <c r="H298">
        <v>15</v>
      </c>
      <c r="I298" s="34">
        <v>50.3</v>
      </c>
      <c r="J298" s="34">
        <v>13.2</v>
      </c>
      <c r="K298" s="34">
        <v>20.100000000000001</v>
      </c>
      <c r="L298" s="34">
        <v>32</v>
      </c>
      <c r="M298" s="1">
        <v>85</v>
      </c>
    </row>
    <row r="299" spans="1:13" s="1" customFormat="1" hidden="1" x14ac:dyDescent="0.25">
      <c r="A299" t="s">
        <v>344</v>
      </c>
      <c r="B299" s="34" t="s">
        <v>342</v>
      </c>
      <c r="C299" s="34" t="s">
        <v>230</v>
      </c>
      <c r="D299" s="34" t="s">
        <v>252</v>
      </c>
      <c r="E299" s="34">
        <v>3</v>
      </c>
      <c r="F299">
        <v>10</v>
      </c>
      <c r="G299">
        <v>160</v>
      </c>
      <c r="H299">
        <v>15</v>
      </c>
      <c r="I299" s="34">
        <v>50.3</v>
      </c>
      <c r="J299" s="34">
        <v>13.2</v>
      </c>
      <c r="K299" s="34">
        <v>20.100000000000001</v>
      </c>
      <c r="L299" s="34">
        <v>32</v>
      </c>
      <c r="M299" s="1">
        <v>110</v>
      </c>
    </row>
    <row r="300" spans="1:13" s="1" customFormat="1" hidden="1" x14ac:dyDescent="0.25">
      <c r="A300" t="s">
        <v>344</v>
      </c>
      <c r="B300" s="34" t="s">
        <v>342</v>
      </c>
      <c r="C300" s="34" t="s">
        <v>230</v>
      </c>
      <c r="D300" s="34" t="s">
        <v>252</v>
      </c>
      <c r="E300" s="34">
        <v>3</v>
      </c>
      <c r="F300">
        <v>10</v>
      </c>
      <c r="G300">
        <v>180</v>
      </c>
      <c r="H300">
        <v>15</v>
      </c>
      <c r="I300" s="34">
        <v>50.3</v>
      </c>
      <c r="J300" s="34">
        <v>13.2</v>
      </c>
      <c r="K300" s="34">
        <v>20.100000000000001</v>
      </c>
      <c r="L300" s="34">
        <v>32</v>
      </c>
      <c r="M300" s="1">
        <v>110</v>
      </c>
    </row>
    <row r="301" spans="1:13" s="1" customFormat="1" hidden="1" x14ac:dyDescent="0.25">
      <c r="A301" t="s">
        <v>344</v>
      </c>
      <c r="B301" s="34" t="s">
        <v>342</v>
      </c>
      <c r="C301" s="34" t="s">
        <v>230</v>
      </c>
      <c r="D301" s="34" t="s">
        <v>252</v>
      </c>
      <c r="E301" s="34">
        <v>3</v>
      </c>
      <c r="F301">
        <v>12</v>
      </c>
      <c r="G301">
        <v>60</v>
      </c>
      <c r="H301">
        <v>17</v>
      </c>
      <c r="I301" s="34">
        <v>67.099999999999994</v>
      </c>
      <c r="J301" s="34">
        <v>12.1</v>
      </c>
      <c r="K301" s="34">
        <v>18.5</v>
      </c>
      <c r="L301" s="34">
        <v>39.6</v>
      </c>
      <c r="M301" s="1">
        <v>48</v>
      </c>
    </row>
    <row r="302" spans="1:13" s="1" customFormat="1" hidden="1" x14ac:dyDescent="0.25">
      <c r="A302" t="s">
        <v>344</v>
      </c>
      <c r="B302" s="34" t="s">
        <v>342</v>
      </c>
      <c r="C302" s="34" t="s">
        <v>230</v>
      </c>
      <c r="D302" s="34" t="s">
        <v>252</v>
      </c>
      <c r="E302" s="34">
        <v>3</v>
      </c>
      <c r="F302">
        <v>12</v>
      </c>
      <c r="G302">
        <v>80</v>
      </c>
      <c r="H302">
        <v>17</v>
      </c>
      <c r="I302" s="34">
        <v>67.099999999999994</v>
      </c>
      <c r="J302" s="34">
        <v>12.1</v>
      </c>
      <c r="K302" s="34">
        <v>18.5</v>
      </c>
      <c r="L302" s="34">
        <v>39.6</v>
      </c>
      <c r="M302" s="1">
        <v>48</v>
      </c>
    </row>
    <row r="303" spans="1:13" s="1" customFormat="1" hidden="1" x14ac:dyDescent="0.25">
      <c r="A303" t="s">
        <v>344</v>
      </c>
      <c r="B303" s="34" t="s">
        <v>342</v>
      </c>
      <c r="C303" s="34" t="s">
        <v>230</v>
      </c>
      <c r="D303" s="34" t="s">
        <v>252</v>
      </c>
      <c r="E303" s="34">
        <v>3</v>
      </c>
      <c r="F303">
        <v>12</v>
      </c>
      <c r="G303">
        <v>90</v>
      </c>
      <c r="H303">
        <v>17</v>
      </c>
      <c r="I303" s="34">
        <v>67.099999999999994</v>
      </c>
      <c r="J303" s="34">
        <v>12.1</v>
      </c>
      <c r="K303" s="34">
        <v>18.5</v>
      </c>
      <c r="L303" s="34">
        <v>39.6</v>
      </c>
      <c r="M303" s="1">
        <v>48</v>
      </c>
    </row>
    <row r="304" spans="1:13" s="1" customFormat="1" hidden="1" x14ac:dyDescent="0.25">
      <c r="A304" t="s">
        <v>344</v>
      </c>
      <c r="B304" s="34" t="s">
        <v>342</v>
      </c>
      <c r="C304" s="34" t="s">
        <v>230</v>
      </c>
      <c r="D304" s="34" t="s">
        <v>252</v>
      </c>
      <c r="E304" s="34">
        <v>3</v>
      </c>
      <c r="F304">
        <v>12</v>
      </c>
      <c r="G304">
        <v>100</v>
      </c>
      <c r="H304">
        <v>17</v>
      </c>
      <c r="I304" s="34">
        <v>67.099999999999994</v>
      </c>
      <c r="J304" s="34">
        <v>12.1</v>
      </c>
      <c r="K304" s="34">
        <v>18.5</v>
      </c>
      <c r="L304" s="34">
        <v>39.6</v>
      </c>
      <c r="M304" s="1">
        <v>55</v>
      </c>
    </row>
    <row r="305" spans="1:13" s="1" customFormat="1" hidden="1" x14ac:dyDescent="0.25">
      <c r="A305" t="s">
        <v>344</v>
      </c>
      <c r="B305" s="34" t="s">
        <v>342</v>
      </c>
      <c r="C305" s="34" t="s">
        <v>230</v>
      </c>
      <c r="D305" s="34" t="s">
        <v>252</v>
      </c>
      <c r="E305" s="34">
        <v>3</v>
      </c>
      <c r="F305">
        <v>12</v>
      </c>
      <c r="G305">
        <v>120</v>
      </c>
      <c r="H305">
        <v>17</v>
      </c>
      <c r="I305" s="34">
        <v>67.099999999999994</v>
      </c>
      <c r="J305" s="34">
        <v>12.1</v>
      </c>
      <c r="K305" s="34">
        <v>18.5</v>
      </c>
      <c r="L305" s="34">
        <v>39.6</v>
      </c>
      <c r="M305" s="1">
        <v>85</v>
      </c>
    </row>
    <row r="306" spans="1:13" s="1" customFormat="1" hidden="1" x14ac:dyDescent="0.25">
      <c r="A306" t="s">
        <v>344</v>
      </c>
      <c r="B306" s="34" t="s">
        <v>342</v>
      </c>
      <c r="C306" s="34" t="s">
        <v>230</v>
      </c>
      <c r="D306" s="34" t="s">
        <v>252</v>
      </c>
      <c r="E306" s="34">
        <v>3</v>
      </c>
      <c r="F306">
        <v>12</v>
      </c>
      <c r="G306">
        <v>140</v>
      </c>
      <c r="H306">
        <v>17</v>
      </c>
      <c r="I306" s="34">
        <v>67.099999999999994</v>
      </c>
      <c r="J306" s="34">
        <v>12.1</v>
      </c>
      <c r="K306" s="34">
        <v>18.5</v>
      </c>
      <c r="L306" s="34">
        <v>39.6</v>
      </c>
      <c r="M306" s="1">
        <v>85</v>
      </c>
    </row>
    <row r="307" spans="1:13" s="1" customFormat="1" hidden="1" x14ac:dyDescent="0.25">
      <c r="A307" t="s">
        <v>344</v>
      </c>
      <c r="B307" s="34" t="s">
        <v>342</v>
      </c>
      <c r="C307" s="34" t="s">
        <v>230</v>
      </c>
      <c r="D307" s="34" t="s">
        <v>252</v>
      </c>
      <c r="E307" s="34">
        <v>3</v>
      </c>
      <c r="F307">
        <v>12</v>
      </c>
      <c r="G307">
        <v>160</v>
      </c>
      <c r="H307">
        <v>17</v>
      </c>
      <c r="I307" s="34">
        <v>67.099999999999994</v>
      </c>
      <c r="J307" s="34">
        <v>12.1</v>
      </c>
      <c r="K307" s="34">
        <v>18.5</v>
      </c>
      <c r="L307" s="34">
        <v>39.6</v>
      </c>
      <c r="M307" s="1">
        <v>110</v>
      </c>
    </row>
    <row r="308" spans="1:13" s="1" customFormat="1" hidden="1" x14ac:dyDescent="0.25">
      <c r="A308" t="s">
        <v>344</v>
      </c>
      <c r="B308" s="34" t="s">
        <v>342</v>
      </c>
      <c r="C308" s="34" t="s">
        <v>230</v>
      </c>
      <c r="D308" s="34" t="s">
        <v>252</v>
      </c>
      <c r="E308" s="34">
        <v>3</v>
      </c>
      <c r="F308">
        <v>12</v>
      </c>
      <c r="G308">
        <v>180</v>
      </c>
      <c r="H308">
        <v>17</v>
      </c>
      <c r="I308" s="34">
        <v>67.099999999999994</v>
      </c>
      <c r="J308" s="34">
        <v>12.1</v>
      </c>
      <c r="K308" s="34">
        <v>18.5</v>
      </c>
      <c r="L308" s="34">
        <v>39.6</v>
      </c>
      <c r="M308" s="1">
        <v>110</v>
      </c>
    </row>
    <row r="309" spans="1:13" s="1" customFormat="1" hidden="1" x14ac:dyDescent="0.25">
      <c r="A309" t="s">
        <v>344</v>
      </c>
      <c r="B309" s="34" t="s">
        <v>342</v>
      </c>
      <c r="C309" s="34" t="s">
        <v>230</v>
      </c>
      <c r="D309" s="34" t="s">
        <v>252</v>
      </c>
      <c r="E309" s="34">
        <v>3</v>
      </c>
      <c r="F309">
        <v>12</v>
      </c>
      <c r="G309">
        <v>200</v>
      </c>
      <c r="H309">
        <v>17</v>
      </c>
      <c r="I309" s="34">
        <v>67.099999999999994</v>
      </c>
      <c r="J309" s="34">
        <v>12.1</v>
      </c>
      <c r="K309" s="34">
        <v>18.5</v>
      </c>
      <c r="L309" s="34">
        <v>39.6</v>
      </c>
      <c r="M309" s="1">
        <v>110</v>
      </c>
    </row>
    <row r="310" spans="1:13" hidden="1" x14ac:dyDescent="0.25">
      <c r="A310" t="s">
        <v>344</v>
      </c>
      <c r="B310" s="50" t="s">
        <v>193</v>
      </c>
      <c r="C310" s="50" t="s">
        <v>194</v>
      </c>
      <c r="D310" s="50" t="s">
        <v>239</v>
      </c>
      <c r="E310" s="50">
        <v>2</v>
      </c>
      <c r="F310">
        <v>9</v>
      </c>
      <c r="G310">
        <v>240</v>
      </c>
      <c r="H310">
        <v>11.5</v>
      </c>
      <c r="I310" s="50">
        <v>38</v>
      </c>
      <c r="J310" s="50">
        <v>11.3</v>
      </c>
      <c r="K310" s="50"/>
      <c r="L310" s="50">
        <v>30</v>
      </c>
      <c r="M310">
        <v>190</v>
      </c>
    </row>
    <row r="311" spans="1:13" hidden="1" x14ac:dyDescent="0.25">
      <c r="A311" t="s">
        <v>344</v>
      </c>
      <c r="B311" s="50" t="s">
        <v>193</v>
      </c>
      <c r="C311" s="50" t="s">
        <v>194</v>
      </c>
      <c r="D311" s="50" t="s">
        <v>239</v>
      </c>
      <c r="E311" s="50">
        <v>2</v>
      </c>
      <c r="F311">
        <v>9</v>
      </c>
      <c r="G311">
        <v>160</v>
      </c>
      <c r="H311">
        <v>11.5</v>
      </c>
      <c r="I311" s="50">
        <v>38</v>
      </c>
      <c r="J311" s="50">
        <v>11.3</v>
      </c>
      <c r="K311" s="50"/>
      <c r="L311" s="50">
        <v>30</v>
      </c>
      <c r="M311">
        <v>110</v>
      </c>
    </row>
    <row r="312" spans="1:13" hidden="1" x14ac:dyDescent="0.25">
      <c r="A312" t="s">
        <v>344</v>
      </c>
      <c r="B312" s="50" t="s">
        <v>193</v>
      </c>
      <c r="C312" s="50" t="s">
        <v>194</v>
      </c>
      <c r="D312" s="50" t="s">
        <v>239</v>
      </c>
      <c r="E312" s="50">
        <v>2</v>
      </c>
      <c r="F312">
        <v>7</v>
      </c>
      <c r="G312">
        <v>240</v>
      </c>
      <c r="H312">
        <v>9.5</v>
      </c>
      <c r="I312" s="50">
        <v>20</v>
      </c>
      <c r="J312" s="50">
        <v>11.3</v>
      </c>
      <c r="K312" s="50"/>
      <c r="L312" s="50">
        <v>20</v>
      </c>
      <c r="M312">
        <v>190</v>
      </c>
    </row>
    <row r="313" spans="1:13" hidden="1" x14ac:dyDescent="0.25">
      <c r="A313" t="s">
        <v>344</v>
      </c>
      <c r="B313" s="50" t="s">
        <v>193</v>
      </c>
      <c r="C313" s="50" t="s">
        <v>194</v>
      </c>
      <c r="D313" s="50" t="s">
        <v>239</v>
      </c>
      <c r="E313" s="50">
        <v>2</v>
      </c>
      <c r="F313">
        <v>7</v>
      </c>
      <c r="G313">
        <v>160</v>
      </c>
      <c r="H313">
        <v>9.5</v>
      </c>
      <c r="I313" s="50">
        <v>20</v>
      </c>
      <c r="J313" s="50">
        <v>11.3</v>
      </c>
      <c r="K313" s="50"/>
      <c r="L313" s="50">
        <v>20</v>
      </c>
      <c r="M313">
        <v>110</v>
      </c>
    </row>
    <row r="314" spans="1:13" hidden="1" x14ac:dyDescent="0.25">
      <c r="A314" t="s">
        <v>344</v>
      </c>
      <c r="B314" s="50" t="s">
        <v>193</v>
      </c>
      <c r="C314" s="50" t="s">
        <v>324</v>
      </c>
      <c r="D314" s="50" t="s">
        <v>240</v>
      </c>
      <c r="E314" s="50">
        <v>2</v>
      </c>
      <c r="F314">
        <v>8</v>
      </c>
      <c r="G314">
        <v>80</v>
      </c>
      <c r="H314">
        <v>13.5</v>
      </c>
      <c r="I314" s="50">
        <v>33.4</v>
      </c>
      <c r="J314" s="50">
        <v>11.7</v>
      </c>
      <c r="K314" s="50">
        <v>10.5</v>
      </c>
      <c r="L314" s="50">
        <v>11.3</v>
      </c>
      <c r="M314">
        <v>55</v>
      </c>
    </row>
    <row r="315" spans="1:13" hidden="1" x14ac:dyDescent="0.25">
      <c r="A315" t="s">
        <v>344</v>
      </c>
      <c r="B315" s="50" t="s">
        <v>193</v>
      </c>
      <c r="C315" s="50" t="s">
        <v>324</v>
      </c>
      <c r="D315" s="50" t="s">
        <v>240</v>
      </c>
      <c r="E315" s="50">
        <v>2</v>
      </c>
      <c r="F315">
        <v>8</v>
      </c>
      <c r="G315">
        <v>100</v>
      </c>
      <c r="H315">
        <v>13.5</v>
      </c>
      <c r="I315" s="50">
        <v>33.4</v>
      </c>
      <c r="J315" s="50">
        <v>11.7</v>
      </c>
      <c r="K315" s="50">
        <v>10.5</v>
      </c>
      <c r="L315" s="50">
        <v>11.3</v>
      </c>
      <c r="M315">
        <v>75</v>
      </c>
    </row>
    <row r="316" spans="1:13" hidden="1" x14ac:dyDescent="0.25">
      <c r="A316" t="s">
        <v>344</v>
      </c>
      <c r="B316" s="50" t="s">
        <v>193</v>
      </c>
      <c r="C316" s="50" t="s">
        <v>324</v>
      </c>
      <c r="D316" s="50" t="s">
        <v>240</v>
      </c>
      <c r="E316" s="50">
        <v>2</v>
      </c>
      <c r="F316">
        <v>8</v>
      </c>
      <c r="G316">
        <v>120</v>
      </c>
      <c r="H316">
        <v>13.5</v>
      </c>
      <c r="I316" s="50">
        <v>33.4</v>
      </c>
      <c r="J316" s="50">
        <v>11.7</v>
      </c>
      <c r="K316" s="50">
        <v>10.5</v>
      </c>
      <c r="L316" s="50">
        <v>11.3</v>
      </c>
      <c r="M316">
        <v>95</v>
      </c>
    </row>
    <row r="317" spans="1:13" hidden="1" x14ac:dyDescent="0.25">
      <c r="A317" t="s">
        <v>344</v>
      </c>
      <c r="B317" s="50" t="s">
        <v>193</v>
      </c>
      <c r="C317" s="50" t="s">
        <v>324</v>
      </c>
      <c r="D317" s="50" t="s">
        <v>240</v>
      </c>
      <c r="E317" s="50">
        <v>2</v>
      </c>
      <c r="F317">
        <v>8</v>
      </c>
      <c r="G317">
        <v>140</v>
      </c>
      <c r="H317">
        <v>13.5</v>
      </c>
      <c r="I317" s="50">
        <v>33.4</v>
      </c>
      <c r="J317" s="50">
        <v>11.7</v>
      </c>
      <c r="K317" s="50">
        <v>10.5</v>
      </c>
      <c r="L317" s="50">
        <v>11.3</v>
      </c>
      <c r="M317">
        <v>110</v>
      </c>
    </row>
    <row r="318" spans="1:13" hidden="1" x14ac:dyDescent="0.25">
      <c r="A318" t="s">
        <v>344</v>
      </c>
      <c r="B318" s="50" t="s">
        <v>193</v>
      </c>
      <c r="C318" s="50" t="s">
        <v>324</v>
      </c>
      <c r="D318" s="50" t="s">
        <v>240</v>
      </c>
      <c r="E318" s="50">
        <v>2</v>
      </c>
      <c r="F318">
        <v>8</v>
      </c>
      <c r="G318">
        <v>160</v>
      </c>
      <c r="H318">
        <v>13.5</v>
      </c>
      <c r="I318" s="50">
        <v>33.4</v>
      </c>
      <c r="J318" s="50">
        <v>11.7</v>
      </c>
      <c r="K318" s="50">
        <v>10.5</v>
      </c>
      <c r="L318" s="50">
        <v>11.3</v>
      </c>
      <c r="M318">
        <v>130</v>
      </c>
    </row>
    <row r="319" spans="1:13" hidden="1" x14ac:dyDescent="0.25">
      <c r="A319" t="s">
        <v>344</v>
      </c>
      <c r="B319" s="50" t="s">
        <v>193</v>
      </c>
      <c r="C319" s="50" t="s">
        <v>324</v>
      </c>
      <c r="D319" s="50" t="s">
        <v>240</v>
      </c>
      <c r="E319" s="50">
        <v>2</v>
      </c>
      <c r="F319">
        <v>10</v>
      </c>
      <c r="G319">
        <v>100</v>
      </c>
      <c r="H319">
        <v>16.5</v>
      </c>
      <c r="I319" s="50">
        <v>45</v>
      </c>
      <c r="J319" s="50">
        <v>11.7</v>
      </c>
      <c r="K319" s="50">
        <v>10.5</v>
      </c>
      <c r="L319" s="50">
        <v>20.100000000000001</v>
      </c>
      <c r="M319">
        <v>75</v>
      </c>
    </row>
    <row r="320" spans="1:13" hidden="1" x14ac:dyDescent="0.25">
      <c r="A320" t="s">
        <v>344</v>
      </c>
      <c r="B320" s="50" t="s">
        <v>193</v>
      </c>
      <c r="C320" s="50" t="s">
        <v>324</v>
      </c>
      <c r="D320" s="50" t="s">
        <v>240</v>
      </c>
      <c r="E320" s="50">
        <v>2</v>
      </c>
      <c r="F320">
        <v>10</v>
      </c>
      <c r="G320">
        <v>120</v>
      </c>
      <c r="H320">
        <v>16.5</v>
      </c>
      <c r="I320" s="50">
        <v>45</v>
      </c>
      <c r="J320" s="50">
        <v>11.7</v>
      </c>
      <c r="K320" s="50">
        <v>10.5</v>
      </c>
      <c r="L320" s="50">
        <v>20.100000000000001</v>
      </c>
      <c r="M320">
        <v>95</v>
      </c>
    </row>
    <row r="321" spans="1:13" hidden="1" x14ac:dyDescent="0.25">
      <c r="A321" t="s">
        <v>344</v>
      </c>
      <c r="B321" s="50" t="s">
        <v>193</v>
      </c>
      <c r="C321" s="50" t="s">
        <v>324</v>
      </c>
      <c r="D321" s="50" t="s">
        <v>240</v>
      </c>
      <c r="E321" s="50">
        <v>2</v>
      </c>
      <c r="F321">
        <v>10</v>
      </c>
      <c r="G321">
        <v>140</v>
      </c>
      <c r="H321">
        <v>16.5</v>
      </c>
      <c r="I321" s="50">
        <v>45</v>
      </c>
      <c r="J321" s="50">
        <v>11.7</v>
      </c>
      <c r="K321" s="50">
        <v>10.5</v>
      </c>
      <c r="L321" s="50">
        <v>20.100000000000001</v>
      </c>
      <c r="M321">
        <v>110</v>
      </c>
    </row>
    <row r="322" spans="1:13" hidden="1" x14ac:dyDescent="0.25">
      <c r="A322" t="s">
        <v>344</v>
      </c>
      <c r="B322" s="50" t="s">
        <v>193</v>
      </c>
      <c r="C322" s="50" t="s">
        <v>324</v>
      </c>
      <c r="D322" s="50" t="s">
        <v>240</v>
      </c>
      <c r="E322" s="50">
        <v>2</v>
      </c>
      <c r="F322">
        <v>10</v>
      </c>
      <c r="G322">
        <v>160</v>
      </c>
      <c r="H322">
        <v>16.5</v>
      </c>
      <c r="I322" s="50">
        <v>45</v>
      </c>
      <c r="J322" s="50">
        <v>11.7</v>
      </c>
      <c r="K322" s="50">
        <v>10.5</v>
      </c>
      <c r="L322" s="50">
        <v>20.100000000000001</v>
      </c>
      <c r="M322">
        <v>130</v>
      </c>
    </row>
    <row r="323" spans="1:13" hidden="1" x14ac:dyDescent="0.25">
      <c r="A323" t="s">
        <v>344</v>
      </c>
      <c r="B323" s="50" t="s">
        <v>193</v>
      </c>
      <c r="C323" s="50" t="s">
        <v>324</v>
      </c>
      <c r="D323" s="50" t="s">
        <v>240</v>
      </c>
      <c r="E323" s="50">
        <v>2</v>
      </c>
      <c r="F323">
        <v>10</v>
      </c>
      <c r="G323">
        <v>180</v>
      </c>
      <c r="H323">
        <v>16.5</v>
      </c>
      <c r="I323" s="50">
        <v>45</v>
      </c>
      <c r="J323" s="50">
        <v>11.7</v>
      </c>
      <c r="K323" s="50">
        <v>10.5</v>
      </c>
      <c r="L323" s="50">
        <v>20.100000000000001</v>
      </c>
      <c r="M323">
        <v>150</v>
      </c>
    </row>
    <row r="324" spans="1:13" hidden="1" x14ac:dyDescent="0.25">
      <c r="A324" t="s">
        <v>344</v>
      </c>
      <c r="B324" s="50" t="s">
        <v>193</v>
      </c>
      <c r="C324" s="50" t="s">
        <v>324</v>
      </c>
      <c r="D324" s="50" t="s">
        <v>240</v>
      </c>
      <c r="E324" s="50">
        <v>2</v>
      </c>
      <c r="F324">
        <v>12</v>
      </c>
      <c r="G324">
        <v>120</v>
      </c>
      <c r="H324">
        <v>18.5</v>
      </c>
      <c r="I324" s="50">
        <v>65</v>
      </c>
      <c r="J324" s="50">
        <v>11.7</v>
      </c>
      <c r="K324" s="50">
        <v>10.5</v>
      </c>
      <c r="L324" s="50">
        <v>31.4</v>
      </c>
      <c r="M324">
        <v>90</v>
      </c>
    </row>
    <row r="325" spans="1:13" hidden="1" x14ac:dyDescent="0.25">
      <c r="A325" t="s">
        <v>344</v>
      </c>
      <c r="B325" s="50" t="s">
        <v>193</v>
      </c>
      <c r="C325" s="50" t="s">
        <v>324</v>
      </c>
      <c r="D325" s="50" t="s">
        <v>240</v>
      </c>
      <c r="E325" s="50">
        <v>2</v>
      </c>
      <c r="F325">
        <v>12</v>
      </c>
      <c r="G325">
        <v>140</v>
      </c>
      <c r="H325">
        <v>18.5</v>
      </c>
      <c r="I325" s="50">
        <v>65</v>
      </c>
      <c r="J325" s="50">
        <v>11.7</v>
      </c>
      <c r="K325" s="50">
        <v>10.5</v>
      </c>
      <c r="L325" s="50">
        <v>31.4</v>
      </c>
      <c r="M325">
        <v>110</v>
      </c>
    </row>
    <row r="326" spans="1:13" hidden="1" x14ac:dyDescent="0.25">
      <c r="A326" t="s">
        <v>344</v>
      </c>
      <c r="B326" s="50" t="s">
        <v>193</v>
      </c>
      <c r="C326" s="50" t="s">
        <v>324</v>
      </c>
      <c r="D326" s="50" t="s">
        <v>240</v>
      </c>
      <c r="E326" s="50">
        <v>2</v>
      </c>
      <c r="F326">
        <v>12</v>
      </c>
      <c r="G326">
        <v>160</v>
      </c>
      <c r="H326">
        <v>18.5</v>
      </c>
      <c r="I326" s="50">
        <v>65</v>
      </c>
      <c r="J326" s="50">
        <v>11.7</v>
      </c>
      <c r="K326" s="50">
        <v>10.5</v>
      </c>
      <c r="L326" s="50">
        <v>31.4</v>
      </c>
      <c r="M326">
        <v>120</v>
      </c>
    </row>
    <row r="327" spans="1:13" hidden="1" x14ac:dyDescent="0.25">
      <c r="A327" t="s">
        <v>344</v>
      </c>
      <c r="B327" s="50" t="s">
        <v>193</v>
      </c>
      <c r="C327" s="50" t="s">
        <v>324</v>
      </c>
      <c r="D327" s="50" t="s">
        <v>240</v>
      </c>
      <c r="E327" s="50">
        <v>2</v>
      </c>
      <c r="F327">
        <v>12</v>
      </c>
      <c r="G327">
        <v>180</v>
      </c>
      <c r="H327">
        <v>18.5</v>
      </c>
      <c r="I327" s="50">
        <v>65</v>
      </c>
      <c r="J327" s="50">
        <v>11.7</v>
      </c>
      <c r="K327" s="50">
        <v>10.5</v>
      </c>
      <c r="L327" s="50">
        <v>31.4</v>
      </c>
      <c r="M327">
        <v>140</v>
      </c>
    </row>
    <row r="328" spans="1:13" hidden="1" x14ac:dyDescent="0.25">
      <c r="A328" t="s">
        <v>344</v>
      </c>
      <c r="B328" s="50" t="s">
        <v>193</v>
      </c>
      <c r="C328" s="50" t="s">
        <v>324</v>
      </c>
      <c r="D328" s="50" t="s">
        <v>240</v>
      </c>
      <c r="E328" s="50">
        <v>2</v>
      </c>
      <c r="F328">
        <v>12</v>
      </c>
      <c r="G328">
        <v>200</v>
      </c>
      <c r="H328">
        <v>18.5</v>
      </c>
      <c r="I328" s="50">
        <v>65</v>
      </c>
      <c r="J328" s="50">
        <v>11.7</v>
      </c>
      <c r="K328" s="50">
        <v>10.5</v>
      </c>
      <c r="L328" s="50">
        <v>31.4</v>
      </c>
      <c r="M328">
        <v>160</v>
      </c>
    </row>
    <row r="329" spans="1:13" hidden="1" x14ac:dyDescent="0.25">
      <c r="A329" t="s">
        <v>344</v>
      </c>
      <c r="B329" s="50" t="s">
        <v>193</v>
      </c>
      <c r="C329" s="50" t="s">
        <v>195</v>
      </c>
      <c r="D329" s="50" t="s">
        <v>240</v>
      </c>
      <c r="E329" s="50">
        <v>3</v>
      </c>
      <c r="F329">
        <v>10</v>
      </c>
      <c r="G329">
        <v>180</v>
      </c>
      <c r="H329">
        <v>16.5</v>
      </c>
      <c r="I329" s="50">
        <v>45</v>
      </c>
      <c r="J329" s="50">
        <v>11.7</v>
      </c>
      <c r="K329" s="50">
        <v>10.5</v>
      </c>
      <c r="L329" s="50">
        <v>31.4</v>
      </c>
      <c r="M329">
        <v>150</v>
      </c>
    </row>
    <row r="330" spans="1:13" hidden="1" x14ac:dyDescent="0.25">
      <c r="A330" t="s">
        <v>344</v>
      </c>
      <c r="B330" s="50" t="s">
        <v>193</v>
      </c>
      <c r="C330" s="50" t="s">
        <v>195</v>
      </c>
      <c r="D330" s="50" t="s">
        <v>240</v>
      </c>
      <c r="E330" s="50">
        <v>3</v>
      </c>
      <c r="F330">
        <v>10</v>
      </c>
      <c r="G330">
        <v>160</v>
      </c>
      <c r="H330">
        <v>16.5</v>
      </c>
      <c r="I330" s="50">
        <v>45</v>
      </c>
      <c r="J330" s="50">
        <v>11.7</v>
      </c>
      <c r="K330" s="50">
        <v>10.5</v>
      </c>
      <c r="L330" s="50">
        <v>31.4</v>
      </c>
      <c r="M330">
        <v>130</v>
      </c>
    </row>
    <row r="331" spans="1:13" hidden="1" x14ac:dyDescent="0.25">
      <c r="A331" t="s">
        <v>344</v>
      </c>
      <c r="B331" s="50" t="s">
        <v>193</v>
      </c>
      <c r="C331" s="50" t="s">
        <v>195</v>
      </c>
      <c r="D331" s="50" t="s">
        <v>240</v>
      </c>
      <c r="E331" s="50">
        <v>3</v>
      </c>
      <c r="F331">
        <v>10</v>
      </c>
      <c r="G331">
        <v>140</v>
      </c>
      <c r="H331">
        <v>16.5</v>
      </c>
      <c r="I331" s="50">
        <v>45</v>
      </c>
      <c r="J331" s="50">
        <v>11.7</v>
      </c>
      <c r="K331" s="50">
        <v>10.5</v>
      </c>
      <c r="L331" s="50">
        <v>31.4</v>
      </c>
      <c r="M331">
        <v>110</v>
      </c>
    </row>
    <row r="332" spans="1:13" hidden="1" x14ac:dyDescent="0.25">
      <c r="A332" t="s">
        <v>344</v>
      </c>
      <c r="B332" s="50" t="s">
        <v>193</v>
      </c>
      <c r="C332" s="50" t="s">
        <v>195</v>
      </c>
      <c r="D332" s="50" t="s">
        <v>240</v>
      </c>
      <c r="E332" s="50">
        <v>3</v>
      </c>
      <c r="F332">
        <v>10</v>
      </c>
      <c r="G332">
        <v>120</v>
      </c>
      <c r="H332">
        <v>16.5</v>
      </c>
      <c r="I332" s="50">
        <v>45</v>
      </c>
      <c r="J332" s="50">
        <v>11.7</v>
      </c>
      <c r="K332" s="50">
        <v>10.5</v>
      </c>
      <c r="L332" s="50">
        <v>31.4</v>
      </c>
      <c r="M332">
        <v>95</v>
      </c>
    </row>
    <row r="333" spans="1:13" hidden="1" x14ac:dyDescent="0.25">
      <c r="A333" t="s">
        <v>344</v>
      </c>
      <c r="B333" s="50" t="s">
        <v>193</v>
      </c>
      <c r="C333" s="50" t="s">
        <v>195</v>
      </c>
      <c r="D333" s="50" t="s">
        <v>240</v>
      </c>
      <c r="E333" s="50">
        <v>3</v>
      </c>
      <c r="F333">
        <v>10</v>
      </c>
      <c r="G333">
        <v>100</v>
      </c>
      <c r="H333">
        <v>16.5</v>
      </c>
      <c r="I333" s="50">
        <v>45</v>
      </c>
      <c r="J333" s="50">
        <v>11.7</v>
      </c>
      <c r="K333" s="50">
        <v>10.5</v>
      </c>
      <c r="L333" s="50">
        <v>31.4</v>
      </c>
      <c r="M333">
        <v>75</v>
      </c>
    </row>
    <row r="334" spans="1:13" hidden="1" x14ac:dyDescent="0.25">
      <c r="A334" t="s">
        <v>344</v>
      </c>
      <c r="B334" s="50" t="s">
        <v>193</v>
      </c>
      <c r="C334" s="50" t="s">
        <v>195</v>
      </c>
      <c r="D334" s="50" t="s">
        <v>240</v>
      </c>
      <c r="E334" s="50">
        <v>3</v>
      </c>
      <c r="F334">
        <v>10</v>
      </c>
      <c r="G334">
        <v>80</v>
      </c>
      <c r="H334">
        <v>16.5</v>
      </c>
      <c r="I334" s="50">
        <v>45</v>
      </c>
      <c r="J334" s="50">
        <v>11.7</v>
      </c>
      <c r="K334" s="50">
        <v>10.5</v>
      </c>
      <c r="L334" s="50">
        <v>31.4</v>
      </c>
      <c r="M334">
        <v>60</v>
      </c>
    </row>
    <row r="335" spans="1:13" hidden="1" x14ac:dyDescent="0.25">
      <c r="A335" t="s">
        <v>344</v>
      </c>
      <c r="B335" s="50" t="s">
        <v>193</v>
      </c>
      <c r="C335" s="50" t="s">
        <v>195</v>
      </c>
      <c r="D335" s="50" t="s">
        <v>240</v>
      </c>
      <c r="E335" s="50">
        <v>3</v>
      </c>
      <c r="F335">
        <v>10</v>
      </c>
      <c r="G335">
        <v>60</v>
      </c>
      <c r="H335">
        <v>16.5</v>
      </c>
      <c r="I335" s="50">
        <v>45</v>
      </c>
      <c r="J335" s="50">
        <v>11.7</v>
      </c>
      <c r="K335" s="50">
        <v>10.5</v>
      </c>
      <c r="L335" s="50">
        <v>31.4</v>
      </c>
      <c r="M335">
        <v>52</v>
      </c>
    </row>
    <row r="336" spans="1:13" hidden="1" x14ac:dyDescent="0.25">
      <c r="A336" t="s">
        <v>344</v>
      </c>
      <c r="B336" s="50" t="s">
        <v>193</v>
      </c>
      <c r="C336" s="50" t="s">
        <v>195</v>
      </c>
      <c r="D336" s="50" t="s">
        <v>240</v>
      </c>
      <c r="E336" s="50">
        <v>3</v>
      </c>
      <c r="F336">
        <v>8</v>
      </c>
      <c r="G336">
        <v>160</v>
      </c>
      <c r="H336">
        <v>13.5</v>
      </c>
      <c r="I336" s="50">
        <v>33.4</v>
      </c>
      <c r="J336" s="50">
        <v>11.7</v>
      </c>
      <c r="K336" s="50">
        <v>10.5</v>
      </c>
      <c r="L336" s="50">
        <v>20.100000000000001</v>
      </c>
      <c r="M336">
        <v>130</v>
      </c>
    </row>
    <row r="337" spans="1:13" hidden="1" x14ac:dyDescent="0.25">
      <c r="A337" t="s">
        <v>344</v>
      </c>
      <c r="B337" s="50" t="s">
        <v>193</v>
      </c>
      <c r="C337" s="50" t="s">
        <v>195</v>
      </c>
      <c r="D337" s="50" t="s">
        <v>240</v>
      </c>
      <c r="E337" s="50">
        <v>3</v>
      </c>
      <c r="F337">
        <v>8</v>
      </c>
      <c r="G337">
        <v>140</v>
      </c>
      <c r="H337">
        <v>13.5</v>
      </c>
      <c r="I337" s="50">
        <v>33.4</v>
      </c>
      <c r="J337" s="50">
        <v>11.7</v>
      </c>
      <c r="K337" s="50">
        <v>10.5</v>
      </c>
      <c r="L337" s="50">
        <v>20.100000000000001</v>
      </c>
      <c r="M337">
        <v>110</v>
      </c>
    </row>
    <row r="338" spans="1:13" hidden="1" x14ac:dyDescent="0.25">
      <c r="A338" t="s">
        <v>344</v>
      </c>
      <c r="B338" s="50" t="s">
        <v>193</v>
      </c>
      <c r="C338" s="50" t="s">
        <v>195</v>
      </c>
      <c r="D338" s="50" t="s">
        <v>240</v>
      </c>
      <c r="E338" s="50">
        <v>3</v>
      </c>
      <c r="F338">
        <v>8</v>
      </c>
      <c r="G338">
        <v>120</v>
      </c>
      <c r="H338">
        <v>13.5</v>
      </c>
      <c r="I338" s="50">
        <v>33.4</v>
      </c>
      <c r="J338" s="50">
        <v>11.7</v>
      </c>
      <c r="K338" s="50">
        <v>10.5</v>
      </c>
      <c r="L338" s="50">
        <v>20.100000000000001</v>
      </c>
      <c r="M338">
        <v>95</v>
      </c>
    </row>
    <row r="339" spans="1:13" hidden="1" x14ac:dyDescent="0.25">
      <c r="A339" t="s">
        <v>344</v>
      </c>
      <c r="B339" s="50" t="s">
        <v>193</v>
      </c>
      <c r="C339" s="50" t="s">
        <v>195</v>
      </c>
      <c r="D339" s="50" t="s">
        <v>240</v>
      </c>
      <c r="E339" s="50">
        <v>3</v>
      </c>
      <c r="F339">
        <v>8</v>
      </c>
      <c r="G339">
        <v>100</v>
      </c>
      <c r="H339">
        <v>13.5</v>
      </c>
      <c r="I339" s="50">
        <v>33.4</v>
      </c>
      <c r="J339" s="50">
        <v>11.7</v>
      </c>
      <c r="K339" s="50">
        <v>10.5</v>
      </c>
      <c r="L339" s="50">
        <v>20.100000000000001</v>
      </c>
      <c r="M339">
        <v>75</v>
      </c>
    </row>
    <row r="340" spans="1:13" hidden="1" x14ac:dyDescent="0.25">
      <c r="A340" t="s">
        <v>344</v>
      </c>
      <c r="B340" s="50" t="s">
        <v>193</v>
      </c>
      <c r="C340" s="50" t="s">
        <v>195</v>
      </c>
      <c r="D340" s="50" t="s">
        <v>240</v>
      </c>
      <c r="E340" s="50">
        <v>3</v>
      </c>
      <c r="F340">
        <v>8</v>
      </c>
      <c r="G340">
        <v>80</v>
      </c>
      <c r="H340">
        <v>13.5</v>
      </c>
      <c r="I340" s="50">
        <v>33.4</v>
      </c>
      <c r="J340" s="50">
        <v>11.7</v>
      </c>
      <c r="K340" s="50">
        <v>10.5</v>
      </c>
      <c r="L340" s="50">
        <v>20.100000000000001</v>
      </c>
      <c r="M340">
        <v>55</v>
      </c>
    </row>
    <row r="341" spans="1:13" hidden="1" x14ac:dyDescent="0.25">
      <c r="A341" t="s">
        <v>344</v>
      </c>
      <c r="B341" s="50" t="s">
        <v>193</v>
      </c>
      <c r="C341" s="50" t="s">
        <v>195</v>
      </c>
      <c r="D341" s="50" t="s">
        <v>240</v>
      </c>
      <c r="E341" s="50">
        <v>3</v>
      </c>
      <c r="F341">
        <v>8</v>
      </c>
      <c r="G341">
        <v>60</v>
      </c>
      <c r="H341">
        <v>13.5</v>
      </c>
      <c r="I341" s="50">
        <v>33.4</v>
      </c>
      <c r="J341" s="50">
        <v>11.7</v>
      </c>
      <c r="K341" s="50">
        <v>10.5</v>
      </c>
      <c r="L341" s="50">
        <v>20.100000000000001</v>
      </c>
      <c r="M341">
        <v>52</v>
      </c>
    </row>
    <row r="342" spans="1:13" hidden="1" x14ac:dyDescent="0.25">
      <c r="A342" t="s">
        <v>344</v>
      </c>
      <c r="B342" s="50" t="s">
        <v>193</v>
      </c>
      <c r="C342" s="50" t="s">
        <v>195</v>
      </c>
      <c r="D342" s="50" t="s">
        <v>240</v>
      </c>
      <c r="E342" s="50">
        <v>3</v>
      </c>
      <c r="F342">
        <v>8</v>
      </c>
      <c r="G342">
        <v>40</v>
      </c>
      <c r="H342">
        <v>13.5</v>
      </c>
      <c r="I342" s="50">
        <v>33.4</v>
      </c>
      <c r="J342" s="50">
        <v>11.7</v>
      </c>
      <c r="K342" s="50">
        <v>10.5</v>
      </c>
      <c r="L342" s="50">
        <v>20.100000000000001</v>
      </c>
      <c r="M342">
        <v>32</v>
      </c>
    </row>
    <row r="343" spans="1:13" hidden="1" x14ac:dyDescent="0.25">
      <c r="A343" t="s">
        <v>344</v>
      </c>
      <c r="B343" s="50" t="s">
        <v>193</v>
      </c>
      <c r="C343" s="50" t="s">
        <v>195</v>
      </c>
      <c r="D343" s="50" t="s">
        <v>240</v>
      </c>
      <c r="E343" s="50">
        <v>3</v>
      </c>
      <c r="F343">
        <v>6</v>
      </c>
      <c r="G343">
        <v>90</v>
      </c>
      <c r="H343">
        <v>12</v>
      </c>
      <c r="I343" s="50">
        <v>9.5</v>
      </c>
      <c r="J343" s="50">
        <v>11.7</v>
      </c>
      <c r="K343" s="50">
        <v>10.5</v>
      </c>
      <c r="L343" s="50">
        <v>11.3</v>
      </c>
      <c r="M343">
        <v>55</v>
      </c>
    </row>
    <row r="344" spans="1:13" hidden="1" x14ac:dyDescent="0.25">
      <c r="A344" t="s">
        <v>344</v>
      </c>
      <c r="B344" s="50" t="s">
        <v>193</v>
      </c>
      <c r="C344" s="50" t="s">
        <v>195</v>
      </c>
      <c r="D344" s="50" t="s">
        <v>240</v>
      </c>
      <c r="E344" s="50">
        <v>3</v>
      </c>
      <c r="F344">
        <v>6</v>
      </c>
      <c r="G344">
        <v>80</v>
      </c>
      <c r="H344">
        <v>12</v>
      </c>
      <c r="I344" s="50">
        <v>9.5</v>
      </c>
      <c r="J344" s="50">
        <v>11.7</v>
      </c>
      <c r="K344" s="50">
        <v>10.5</v>
      </c>
      <c r="L344" s="50">
        <v>11.3</v>
      </c>
      <c r="M344">
        <v>50</v>
      </c>
    </row>
    <row r="345" spans="1:13" hidden="1" x14ac:dyDescent="0.25">
      <c r="A345" t="s">
        <v>344</v>
      </c>
      <c r="B345" s="50" t="s">
        <v>193</v>
      </c>
      <c r="C345" s="50" t="s">
        <v>195</v>
      </c>
      <c r="D345" s="50" t="s">
        <v>240</v>
      </c>
      <c r="E345" s="50">
        <v>3</v>
      </c>
      <c r="F345">
        <v>5</v>
      </c>
      <c r="G345">
        <v>80</v>
      </c>
      <c r="H345">
        <v>9.65</v>
      </c>
      <c r="I345" s="50">
        <v>5.4</v>
      </c>
      <c r="J345" s="50">
        <v>11.7</v>
      </c>
      <c r="K345" s="50">
        <v>10.5</v>
      </c>
      <c r="L345" s="50">
        <v>7.9</v>
      </c>
      <c r="M345">
        <v>50</v>
      </c>
    </row>
    <row r="346" spans="1:13" hidden="1" x14ac:dyDescent="0.25">
      <c r="A346" t="s">
        <v>344</v>
      </c>
      <c r="B346" s="50" t="s">
        <v>193</v>
      </c>
      <c r="C346" s="50" t="s">
        <v>195</v>
      </c>
      <c r="D346" s="50" t="s">
        <v>240</v>
      </c>
      <c r="E346" s="50">
        <v>3</v>
      </c>
      <c r="F346">
        <v>5</v>
      </c>
      <c r="G346">
        <v>70</v>
      </c>
      <c r="H346">
        <v>9.65</v>
      </c>
      <c r="I346" s="50">
        <v>5.4</v>
      </c>
      <c r="J346" s="50">
        <v>11.7</v>
      </c>
      <c r="K346" s="50">
        <v>10.5</v>
      </c>
      <c r="L346" s="50">
        <v>7.9</v>
      </c>
      <c r="M346">
        <v>40</v>
      </c>
    </row>
    <row r="347" spans="1:13" hidden="1" x14ac:dyDescent="0.25">
      <c r="A347" t="s">
        <v>344</v>
      </c>
      <c r="B347" s="50" t="s">
        <v>193</v>
      </c>
      <c r="C347" s="50" t="s">
        <v>195</v>
      </c>
      <c r="D347" s="50" t="s">
        <v>240</v>
      </c>
      <c r="E347" s="50">
        <v>3</v>
      </c>
      <c r="F347">
        <v>5</v>
      </c>
      <c r="G347">
        <v>60</v>
      </c>
      <c r="H347">
        <v>9.65</v>
      </c>
      <c r="I347" s="50">
        <v>5.4</v>
      </c>
      <c r="J347" s="50">
        <v>11.7</v>
      </c>
      <c r="K347" s="50">
        <v>10.5</v>
      </c>
      <c r="L347" s="50">
        <v>7.9</v>
      </c>
      <c r="M347">
        <v>35</v>
      </c>
    </row>
    <row r="348" spans="1:13" hidden="1" x14ac:dyDescent="0.25">
      <c r="A348" t="s">
        <v>344</v>
      </c>
      <c r="B348" s="50" t="s">
        <v>193</v>
      </c>
      <c r="C348" s="50" t="s">
        <v>195</v>
      </c>
      <c r="D348" s="50" t="s">
        <v>240</v>
      </c>
      <c r="E348" s="50">
        <v>3</v>
      </c>
      <c r="F348">
        <v>5</v>
      </c>
      <c r="G348">
        <v>50</v>
      </c>
      <c r="H348">
        <v>9.65</v>
      </c>
      <c r="I348" s="50">
        <v>5.4</v>
      </c>
      <c r="J348" s="50">
        <v>11.7</v>
      </c>
      <c r="K348" s="50">
        <v>10.5</v>
      </c>
      <c r="L348" s="50">
        <v>7.9</v>
      </c>
      <c r="M348">
        <v>30</v>
      </c>
    </row>
    <row r="349" spans="1:13" hidden="1" x14ac:dyDescent="0.25">
      <c r="A349" t="s">
        <v>344</v>
      </c>
      <c r="B349" s="50" t="s">
        <v>193</v>
      </c>
      <c r="C349" s="50" t="s">
        <v>196</v>
      </c>
      <c r="D349" s="50" t="s">
        <v>241</v>
      </c>
      <c r="E349" s="50">
        <v>2</v>
      </c>
      <c r="F349">
        <v>12</v>
      </c>
      <c r="G349">
        <v>600</v>
      </c>
      <c r="H349">
        <v>20.75</v>
      </c>
      <c r="I349" s="50">
        <v>48</v>
      </c>
      <c r="J349" s="50">
        <v>11.7</v>
      </c>
      <c r="K349" s="50">
        <v>10.5</v>
      </c>
      <c r="L349" s="50">
        <v>33.9</v>
      </c>
      <c r="M349">
        <v>120</v>
      </c>
    </row>
    <row r="350" spans="1:13" hidden="1" x14ac:dyDescent="0.25">
      <c r="A350" t="s">
        <v>344</v>
      </c>
      <c r="B350" s="50" t="s">
        <v>193</v>
      </c>
      <c r="C350" s="50" t="s">
        <v>196</v>
      </c>
      <c r="D350" s="50" t="s">
        <v>241</v>
      </c>
      <c r="E350" s="50">
        <v>2</v>
      </c>
      <c r="F350">
        <v>12</v>
      </c>
      <c r="G350">
        <v>560</v>
      </c>
      <c r="H350">
        <v>20.75</v>
      </c>
      <c r="I350" s="50">
        <v>48</v>
      </c>
      <c r="J350" s="50">
        <v>11.7</v>
      </c>
      <c r="K350" s="50">
        <v>10.5</v>
      </c>
      <c r="L350" s="50">
        <v>33.9</v>
      </c>
      <c r="M350">
        <v>120</v>
      </c>
    </row>
    <row r="351" spans="1:13" hidden="1" x14ac:dyDescent="0.25">
      <c r="A351" t="s">
        <v>344</v>
      </c>
      <c r="B351" s="50" t="s">
        <v>193</v>
      </c>
      <c r="C351" s="50" t="s">
        <v>196</v>
      </c>
      <c r="D351" s="50" t="s">
        <v>241</v>
      </c>
      <c r="E351" s="50">
        <v>2</v>
      </c>
      <c r="F351">
        <v>12</v>
      </c>
      <c r="G351">
        <v>520</v>
      </c>
      <c r="H351">
        <v>20.75</v>
      </c>
      <c r="I351" s="50">
        <v>48</v>
      </c>
      <c r="J351" s="50">
        <v>11.7</v>
      </c>
      <c r="K351" s="50">
        <v>10.5</v>
      </c>
      <c r="L351" s="50">
        <v>33.9</v>
      </c>
      <c r="M351">
        <v>120</v>
      </c>
    </row>
    <row r="352" spans="1:13" hidden="1" x14ac:dyDescent="0.25">
      <c r="A352" t="s">
        <v>344</v>
      </c>
      <c r="B352" s="50" t="s">
        <v>193</v>
      </c>
      <c r="C352" s="50" t="s">
        <v>196</v>
      </c>
      <c r="D352" s="50" t="s">
        <v>241</v>
      </c>
      <c r="E352" s="50">
        <v>2</v>
      </c>
      <c r="F352">
        <v>12</v>
      </c>
      <c r="G352">
        <v>480</v>
      </c>
      <c r="H352">
        <v>20.75</v>
      </c>
      <c r="I352" s="50">
        <v>48</v>
      </c>
      <c r="J352" s="50">
        <v>11.7</v>
      </c>
      <c r="K352" s="50">
        <v>10.5</v>
      </c>
      <c r="L352" s="50">
        <v>33.9</v>
      </c>
      <c r="M352">
        <v>120</v>
      </c>
    </row>
    <row r="353" spans="1:13" hidden="1" x14ac:dyDescent="0.25">
      <c r="A353" t="s">
        <v>344</v>
      </c>
      <c r="B353" s="50" t="s">
        <v>193</v>
      </c>
      <c r="C353" s="50" t="s">
        <v>196</v>
      </c>
      <c r="D353" s="50" t="s">
        <v>241</v>
      </c>
      <c r="E353" s="50">
        <v>2</v>
      </c>
      <c r="F353">
        <v>12</v>
      </c>
      <c r="G353">
        <v>440</v>
      </c>
      <c r="H353">
        <v>20.75</v>
      </c>
      <c r="I353" s="50">
        <v>48</v>
      </c>
      <c r="J353" s="50">
        <v>11.7</v>
      </c>
      <c r="K353" s="50">
        <v>10.5</v>
      </c>
      <c r="L353" s="50">
        <v>33.9</v>
      </c>
      <c r="M353">
        <v>120</v>
      </c>
    </row>
    <row r="354" spans="1:13" hidden="1" x14ac:dyDescent="0.25">
      <c r="A354" t="s">
        <v>344</v>
      </c>
      <c r="B354" s="50" t="s">
        <v>193</v>
      </c>
      <c r="C354" s="50" t="s">
        <v>196</v>
      </c>
      <c r="D354" s="50" t="s">
        <v>241</v>
      </c>
      <c r="E354" s="50">
        <v>2</v>
      </c>
      <c r="F354">
        <v>12</v>
      </c>
      <c r="G354">
        <v>400</v>
      </c>
      <c r="H354">
        <v>20.75</v>
      </c>
      <c r="I354" s="50">
        <v>48</v>
      </c>
      <c r="J354" s="50">
        <v>11.7</v>
      </c>
      <c r="K354" s="50">
        <v>10.5</v>
      </c>
      <c r="L354" s="50">
        <v>33.9</v>
      </c>
      <c r="M354">
        <v>120</v>
      </c>
    </row>
    <row r="355" spans="1:13" hidden="1" x14ac:dyDescent="0.25">
      <c r="A355" t="s">
        <v>344</v>
      </c>
      <c r="B355" s="50" t="s">
        <v>193</v>
      </c>
      <c r="C355" s="50" t="s">
        <v>196</v>
      </c>
      <c r="D355" s="50" t="s">
        <v>241</v>
      </c>
      <c r="E355" s="50">
        <v>2</v>
      </c>
      <c r="F355">
        <v>12</v>
      </c>
      <c r="G355">
        <v>360</v>
      </c>
      <c r="H355">
        <v>20.75</v>
      </c>
      <c r="I355" s="50">
        <v>48</v>
      </c>
      <c r="J355" s="50">
        <v>11.7</v>
      </c>
      <c r="K355" s="50">
        <v>10.5</v>
      </c>
      <c r="L355" s="50">
        <v>33.9</v>
      </c>
      <c r="M355">
        <v>120</v>
      </c>
    </row>
    <row r="356" spans="1:13" hidden="1" x14ac:dyDescent="0.25">
      <c r="A356" t="s">
        <v>344</v>
      </c>
      <c r="B356" s="50" t="s">
        <v>193</v>
      </c>
      <c r="C356" s="50" t="s">
        <v>196</v>
      </c>
      <c r="D356" s="50" t="s">
        <v>241</v>
      </c>
      <c r="E356" s="50">
        <v>2</v>
      </c>
      <c r="F356">
        <v>12</v>
      </c>
      <c r="G356">
        <v>320</v>
      </c>
      <c r="H356">
        <v>20.75</v>
      </c>
      <c r="I356" s="50">
        <v>48</v>
      </c>
      <c r="J356" s="50">
        <v>11.7</v>
      </c>
      <c r="K356" s="50">
        <v>10.5</v>
      </c>
      <c r="L356" s="50">
        <v>33.9</v>
      </c>
      <c r="M356">
        <v>120</v>
      </c>
    </row>
    <row r="357" spans="1:13" hidden="1" x14ac:dyDescent="0.25">
      <c r="A357" t="s">
        <v>344</v>
      </c>
      <c r="B357" s="50" t="s">
        <v>193</v>
      </c>
      <c r="C357" s="50" t="s">
        <v>196</v>
      </c>
      <c r="D357" s="50" t="s">
        <v>241</v>
      </c>
      <c r="E357" s="50">
        <v>2</v>
      </c>
      <c r="F357">
        <v>12</v>
      </c>
      <c r="G357">
        <v>280</v>
      </c>
      <c r="H357">
        <v>20.75</v>
      </c>
      <c r="I357" s="50">
        <v>48</v>
      </c>
      <c r="J357" s="50">
        <v>11.7</v>
      </c>
      <c r="K357" s="50">
        <v>10.5</v>
      </c>
      <c r="L357" s="50">
        <v>33.9</v>
      </c>
      <c r="M357">
        <v>80</v>
      </c>
    </row>
    <row r="358" spans="1:13" hidden="1" x14ac:dyDescent="0.25">
      <c r="A358" t="s">
        <v>344</v>
      </c>
      <c r="B358" s="50" t="s">
        <v>193</v>
      </c>
      <c r="C358" s="50" t="s">
        <v>196</v>
      </c>
      <c r="D358" s="50" t="s">
        <v>241</v>
      </c>
      <c r="E358" s="50">
        <v>2</v>
      </c>
      <c r="F358">
        <v>12</v>
      </c>
      <c r="G358">
        <v>240</v>
      </c>
      <c r="H358">
        <v>20.75</v>
      </c>
      <c r="I358" s="50">
        <v>48</v>
      </c>
      <c r="J358" s="50">
        <v>11.7</v>
      </c>
      <c r="K358" s="50">
        <v>10.5</v>
      </c>
      <c r="L358" s="50">
        <v>33.9</v>
      </c>
      <c r="M358">
        <v>80</v>
      </c>
    </row>
    <row r="359" spans="1:13" hidden="1" x14ac:dyDescent="0.25">
      <c r="A359" t="s">
        <v>344</v>
      </c>
      <c r="B359" s="50" t="s">
        <v>193</v>
      </c>
      <c r="C359" s="50" t="s">
        <v>196</v>
      </c>
      <c r="D359" s="50" t="s">
        <v>241</v>
      </c>
      <c r="E359" s="50">
        <v>2</v>
      </c>
      <c r="F359">
        <v>12</v>
      </c>
      <c r="G359">
        <v>200</v>
      </c>
      <c r="H359">
        <v>20.75</v>
      </c>
      <c r="I359" s="50">
        <v>48</v>
      </c>
      <c r="J359" s="50">
        <v>11.7</v>
      </c>
      <c r="K359" s="50">
        <v>10.5</v>
      </c>
      <c r="L359" s="50">
        <v>33.9</v>
      </c>
      <c r="M359">
        <v>80</v>
      </c>
    </row>
    <row r="360" spans="1:13" hidden="1" x14ac:dyDescent="0.25">
      <c r="A360" t="s">
        <v>344</v>
      </c>
      <c r="B360" s="50" t="s">
        <v>193</v>
      </c>
      <c r="C360" s="50" t="s">
        <v>196</v>
      </c>
      <c r="D360" s="50" t="s">
        <v>241</v>
      </c>
      <c r="E360" s="50">
        <v>2</v>
      </c>
      <c r="F360">
        <v>12</v>
      </c>
      <c r="G360">
        <v>160</v>
      </c>
      <c r="H360">
        <v>20.75</v>
      </c>
      <c r="I360" s="50">
        <v>48</v>
      </c>
      <c r="J360" s="50">
        <v>11.7</v>
      </c>
      <c r="K360" s="50">
        <v>10.5</v>
      </c>
      <c r="L360" s="50">
        <v>33.9</v>
      </c>
      <c r="M360">
        <v>80</v>
      </c>
    </row>
    <row r="361" spans="1:13" hidden="1" x14ac:dyDescent="0.25">
      <c r="A361" t="s">
        <v>344</v>
      </c>
      <c r="B361" s="50" t="s">
        <v>193</v>
      </c>
      <c r="C361" s="50" t="s">
        <v>196</v>
      </c>
      <c r="D361" s="50" t="s">
        <v>241</v>
      </c>
      <c r="E361" s="50">
        <v>2</v>
      </c>
      <c r="F361">
        <v>12</v>
      </c>
      <c r="G361">
        <v>120</v>
      </c>
      <c r="H361">
        <v>20.75</v>
      </c>
      <c r="I361" s="50">
        <v>48</v>
      </c>
      <c r="J361" s="50">
        <v>11.7</v>
      </c>
      <c r="K361" s="50">
        <v>10.5</v>
      </c>
      <c r="L361" s="50">
        <v>33.9</v>
      </c>
      <c r="M361">
        <v>80</v>
      </c>
    </row>
    <row r="362" spans="1:13" hidden="1" x14ac:dyDescent="0.25">
      <c r="A362" t="s">
        <v>344</v>
      </c>
      <c r="B362" s="50" t="s">
        <v>193</v>
      </c>
      <c r="C362" s="50" t="s">
        <v>196</v>
      </c>
      <c r="D362" s="50" t="s">
        <v>241</v>
      </c>
      <c r="E362" s="50">
        <v>2</v>
      </c>
      <c r="F362">
        <v>10</v>
      </c>
      <c r="G362">
        <v>400</v>
      </c>
      <c r="H362">
        <v>18.25</v>
      </c>
      <c r="I362" s="50">
        <v>35.799999999999997</v>
      </c>
      <c r="J362" s="50">
        <v>11.7</v>
      </c>
      <c r="K362" s="50">
        <v>10.5</v>
      </c>
      <c r="L362" s="50">
        <v>31.4</v>
      </c>
      <c r="M362">
        <v>100</v>
      </c>
    </row>
    <row r="363" spans="1:13" hidden="1" x14ac:dyDescent="0.25">
      <c r="A363" t="s">
        <v>344</v>
      </c>
      <c r="B363" s="50" t="s">
        <v>193</v>
      </c>
      <c r="C363" s="50" t="s">
        <v>196</v>
      </c>
      <c r="D363" s="50" t="s">
        <v>241</v>
      </c>
      <c r="E363" s="50">
        <v>2</v>
      </c>
      <c r="F363">
        <v>10</v>
      </c>
      <c r="G363">
        <v>380</v>
      </c>
      <c r="H363">
        <v>18.25</v>
      </c>
      <c r="I363" s="50">
        <v>35.799999999999997</v>
      </c>
      <c r="J363" s="50">
        <v>11.7</v>
      </c>
      <c r="K363" s="50">
        <v>10.5</v>
      </c>
      <c r="L363" s="50">
        <v>31.4</v>
      </c>
      <c r="M363">
        <v>100</v>
      </c>
    </row>
    <row r="364" spans="1:13" hidden="1" x14ac:dyDescent="0.25">
      <c r="A364" t="s">
        <v>344</v>
      </c>
      <c r="B364" s="50" t="s">
        <v>193</v>
      </c>
      <c r="C364" s="50" t="s">
        <v>196</v>
      </c>
      <c r="D364" s="50" t="s">
        <v>241</v>
      </c>
      <c r="E364" s="50">
        <v>2</v>
      </c>
      <c r="F364">
        <v>10</v>
      </c>
      <c r="G364">
        <v>360</v>
      </c>
      <c r="H364">
        <v>18.25</v>
      </c>
      <c r="I364" s="50">
        <v>35.799999999999997</v>
      </c>
      <c r="J364" s="50">
        <v>11.7</v>
      </c>
      <c r="K364" s="50">
        <v>10.5</v>
      </c>
      <c r="L364" s="50">
        <v>31.4</v>
      </c>
      <c r="M364">
        <v>100</v>
      </c>
    </row>
    <row r="365" spans="1:13" hidden="1" x14ac:dyDescent="0.25">
      <c r="A365" t="s">
        <v>344</v>
      </c>
      <c r="B365" s="50" t="s">
        <v>193</v>
      </c>
      <c r="C365" s="50" t="s">
        <v>196</v>
      </c>
      <c r="D365" s="50" t="s">
        <v>241</v>
      </c>
      <c r="E365" s="50">
        <v>2</v>
      </c>
      <c r="F365">
        <v>10</v>
      </c>
      <c r="G365">
        <v>340</v>
      </c>
      <c r="H365">
        <v>18.25</v>
      </c>
      <c r="I365" s="50">
        <v>35.799999999999997</v>
      </c>
      <c r="J365" s="50">
        <v>11.7</v>
      </c>
      <c r="K365" s="50">
        <v>10.5</v>
      </c>
      <c r="L365" s="50">
        <v>31.4</v>
      </c>
      <c r="M365">
        <v>100</v>
      </c>
    </row>
    <row r="366" spans="1:13" hidden="1" x14ac:dyDescent="0.25">
      <c r="A366" t="s">
        <v>344</v>
      </c>
      <c r="B366" s="50" t="s">
        <v>193</v>
      </c>
      <c r="C366" s="50" t="s">
        <v>196</v>
      </c>
      <c r="D366" s="50" t="s">
        <v>241</v>
      </c>
      <c r="E366" s="50">
        <v>2</v>
      </c>
      <c r="F366">
        <v>10</v>
      </c>
      <c r="G366">
        <v>320</v>
      </c>
      <c r="H366">
        <v>18.25</v>
      </c>
      <c r="I366" s="50">
        <v>35.799999999999997</v>
      </c>
      <c r="J366" s="50">
        <v>11.7</v>
      </c>
      <c r="K366" s="50">
        <v>10.5</v>
      </c>
      <c r="L366" s="50">
        <v>31.4</v>
      </c>
      <c r="M366">
        <v>100</v>
      </c>
    </row>
    <row r="367" spans="1:13" hidden="1" x14ac:dyDescent="0.25">
      <c r="A367" t="s">
        <v>344</v>
      </c>
      <c r="B367" s="50" t="s">
        <v>193</v>
      </c>
      <c r="C367" s="50" t="s">
        <v>196</v>
      </c>
      <c r="D367" s="50" t="s">
        <v>241</v>
      </c>
      <c r="E367" s="50">
        <v>2</v>
      </c>
      <c r="F367">
        <v>10</v>
      </c>
      <c r="G367">
        <v>300</v>
      </c>
      <c r="H367">
        <v>18.25</v>
      </c>
      <c r="I367" s="50">
        <v>35.799999999999997</v>
      </c>
      <c r="J367" s="50">
        <v>11.7</v>
      </c>
      <c r="K367" s="50">
        <v>10.5</v>
      </c>
      <c r="L367" s="50">
        <v>31.4</v>
      </c>
      <c r="M367">
        <v>100</v>
      </c>
    </row>
    <row r="368" spans="1:13" hidden="1" x14ac:dyDescent="0.25">
      <c r="A368" t="s">
        <v>344</v>
      </c>
      <c r="B368" s="50" t="s">
        <v>193</v>
      </c>
      <c r="C368" s="50" t="s">
        <v>196</v>
      </c>
      <c r="D368" s="50" t="s">
        <v>241</v>
      </c>
      <c r="E368" s="50">
        <v>2</v>
      </c>
      <c r="F368">
        <v>10</v>
      </c>
      <c r="G368">
        <v>280</v>
      </c>
      <c r="H368">
        <v>18.25</v>
      </c>
      <c r="I368" s="50">
        <v>35.799999999999997</v>
      </c>
      <c r="J368" s="50">
        <v>11.7</v>
      </c>
      <c r="K368" s="50">
        <v>10.5</v>
      </c>
      <c r="L368" s="50">
        <v>31.4</v>
      </c>
      <c r="M368">
        <v>80</v>
      </c>
    </row>
    <row r="369" spans="1:13" hidden="1" x14ac:dyDescent="0.25">
      <c r="A369" t="s">
        <v>344</v>
      </c>
      <c r="B369" s="50" t="s">
        <v>193</v>
      </c>
      <c r="C369" s="50" t="s">
        <v>196</v>
      </c>
      <c r="D369" s="50" t="s">
        <v>241</v>
      </c>
      <c r="E369" s="50">
        <v>2</v>
      </c>
      <c r="F369">
        <v>10</v>
      </c>
      <c r="G369">
        <v>260</v>
      </c>
      <c r="H369">
        <v>18.25</v>
      </c>
      <c r="I369" s="50">
        <v>35.799999999999997</v>
      </c>
      <c r="J369" s="50">
        <v>11.7</v>
      </c>
      <c r="K369" s="50">
        <v>10.5</v>
      </c>
      <c r="L369" s="50">
        <v>31.4</v>
      </c>
      <c r="M369">
        <v>80</v>
      </c>
    </row>
    <row r="370" spans="1:13" hidden="1" x14ac:dyDescent="0.25">
      <c r="A370" t="s">
        <v>344</v>
      </c>
      <c r="B370" s="50" t="s">
        <v>193</v>
      </c>
      <c r="C370" s="50" t="s">
        <v>196</v>
      </c>
      <c r="D370" s="50" t="s">
        <v>241</v>
      </c>
      <c r="E370" s="50">
        <v>2</v>
      </c>
      <c r="F370">
        <v>10</v>
      </c>
      <c r="G370">
        <v>240</v>
      </c>
      <c r="H370">
        <v>18.25</v>
      </c>
      <c r="I370" s="50">
        <v>35.799999999999997</v>
      </c>
      <c r="J370" s="50">
        <v>11.7</v>
      </c>
      <c r="K370" s="50">
        <v>10.5</v>
      </c>
      <c r="L370" s="50">
        <v>31.4</v>
      </c>
      <c r="M370">
        <v>80</v>
      </c>
    </row>
    <row r="371" spans="1:13" hidden="1" x14ac:dyDescent="0.25">
      <c r="A371" t="s">
        <v>344</v>
      </c>
      <c r="B371" s="50" t="s">
        <v>193</v>
      </c>
      <c r="C371" s="50" t="s">
        <v>196</v>
      </c>
      <c r="D371" s="50" t="s">
        <v>241</v>
      </c>
      <c r="E371" s="50">
        <v>2</v>
      </c>
      <c r="F371">
        <v>10</v>
      </c>
      <c r="G371">
        <v>220</v>
      </c>
      <c r="H371">
        <v>18.25</v>
      </c>
      <c r="I371" s="50">
        <v>35.799999999999997</v>
      </c>
      <c r="J371" s="50">
        <v>11.7</v>
      </c>
      <c r="K371" s="50">
        <v>10.5</v>
      </c>
      <c r="L371" s="50">
        <v>31.4</v>
      </c>
      <c r="M371">
        <v>80</v>
      </c>
    </row>
    <row r="372" spans="1:13" hidden="1" x14ac:dyDescent="0.25">
      <c r="A372" t="s">
        <v>344</v>
      </c>
      <c r="B372" s="50" t="s">
        <v>193</v>
      </c>
      <c r="C372" s="50" t="s">
        <v>196</v>
      </c>
      <c r="D372" s="50" t="s">
        <v>241</v>
      </c>
      <c r="E372" s="50">
        <v>2</v>
      </c>
      <c r="F372">
        <v>10</v>
      </c>
      <c r="G372">
        <v>200</v>
      </c>
      <c r="H372">
        <v>18.25</v>
      </c>
      <c r="I372" s="50">
        <v>35.799999999999997</v>
      </c>
      <c r="J372" s="50">
        <v>11.7</v>
      </c>
      <c r="K372" s="50">
        <v>10.5</v>
      </c>
      <c r="L372" s="50">
        <v>31.4</v>
      </c>
      <c r="M372">
        <v>80</v>
      </c>
    </row>
    <row r="373" spans="1:13" hidden="1" x14ac:dyDescent="0.25">
      <c r="A373" t="s">
        <v>344</v>
      </c>
      <c r="B373" s="50" t="s">
        <v>193</v>
      </c>
      <c r="C373" s="50" t="s">
        <v>196</v>
      </c>
      <c r="D373" s="50" t="s">
        <v>241</v>
      </c>
      <c r="E373" s="50">
        <v>2</v>
      </c>
      <c r="F373">
        <v>10</v>
      </c>
      <c r="G373">
        <v>180</v>
      </c>
      <c r="H373">
        <v>18.25</v>
      </c>
      <c r="I373" s="50">
        <v>35.799999999999997</v>
      </c>
      <c r="J373" s="50">
        <v>11.7</v>
      </c>
      <c r="K373" s="50">
        <v>10.5</v>
      </c>
      <c r="L373" s="50">
        <v>31.4</v>
      </c>
      <c r="M373">
        <v>80</v>
      </c>
    </row>
    <row r="374" spans="1:13" hidden="1" x14ac:dyDescent="0.25">
      <c r="A374" t="s">
        <v>344</v>
      </c>
      <c r="B374" s="50" t="s">
        <v>193</v>
      </c>
      <c r="C374" s="50" t="s">
        <v>196</v>
      </c>
      <c r="D374" s="50" t="s">
        <v>241</v>
      </c>
      <c r="E374" s="50">
        <v>2</v>
      </c>
      <c r="F374">
        <v>10</v>
      </c>
      <c r="G374">
        <v>160</v>
      </c>
      <c r="H374">
        <v>18.25</v>
      </c>
      <c r="I374" s="50">
        <v>35.799999999999997</v>
      </c>
      <c r="J374" s="50">
        <v>11.7</v>
      </c>
      <c r="K374" s="50">
        <v>10.5</v>
      </c>
      <c r="L374" s="50">
        <v>31.4</v>
      </c>
      <c r="M374">
        <v>80</v>
      </c>
    </row>
    <row r="375" spans="1:13" hidden="1" x14ac:dyDescent="0.25">
      <c r="A375" t="s">
        <v>344</v>
      </c>
      <c r="B375" s="50" t="s">
        <v>193</v>
      </c>
      <c r="C375" s="50" t="s">
        <v>196</v>
      </c>
      <c r="D375" s="50" t="s">
        <v>241</v>
      </c>
      <c r="E375" s="50">
        <v>2</v>
      </c>
      <c r="F375">
        <v>10</v>
      </c>
      <c r="G375">
        <v>140</v>
      </c>
      <c r="H375">
        <v>18.25</v>
      </c>
      <c r="I375" s="50">
        <v>35.799999999999997</v>
      </c>
      <c r="J375" s="50">
        <v>11.7</v>
      </c>
      <c r="K375" s="50">
        <v>10.5</v>
      </c>
      <c r="L375" s="50">
        <v>31.4</v>
      </c>
      <c r="M375">
        <v>60</v>
      </c>
    </row>
    <row r="376" spans="1:13" hidden="1" x14ac:dyDescent="0.25">
      <c r="A376" t="s">
        <v>344</v>
      </c>
      <c r="B376" s="50" t="s">
        <v>193</v>
      </c>
      <c r="C376" s="50" t="s">
        <v>196</v>
      </c>
      <c r="D376" s="50" t="s">
        <v>241</v>
      </c>
      <c r="E376" s="50">
        <v>2</v>
      </c>
      <c r="F376">
        <v>10</v>
      </c>
      <c r="G376">
        <v>120</v>
      </c>
      <c r="H376">
        <v>18.25</v>
      </c>
      <c r="I376" s="50">
        <v>35.799999999999997</v>
      </c>
      <c r="J376" s="50">
        <v>11.7</v>
      </c>
      <c r="K376" s="50">
        <v>10.5</v>
      </c>
      <c r="L376" s="50">
        <v>31.4</v>
      </c>
      <c r="M376">
        <v>60</v>
      </c>
    </row>
    <row r="377" spans="1:13" hidden="1" x14ac:dyDescent="0.25">
      <c r="A377" t="s">
        <v>344</v>
      </c>
      <c r="B377" s="50" t="s">
        <v>193</v>
      </c>
      <c r="C377" s="50" t="s">
        <v>196</v>
      </c>
      <c r="D377" s="50" t="s">
        <v>241</v>
      </c>
      <c r="E377" s="50">
        <v>2</v>
      </c>
      <c r="F377">
        <v>10</v>
      </c>
      <c r="G377">
        <v>100</v>
      </c>
      <c r="H377">
        <v>18.25</v>
      </c>
      <c r="I377" s="50">
        <v>35.799999999999997</v>
      </c>
      <c r="J377" s="50">
        <v>11.7</v>
      </c>
      <c r="K377" s="50">
        <v>10.5</v>
      </c>
      <c r="L377" s="50">
        <v>31.4</v>
      </c>
      <c r="M377">
        <v>52</v>
      </c>
    </row>
    <row r="378" spans="1:13" hidden="1" x14ac:dyDescent="0.25">
      <c r="A378" t="s">
        <v>344</v>
      </c>
      <c r="B378" s="50" t="s">
        <v>193</v>
      </c>
      <c r="C378" s="50" t="s">
        <v>196</v>
      </c>
      <c r="D378" s="50" t="s">
        <v>241</v>
      </c>
      <c r="E378" s="50">
        <v>2</v>
      </c>
      <c r="F378">
        <v>10</v>
      </c>
      <c r="G378">
        <v>80</v>
      </c>
      <c r="H378">
        <v>18.25</v>
      </c>
      <c r="I378" s="50">
        <v>35.799999999999997</v>
      </c>
      <c r="J378" s="50">
        <v>11.7</v>
      </c>
      <c r="K378" s="50">
        <v>10.5</v>
      </c>
      <c r="L378" s="50">
        <v>31.4</v>
      </c>
      <c r="M378">
        <v>52</v>
      </c>
    </row>
    <row r="379" spans="1:13" hidden="1" x14ac:dyDescent="0.25">
      <c r="A379" t="s">
        <v>344</v>
      </c>
      <c r="B379" s="50" t="s">
        <v>193</v>
      </c>
      <c r="C379" s="50" t="s">
        <v>196</v>
      </c>
      <c r="D379" s="50" t="s">
        <v>241</v>
      </c>
      <c r="E379" s="50">
        <v>2</v>
      </c>
      <c r="F379">
        <v>8</v>
      </c>
      <c r="G379">
        <v>520</v>
      </c>
      <c r="H379">
        <v>14.5</v>
      </c>
      <c r="I379" s="50">
        <v>20.100000000000001</v>
      </c>
      <c r="J379" s="50">
        <v>11.7</v>
      </c>
      <c r="K379" s="50">
        <v>10.5</v>
      </c>
      <c r="L379" s="50">
        <v>20.100000000000001</v>
      </c>
      <c r="M379">
        <v>100</v>
      </c>
    </row>
    <row r="380" spans="1:13" hidden="1" x14ac:dyDescent="0.25">
      <c r="A380" t="s">
        <v>344</v>
      </c>
      <c r="B380" s="50" t="s">
        <v>193</v>
      </c>
      <c r="C380" s="50" t="s">
        <v>196</v>
      </c>
      <c r="D380" s="50" t="s">
        <v>241</v>
      </c>
      <c r="E380" s="50">
        <v>2</v>
      </c>
      <c r="F380">
        <v>8</v>
      </c>
      <c r="G380">
        <v>480</v>
      </c>
      <c r="H380">
        <v>14.5</v>
      </c>
      <c r="I380" s="50">
        <v>20.100000000000001</v>
      </c>
      <c r="J380" s="50">
        <v>11.7</v>
      </c>
      <c r="K380" s="50">
        <v>10.5</v>
      </c>
      <c r="L380" s="50">
        <v>20.100000000000001</v>
      </c>
      <c r="M380">
        <v>100</v>
      </c>
    </row>
    <row r="381" spans="1:13" hidden="1" x14ac:dyDescent="0.25">
      <c r="A381" t="s">
        <v>344</v>
      </c>
      <c r="B381" s="50" t="s">
        <v>193</v>
      </c>
      <c r="C381" s="50" t="s">
        <v>196</v>
      </c>
      <c r="D381" s="50" t="s">
        <v>241</v>
      </c>
      <c r="E381" s="50">
        <v>2</v>
      </c>
      <c r="F381">
        <v>8</v>
      </c>
      <c r="G381">
        <v>440</v>
      </c>
      <c r="H381">
        <v>14.5</v>
      </c>
      <c r="I381" s="50">
        <v>20.100000000000001</v>
      </c>
      <c r="J381" s="50">
        <v>11.7</v>
      </c>
      <c r="K381" s="50">
        <v>10.5</v>
      </c>
      <c r="L381" s="50">
        <v>20.100000000000001</v>
      </c>
      <c r="M381">
        <v>100</v>
      </c>
    </row>
    <row r="382" spans="1:13" hidden="1" x14ac:dyDescent="0.25">
      <c r="A382" t="s">
        <v>344</v>
      </c>
      <c r="B382" s="50" t="s">
        <v>193</v>
      </c>
      <c r="C382" s="50" t="s">
        <v>196</v>
      </c>
      <c r="D382" s="50" t="s">
        <v>241</v>
      </c>
      <c r="E382" s="50">
        <v>2</v>
      </c>
      <c r="F382">
        <v>8</v>
      </c>
      <c r="G382">
        <v>400</v>
      </c>
      <c r="H382">
        <v>14.5</v>
      </c>
      <c r="I382" s="50">
        <v>20.100000000000001</v>
      </c>
      <c r="J382" s="50">
        <v>11.7</v>
      </c>
      <c r="K382" s="50">
        <v>10.5</v>
      </c>
      <c r="L382" s="50">
        <v>20.100000000000001</v>
      </c>
      <c r="M382">
        <v>100</v>
      </c>
    </row>
    <row r="383" spans="1:13" hidden="1" x14ac:dyDescent="0.25">
      <c r="A383" t="s">
        <v>344</v>
      </c>
      <c r="B383" s="50" t="s">
        <v>193</v>
      </c>
      <c r="C383" s="50" t="s">
        <v>196</v>
      </c>
      <c r="D383" s="50" t="s">
        <v>241</v>
      </c>
      <c r="E383" s="50">
        <v>2</v>
      </c>
      <c r="F383">
        <v>8</v>
      </c>
      <c r="G383">
        <v>380</v>
      </c>
      <c r="H383">
        <v>14.5</v>
      </c>
      <c r="I383" s="50">
        <v>20.100000000000001</v>
      </c>
      <c r="J383" s="50">
        <v>11.7</v>
      </c>
      <c r="K383" s="50">
        <v>10.5</v>
      </c>
      <c r="L383" s="50">
        <v>20.100000000000001</v>
      </c>
      <c r="M383">
        <v>100</v>
      </c>
    </row>
    <row r="384" spans="1:13" hidden="1" x14ac:dyDescent="0.25">
      <c r="A384" t="s">
        <v>344</v>
      </c>
      <c r="B384" s="50" t="s">
        <v>193</v>
      </c>
      <c r="C384" s="50" t="s">
        <v>196</v>
      </c>
      <c r="D384" s="50" t="s">
        <v>241</v>
      </c>
      <c r="E384" s="50">
        <v>2</v>
      </c>
      <c r="F384">
        <v>8</v>
      </c>
      <c r="G384">
        <v>360</v>
      </c>
      <c r="H384">
        <v>14.5</v>
      </c>
      <c r="I384" s="50">
        <v>20.100000000000001</v>
      </c>
      <c r="J384" s="50">
        <v>11.7</v>
      </c>
      <c r="K384" s="50">
        <v>10.5</v>
      </c>
      <c r="L384" s="50">
        <v>20.100000000000001</v>
      </c>
      <c r="M384">
        <v>100</v>
      </c>
    </row>
    <row r="385" spans="1:13" hidden="1" x14ac:dyDescent="0.25">
      <c r="A385" t="s">
        <v>344</v>
      </c>
      <c r="B385" s="50" t="s">
        <v>193</v>
      </c>
      <c r="C385" s="50" t="s">
        <v>196</v>
      </c>
      <c r="D385" s="50" t="s">
        <v>241</v>
      </c>
      <c r="E385" s="50">
        <v>2</v>
      </c>
      <c r="F385">
        <v>8</v>
      </c>
      <c r="G385">
        <v>340</v>
      </c>
      <c r="H385">
        <v>14.5</v>
      </c>
      <c r="I385" s="50">
        <v>20.100000000000001</v>
      </c>
      <c r="J385" s="50">
        <v>11.7</v>
      </c>
      <c r="K385" s="50">
        <v>10.5</v>
      </c>
      <c r="L385" s="50">
        <v>20.100000000000001</v>
      </c>
      <c r="M385">
        <v>100</v>
      </c>
    </row>
    <row r="386" spans="1:13" hidden="1" x14ac:dyDescent="0.25">
      <c r="A386" t="s">
        <v>344</v>
      </c>
      <c r="B386" s="50" t="s">
        <v>193</v>
      </c>
      <c r="C386" s="50" t="s">
        <v>196</v>
      </c>
      <c r="D386" s="50" t="s">
        <v>241</v>
      </c>
      <c r="E386" s="50">
        <v>2</v>
      </c>
      <c r="F386">
        <v>8</v>
      </c>
      <c r="G386">
        <v>320</v>
      </c>
      <c r="H386">
        <v>14.5</v>
      </c>
      <c r="I386" s="50">
        <v>20.100000000000001</v>
      </c>
      <c r="J386" s="50">
        <v>11.7</v>
      </c>
      <c r="K386" s="50">
        <v>10.5</v>
      </c>
      <c r="L386" s="50">
        <v>20.100000000000001</v>
      </c>
      <c r="M386">
        <v>100</v>
      </c>
    </row>
    <row r="387" spans="1:13" hidden="1" x14ac:dyDescent="0.25">
      <c r="A387" t="s">
        <v>344</v>
      </c>
      <c r="B387" s="50" t="s">
        <v>193</v>
      </c>
      <c r="C387" s="50" t="s">
        <v>196</v>
      </c>
      <c r="D387" s="50" t="s">
        <v>241</v>
      </c>
      <c r="E387" s="50">
        <v>2</v>
      </c>
      <c r="F387">
        <v>8</v>
      </c>
      <c r="G387">
        <v>300</v>
      </c>
      <c r="H387">
        <v>14.5</v>
      </c>
      <c r="I387" s="50">
        <v>20.100000000000001</v>
      </c>
      <c r="J387" s="50">
        <v>11.7</v>
      </c>
      <c r="K387" s="50">
        <v>10.5</v>
      </c>
      <c r="L387" s="50">
        <v>20.100000000000001</v>
      </c>
      <c r="M387">
        <v>100</v>
      </c>
    </row>
    <row r="388" spans="1:13" hidden="1" x14ac:dyDescent="0.25">
      <c r="A388" t="s">
        <v>344</v>
      </c>
      <c r="B388" s="50" t="s">
        <v>193</v>
      </c>
      <c r="C388" s="50" t="s">
        <v>196</v>
      </c>
      <c r="D388" s="50" t="s">
        <v>241</v>
      </c>
      <c r="E388" s="50">
        <v>2</v>
      </c>
      <c r="F388">
        <v>8</v>
      </c>
      <c r="G388">
        <v>280</v>
      </c>
      <c r="H388">
        <v>14.5</v>
      </c>
      <c r="I388" s="50">
        <v>20.100000000000001</v>
      </c>
      <c r="J388" s="50">
        <v>11.7</v>
      </c>
      <c r="K388" s="50">
        <v>10.5</v>
      </c>
      <c r="L388" s="50">
        <v>20.100000000000001</v>
      </c>
      <c r="M388">
        <v>80</v>
      </c>
    </row>
    <row r="389" spans="1:13" hidden="1" x14ac:dyDescent="0.25">
      <c r="A389" t="s">
        <v>344</v>
      </c>
      <c r="B389" s="50" t="s">
        <v>193</v>
      </c>
      <c r="C389" s="50" t="s">
        <v>196</v>
      </c>
      <c r="D389" s="50" t="s">
        <v>241</v>
      </c>
      <c r="E389" s="50">
        <v>2</v>
      </c>
      <c r="F389">
        <v>8</v>
      </c>
      <c r="G389">
        <v>260</v>
      </c>
      <c r="H389">
        <v>14.5</v>
      </c>
      <c r="I389" s="50">
        <v>20.100000000000001</v>
      </c>
      <c r="J389" s="50">
        <v>11.7</v>
      </c>
      <c r="K389" s="50">
        <v>10.5</v>
      </c>
      <c r="L389" s="50">
        <v>20.100000000000001</v>
      </c>
      <c r="M389">
        <v>80</v>
      </c>
    </row>
    <row r="390" spans="1:13" hidden="1" x14ac:dyDescent="0.25">
      <c r="A390" t="s">
        <v>344</v>
      </c>
      <c r="B390" s="50" t="s">
        <v>193</v>
      </c>
      <c r="C390" s="50" t="s">
        <v>196</v>
      </c>
      <c r="D390" s="50" t="s">
        <v>241</v>
      </c>
      <c r="E390" s="50">
        <v>2</v>
      </c>
      <c r="F390">
        <v>8</v>
      </c>
      <c r="G390">
        <v>240</v>
      </c>
      <c r="H390">
        <v>14.5</v>
      </c>
      <c r="I390" s="50">
        <v>20.100000000000001</v>
      </c>
      <c r="J390" s="50">
        <v>11.7</v>
      </c>
      <c r="K390" s="50">
        <v>10.5</v>
      </c>
      <c r="L390" s="50">
        <v>20.100000000000001</v>
      </c>
      <c r="M390">
        <v>80</v>
      </c>
    </row>
    <row r="391" spans="1:13" hidden="1" x14ac:dyDescent="0.25">
      <c r="A391" t="s">
        <v>344</v>
      </c>
      <c r="B391" s="50" t="s">
        <v>193</v>
      </c>
      <c r="C391" s="50" t="s">
        <v>196</v>
      </c>
      <c r="D391" s="50" t="s">
        <v>241</v>
      </c>
      <c r="E391" s="50">
        <v>2</v>
      </c>
      <c r="F391">
        <v>8</v>
      </c>
      <c r="G391">
        <v>220</v>
      </c>
      <c r="H391">
        <v>14.5</v>
      </c>
      <c r="I391" s="50">
        <v>20.100000000000001</v>
      </c>
      <c r="J391" s="50">
        <v>11.7</v>
      </c>
      <c r="K391" s="50">
        <v>10.5</v>
      </c>
      <c r="L391" s="50">
        <v>20.100000000000001</v>
      </c>
      <c r="M391">
        <v>80</v>
      </c>
    </row>
    <row r="392" spans="1:13" hidden="1" x14ac:dyDescent="0.25">
      <c r="A392" t="s">
        <v>344</v>
      </c>
      <c r="B392" s="50" t="s">
        <v>193</v>
      </c>
      <c r="C392" s="50" t="s">
        <v>196</v>
      </c>
      <c r="D392" s="50" t="s">
        <v>241</v>
      </c>
      <c r="E392" s="50">
        <v>2</v>
      </c>
      <c r="F392">
        <v>8</v>
      </c>
      <c r="G392">
        <v>200</v>
      </c>
      <c r="H392">
        <v>14.5</v>
      </c>
      <c r="I392" s="50">
        <v>20.100000000000001</v>
      </c>
      <c r="J392" s="50">
        <v>11.7</v>
      </c>
      <c r="K392" s="50">
        <v>10.5</v>
      </c>
      <c r="L392" s="50">
        <v>20.100000000000001</v>
      </c>
      <c r="M392">
        <v>80</v>
      </c>
    </row>
    <row r="393" spans="1:13" hidden="1" x14ac:dyDescent="0.25">
      <c r="A393" t="s">
        <v>344</v>
      </c>
      <c r="B393" s="50" t="s">
        <v>193</v>
      </c>
      <c r="C393" s="50" t="s">
        <v>196</v>
      </c>
      <c r="D393" s="50" t="s">
        <v>241</v>
      </c>
      <c r="E393" s="50">
        <v>2</v>
      </c>
      <c r="F393">
        <v>8</v>
      </c>
      <c r="G393">
        <v>180</v>
      </c>
      <c r="H393">
        <v>14.5</v>
      </c>
      <c r="I393" s="50">
        <v>20.100000000000001</v>
      </c>
      <c r="J393" s="50">
        <v>11.7</v>
      </c>
      <c r="K393" s="50">
        <v>10.5</v>
      </c>
      <c r="L393" s="50">
        <v>20.100000000000001</v>
      </c>
      <c r="M393">
        <v>80</v>
      </c>
    </row>
    <row r="394" spans="1:13" hidden="1" x14ac:dyDescent="0.25">
      <c r="A394" t="s">
        <v>344</v>
      </c>
      <c r="B394" s="50" t="s">
        <v>193</v>
      </c>
      <c r="C394" s="50" t="s">
        <v>196</v>
      </c>
      <c r="D394" s="50" t="s">
        <v>241</v>
      </c>
      <c r="E394" s="50">
        <v>2</v>
      </c>
      <c r="F394">
        <v>8</v>
      </c>
      <c r="G394">
        <v>160</v>
      </c>
      <c r="H394">
        <v>14.5</v>
      </c>
      <c r="I394" s="50">
        <v>20.100000000000001</v>
      </c>
      <c r="J394" s="50">
        <v>11.7</v>
      </c>
      <c r="K394" s="50">
        <v>10.5</v>
      </c>
      <c r="L394" s="50">
        <v>20.100000000000001</v>
      </c>
      <c r="M394">
        <v>80</v>
      </c>
    </row>
    <row r="395" spans="1:13" hidden="1" x14ac:dyDescent="0.25">
      <c r="A395" t="s">
        <v>344</v>
      </c>
      <c r="B395" s="50" t="s">
        <v>193</v>
      </c>
      <c r="C395" s="50" t="s">
        <v>196</v>
      </c>
      <c r="D395" s="50" t="s">
        <v>241</v>
      </c>
      <c r="E395" s="50">
        <v>2</v>
      </c>
      <c r="F395">
        <v>8</v>
      </c>
      <c r="G395">
        <v>140</v>
      </c>
      <c r="H395">
        <v>14.5</v>
      </c>
      <c r="I395" s="50">
        <v>20.100000000000001</v>
      </c>
      <c r="J395" s="50">
        <v>11.7</v>
      </c>
      <c r="K395" s="50">
        <v>10.5</v>
      </c>
      <c r="L395" s="50">
        <v>20.100000000000001</v>
      </c>
      <c r="M395">
        <v>60</v>
      </c>
    </row>
    <row r="396" spans="1:13" hidden="1" x14ac:dyDescent="0.25">
      <c r="A396" t="s">
        <v>344</v>
      </c>
      <c r="B396" s="50" t="s">
        <v>193</v>
      </c>
      <c r="C396" s="50" t="s">
        <v>196</v>
      </c>
      <c r="D396" s="50" t="s">
        <v>241</v>
      </c>
      <c r="E396" s="50">
        <v>2</v>
      </c>
      <c r="F396">
        <v>8</v>
      </c>
      <c r="G396">
        <v>120</v>
      </c>
      <c r="H396">
        <v>14.5</v>
      </c>
      <c r="I396" s="50">
        <v>20.100000000000001</v>
      </c>
      <c r="J396" s="50">
        <v>11.7</v>
      </c>
      <c r="K396" s="50">
        <v>10.5</v>
      </c>
      <c r="L396" s="50">
        <v>20.100000000000001</v>
      </c>
      <c r="M396">
        <v>60</v>
      </c>
    </row>
    <row r="397" spans="1:13" hidden="1" x14ac:dyDescent="0.25">
      <c r="A397" t="s">
        <v>344</v>
      </c>
      <c r="B397" s="50" t="s">
        <v>193</v>
      </c>
      <c r="C397" s="50" t="s">
        <v>196</v>
      </c>
      <c r="D397" s="50" t="s">
        <v>241</v>
      </c>
      <c r="E397" s="50">
        <v>2</v>
      </c>
      <c r="F397">
        <v>8</v>
      </c>
      <c r="G397">
        <v>100</v>
      </c>
      <c r="H397">
        <v>14.5</v>
      </c>
      <c r="I397" s="50">
        <v>20.100000000000001</v>
      </c>
      <c r="J397" s="50">
        <v>11.7</v>
      </c>
      <c r="K397" s="50">
        <v>10.5</v>
      </c>
      <c r="L397" s="50">
        <v>20.100000000000001</v>
      </c>
      <c r="M397">
        <v>52</v>
      </c>
    </row>
    <row r="398" spans="1:13" hidden="1" x14ac:dyDescent="0.25">
      <c r="A398" t="s">
        <v>344</v>
      </c>
      <c r="B398" s="50" t="s">
        <v>193</v>
      </c>
      <c r="C398" s="50" t="s">
        <v>196</v>
      </c>
      <c r="D398" s="50" t="s">
        <v>241</v>
      </c>
      <c r="E398" s="50">
        <v>2</v>
      </c>
      <c r="F398">
        <v>8</v>
      </c>
      <c r="G398">
        <v>80</v>
      </c>
      <c r="H398">
        <v>14.5</v>
      </c>
      <c r="I398" s="50">
        <v>20.100000000000001</v>
      </c>
      <c r="J398" s="50">
        <v>11.7</v>
      </c>
      <c r="K398" s="50">
        <v>10.5</v>
      </c>
      <c r="L398" s="50">
        <v>20.100000000000001</v>
      </c>
      <c r="M398">
        <v>52</v>
      </c>
    </row>
    <row r="399" spans="1:13" hidden="1" x14ac:dyDescent="0.25">
      <c r="A399" t="s">
        <v>344</v>
      </c>
      <c r="B399" s="50" t="s">
        <v>193</v>
      </c>
      <c r="C399" s="50" t="s">
        <v>196</v>
      </c>
      <c r="D399" s="50" t="s">
        <v>241</v>
      </c>
      <c r="E399" s="50">
        <v>2</v>
      </c>
      <c r="F399">
        <v>6</v>
      </c>
      <c r="G399">
        <v>300</v>
      </c>
      <c r="H399">
        <v>12</v>
      </c>
      <c r="I399" s="50">
        <v>9.5</v>
      </c>
      <c r="J399" s="50">
        <v>11.7</v>
      </c>
      <c r="K399" s="50">
        <v>10.5</v>
      </c>
      <c r="L399" s="50">
        <v>11.3</v>
      </c>
      <c r="M399">
        <v>75</v>
      </c>
    </row>
    <row r="400" spans="1:13" hidden="1" x14ac:dyDescent="0.25">
      <c r="A400" t="s">
        <v>344</v>
      </c>
      <c r="B400" s="50" t="s">
        <v>193</v>
      </c>
      <c r="C400" s="50" t="s">
        <v>196</v>
      </c>
      <c r="D400" s="50" t="s">
        <v>241</v>
      </c>
      <c r="E400" s="50">
        <v>2</v>
      </c>
      <c r="F400">
        <v>6</v>
      </c>
      <c r="G400">
        <v>280</v>
      </c>
      <c r="H400">
        <v>12</v>
      </c>
      <c r="I400" s="50">
        <v>9.5</v>
      </c>
      <c r="J400" s="50">
        <v>11.7</v>
      </c>
      <c r="K400" s="50">
        <v>10.5</v>
      </c>
      <c r="L400" s="50">
        <v>11.3</v>
      </c>
      <c r="M400">
        <v>75</v>
      </c>
    </row>
    <row r="401" spans="1:13" hidden="1" x14ac:dyDescent="0.25">
      <c r="A401" t="s">
        <v>344</v>
      </c>
      <c r="B401" s="50" t="s">
        <v>193</v>
      </c>
      <c r="C401" s="50" t="s">
        <v>196</v>
      </c>
      <c r="D401" s="50" t="s">
        <v>241</v>
      </c>
      <c r="E401" s="50">
        <v>2</v>
      </c>
      <c r="F401">
        <v>6</v>
      </c>
      <c r="G401">
        <v>260</v>
      </c>
      <c r="H401">
        <v>12</v>
      </c>
      <c r="I401" s="50">
        <v>9.5</v>
      </c>
      <c r="J401" s="50">
        <v>11.7</v>
      </c>
      <c r="K401" s="50">
        <v>10.5</v>
      </c>
      <c r="L401" s="50">
        <v>11.3</v>
      </c>
      <c r="M401">
        <v>75</v>
      </c>
    </row>
    <row r="402" spans="1:13" hidden="1" x14ac:dyDescent="0.25">
      <c r="A402" t="s">
        <v>344</v>
      </c>
      <c r="B402" s="50" t="s">
        <v>193</v>
      </c>
      <c r="C402" s="50" t="s">
        <v>196</v>
      </c>
      <c r="D402" s="50" t="s">
        <v>241</v>
      </c>
      <c r="E402" s="50">
        <v>2</v>
      </c>
      <c r="F402">
        <v>6</v>
      </c>
      <c r="G402">
        <v>240</v>
      </c>
      <c r="H402">
        <v>12</v>
      </c>
      <c r="I402" s="50">
        <v>9.5</v>
      </c>
      <c r="J402" s="50">
        <v>11.7</v>
      </c>
      <c r="K402" s="50">
        <v>10.5</v>
      </c>
      <c r="L402" s="50">
        <v>11.3</v>
      </c>
      <c r="M402">
        <v>75</v>
      </c>
    </row>
    <row r="403" spans="1:13" hidden="1" x14ac:dyDescent="0.25">
      <c r="A403" t="s">
        <v>344</v>
      </c>
      <c r="B403" s="50" t="s">
        <v>193</v>
      </c>
      <c r="C403" s="50" t="s">
        <v>196</v>
      </c>
      <c r="D403" s="50" t="s">
        <v>241</v>
      </c>
      <c r="E403" s="50">
        <v>2</v>
      </c>
      <c r="F403">
        <v>6</v>
      </c>
      <c r="G403">
        <v>220</v>
      </c>
      <c r="H403">
        <v>12</v>
      </c>
      <c r="I403" s="50">
        <v>9.5</v>
      </c>
      <c r="J403" s="50">
        <v>11.7</v>
      </c>
      <c r="K403" s="50">
        <v>10.5</v>
      </c>
      <c r="L403" s="50">
        <v>11.3</v>
      </c>
      <c r="M403">
        <v>75</v>
      </c>
    </row>
    <row r="404" spans="1:13" hidden="1" x14ac:dyDescent="0.25">
      <c r="A404" t="s">
        <v>344</v>
      </c>
      <c r="B404" s="50" t="s">
        <v>193</v>
      </c>
      <c r="C404" s="50" t="s">
        <v>196</v>
      </c>
      <c r="D404" s="50" t="s">
        <v>241</v>
      </c>
      <c r="E404" s="50">
        <v>2</v>
      </c>
      <c r="F404">
        <v>6</v>
      </c>
      <c r="G404">
        <v>200</v>
      </c>
      <c r="H404">
        <v>12</v>
      </c>
      <c r="I404" s="50">
        <v>9.5</v>
      </c>
      <c r="J404" s="50">
        <v>11.7</v>
      </c>
      <c r="K404" s="50">
        <v>10.5</v>
      </c>
      <c r="L404" s="50">
        <v>11.3</v>
      </c>
      <c r="M404">
        <v>75</v>
      </c>
    </row>
    <row r="405" spans="1:13" hidden="1" x14ac:dyDescent="0.25">
      <c r="A405" t="s">
        <v>344</v>
      </c>
      <c r="B405" s="50" t="s">
        <v>193</v>
      </c>
      <c r="C405" s="50" t="s">
        <v>196</v>
      </c>
      <c r="D405" s="50" t="s">
        <v>241</v>
      </c>
      <c r="E405" s="50">
        <v>2</v>
      </c>
      <c r="F405">
        <v>6</v>
      </c>
      <c r="G405">
        <v>180</v>
      </c>
      <c r="H405">
        <v>12</v>
      </c>
      <c r="I405" s="50">
        <v>9.5</v>
      </c>
      <c r="J405" s="50">
        <v>11.7</v>
      </c>
      <c r="K405" s="50">
        <v>10.5</v>
      </c>
      <c r="L405" s="50">
        <v>11.3</v>
      </c>
      <c r="M405">
        <v>75</v>
      </c>
    </row>
    <row r="406" spans="1:13" hidden="1" x14ac:dyDescent="0.25">
      <c r="A406" t="s">
        <v>344</v>
      </c>
      <c r="B406" s="50" t="s">
        <v>193</v>
      </c>
      <c r="C406" s="50" t="s">
        <v>196</v>
      </c>
      <c r="D406" s="50" t="s">
        <v>241</v>
      </c>
      <c r="E406" s="50">
        <v>2</v>
      </c>
      <c r="F406">
        <v>6</v>
      </c>
      <c r="G406">
        <v>160</v>
      </c>
      <c r="H406">
        <v>12</v>
      </c>
      <c r="I406" s="50">
        <v>9.5</v>
      </c>
      <c r="J406" s="50">
        <v>11.7</v>
      </c>
      <c r="K406" s="50">
        <v>10.5</v>
      </c>
      <c r="L406" s="50">
        <v>11.3</v>
      </c>
      <c r="M406">
        <v>75</v>
      </c>
    </row>
    <row r="407" spans="1:13" hidden="1" x14ac:dyDescent="0.25">
      <c r="A407" t="s">
        <v>344</v>
      </c>
      <c r="B407" s="50" t="s">
        <v>193</v>
      </c>
      <c r="C407" s="50" t="s">
        <v>196</v>
      </c>
      <c r="D407" s="50" t="s">
        <v>241</v>
      </c>
      <c r="E407" s="50">
        <v>2</v>
      </c>
      <c r="F407">
        <v>6</v>
      </c>
      <c r="G407">
        <v>150</v>
      </c>
      <c r="H407">
        <v>12</v>
      </c>
      <c r="I407" s="50">
        <v>9.5</v>
      </c>
      <c r="J407" s="50">
        <v>11.7</v>
      </c>
      <c r="K407" s="50">
        <v>10.5</v>
      </c>
      <c r="L407" s="50">
        <v>11.3</v>
      </c>
      <c r="M407">
        <v>75</v>
      </c>
    </row>
    <row r="408" spans="1:13" hidden="1" x14ac:dyDescent="0.25">
      <c r="A408" t="s">
        <v>344</v>
      </c>
      <c r="B408" s="50" t="s">
        <v>193</v>
      </c>
      <c r="C408" s="50" t="s">
        <v>196</v>
      </c>
      <c r="D408" s="50" t="s">
        <v>241</v>
      </c>
      <c r="E408" s="50">
        <v>2</v>
      </c>
      <c r="F408">
        <v>6</v>
      </c>
      <c r="G408">
        <v>140</v>
      </c>
      <c r="H408">
        <v>12</v>
      </c>
      <c r="I408" s="50">
        <v>9.5</v>
      </c>
      <c r="J408" s="50">
        <v>11.7</v>
      </c>
      <c r="K408" s="50">
        <v>10.5</v>
      </c>
      <c r="L408" s="50">
        <v>11.3</v>
      </c>
      <c r="M408">
        <v>75</v>
      </c>
    </row>
    <row r="409" spans="1:13" hidden="1" x14ac:dyDescent="0.25">
      <c r="A409" t="s">
        <v>344</v>
      </c>
      <c r="B409" s="50" t="s">
        <v>193</v>
      </c>
      <c r="C409" s="50" t="s">
        <v>196</v>
      </c>
      <c r="D409" s="50" t="s">
        <v>241</v>
      </c>
      <c r="E409" s="50">
        <v>2</v>
      </c>
      <c r="F409">
        <v>6</v>
      </c>
      <c r="G409">
        <v>130</v>
      </c>
      <c r="H409">
        <v>12</v>
      </c>
      <c r="I409" s="50">
        <v>9.5</v>
      </c>
      <c r="J409" s="50">
        <v>11.7</v>
      </c>
      <c r="K409" s="50">
        <v>10.5</v>
      </c>
      <c r="L409" s="50">
        <v>11.3</v>
      </c>
      <c r="M409">
        <v>60</v>
      </c>
    </row>
    <row r="410" spans="1:13" hidden="1" x14ac:dyDescent="0.25">
      <c r="A410" t="s">
        <v>344</v>
      </c>
      <c r="B410" s="50" t="s">
        <v>193</v>
      </c>
      <c r="C410" s="50" t="s">
        <v>196</v>
      </c>
      <c r="D410" s="50" t="s">
        <v>241</v>
      </c>
      <c r="E410" s="50">
        <v>2</v>
      </c>
      <c r="F410">
        <v>6</v>
      </c>
      <c r="G410">
        <v>120</v>
      </c>
      <c r="H410">
        <v>12</v>
      </c>
      <c r="I410" s="50">
        <v>9.5</v>
      </c>
      <c r="J410" s="50">
        <v>11.7</v>
      </c>
      <c r="K410" s="50">
        <v>10.5</v>
      </c>
      <c r="L410" s="50">
        <v>11.3</v>
      </c>
      <c r="M410">
        <v>60</v>
      </c>
    </row>
    <row r="411" spans="1:13" hidden="1" x14ac:dyDescent="0.25">
      <c r="A411" t="s">
        <v>344</v>
      </c>
      <c r="B411" s="50" t="s">
        <v>193</v>
      </c>
      <c r="C411" s="50" t="s">
        <v>196</v>
      </c>
      <c r="D411" s="50" t="s">
        <v>241</v>
      </c>
      <c r="E411" s="50">
        <v>2</v>
      </c>
      <c r="F411">
        <v>6</v>
      </c>
      <c r="G411">
        <v>110</v>
      </c>
      <c r="H411">
        <v>12</v>
      </c>
      <c r="I411" s="50">
        <v>9.5</v>
      </c>
      <c r="J411" s="50">
        <v>11.7</v>
      </c>
      <c r="K411" s="50">
        <v>10.5</v>
      </c>
      <c r="L411" s="50">
        <v>11.3</v>
      </c>
      <c r="M411">
        <v>60</v>
      </c>
    </row>
    <row r="412" spans="1:13" hidden="1" x14ac:dyDescent="0.25">
      <c r="A412" t="s">
        <v>344</v>
      </c>
      <c r="B412" s="50" t="s">
        <v>193</v>
      </c>
      <c r="C412" s="50" t="s">
        <v>196</v>
      </c>
      <c r="D412" s="50" t="s">
        <v>241</v>
      </c>
      <c r="E412" s="50">
        <v>2</v>
      </c>
      <c r="F412">
        <v>6</v>
      </c>
      <c r="G412">
        <v>100</v>
      </c>
      <c r="H412">
        <v>12</v>
      </c>
      <c r="I412" s="50">
        <v>9.5</v>
      </c>
      <c r="J412" s="50">
        <v>11.7</v>
      </c>
      <c r="K412" s="50">
        <v>10.5</v>
      </c>
      <c r="L412" s="50">
        <v>11.3</v>
      </c>
      <c r="M412">
        <v>50</v>
      </c>
    </row>
    <row r="413" spans="1:13" hidden="1" x14ac:dyDescent="0.25">
      <c r="A413" t="s">
        <v>344</v>
      </c>
      <c r="B413" s="50" t="s">
        <v>193</v>
      </c>
      <c r="C413" s="50" t="s">
        <v>196</v>
      </c>
      <c r="D413" s="50" t="s">
        <v>241</v>
      </c>
      <c r="E413" s="50">
        <v>2</v>
      </c>
      <c r="F413">
        <v>6</v>
      </c>
      <c r="G413">
        <v>90</v>
      </c>
      <c r="H413">
        <v>12</v>
      </c>
      <c r="I413" s="50">
        <v>9.5</v>
      </c>
      <c r="J413" s="50">
        <v>11.7</v>
      </c>
      <c r="K413" s="50">
        <v>10.5</v>
      </c>
      <c r="L413" s="50">
        <v>11.3</v>
      </c>
      <c r="M413">
        <v>50</v>
      </c>
    </row>
    <row r="414" spans="1:13" hidden="1" x14ac:dyDescent="0.25">
      <c r="A414" t="s">
        <v>344</v>
      </c>
      <c r="B414" s="50" t="s">
        <v>193</v>
      </c>
      <c r="C414" s="50" t="s">
        <v>196</v>
      </c>
      <c r="D414" s="50" t="s">
        <v>241</v>
      </c>
      <c r="E414" s="50">
        <v>2</v>
      </c>
      <c r="F414">
        <v>6</v>
      </c>
      <c r="G414">
        <v>80</v>
      </c>
      <c r="H414">
        <v>12</v>
      </c>
      <c r="I414" s="50">
        <v>9.5</v>
      </c>
      <c r="J414" s="50">
        <v>11.7</v>
      </c>
      <c r="K414" s="50">
        <v>10.5</v>
      </c>
      <c r="L414" s="50">
        <v>11.3</v>
      </c>
      <c r="M414">
        <v>40</v>
      </c>
    </row>
    <row r="415" spans="1:13" hidden="1" x14ac:dyDescent="0.25">
      <c r="A415" t="s">
        <v>344</v>
      </c>
      <c r="B415" s="50" t="s">
        <v>193</v>
      </c>
      <c r="C415" s="50" t="s">
        <v>196</v>
      </c>
      <c r="D415" s="50" t="s">
        <v>241</v>
      </c>
      <c r="E415" s="50">
        <v>2</v>
      </c>
      <c r="F415">
        <v>6</v>
      </c>
      <c r="G415">
        <v>70</v>
      </c>
      <c r="H415">
        <v>12</v>
      </c>
      <c r="I415" s="50">
        <v>9.5</v>
      </c>
      <c r="J415" s="50">
        <v>11.7</v>
      </c>
      <c r="K415" s="50">
        <v>10.5</v>
      </c>
      <c r="L415" s="50">
        <v>11.3</v>
      </c>
      <c r="M415">
        <v>40</v>
      </c>
    </row>
    <row r="416" spans="1:13" hidden="1" x14ac:dyDescent="0.25">
      <c r="A416" t="s">
        <v>344</v>
      </c>
      <c r="B416" s="50" t="s">
        <v>193</v>
      </c>
      <c r="C416" s="50" t="s">
        <v>196</v>
      </c>
      <c r="D416" s="50" t="s">
        <v>241</v>
      </c>
      <c r="E416" s="50">
        <v>2</v>
      </c>
      <c r="F416">
        <v>6</v>
      </c>
      <c r="G416">
        <v>60</v>
      </c>
      <c r="H416">
        <v>12</v>
      </c>
      <c r="I416" s="50">
        <v>9.5</v>
      </c>
      <c r="J416" s="50">
        <v>11.7</v>
      </c>
      <c r="K416" s="50">
        <v>10.5</v>
      </c>
      <c r="L416" s="50">
        <v>11.3</v>
      </c>
      <c r="M416">
        <v>30</v>
      </c>
    </row>
    <row r="417" spans="1:13" hidden="1" x14ac:dyDescent="0.25">
      <c r="A417" t="s">
        <v>344</v>
      </c>
      <c r="B417" s="50" t="s">
        <v>193</v>
      </c>
      <c r="C417" s="50" t="s">
        <v>196</v>
      </c>
      <c r="D417" s="50" t="s">
        <v>241</v>
      </c>
      <c r="E417" s="50">
        <v>2</v>
      </c>
      <c r="F417">
        <v>6</v>
      </c>
      <c r="G417">
        <v>50</v>
      </c>
      <c r="H417">
        <v>12</v>
      </c>
      <c r="I417" s="50">
        <v>9.5</v>
      </c>
      <c r="J417" s="50">
        <v>11.7</v>
      </c>
      <c r="K417" s="50">
        <v>10.5</v>
      </c>
      <c r="L417" s="50">
        <v>11.3</v>
      </c>
      <c r="M417">
        <v>35</v>
      </c>
    </row>
    <row r="418" spans="1:13" hidden="1" x14ac:dyDescent="0.25">
      <c r="A418" t="s">
        <v>344</v>
      </c>
      <c r="B418" s="50" t="s">
        <v>193</v>
      </c>
      <c r="C418" s="50" t="s">
        <v>196</v>
      </c>
      <c r="D418" s="50" t="s">
        <v>241</v>
      </c>
      <c r="E418" s="50">
        <v>2</v>
      </c>
      <c r="F418">
        <v>6</v>
      </c>
      <c r="G418">
        <v>40</v>
      </c>
      <c r="H418">
        <v>12</v>
      </c>
      <c r="I418" s="50">
        <v>9.5</v>
      </c>
      <c r="J418" s="50">
        <v>11.7</v>
      </c>
      <c r="K418" s="50">
        <v>10.5</v>
      </c>
      <c r="L418" s="50">
        <v>11.3</v>
      </c>
      <c r="M418">
        <v>35</v>
      </c>
    </row>
    <row r="419" spans="1:13" hidden="1" x14ac:dyDescent="0.25">
      <c r="A419" t="s">
        <v>344</v>
      </c>
      <c r="B419" s="50" t="s">
        <v>193</v>
      </c>
      <c r="C419" s="50" t="s">
        <v>196</v>
      </c>
      <c r="D419" s="50" t="s">
        <v>241</v>
      </c>
      <c r="E419" s="50">
        <v>2</v>
      </c>
      <c r="F419">
        <v>5</v>
      </c>
      <c r="G419">
        <v>120</v>
      </c>
      <c r="H419">
        <v>10</v>
      </c>
      <c r="I419" s="50">
        <v>5.4</v>
      </c>
      <c r="J419" s="50">
        <v>11.7</v>
      </c>
      <c r="K419" s="50">
        <v>10.5</v>
      </c>
      <c r="L419" s="50">
        <v>7.9</v>
      </c>
      <c r="M419">
        <v>60</v>
      </c>
    </row>
    <row r="420" spans="1:13" hidden="1" x14ac:dyDescent="0.25">
      <c r="A420" t="s">
        <v>344</v>
      </c>
      <c r="B420" s="50" t="s">
        <v>193</v>
      </c>
      <c r="C420" s="50" t="s">
        <v>196</v>
      </c>
      <c r="D420" s="50" t="s">
        <v>241</v>
      </c>
      <c r="E420" s="50">
        <v>2</v>
      </c>
      <c r="F420">
        <v>5</v>
      </c>
      <c r="G420">
        <v>100</v>
      </c>
      <c r="H420">
        <v>10</v>
      </c>
      <c r="I420" s="50">
        <v>5.4</v>
      </c>
      <c r="J420" s="50">
        <v>11.7</v>
      </c>
      <c r="K420" s="50">
        <v>10.5</v>
      </c>
      <c r="L420" s="50">
        <v>7.9</v>
      </c>
      <c r="M420">
        <v>50</v>
      </c>
    </row>
    <row r="421" spans="1:13" hidden="1" x14ac:dyDescent="0.25">
      <c r="A421" t="s">
        <v>344</v>
      </c>
      <c r="B421" s="50" t="s">
        <v>193</v>
      </c>
      <c r="C421" s="50" t="s">
        <v>196</v>
      </c>
      <c r="D421" s="50" t="s">
        <v>241</v>
      </c>
      <c r="E421" s="50">
        <v>2</v>
      </c>
      <c r="F421">
        <v>5</v>
      </c>
      <c r="G421">
        <v>90</v>
      </c>
      <c r="H421">
        <v>10</v>
      </c>
      <c r="I421" s="50">
        <v>5.4</v>
      </c>
      <c r="J421" s="50">
        <v>11.7</v>
      </c>
      <c r="K421" s="50">
        <v>10.5</v>
      </c>
      <c r="L421" s="50">
        <v>7.9</v>
      </c>
      <c r="M421">
        <v>45</v>
      </c>
    </row>
    <row r="422" spans="1:13" hidden="1" x14ac:dyDescent="0.25">
      <c r="A422" t="s">
        <v>344</v>
      </c>
      <c r="B422" s="50" t="s">
        <v>193</v>
      </c>
      <c r="C422" s="50" t="s">
        <v>196</v>
      </c>
      <c r="D422" s="50" t="s">
        <v>241</v>
      </c>
      <c r="E422" s="50">
        <v>2</v>
      </c>
      <c r="F422">
        <v>5</v>
      </c>
      <c r="G422">
        <v>80</v>
      </c>
      <c r="H422">
        <v>10</v>
      </c>
      <c r="I422" s="50">
        <v>5.4</v>
      </c>
      <c r="J422" s="50">
        <v>11.7</v>
      </c>
      <c r="K422" s="50">
        <v>10.5</v>
      </c>
      <c r="L422" s="50">
        <v>7.9</v>
      </c>
      <c r="M422">
        <v>40</v>
      </c>
    </row>
    <row r="423" spans="1:13" hidden="1" x14ac:dyDescent="0.25">
      <c r="A423" t="s">
        <v>344</v>
      </c>
      <c r="B423" s="50" t="s">
        <v>193</v>
      </c>
      <c r="C423" s="50" t="s">
        <v>196</v>
      </c>
      <c r="D423" s="50" t="s">
        <v>241</v>
      </c>
      <c r="E423" s="50">
        <v>2</v>
      </c>
      <c r="F423">
        <v>5</v>
      </c>
      <c r="G423">
        <v>70</v>
      </c>
      <c r="H423">
        <v>10</v>
      </c>
      <c r="I423" s="50">
        <v>5.4</v>
      </c>
      <c r="J423" s="50">
        <v>11.7</v>
      </c>
      <c r="K423" s="50">
        <v>10.5</v>
      </c>
      <c r="L423" s="50">
        <v>7.9</v>
      </c>
      <c r="M423">
        <v>35</v>
      </c>
    </row>
    <row r="424" spans="1:13" hidden="1" x14ac:dyDescent="0.25">
      <c r="A424" t="s">
        <v>344</v>
      </c>
      <c r="B424" s="50" t="s">
        <v>193</v>
      </c>
      <c r="C424" s="50" t="s">
        <v>196</v>
      </c>
      <c r="D424" s="50" t="s">
        <v>241</v>
      </c>
      <c r="E424" s="50">
        <v>2</v>
      </c>
      <c r="F424">
        <v>5</v>
      </c>
      <c r="G424">
        <v>60</v>
      </c>
      <c r="H424">
        <v>10</v>
      </c>
      <c r="I424" s="50">
        <v>5.4</v>
      </c>
      <c r="J424" s="50">
        <v>11.7</v>
      </c>
      <c r="K424" s="50">
        <v>10.5</v>
      </c>
      <c r="L424" s="50">
        <v>7.9</v>
      </c>
      <c r="M424">
        <v>30</v>
      </c>
    </row>
    <row r="425" spans="1:13" hidden="1" x14ac:dyDescent="0.25">
      <c r="A425" t="s">
        <v>344</v>
      </c>
      <c r="B425" s="50" t="s">
        <v>193</v>
      </c>
      <c r="C425" s="50" t="s">
        <v>196</v>
      </c>
      <c r="D425" s="50" t="s">
        <v>241</v>
      </c>
      <c r="E425" s="50">
        <v>2</v>
      </c>
      <c r="F425">
        <v>5</v>
      </c>
      <c r="G425">
        <v>50</v>
      </c>
      <c r="H425">
        <v>10</v>
      </c>
      <c r="I425" s="50">
        <v>5.4</v>
      </c>
      <c r="J425" s="50">
        <v>11.7</v>
      </c>
      <c r="K425" s="50">
        <v>10.5</v>
      </c>
      <c r="L425" s="50">
        <v>7.9</v>
      </c>
      <c r="M425">
        <v>24</v>
      </c>
    </row>
    <row r="426" spans="1:13" hidden="1" x14ac:dyDescent="0.25">
      <c r="A426" t="s">
        <v>344</v>
      </c>
      <c r="B426" s="50" t="s">
        <v>193</v>
      </c>
      <c r="C426" s="50" t="s">
        <v>196</v>
      </c>
      <c r="D426" s="50" t="s">
        <v>241</v>
      </c>
      <c r="E426" s="50">
        <v>2</v>
      </c>
      <c r="F426">
        <v>5</v>
      </c>
      <c r="G426">
        <v>45</v>
      </c>
      <c r="H426">
        <v>10</v>
      </c>
      <c r="I426" s="50">
        <v>5.4</v>
      </c>
      <c r="J426" s="50">
        <v>11.7</v>
      </c>
      <c r="K426" s="50">
        <v>10.5</v>
      </c>
      <c r="L426" s="50">
        <v>7.9</v>
      </c>
      <c r="M426">
        <v>24</v>
      </c>
    </row>
    <row r="427" spans="1:13" hidden="1" x14ac:dyDescent="0.25">
      <c r="A427" t="s">
        <v>344</v>
      </c>
      <c r="B427" s="50" t="s">
        <v>193</v>
      </c>
      <c r="C427" s="50" t="s">
        <v>196</v>
      </c>
      <c r="D427" s="50" t="s">
        <v>241</v>
      </c>
      <c r="E427" s="50">
        <v>2</v>
      </c>
      <c r="F427">
        <v>5</v>
      </c>
      <c r="G427">
        <v>40</v>
      </c>
      <c r="H427">
        <v>10</v>
      </c>
      <c r="I427" s="50">
        <v>5.4</v>
      </c>
      <c r="J427" s="50">
        <v>11.7</v>
      </c>
      <c r="K427" s="50">
        <v>10.5</v>
      </c>
      <c r="L427" s="50">
        <v>7.9</v>
      </c>
      <c r="M427">
        <v>24</v>
      </c>
    </row>
    <row r="428" spans="1:13" hidden="1" x14ac:dyDescent="0.25">
      <c r="A428" t="s">
        <v>344</v>
      </c>
      <c r="B428" s="50" t="s">
        <v>193</v>
      </c>
      <c r="C428" s="50" t="s">
        <v>196</v>
      </c>
      <c r="D428" s="50" t="s">
        <v>241</v>
      </c>
      <c r="E428" s="50">
        <v>2</v>
      </c>
      <c r="F428">
        <v>4.5</v>
      </c>
      <c r="G428">
        <v>80</v>
      </c>
      <c r="H428">
        <v>9</v>
      </c>
      <c r="I428" s="50">
        <v>4.0999999999999996</v>
      </c>
      <c r="J428" s="50">
        <v>11.7</v>
      </c>
      <c r="K428" s="50">
        <v>10.5</v>
      </c>
      <c r="L428" s="50">
        <v>6.4</v>
      </c>
      <c r="M428">
        <v>40</v>
      </c>
    </row>
    <row r="429" spans="1:13" hidden="1" x14ac:dyDescent="0.25">
      <c r="A429" t="s">
        <v>344</v>
      </c>
      <c r="B429" s="50" t="s">
        <v>193</v>
      </c>
      <c r="C429" s="50" t="s">
        <v>196</v>
      </c>
      <c r="D429" s="50" t="s">
        <v>241</v>
      </c>
      <c r="E429" s="50">
        <v>2</v>
      </c>
      <c r="F429">
        <v>4.5</v>
      </c>
      <c r="G429">
        <v>70</v>
      </c>
      <c r="H429">
        <v>9</v>
      </c>
      <c r="I429" s="50">
        <v>4.0999999999999996</v>
      </c>
      <c r="J429" s="50">
        <v>11.7</v>
      </c>
      <c r="K429" s="50">
        <v>10.5</v>
      </c>
      <c r="L429" s="50">
        <v>6.4</v>
      </c>
      <c r="M429">
        <v>40</v>
      </c>
    </row>
    <row r="430" spans="1:13" hidden="1" x14ac:dyDescent="0.25">
      <c r="A430" t="s">
        <v>344</v>
      </c>
      <c r="B430" s="50" t="s">
        <v>193</v>
      </c>
      <c r="C430" s="50" t="s">
        <v>196</v>
      </c>
      <c r="D430" s="50" t="s">
        <v>241</v>
      </c>
      <c r="E430" s="50">
        <v>2</v>
      </c>
      <c r="F430">
        <v>4.5</v>
      </c>
      <c r="G430">
        <v>60</v>
      </c>
      <c r="H430">
        <v>9</v>
      </c>
      <c r="I430" s="50">
        <v>4.0999999999999996</v>
      </c>
      <c r="J430" s="50">
        <v>11.7</v>
      </c>
      <c r="K430" s="50">
        <v>10.5</v>
      </c>
      <c r="L430" s="50">
        <v>6.4</v>
      </c>
      <c r="M430">
        <v>35</v>
      </c>
    </row>
    <row r="431" spans="1:13" hidden="1" x14ac:dyDescent="0.25">
      <c r="A431" t="s">
        <v>344</v>
      </c>
      <c r="B431" s="50" t="s">
        <v>193</v>
      </c>
      <c r="C431" s="50" t="s">
        <v>196</v>
      </c>
      <c r="D431" s="50" t="s">
        <v>241</v>
      </c>
      <c r="E431" s="50">
        <v>2</v>
      </c>
      <c r="F431">
        <v>4.5</v>
      </c>
      <c r="G431">
        <v>50</v>
      </c>
      <c r="H431">
        <v>9</v>
      </c>
      <c r="I431" s="50">
        <v>4.0999999999999996</v>
      </c>
      <c r="J431" s="50">
        <v>11.7</v>
      </c>
      <c r="K431" s="50">
        <v>10.5</v>
      </c>
      <c r="L431" s="50">
        <v>6.4</v>
      </c>
      <c r="M431">
        <v>30</v>
      </c>
    </row>
    <row r="432" spans="1:13" hidden="1" x14ac:dyDescent="0.25">
      <c r="A432" t="s">
        <v>344</v>
      </c>
      <c r="B432" s="50" t="s">
        <v>193</v>
      </c>
      <c r="C432" s="50" t="s">
        <v>196</v>
      </c>
      <c r="D432" s="50" t="s">
        <v>241</v>
      </c>
      <c r="E432" s="50">
        <v>2</v>
      </c>
      <c r="F432">
        <v>4.5</v>
      </c>
      <c r="G432">
        <v>45</v>
      </c>
      <c r="H432">
        <v>9</v>
      </c>
      <c r="I432" s="50">
        <v>4.0999999999999996</v>
      </c>
      <c r="J432" s="50">
        <v>11.7</v>
      </c>
      <c r="K432" s="50">
        <v>10.5</v>
      </c>
      <c r="L432" s="50">
        <v>6.4</v>
      </c>
      <c r="M432">
        <v>30</v>
      </c>
    </row>
    <row r="433" spans="1:13" hidden="1" x14ac:dyDescent="0.25">
      <c r="A433" t="s">
        <v>344</v>
      </c>
      <c r="B433" s="50" t="s">
        <v>193</v>
      </c>
      <c r="C433" s="50" t="s">
        <v>196</v>
      </c>
      <c r="D433" s="50" t="s">
        <v>241</v>
      </c>
      <c r="E433" s="50">
        <v>2</v>
      </c>
      <c r="F433">
        <v>4.5</v>
      </c>
      <c r="G433">
        <v>40</v>
      </c>
      <c r="H433">
        <v>9</v>
      </c>
      <c r="I433" s="50">
        <v>4.0999999999999996</v>
      </c>
      <c r="J433" s="50">
        <v>11.7</v>
      </c>
      <c r="K433" s="50">
        <v>10.5</v>
      </c>
      <c r="L433" s="50">
        <v>6.4</v>
      </c>
      <c r="M433">
        <v>24</v>
      </c>
    </row>
    <row r="434" spans="1:13" hidden="1" x14ac:dyDescent="0.25">
      <c r="A434" t="s">
        <v>344</v>
      </c>
      <c r="B434" s="50" t="s">
        <v>193</v>
      </c>
      <c r="C434" s="50" t="s">
        <v>196</v>
      </c>
      <c r="D434" s="50" t="s">
        <v>241</v>
      </c>
      <c r="E434" s="50">
        <v>2</v>
      </c>
      <c r="F434">
        <v>4</v>
      </c>
      <c r="G434">
        <v>80</v>
      </c>
      <c r="H434">
        <v>8</v>
      </c>
      <c r="I434" s="50">
        <v>3</v>
      </c>
      <c r="J434" s="50">
        <v>11.7</v>
      </c>
      <c r="K434" s="50">
        <v>10.5</v>
      </c>
      <c r="L434" s="50">
        <v>5</v>
      </c>
      <c r="M434">
        <v>40</v>
      </c>
    </row>
    <row r="435" spans="1:13" hidden="1" x14ac:dyDescent="0.25">
      <c r="A435" t="s">
        <v>344</v>
      </c>
      <c r="B435" s="50" t="s">
        <v>193</v>
      </c>
      <c r="C435" s="50" t="s">
        <v>196</v>
      </c>
      <c r="D435" s="50" t="s">
        <v>241</v>
      </c>
      <c r="E435" s="50">
        <v>2</v>
      </c>
      <c r="F435">
        <v>4</v>
      </c>
      <c r="G435">
        <v>70</v>
      </c>
      <c r="H435">
        <v>8</v>
      </c>
      <c r="I435" s="50">
        <v>3</v>
      </c>
      <c r="J435" s="50">
        <v>11.7</v>
      </c>
      <c r="K435" s="50">
        <v>10.5</v>
      </c>
      <c r="L435" s="50">
        <v>5</v>
      </c>
      <c r="M435">
        <v>40</v>
      </c>
    </row>
    <row r="436" spans="1:13" hidden="1" x14ac:dyDescent="0.25">
      <c r="A436" t="s">
        <v>344</v>
      </c>
      <c r="B436" s="50" t="s">
        <v>193</v>
      </c>
      <c r="C436" s="50" t="s">
        <v>196</v>
      </c>
      <c r="D436" s="50" t="s">
        <v>241</v>
      </c>
      <c r="E436" s="50">
        <v>2</v>
      </c>
      <c r="F436">
        <v>4</v>
      </c>
      <c r="G436">
        <v>60</v>
      </c>
      <c r="H436">
        <v>8</v>
      </c>
      <c r="I436" s="50">
        <v>3</v>
      </c>
      <c r="J436" s="50">
        <v>11.7</v>
      </c>
      <c r="K436" s="50">
        <v>10.5</v>
      </c>
      <c r="L436" s="50">
        <v>5</v>
      </c>
      <c r="M436">
        <v>35</v>
      </c>
    </row>
    <row r="437" spans="1:13" hidden="1" x14ac:dyDescent="0.25">
      <c r="A437" t="s">
        <v>344</v>
      </c>
      <c r="B437" s="50" t="s">
        <v>193</v>
      </c>
      <c r="C437" s="50" t="s">
        <v>196</v>
      </c>
      <c r="D437" s="50" t="s">
        <v>241</v>
      </c>
      <c r="E437" s="50">
        <v>2</v>
      </c>
      <c r="F437">
        <v>4</v>
      </c>
      <c r="G437">
        <v>50</v>
      </c>
      <c r="H437">
        <v>8</v>
      </c>
      <c r="I437" s="50">
        <v>3</v>
      </c>
      <c r="J437" s="50">
        <v>11.7</v>
      </c>
      <c r="K437" s="50">
        <v>10.5</v>
      </c>
      <c r="L437" s="50">
        <v>5</v>
      </c>
      <c r="M437">
        <v>30</v>
      </c>
    </row>
    <row r="438" spans="1:13" hidden="1" x14ac:dyDescent="0.25">
      <c r="A438" t="s">
        <v>344</v>
      </c>
      <c r="B438" s="50" t="s">
        <v>193</v>
      </c>
      <c r="C438" s="50" t="s">
        <v>196</v>
      </c>
      <c r="D438" s="50" t="s">
        <v>241</v>
      </c>
      <c r="E438" s="50">
        <v>2</v>
      </c>
      <c r="F438">
        <v>4</v>
      </c>
      <c r="G438">
        <v>45</v>
      </c>
      <c r="H438">
        <v>8</v>
      </c>
      <c r="I438" s="50">
        <v>3</v>
      </c>
      <c r="J438" s="50">
        <v>11.7</v>
      </c>
      <c r="K438" s="50">
        <v>10.5</v>
      </c>
      <c r="L438" s="50">
        <v>5</v>
      </c>
      <c r="M438">
        <v>30</v>
      </c>
    </row>
    <row r="439" spans="1:13" hidden="1" x14ac:dyDescent="0.25">
      <c r="A439" t="s">
        <v>344</v>
      </c>
      <c r="B439" s="50" t="s">
        <v>193</v>
      </c>
      <c r="C439" s="50" t="s">
        <v>196</v>
      </c>
      <c r="D439" s="50" t="s">
        <v>241</v>
      </c>
      <c r="E439" s="50">
        <v>2</v>
      </c>
      <c r="F439">
        <v>4</v>
      </c>
      <c r="G439">
        <v>40</v>
      </c>
      <c r="H439">
        <v>8</v>
      </c>
      <c r="I439" s="50">
        <v>3</v>
      </c>
      <c r="J439" s="50">
        <v>11.7</v>
      </c>
      <c r="K439" s="50">
        <v>10.5</v>
      </c>
      <c r="L439" s="50">
        <v>5</v>
      </c>
      <c r="M439">
        <v>24</v>
      </c>
    </row>
    <row r="440" spans="1:13" hidden="1" x14ac:dyDescent="0.25">
      <c r="A440" t="s">
        <v>344</v>
      </c>
      <c r="B440" s="50" t="s">
        <v>193</v>
      </c>
      <c r="C440" s="50" t="s">
        <v>196</v>
      </c>
      <c r="D440" s="50" t="s">
        <v>241</v>
      </c>
      <c r="E440" s="50">
        <v>2</v>
      </c>
      <c r="F440">
        <v>4</v>
      </c>
      <c r="G440">
        <v>35</v>
      </c>
      <c r="H440">
        <v>8</v>
      </c>
      <c r="I440" s="50">
        <v>3</v>
      </c>
      <c r="J440" s="50">
        <v>11.7</v>
      </c>
      <c r="K440" s="50">
        <v>10.5</v>
      </c>
      <c r="L440" s="50">
        <v>5</v>
      </c>
      <c r="M440">
        <v>18</v>
      </c>
    </row>
    <row r="441" spans="1:13" hidden="1" x14ac:dyDescent="0.25">
      <c r="A441" t="s">
        <v>344</v>
      </c>
      <c r="B441" s="50" t="s">
        <v>193</v>
      </c>
      <c r="C441" s="50" t="s">
        <v>196</v>
      </c>
      <c r="D441" s="50" t="s">
        <v>241</v>
      </c>
      <c r="E441" s="50">
        <v>2</v>
      </c>
      <c r="F441">
        <v>4</v>
      </c>
      <c r="G441">
        <v>30</v>
      </c>
      <c r="H441">
        <v>8</v>
      </c>
      <c r="I441" s="50">
        <v>3</v>
      </c>
      <c r="J441" s="50">
        <v>11.7</v>
      </c>
      <c r="K441" s="50">
        <v>10.5</v>
      </c>
      <c r="L441" s="50">
        <v>5</v>
      </c>
      <c r="M441">
        <v>18</v>
      </c>
    </row>
    <row r="442" spans="1:13" hidden="1" x14ac:dyDescent="0.25">
      <c r="A442" t="s">
        <v>344</v>
      </c>
      <c r="B442" s="50" t="s">
        <v>193</v>
      </c>
      <c r="C442" s="50" t="s">
        <v>196</v>
      </c>
      <c r="D442" s="50" t="s">
        <v>241</v>
      </c>
      <c r="E442" s="50">
        <v>2</v>
      </c>
      <c r="F442">
        <v>3.5</v>
      </c>
      <c r="G442">
        <v>50</v>
      </c>
      <c r="H442">
        <v>7</v>
      </c>
      <c r="I442" s="50">
        <v>2.1</v>
      </c>
      <c r="J442" s="50">
        <v>11.7</v>
      </c>
      <c r="K442" s="50">
        <v>10.5</v>
      </c>
      <c r="L442" s="50">
        <v>3.8</v>
      </c>
      <c r="M442">
        <v>24</v>
      </c>
    </row>
    <row r="443" spans="1:13" hidden="1" x14ac:dyDescent="0.25">
      <c r="A443" t="s">
        <v>344</v>
      </c>
      <c r="B443" s="50" t="s">
        <v>193</v>
      </c>
      <c r="C443" s="50" t="s">
        <v>196</v>
      </c>
      <c r="D443" s="50" t="s">
        <v>241</v>
      </c>
      <c r="E443" s="50">
        <v>2</v>
      </c>
      <c r="F443">
        <v>3.5</v>
      </c>
      <c r="G443">
        <v>45</v>
      </c>
      <c r="H443">
        <v>7</v>
      </c>
      <c r="I443" s="50">
        <v>2.1</v>
      </c>
      <c r="J443" s="50">
        <v>11.7</v>
      </c>
      <c r="K443" s="50">
        <v>10.5</v>
      </c>
      <c r="L443" s="50">
        <v>3.8</v>
      </c>
      <c r="M443">
        <v>24</v>
      </c>
    </row>
    <row r="444" spans="1:13" hidden="1" x14ac:dyDescent="0.25">
      <c r="A444" t="s">
        <v>344</v>
      </c>
      <c r="B444" s="50" t="s">
        <v>193</v>
      </c>
      <c r="C444" s="50" t="s">
        <v>196</v>
      </c>
      <c r="D444" s="50" t="s">
        <v>241</v>
      </c>
      <c r="E444" s="50">
        <v>2</v>
      </c>
      <c r="F444">
        <v>3.5</v>
      </c>
      <c r="G444">
        <v>40</v>
      </c>
      <c r="H444">
        <v>7</v>
      </c>
      <c r="I444" s="50">
        <v>2.1</v>
      </c>
      <c r="J444" s="50">
        <v>11.7</v>
      </c>
      <c r="K444" s="50">
        <v>10.5</v>
      </c>
      <c r="L444" s="50">
        <v>3.8</v>
      </c>
      <c r="M444">
        <v>18</v>
      </c>
    </row>
    <row r="445" spans="1:13" hidden="1" x14ac:dyDescent="0.25">
      <c r="A445" t="s">
        <v>344</v>
      </c>
      <c r="B445" s="50" t="s">
        <v>193</v>
      </c>
      <c r="C445" s="50" t="s">
        <v>197</v>
      </c>
      <c r="D445" s="50" t="s">
        <v>241</v>
      </c>
      <c r="E445" s="50">
        <v>3</v>
      </c>
      <c r="F445">
        <v>8</v>
      </c>
      <c r="G445">
        <v>320</v>
      </c>
      <c r="H445">
        <v>14.5</v>
      </c>
      <c r="I445" s="50">
        <v>20.100000000000001</v>
      </c>
      <c r="J445" s="50">
        <v>11.7</v>
      </c>
      <c r="K445" s="50">
        <v>10.5</v>
      </c>
      <c r="L445" s="50">
        <v>20.100000000000001</v>
      </c>
      <c r="M445">
        <v>100</v>
      </c>
    </row>
    <row r="446" spans="1:13" hidden="1" x14ac:dyDescent="0.25">
      <c r="A446" t="s">
        <v>344</v>
      </c>
      <c r="B446" s="50" t="s">
        <v>193</v>
      </c>
      <c r="C446" s="50" t="s">
        <v>197</v>
      </c>
      <c r="D446" s="50" t="s">
        <v>241</v>
      </c>
      <c r="E446" s="50">
        <v>3</v>
      </c>
      <c r="F446">
        <v>8</v>
      </c>
      <c r="G446">
        <v>280</v>
      </c>
      <c r="H446">
        <v>14.5</v>
      </c>
      <c r="I446" s="50">
        <v>20.100000000000001</v>
      </c>
      <c r="J446" s="50">
        <v>11.7</v>
      </c>
      <c r="K446" s="50">
        <v>10.5</v>
      </c>
      <c r="L446" s="50">
        <v>20.100000000000001</v>
      </c>
      <c r="M446">
        <v>80</v>
      </c>
    </row>
    <row r="447" spans="1:13" hidden="1" x14ac:dyDescent="0.25">
      <c r="A447" t="s">
        <v>344</v>
      </c>
      <c r="B447" s="50" t="s">
        <v>193</v>
      </c>
      <c r="C447" s="50" t="s">
        <v>197</v>
      </c>
      <c r="D447" s="50" t="s">
        <v>241</v>
      </c>
      <c r="E447" s="50">
        <v>3</v>
      </c>
      <c r="F447">
        <v>8</v>
      </c>
      <c r="G447">
        <v>240</v>
      </c>
      <c r="H447">
        <v>14.5</v>
      </c>
      <c r="I447" s="50">
        <v>20.100000000000001</v>
      </c>
      <c r="J447" s="50">
        <v>11.7</v>
      </c>
      <c r="K447" s="50">
        <v>10.5</v>
      </c>
      <c r="L447" s="50">
        <v>20.100000000000001</v>
      </c>
      <c r="M447">
        <v>80</v>
      </c>
    </row>
    <row r="448" spans="1:13" hidden="1" x14ac:dyDescent="0.25">
      <c r="A448" t="s">
        <v>344</v>
      </c>
      <c r="B448" s="50" t="s">
        <v>193</v>
      </c>
      <c r="C448" s="50" t="s">
        <v>197</v>
      </c>
      <c r="D448" s="50" t="s">
        <v>241</v>
      </c>
      <c r="E448" s="50">
        <v>3</v>
      </c>
      <c r="F448">
        <v>8</v>
      </c>
      <c r="G448">
        <v>220</v>
      </c>
      <c r="H448">
        <v>14.5</v>
      </c>
      <c r="I448" s="50">
        <v>20.100000000000001</v>
      </c>
      <c r="J448" s="50">
        <v>11.7</v>
      </c>
      <c r="K448" s="50">
        <v>10.5</v>
      </c>
      <c r="L448" s="50">
        <v>20.100000000000001</v>
      </c>
      <c r="M448">
        <v>80</v>
      </c>
    </row>
    <row r="449" spans="1:13" hidden="1" x14ac:dyDescent="0.25">
      <c r="A449" t="s">
        <v>344</v>
      </c>
      <c r="B449" s="50" t="s">
        <v>193</v>
      </c>
      <c r="C449" s="50" t="s">
        <v>197</v>
      </c>
      <c r="D449" s="50" t="s">
        <v>241</v>
      </c>
      <c r="E449" s="50">
        <v>3</v>
      </c>
      <c r="F449">
        <v>8</v>
      </c>
      <c r="G449">
        <v>200</v>
      </c>
      <c r="H449">
        <v>14.5</v>
      </c>
      <c r="I449" s="50">
        <v>20.100000000000001</v>
      </c>
      <c r="J449" s="50">
        <v>11.7</v>
      </c>
      <c r="K449" s="50">
        <v>10.5</v>
      </c>
      <c r="L449" s="50">
        <v>20.100000000000001</v>
      </c>
      <c r="M449">
        <v>80</v>
      </c>
    </row>
    <row r="450" spans="1:13" hidden="1" x14ac:dyDescent="0.25">
      <c r="A450" t="s">
        <v>344</v>
      </c>
      <c r="B450" s="50" t="s">
        <v>193</v>
      </c>
      <c r="C450" s="50" t="s">
        <v>197</v>
      </c>
      <c r="D450" s="50" t="s">
        <v>241</v>
      </c>
      <c r="E450" s="50">
        <v>3</v>
      </c>
      <c r="F450">
        <v>8</v>
      </c>
      <c r="G450">
        <v>180</v>
      </c>
      <c r="H450">
        <v>14.5</v>
      </c>
      <c r="I450" s="50">
        <v>20.100000000000001</v>
      </c>
      <c r="J450" s="50">
        <v>11.7</v>
      </c>
      <c r="K450" s="50">
        <v>10.5</v>
      </c>
      <c r="L450" s="50">
        <v>20.100000000000001</v>
      </c>
      <c r="M450">
        <v>80</v>
      </c>
    </row>
    <row r="451" spans="1:13" hidden="1" x14ac:dyDescent="0.25">
      <c r="A451" t="s">
        <v>344</v>
      </c>
      <c r="B451" s="50" t="s">
        <v>193</v>
      </c>
      <c r="C451" s="50" t="s">
        <v>197</v>
      </c>
      <c r="D451" s="50" t="s">
        <v>241</v>
      </c>
      <c r="E451" s="50">
        <v>3</v>
      </c>
      <c r="F451">
        <v>8</v>
      </c>
      <c r="G451">
        <v>160</v>
      </c>
      <c r="H451">
        <v>14.5</v>
      </c>
      <c r="I451" s="50">
        <v>20.100000000000001</v>
      </c>
      <c r="J451" s="50">
        <v>11.7</v>
      </c>
      <c r="K451" s="50">
        <v>10.5</v>
      </c>
      <c r="L451" s="50">
        <v>20.100000000000001</v>
      </c>
      <c r="M451">
        <v>80</v>
      </c>
    </row>
    <row r="452" spans="1:13" hidden="1" x14ac:dyDescent="0.25">
      <c r="A452" t="s">
        <v>344</v>
      </c>
      <c r="B452" s="50" t="s">
        <v>193</v>
      </c>
      <c r="C452" s="50" t="s">
        <v>197</v>
      </c>
      <c r="D452" s="50" t="s">
        <v>241</v>
      </c>
      <c r="E452" s="50">
        <v>3</v>
      </c>
      <c r="F452">
        <v>8</v>
      </c>
      <c r="G452">
        <v>140</v>
      </c>
      <c r="H452">
        <v>14.5</v>
      </c>
      <c r="I452" s="50">
        <v>20.100000000000001</v>
      </c>
      <c r="J452" s="50">
        <v>11.7</v>
      </c>
      <c r="K452" s="50">
        <v>10.5</v>
      </c>
      <c r="L452" s="50">
        <v>20.100000000000001</v>
      </c>
      <c r="M452">
        <v>60</v>
      </c>
    </row>
    <row r="453" spans="1:13" hidden="1" x14ac:dyDescent="0.25">
      <c r="A453" t="s">
        <v>344</v>
      </c>
      <c r="B453" s="50" t="s">
        <v>193</v>
      </c>
      <c r="C453" s="50" t="s">
        <v>197</v>
      </c>
      <c r="D453" s="50" t="s">
        <v>241</v>
      </c>
      <c r="E453" s="50">
        <v>3</v>
      </c>
      <c r="F453">
        <v>8</v>
      </c>
      <c r="G453">
        <v>120</v>
      </c>
      <c r="H453">
        <v>14.5</v>
      </c>
      <c r="I453" s="50">
        <v>20.100000000000001</v>
      </c>
      <c r="J453" s="50">
        <v>11.7</v>
      </c>
      <c r="K453" s="50">
        <v>10.5</v>
      </c>
      <c r="L453" s="50">
        <v>20.100000000000001</v>
      </c>
      <c r="M453">
        <v>60</v>
      </c>
    </row>
    <row r="454" spans="1:13" hidden="1" x14ac:dyDescent="0.25">
      <c r="A454" t="s">
        <v>344</v>
      </c>
      <c r="B454" s="50" t="s">
        <v>193</v>
      </c>
      <c r="C454" s="50" t="s">
        <v>197</v>
      </c>
      <c r="D454" s="50" t="s">
        <v>241</v>
      </c>
      <c r="E454" s="50">
        <v>3</v>
      </c>
      <c r="F454">
        <v>8</v>
      </c>
      <c r="G454">
        <v>100</v>
      </c>
      <c r="H454">
        <v>14.5</v>
      </c>
      <c r="I454" s="50">
        <v>20.100000000000001</v>
      </c>
      <c r="J454" s="50">
        <v>11.7</v>
      </c>
      <c r="K454" s="50">
        <v>10.5</v>
      </c>
      <c r="L454" s="50">
        <v>20.100000000000001</v>
      </c>
      <c r="M454">
        <v>25</v>
      </c>
    </row>
    <row r="455" spans="1:13" hidden="1" x14ac:dyDescent="0.25">
      <c r="A455" t="s">
        <v>344</v>
      </c>
      <c r="B455" s="50" t="s">
        <v>193</v>
      </c>
      <c r="C455" s="50" t="s">
        <v>197</v>
      </c>
      <c r="D455" s="50" t="s">
        <v>241</v>
      </c>
      <c r="E455" s="50">
        <v>3</v>
      </c>
      <c r="F455">
        <v>6</v>
      </c>
      <c r="G455">
        <v>200</v>
      </c>
      <c r="H455">
        <v>12</v>
      </c>
      <c r="I455" s="50">
        <v>9.5</v>
      </c>
      <c r="J455" s="50">
        <v>11.7</v>
      </c>
      <c r="K455" s="50">
        <v>10.5</v>
      </c>
      <c r="L455" s="50">
        <v>11.3</v>
      </c>
      <c r="M455">
        <v>75</v>
      </c>
    </row>
    <row r="456" spans="1:13" hidden="1" x14ac:dyDescent="0.25">
      <c r="A456" t="s">
        <v>344</v>
      </c>
      <c r="B456" s="50" t="s">
        <v>193</v>
      </c>
      <c r="C456" s="50" t="s">
        <v>197</v>
      </c>
      <c r="D456" s="50" t="s">
        <v>241</v>
      </c>
      <c r="E456" s="50">
        <v>3</v>
      </c>
      <c r="F456">
        <v>6</v>
      </c>
      <c r="G456">
        <v>160</v>
      </c>
      <c r="H456">
        <v>12</v>
      </c>
      <c r="I456" s="50">
        <v>9.5</v>
      </c>
      <c r="J456" s="50">
        <v>11.7</v>
      </c>
      <c r="K456" s="50">
        <v>10.5</v>
      </c>
      <c r="L456" s="50">
        <v>11.3</v>
      </c>
      <c r="M456">
        <v>75</v>
      </c>
    </row>
    <row r="457" spans="1:13" hidden="1" x14ac:dyDescent="0.25">
      <c r="A457" t="s">
        <v>344</v>
      </c>
      <c r="B457" s="50" t="s">
        <v>193</v>
      </c>
      <c r="C457" s="50" t="s">
        <v>197</v>
      </c>
      <c r="D457" s="50" t="s">
        <v>241</v>
      </c>
      <c r="E457" s="50">
        <v>3</v>
      </c>
      <c r="F457">
        <v>6</v>
      </c>
      <c r="G457">
        <v>140</v>
      </c>
      <c r="H457">
        <v>12</v>
      </c>
      <c r="I457" s="50">
        <v>9.5</v>
      </c>
      <c r="J457" s="50">
        <v>11.7</v>
      </c>
      <c r="K457" s="50">
        <v>10.5</v>
      </c>
      <c r="L457" s="50">
        <v>11.3</v>
      </c>
      <c r="M457">
        <v>75</v>
      </c>
    </row>
    <row r="458" spans="1:13" hidden="1" x14ac:dyDescent="0.25">
      <c r="A458" t="s">
        <v>344</v>
      </c>
      <c r="B458" s="50" t="s">
        <v>193</v>
      </c>
      <c r="C458" s="50" t="s">
        <v>197</v>
      </c>
      <c r="D458" s="50" t="s">
        <v>241</v>
      </c>
      <c r="E458" s="50">
        <v>3</v>
      </c>
      <c r="F458">
        <v>6</v>
      </c>
      <c r="G458">
        <v>120</v>
      </c>
      <c r="H458">
        <v>12</v>
      </c>
      <c r="I458" s="50">
        <v>9.5</v>
      </c>
      <c r="J458" s="50">
        <v>11.7</v>
      </c>
      <c r="K458" s="50">
        <v>10.5</v>
      </c>
      <c r="L458" s="50">
        <v>11.3</v>
      </c>
      <c r="M458">
        <v>60</v>
      </c>
    </row>
    <row r="459" spans="1:13" hidden="1" x14ac:dyDescent="0.25">
      <c r="A459" t="s">
        <v>344</v>
      </c>
      <c r="B459" s="50" t="s">
        <v>193</v>
      </c>
      <c r="C459" s="50" t="s">
        <v>197</v>
      </c>
      <c r="D459" s="50" t="s">
        <v>241</v>
      </c>
      <c r="E459" s="50">
        <v>3</v>
      </c>
      <c r="F459">
        <v>6</v>
      </c>
      <c r="G459">
        <v>100</v>
      </c>
      <c r="H459">
        <v>12</v>
      </c>
      <c r="I459" s="50">
        <v>9.5</v>
      </c>
      <c r="J459" s="50">
        <v>11.7</v>
      </c>
      <c r="K459" s="50">
        <v>10.5</v>
      </c>
      <c r="L459" s="50">
        <v>11.3</v>
      </c>
      <c r="M459">
        <v>50</v>
      </c>
    </row>
    <row r="460" spans="1:13" hidden="1" x14ac:dyDescent="0.25">
      <c r="A460" t="s">
        <v>344</v>
      </c>
      <c r="B460" s="50" t="s">
        <v>193</v>
      </c>
      <c r="C460" s="50" t="s">
        <v>197</v>
      </c>
      <c r="D460" s="50" t="s">
        <v>241</v>
      </c>
      <c r="E460" s="50">
        <v>3</v>
      </c>
      <c r="F460">
        <v>6</v>
      </c>
      <c r="G460">
        <v>80</v>
      </c>
      <c r="H460">
        <v>12</v>
      </c>
      <c r="I460" s="50">
        <v>9.5</v>
      </c>
      <c r="J460" s="50">
        <v>11.7</v>
      </c>
      <c r="K460" s="50">
        <v>10.5</v>
      </c>
      <c r="L460" s="50">
        <v>11.3</v>
      </c>
      <c r="M460">
        <v>40</v>
      </c>
    </row>
    <row r="461" spans="1:13" hidden="1" x14ac:dyDescent="0.25">
      <c r="A461" t="s">
        <v>344</v>
      </c>
      <c r="B461" s="50" t="s">
        <v>193</v>
      </c>
      <c r="C461" s="50" t="s">
        <v>197</v>
      </c>
      <c r="D461" s="50" t="s">
        <v>241</v>
      </c>
      <c r="E461" s="50">
        <v>3</v>
      </c>
      <c r="F461">
        <v>5</v>
      </c>
      <c r="G461">
        <v>100</v>
      </c>
      <c r="H461">
        <v>10</v>
      </c>
      <c r="I461" s="50">
        <v>5.4</v>
      </c>
      <c r="J461" s="50">
        <v>11.7</v>
      </c>
      <c r="K461" s="50">
        <v>10.5</v>
      </c>
      <c r="L461" s="50">
        <v>7.9</v>
      </c>
      <c r="M461">
        <v>50</v>
      </c>
    </row>
    <row r="462" spans="1:13" hidden="1" x14ac:dyDescent="0.25">
      <c r="A462" t="s">
        <v>344</v>
      </c>
      <c r="B462" s="50" t="s">
        <v>193</v>
      </c>
      <c r="C462" s="50" t="s">
        <v>197</v>
      </c>
      <c r="D462" s="50" t="s">
        <v>241</v>
      </c>
      <c r="E462" s="50">
        <v>3</v>
      </c>
      <c r="F462">
        <v>5</v>
      </c>
      <c r="G462">
        <v>90</v>
      </c>
      <c r="H462">
        <v>10</v>
      </c>
      <c r="I462" s="50">
        <v>5.4</v>
      </c>
      <c r="J462" s="50">
        <v>11.7</v>
      </c>
      <c r="K462" s="50">
        <v>10.5</v>
      </c>
      <c r="L462" s="50">
        <v>7.9</v>
      </c>
      <c r="M462">
        <v>45</v>
      </c>
    </row>
    <row r="463" spans="1:13" hidden="1" x14ac:dyDescent="0.25">
      <c r="A463" t="s">
        <v>344</v>
      </c>
      <c r="B463" s="50" t="s">
        <v>193</v>
      </c>
      <c r="C463" s="50" t="s">
        <v>197</v>
      </c>
      <c r="D463" s="50" t="s">
        <v>241</v>
      </c>
      <c r="E463" s="50">
        <v>3</v>
      </c>
      <c r="F463">
        <v>5</v>
      </c>
      <c r="G463">
        <v>80</v>
      </c>
      <c r="H463">
        <v>10</v>
      </c>
      <c r="I463" s="50">
        <v>5.4</v>
      </c>
      <c r="J463" s="50">
        <v>11.7</v>
      </c>
      <c r="K463" s="50">
        <v>10.5</v>
      </c>
      <c r="L463" s="50">
        <v>7.9</v>
      </c>
      <c r="M463">
        <v>45</v>
      </c>
    </row>
    <row r="464" spans="1:13" hidden="1" x14ac:dyDescent="0.25">
      <c r="A464" t="s">
        <v>344</v>
      </c>
      <c r="B464" s="50" t="s">
        <v>193</v>
      </c>
      <c r="C464" s="50" t="s">
        <v>198</v>
      </c>
      <c r="D464" s="50" t="s">
        <v>233</v>
      </c>
      <c r="E464" s="50">
        <v>2</v>
      </c>
      <c r="F464">
        <v>7</v>
      </c>
      <c r="G464">
        <v>100</v>
      </c>
      <c r="H464">
        <v>11</v>
      </c>
      <c r="I464" s="50">
        <v>14.2</v>
      </c>
      <c r="J464" s="50">
        <v>11.7</v>
      </c>
      <c r="K464" s="50">
        <v>10.5</v>
      </c>
      <c r="L464" s="50">
        <v>15.4</v>
      </c>
      <c r="M464">
        <v>100</v>
      </c>
    </row>
    <row r="465" spans="1:13" hidden="1" x14ac:dyDescent="0.25">
      <c r="A465" t="s">
        <v>344</v>
      </c>
      <c r="B465" s="50" t="s">
        <v>193</v>
      </c>
      <c r="C465" s="50" t="s">
        <v>198</v>
      </c>
      <c r="D465" s="50" t="s">
        <v>233</v>
      </c>
      <c r="E465" s="50">
        <v>2</v>
      </c>
      <c r="F465">
        <v>7</v>
      </c>
      <c r="G465">
        <v>80</v>
      </c>
      <c r="H465">
        <v>11</v>
      </c>
      <c r="I465" s="50">
        <v>14.2</v>
      </c>
      <c r="J465" s="50">
        <v>11.7</v>
      </c>
      <c r="K465" s="50">
        <v>10.5</v>
      </c>
      <c r="L465" s="50">
        <v>15.4</v>
      </c>
      <c r="M465">
        <v>80</v>
      </c>
    </row>
    <row r="466" spans="1:13" hidden="1" x14ac:dyDescent="0.25">
      <c r="A466" t="s">
        <v>344</v>
      </c>
      <c r="B466" s="50" t="s">
        <v>193</v>
      </c>
      <c r="C466" s="50" t="s">
        <v>198</v>
      </c>
      <c r="D466" s="50" t="s">
        <v>233</v>
      </c>
      <c r="E466" s="50">
        <v>2</v>
      </c>
      <c r="F466">
        <v>7</v>
      </c>
      <c r="G466">
        <v>60</v>
      </c>
      <c r="H466">
        <v>11</v>
      </c>
      <c r="I466" s="50">
        <v>14.2</v>
      </c>
      <c r="J466" s="50">
        <v>11.7</v>
      </c>
      <c r="K466" s="50">
        <v>10.5</v>
      </c>
      <c r="L466" s="50">
        <v>15.4</v>
      </c>
      <c r="M466">
        <v>60</v>
      </c>
    </row>
    <row r="467" spans="1:13" hidden="1" x14ac:dyDescent="0.25">
      <c r="A467" t="s">
        <v>344</v>
      </c>
      <c r="B467" s="50" t="s">
        <v>193</v>
      </c>
      <c r="C467" s="50" t="s">
        <v>198</v>
      </c>
      <c r="D467" s="50" t="s">
        <v>233</v>
      </c>
      <c r="E467" s="50">
        <v>2</v>
      </c>
      <c r="F467">
        <v>5</v>
      </c>
      <c r="G467">
        <v>70</v>
      </c>
      <c r="H467">
        <v>7.8</v>
      </c>
      <c r="I467" s="50">
        <v>5.4</v>
      </c>
      <c r="J467" s="50">
        <v>11.7</v>
      </c>
      <c r="K467" s="50">
        <v>10.5</v>
      </c>
      <c r="L467" s="50">
        <v>7.9</v>
      </c>
      <c r="M467">
        <v>70</v>
      </c>
    </row>
    <row r="468" spans="1:13" hidden="1" x14ac:dyDescent="0.25">
      <c r="A468" t="s">
        <v>344</v>
      </c>
      <c r="B468" s="50" t="s">
        <v>193</v>
      </c>
      <c r="C468" s="50" t="s">
        <v>198</v>
      </c>
      <c r="D468" s="50" t="s">
        <v>233</v>
      </c>
      <c r="E468" s="50">
        <v>2</v>
      </c>
      <c r="F468">
        <v>5</v>
      </c>
      <c r="G468">
        <v>60</v>
      </c>
      <c r="H468">
        <v>7.8</v>
      </c>
      <c r="I468" s="50">
        <v>5.4</v>
      </c>
      <c r="J468" s="50">
        <v>11.7</v>
      </c>
      <c r="K468" s="50">
        <v>10.5</v>
      </c>
      <c r="L468" s="50">
        <v>7.9</v>
      </c>
      <c r="M468">
        <v>60</v>
      </c>
    </row>
    <row r="469" spans="1:13" hidden="1" x14ac:dyDescent="0.25">
      <c r="A469" t="s">
        <v>344</v>
      </c>
      <c r="B469" s="50" t="s">
        <v>193</v>
      </c>
      <c r="C469" s="50" t="s">
        <v>198</v>
      </c>
      <c r="D469" s="50" t="s">
        <v>233</v>
      </c>
      <c r="E469" s="50">
        <v>2</v>
      </c>
      <c r="F469">
        <v>5</v>
      </c>
      <c r="G469">
        <v>50</v>
      </c>
      <c r="H469">
        <v>7.8</v>
      </c>
      <c r="I469" s="50">
        <v>5.4</v>
      </c>
      <c r="J469" s="50">
        <v>11.7</v>
      </c>
      <c r="K469" s="50">
        <v>10.5</v>
      </c>
      <c r="L469" s="50">
        <v>7.9</v>
      </c>
      <c r="M469">
        <v>50</v>
      </c>
    </row>
    <row r="470" spans="1:13" hidden="1" x14ac:dyDescent="0.25">
      <c r="A470" t="s">
        <v>344</v>
      </c>
      <c r="B470" s="50" t="s">
        <v>193</v>
      </c>
      <c r="C470" s="50" t="s">
        <v>198</v>
      </c>
      <c r="D470" s="50" t="s">
        <v>233</v>
      </c>
      <c r="E470" s="50">
        <v>2</v>
      </c>
      <c r="F470">
        <v>5</v>
      </c>
      <c r="G470">
        <v>40</v>
      </c>
      <c r="H470">
        <v>7.8</v>
      </c>
      <c r="I470" s="50">
        <v>5.4</v>
      </c>
      <c r="J470" s="50">
        <v>11.7</v>
      </c>
      <c r="K470" s="50">
        <v>10.5</v>
      </c>
      <c r="L470" s="50">
        <v>7.9</v>
      </c>
      <c r="M470">
        <v>40</v>
      </c>
    </row>
    <row r="471" spans="1:13" hidden="1" x14ac:dyDescent="0.25">
      <c r="A471" t="s">
        <v>344</v>
      </c>
      <c r="B471" s="50" t="s">
        <v>193</v>
      </c>
      <c r="C471" s="50" t="s">
        <v>198</v>
      </c>
      <c r="D471" s="50" t="s">
        <v>233</v>
      </c>
      <c r="E471" s="50">
        <v>2</v>
      </c>
      <c r="F471">
        <v>5</v>
      </c>
      <c r="G471">
        <v>25</v>
      </c>
      <c r="H471">
        <v>7.8</v>
      </c>
      <c r="I471" s="50">
        <v>5.4</v>
      </c>
      <c r="J471" s="50">
        <v>11.7</v>
      </c>
      <c r="K471" s="50">
        <v>10.5</v>
      </c>
      <c r="L471" s="50">
        <v>7.9</v>
      </c>
      <c r="M471">
        <v>25</v>
      </c>
    </row>
    <row r="472" spans="1:13" hidden="1" x14ac:dyDescent="0.25">
      <c r="A472" t="s">
        <v>344</v>
      </c>
      <c r="B472" s="50" t="s">
        <v>193</v>
      </c>
      <c r="C472" s="50" t="s">
        <v>200</v>
      </c>
      <c r="D472" s="50" t="s">
        <v>235</v>
      </c>
      <c r="E472" s="50">
        <v>2</v>
      </c>
      <c r="F472">
        <v>12</v>
      </c>
      <c r="G472">
        <v>400</v>
      </c>
      <c r="H472">
        <v>18</v>
      </c>
      <c r="I472" s="50"/>
      <c r="J472" s="50"/>
      <c r="K472" s="50"/>
      <c r="L472" s="50"/>
      <c r="M472">
        <v>100</v>
      </c>
    </row>
    <row r="473" spans="1:13" hidden="1" x14ac:dyDescent="0.25">
      <c r="A473" t="s">
        <v>344</v>
      </c>
      <c r="B473" s="50" t="s">
        <v>193</v>
      </c>
      <c r="C473" s="50" t="s">
        <v>200</v>
      </c>
      <c r="D473" s="50" t="s">
        <v>235</v>
      </c>
      <c r="E473" s="50">
        <v>2</v>
      </c>
      <c r="F473">
        <v>12</v>
      </c>
      <c r="G473">
        <v>320</v>
      </c>
      <c r="H473">
        <v>18</v>
      </c>
      <c r="I473" s="50"/>
      <c r="J473" s="50"/>
      <c r="K473" s="50"/>
      <c r="L473" s="50"/>
      <c r="M473">
        <v>100</v>
      </c>
    </row>
    <row r="474" spans="1:13" hidden="1" x14ac:dyDescent="0.25">
      <c r="A474" t="s">
        <v>344</v>
      </c>
      <c r="B474" s="50" t="s">
        <v>193</v>
      </c>
      <c r="C474" s="50" t="s">
        <v>200</v>
      </c>
      <c r="D474" s="50" t="s">
        <v>235</v>
      </c>
      <c r="E474" s="50">
        <v>2</v>
      </c>
      <c r="F474">
        <v>12</v>
      </c>
      <c r="G474">
        <v>280</v>
      </c>
      <c r="H474">
        <v>18</v>
      </c>
      <c r="I474" s="50"/>
      <c r="J474" s="50"/>
      <c r="K474" s="50"/>
      <c r="L474" s="50"/>
      <c r="M474">
        <v>100</v>
      </c>
    </row>
    <row r="475" spans="1:13" hidden="1" x14ac:dyDescent="0.25">
      <c r="A475" t="s">
        <v>344</v>
      </c>
      <c r="B475" s="50" t="s">
        <v>193</v>
      </c>
      <c r="C475" s="50" t="s">
        <v>200</v>
      </c>
      <c r="D475" s="50" t="s">
        <v>235</v>
      </c>
      <c r="E475" s="50">
        <v>2</v>
      </c>
      <c r="F475">
        <v>12</v>
      </c>
      <c r="G475">
        <v>240</v>
      </c>
      <c r="H475">
        <v>18</v>
      </c>
      <c r="I475" s="50"/>
      <c r="J475" s="50"/>
      <c r="K475" s="50"/>
      <c r="L475" s="50"/>
      <c r="M475">
        <v>100</v>
      </c>
    </row>
    <row r="476" spans="1:13" hidden="1" x14ac:dyDescent="0.25">
      <c r="A476" t="s">
        <v>344</v>
      </c>
      <c r="B476" s="50" t="s">
        <v>193</v>
      </c>
      <c r="C476" s="50" t="s">
        <v>200</v>
      </c>
      <c r="D476" s="50" t="s">
        <v>235</v>
      </c>
      <c r="E476" s="50">
        <v>2</v>
      </c>
      <c r="F476">
        <v>12</v>
      </c>
      <c r="G476">
        <v>200</v>
      </c>
      <c r="H476">
        <v>18</v>
      </c>
      <c r="I476" s="50"/>
      <c r="J476" s="50"/>
      <c r="K476" s="50"/>
      <c r="L476" s="50"/>
      <c r="M476">
        <v>100</v>
      </c>
    </row>
    <row r="477" spans="1:13" hidden="1" x14ac:dyDescent="0.25">
      <c r="A477" t="s">
        <v>344</v>
      </c>
      <c r="B477" s="50" t="s">
        <v>193</v>
      </c>
      <c r="C477" s="50" t="s">
        <v>200</v>
      </c>
      <c r="D477" s="50" t="s">
        <v>235</v>
      </c>
      <c r="E477" s="50">
        <v>2</v>
      </c>
      <c r="F477">
        <v>12</v>
      </c>
      <c r="G477">
        <v>160</v>
      </c>
      <c r="H477">
        <v>18</v>
      </c>
      <c r="I477" s="50"/>
      <c r="J477" s="50"/>
      <c r="K477" s="50"/>
      <c r="L477" s="50"/>
      <c r="M477">
        <v>100</v>
      </c>
    </row>
    <row r="478" spans="1:13" hidden="1" x14ac:dyDescent="0.25">
      <c r="A478" t="s">
        <v>344</v>
      </c>
      <c r="B478" s="50" t="s">
        <v>193</v>
      </c>
      <c r="C478" s="50" t="s">
        <v>200</v>
      </c>
      <c r="D478" s="50" t="s">
        <v>235</v>
      </c>
      <c r="E478" s="50">
        <v>2</v>
      </c>
      <c r="F478">
        <v>12</v>
      </c>
      <c r="G478">
        <v>140</v>
      </c>
      <c r="H478">
        <v>18</v>
      </c>
      <c r="I478" s="50"/>
      <c r="J478" s="50"/>
      <c r="K478" s="50"/>
      <c r="L478" s="50"/>
      <c r="M478">
        <v>100</v>
      </c>
    </row>
    <row r="479" spans="1:13" hidden="1" x14ac:dyDescent="0.25">
      <c r="A479" t="s">
        <v>344</v>
      </c>
      <c r="B479" s="50" t="s">
        <v>193</v>
      </c>
      <c r="C479" s="50" t="s">
        <v>200</v>
      </c>
      <c r="D479" s="50" t="s">
        <v>235</v>
      </c>
      <c r="E479" s="50">
        <v>2</v>
      </c>
      <c r="F479">
        <v>12</v>
      </c>
      <c r="G479">
        <v>120</v>
      </c>
      <c r="H479">
        <v>18</v>
      </c>
      <c r="I479" s="50"/>
      <c r="J479" s="50"/>
      <c r="K479" s="50"/>
      <c r="L479" s="50"/>
      <c r="M479">
        <v>100</v>
      </c>
    </row>
    <row r="480" spans="1:13" hidden="1" x14ac:dyDescent="0.25">
      <c r="A480" t="s">
        <v>344</v>
      </c>
      <c r="B480" s="50" t="s">
        <v>193</v>
      </c>
      <c r="C480" s="50" t="s">
        <v>200</v>
      </c>
      <c r="D480" s="50" t="s">
        <v>235</v>
      </c>
      <c r="E480" s="50">
        <v>2</v>
      </c>
      <c r="F480">
        <v>12</v>
      </c>
      <c r="G480">
        <v>100</v>
      </c>
      <c r="H480">
        <v>18</v>
      </c>
      <c r="I480" s="50"/>
      <c r="J480" s="50"/>
      <c r="K480" s="50"/>
      <c r="L480" s="50"/>
      <c r="M480">
        <v>100</v>
      </c>
    </row>
    <row r="481" spans="1:13" hidden="1" x14ac:dyDescent="0.25">
      <c r="A481" t="s">
        <v>344</v>
      </c>
      <c r="B481" s="50" t="s">
        <v>193</v>
      </c>
      <c r="C481" s="50" t="s">
        <v>200</v>
      </c>
      <c r="D481" s="50" t="s">
        <v>235</v>
      </c>
      <c r="E481" s="50">
        <v>2</v>
      </c>
      <c r="F481">
        <v>10</v>
      </c>
      <c r="G481">
        <v>160</v>
      </c>
      <c r="H481">
        <v>16</v>
      </c>
      <c r="I481" s="50"/>
      <c r="J481" s="50"/>
      <c r="K481" s="50"/>
      <c r="L481" s="50"/>
      <c r="M481">
        <v>95</v>
      </c>
    </row>
    <row r="482" spans="1:13" hidden="1" x14ac:dyDescent="0.25">
      <c r="A482" t="s">
        <v>344</v>
      </c>
      <c r="B482" s="50" t="s">
        <v>193</v>
      </c>
      <c r="C482" s="50" t="s">
        <v>200</v>
      </c>
      <c r="D482" s="50" t="s">
        <v>235</v>
      </c>
      <c r="E482" s="50">
        <v>2</v>
      </c>
      <c r="F482">
        <v>10</v>
      </c>
      <c r="G482">
        <v>140</v>
      </c>
      <c r="H482">
        <v>16</v>
      </c>
      <c r="I482" s="50"/>
      <c r="J482" s="50"/>
      <c r="K482" s="50"/>
      <c r="L482" s="50"/>
      <c r="M482">
        <v>95</v>
      </c>
    </row>
    <row r="483" spans="1:13" hidden="1" x14ac:dyDescent="0.25">
      <c r="A483" t="s">
        <v>344</v>
      </c>
      <c r="B483" s="50" t="s">
        <v>193</v>
      </c>
      <c r="C483" s="50" t="s">
        <v>200</v>
      </c>
      <c r="D483" s="50" t="s">
        <v>235</v>
      </c>
      <c r="E483" s="50">
        <v>2</v>
      </c>
      <c r="F483">
        <v>10</v>
      </c>
      <c r="G483">
        <v>120</v>
      </c>
      <c r="H483">
        <v>16</v>
      </c>
      <c r="I483" s="50"/>
      <c r="J483" s="50"/>
      <c r="K483" s="50"/>
      <c r="L483" s="50"/>
      <c r="M483">
        <v>95</v>
      </c>
    </row>
    <row r="484" spans="1:13" hidden="1" x14ac:dyDescent="0.25">
      <c r="A484" t="s">
        <v>344</v>
      </c>
      <c r="B484" s="50" t="s">
        <v>193</v>
      </c>
      <c r="C484" s="50" t="s">
        <v>200</v>
      </c>
      <c r="D484" s="50" t="s">
        <v>235</v>
      </c>
      <c r="E484" s="50">
        <v>2</v>
      </c>
      <c r="F484">
        <v>10</v>
      </c>
      <c r="G484">
        <v>100</v>
      </c>
      <c r="H484">
        <v>16</v>
      </c>
      <c r="I484" s="50"/>
      <c r="J484" s="50"/>
      <c r="K484" s="50"/>
      <c r="L484" s="50"/>
      <c r="M484">
        <v>95</v>
      </c>
    </row>
    <row r="485" spans="1:13" hidden="1" x14ac:dyDescent="0.25">
      <c r="A485" t="s">
        <v>344</v>
      </c>
      <c r="B485" s="50" t="s">
        <v>193</v>
      </c>
      <c r="C485" s="50" t="s">
        <v>200</v>
      </c>
      <c r="D485" s="50" t="s">
        <v>235</v>
      </c>
      <c r="E485" s="50">
        <v>2</v>
      </c>
      <c r="F485">
        <v>10</v>
      </c>
      <c r="G485">
        <v>80</v>
      </c>
      <c r="H485">
        <v>16</v>
      </c>
      <c r="I485" s="50"/>
      <c r="J485" s="50"/>
      <c r="K485" s="50"/>
      <c r="L485" s="50"/>
      <c r="M485">
        <v>65</v>
      </c>
    </row>
    <row r="486" spans="1:13" hidden="1" x14ac:dyDescent="0.25">
      <c r="A486" t="s">
        <v>344</v>
      </c>
      <c r="B486" s="50" t="s">
        <v>193</v>
      </c>
      <c r="C486" s="50" t="s">
        <v>200</v>
      </c>
      <c r="D486" s="50" t="s">
        <v>235</v>
      </c>
      <c r="E486" s="50">
        <v>2</v>
      </c>
      <c r="F486">
        <v>7.5</v>
      </c>
      <c r="G486">
        <v>100</v>
      </c>
      <c r="H486">
        <v>13</v>
      </c>
      <c r="I486" s="50"/>
      <c r="J486" s="50"/>
      <c r="K486" s="50"/>
      <c r="L486" s="50"/>
      <c r="M486">
        <v>90</v>
      </c>
    </row>
    <row r="487" spans="1:13" hidden="1" x14ac:dyDescent="0.25">
      <c r="A487" t="s">
        <v>344</v>
      </c>
      <c r="B487" s="50" t="s">
        <v>193</v>
      </c>
      <c r="C487" s="50" t="s">
        <v>200</v>
      </c>
      <c r="D487" s="50" t="s">
        <v>235</v>
      </c>
      <c r="E487" s="50">
        <v>2</v>
      </c>
      <c r="F487">
        <v>7.5</v>
      </c>
      <c r="G487">
        <v>80</v>
      </c>
      <c r="H487">
        <v>13</v>
      </c>
      <c r="I487" s="50"/>
      <c r="J487" s="50"/>
      <c r="K487" s="50"/>
      <c r="L487" s="50"/>
      <c r="M487">
        <v>60</v>
      </c>
    </row>
    <row r="488" spans="1:13" hidden="1" x14ac:dyDescent="0.25">
      <c r="A488" t="s">
        <v>344</v>
      </c>
      <c r="B488" s="50" t="s">
        <v>193</v>
      </c>
      <c r="C488" s="50" t="s">
        <v>200</v>
      </c>
      <c r="D488" s="50" t="s">
        <v>235</v>
      </c>
      <c r="E488" s="50">
        <v>2</v>
      </c>
      <c r="F488">
        <v>7.5</v>
      </c>
      <c r="G488">
        <v>60</v>
      </c>
      <c r="H488">
        <v>13</v>
      </c>
      <c r="I488" s="50"/>
      <c r="J488" s="50"/>
      <c r="K488" s="50"/>
      <c r="L488" s="50"/>
      <c r="M488">
        <v>60</v>
      </c>
    </row>
    <row r="489" spans="1:13" hidden="1" x14ac:dyDescent="0.25">
      <c r="A489" t="s">
        <v>344</v>
      </c>
      <c r="B489" s="50" t="s">
        <v>193</v>
      </c>
      <c r="C489" s="50" t="s">
        <v>201</v>
      </c>
      <c r="D489" s="50" t="s">
        <v>235</v>
      </c>
      <c r="E489" s="50">
        <v>3</v>
      </c>
      <c r="F489">
        <v>12</v>
      </c>
      <c r="G489">
        <v>100</v>
      </c>
      <c r="H489">
        <v>18</v>
      </c>
      <c r="I489" s="50"/>
      <c r="J489" s="50"/>
      <c r="K489" s="50"/>
      <c r="L489" s="50"/>
      <c r="M489">
        <v>100</v>
      </c>
    </row>
    <row r="490" spans="1:13" hidden="1" x14ac:dyDescent="0.25">
      <c r="A490" t="s">
        <v>344</v>
      </c>
      <c r="B490" s="50" t="s">
        <v>193</v>
      </c>
      <c r="C490" s="50" t="s">
        <v>201</v>
      </c>
      <c r="D490" s="50" t="s">
        <v>235</v>
      </c>
      <c r="E490" s="50">
        <v>3</v>
      </c>
      <c r="F490">
        <v>10</v>
      </c>
      <c r="G490">
        <v>80</v>
      </c>
      <c r="H490">
        <v>16</v>
      </c>
      <c r="I490" s="50"/>
      <c r="J490" s="50"/>
      <c r="K490" s="50"/>
      <c r="L490" s="50"/>
      <c r="M490">
        <v>65</v>
      </c>
    </row>
    <row r="491" spans="1:13" hidden="1" x14ac:dyDescent="0.25">
      <c r="A491" t="s">
        <v>344</v>
      </c>
      <c r="B491" s="50" t="s">
        <v>193</v>
      </c>
      <c r="C491" s="50" t="s">
        <v>201</v>
      </c>
      <c r="D491" s="50" t="s">
        <v>235</v>
      </c>
      <c r="E491" s="50">
        <v>3</v>
      </c>
      <c r="F491">
        <v>7.5</v>
      </c>
      <c r="G491">
        <v>60</v>
      </c>
      <c r="H491">
        <v>13</v>
      </c>
      <c r="I491" s="50"/>
      <c r="J491" s="50"/>
      <c r="K491" s="50"/>
      <c r="L491" s="50"/>
      <c r="M491">
        <v>60</v>
      </c>
    </row>
    <row r="492" spans="1:13" hidden="1" x14ac:dyDescent="0.25">
      <c r="A492" t="s">
        <v>344</v>
      </c>
      <c r="B492" s="50" t="s">
        <v>193</v>
      </c>
      <c r="C492" s="50" t="s">
        <v>236</v>
      </c>
      <c r="D492" s="50" t="s">
        <v>237</v>
      </c>
      <c r="E492" s="50">
        <v>2</v>
      </c>
      <c r="F492">
        <v>7.5</v>
      </c>
      <c r="G492">
        <v>60</v>
      </c>
      <c r="H492">
        <v>13</v>
      </c>
      <c r="I492" s="50"/>
      <c r="J492" s="50"/>
      <c r="K492" s="50"/>
      <c r="L492" s="50"/>
      <c r="M492">
        <v>60</v>
      </c>
    </row>
    <row r="493" spans="1:13" hidden="1" x14ac:dyDescent="0.25">
      <c r="A493" t="s">
        <v>344</v>
      </c>
      <c r="B493" s="50" t="s">
        <v>193</v>
      </c>
      <c r="C493" s="50" t="s">
        <v>236</v>
      </c>
      <c r="D493" s="50" t="s">
        <v>237</v>
      </c>
      <c r="E493" s="50">
        <v>2</v>
      </c>
      <c r="F493">
        <v>7.5</v>
      </c>
      <c r="G493">
        <v>80</v>
      </c>
      <c r="H493">
        <v>13</v>
      </c>
      <c r="I493" s="50"/>
      <c r="J493" s="50"/>
      <c r="K493" s="50"/>
      <c r="L493" s="50"/>
      <c r="M493">
        <v>60</v>
      </c>
    </row>
    <row r="494" spans="1:13" hidden="1" x14ac:dyDescent="0.25">
      <c r="A494" t="s">
        <v>344</v>
      </c>
      <c r="B494" s="50" t="s">
        <v>193</v>
      </c>
      <c r="C494" s="50" t="s">
        <v>236</v>
      </c>
      <c r="D494" s="50" t="s">
        <v>237</v>
      </c>
      <c r="E494" s="50">
        <v>2</v>
      </c>
      <c r="F494">
        <v>7.5</v>
      </c>
      <c r="G494">
        <v>100</v>
      </c>
      <c r="H494">
        <v>13</v>
      </c>
      <c r="I494" s="50"/>
      <c r="J494" s="50"/>
      <c r="K494" s="50"/>
      <c r="L494" s="50"/>
      <c r="M494">
        <v>90</v>
      </c>
    </row>
    <row r="495" spans="1:13" hidden="1" x14ac:dyDescent="0.25">
      <c r="A495" t="s">
        <v>344</v>
      </c>
      <c r="B495" s="50" t="s">
        <v>193</v>
      </c>
      <c r="C495" s="50" t="s">
        <v>236</v>
      </c>
      <c r="D495" s="50" t="s">
        <v>237</v>
      </c>
      <c r="E495" s="50">
        <v>2</v>
      </c>
      <c r="F495">
        <v>7.5</v>
      </c>
      <c r="G495">
        <v>120</v>
      </c>
      <c r="H495">
        <v>13</v>
      </c>
      <c r="I495" s="50"/>
      <c r="J495" s="50"/>
      <c r="K495" s="50"/>
      <c r="L495" s="50"/>
      <c r="M495">
        <v>90</v>
      </c>
    </row>
    <row r="496" spans="1:13" hidden="1" x14ac:dyDescent="0.25">
      <c r="A496" t="s">
        <v>344</v>
      </c>
      <c r="B496" s="50" t="s">
        <v>193</v>
      </c>
      <c r="C496" s="50" t="s">
        <v>236</v>
      </c>
      <c r="D496" s="50" t="s">
        <v>237</v>
      </c>
      <c r="E496" s="50">
        <v>2</v>
      </c>
      <c r="F496">
        <v>7.5</v>
      </c>
      <c r="G496">
        <v>140</v>
      </c>
      <c r="H496">
        <v>13</v>
      </c>
      <c r="I496" s="50"/>
      <c r="J496" s="50"/>
      <c r="K496" s="50"/>
      <c r="L496" s="50"/>
      <c r="M496">
        <v>90</v>
      </c>
    </row>
    <row r="497" spans="1:13" hidden="1" x14ac:dyDescent="0.25">
      <c r="A497" t="s">
        <v>344</v>
      </c>
      <c r="B497" s="50" t="s">
        <v>193</v>
      </c>
      <c r="C497" s="50" t="s">
        <v>236</v>
      </c>
      <c r="D497" s="50" t="s">
        <v>237</v>
      </c>
      <c r="E497" s="50">
        <v>2</v>
      </c>
      <c r="F497">
        <v>7.5</v>
      </c>
      <c r="G497">
        <v>160</v>
      </c>
      <c r="H497">
        <v>13</v>
      </c>
      <c r="I497" s="50"/>
      <c r="J497" s="50"/>
      <c r="K497" s="50"/>
      <c r="L497" s="50"/>
      <c r="M497">
        <v>90</v>
      </c>
    </row>
    <row r="498" spans="1:13" hidden="1" x14ac:dyDescent="0.25">
      <c r="A498" t="s">
        <v>344</v>
      </c>
      <c r="B498" s="50" t="s">
        <v>193</v>
      </c>
      <c r="C498" s="50" t="s">
        <v>238</v>
      </c>
      <c r="D498" s="50" t="s">
        <v>237</v>
      </c>
      <c r="E498" s="50">
        <v>3</v>
      </c>
      <c r="F498">
        <v>7.5</v>
      </c>
      <c r="G498">
        <v>80</v>
      </c>
      <c r="H498">
        <v>13</v>
      </c>
      <c r="I498" s="50"/>
      <c r="J498" s="50"/>
      <c r="K498" s="50"/>
      <c r="L498" s="50"/>
      <c r="M498">
        <v>60</v>
      </c>
    </row>
    <row r="499" spans="1:13" hidden="1" x14ac:dyDescent="0.25">
      <c r="A499" t="s">
        <v>344</v>
      </c>
      <c r="B499" s="50" t="s">
        <v>193</v>
      </c>
      <c r="C499" s="50" t="s">
        <v>238</v>
      </c>
      <c r="D499" s="50" t="s">
        <v>237</v>
      </c>
      <c r="E499" s="50">
        <v>3</v>
      </c>
      <c r="F499">
        <v>7.5</v>
      </c>
      <c r="G499">
        <v>100</v>
      </c>
      <c r="H499">
        <v>13</v>
      </c>
      <c r="I499" s="50"/>
      <c r="J499" s="50"/>
      <c r="K499" s="50"/>
      <c r="L499" s="50"/>
      <c r="M499">
        <v>90</v>
      </c>
    </row>
    <row r="500" spans="1:13" hidden="1" x14ac:dyDescent="0.25">
      <c r="A500" t="s">
        <v>344</v>
      </c>
      <c r="B500" s="50" t="s">
        <v>193</v>
      </c>
      <c r="C500" s="50" t="s">
        <v>238</v>
      </c>
      <c r="D500" s="50" t="s">
        <v>237</v>
      </c>
      <c r="E500" s="50">
        <v>3</v>
      </c>
      <c r="F500">
        <v>7.5</v>
      </c>
      <c r="G500">
        <v>120</v>
      </c>
      <c r="H500">
        <v>13</v>
      </c>
      <c r="I500" s="50"/>
      <c r="J500" s="50"/>
      <c r="K500" s="50"/>
      <c r="L500" s="50"/>
      <c r="M500">
        <v>90</v>
      </c>
    </row>
    <row r="501" spans="1:13" hidden="1" x14ac:dyDescent="0.25">
      <c r="A501" t="s">
        <v>344</v>
      </c>
      <c r="B501" s="50" t="s">
        <v>193</v>
      </c>
      <c r="C501" s="50" t="s">
        <v>202</v>
      </c>
      <c r="D501" s="50" t="s">
        <v>242</v>
      </c>
      <c r="E501" s="50">
        <v>2</v>
      </c>
      <c r="F501">
        <v>13</v>
      </c>
      <c r="G501">
        <v>1200</v>
      </c>
      <c r="H501">
        <v>22</v>
      </c>
      <c r="I501" s="50">
        <v>70.900000000000006</v>
      </c>
      <c r="J501" s="50">
        <v>11.7</v>
      </c>
      <c r="K501" s="50">
        <v>0</v>
      </c>
      <c r="L501" s="50">
        <v>53</v>
      </c>
      <c r="M501">
        <v>1200</v>
      </c>
    </row>
    <row r="502" spans="1:13" hidden="1" x14ac:dyDescent="0.25">
      <c r="A502" t="s">
        <v>344</v>
      </c>
      <c r="B502" s="50" t="s">
        <v>193</v>
      </c>
      <c r="C502" s="50" t="s">
        <v>202</v>
      </c>
      <c r="D502" s="50" t="s">
        <v>242</v>
      </c>
      <c r="E502" s="50">
        <v>2</v>
      </c>
      <c r="F502">
        <v>13</v>
      </c>
      <c r="G502">
        <v>1100</v>
      </c>
      <c r="H502">
        <v>22</v>
      </c>
      <c r="I502" s="50">
        <v>70.900000000000006</v>
      </c>
      <c r="J502" s="50">
        <v>11.7</v>
      </c>
      <c r="K502" s="50">
        <v>0</v>
      </c>
      <c r="L502" s="50">
        <v>53</v>
      </c>
      <c r="M502">
        <v>1100</v>
      </c>
    </row>
    <row r="503" spans="1:13" hidden="1" x14ac:dyDescent="0.25">
      <c r="A503" t="s">
        <v>344</v>
      </c>
      <c r="B503" s="50" t="s">
        <v>193</v>
      </c>
      <c r="C503" s="50" t="s">
        <v>202</v>
      </c>
      <c r="D503" s="50" t="s">
        <v>242</v>
      </c>
      <c r="E503" s="50">
        <v>2</v>
      </c>
      <c r="F503">
        <v>13</v>
      </c>
      <c r="G503">
        <v>1000</v>
      </c>
      <c r="H503">
        <v>22</v>
      </c>
      <c r="I503" s="50">
        <v>70.900000000000006</v>
      </c>
      <c r="J503" s="50">
        <v>11.7</v>
      </c>
      <c r="K503" s="50">
        <v>0</v>
      </c>
      <c r="L503" s="50">
        <v>53</v>
      </c>
      <c r="M503">
        <v>1000</v>
      </c>
    </row>
    <row r="504" spans="1:13" hidden="1" x14ac:dyDescent="0.25">
      <c r="A504" t="s">
        <v>344</v>
      </c>
      <c r="B504" s="50" t="s">
        <v>193</v>
      </c>
      <c r="C504" s="50" t="s">
        <v>202</v>
      </c>
      <c r="D504" s="50" t="s">
        <v>242</v>
      </c>
      <c r="E504" s="50">
        <v>2</v>
      </c>
      <c r="F504">
        <v>13</v>
      </c>
      <c r="G504">
        <v>900</v>
      </c>
      <c r="H504">
        <v>22</v>
      </c>
      <c r="I504" s="50">
        <v>70.900000000000006</v>
      </c>
      <c r="J504" s="50">
        <v>11.7</v>
      </c>
      <c r="K504" s="50">
        <v>0</v>
      </c>
      <c r="L504" s="50">
        <v>53</v>
      </c>
      <c r="M504">
        <v>900</v>
      </c>
    </row>
    <row r="505" spans="1:13" hidden="1" x14ac:dyDescent="0.25">
      <c r="A505" t="s">
        <v>344</v>
      </c>
      <c r="B505" s="50" t="s">
        <v>193</v>
      </c>
      <c r="C505" s="50" t="s">
        <v>202</v>
      </c>
      <c r="D505" s="50" t="s">
        <v>242</v>
      </c>
      <c r="E505" s="50">
        <v>2</v>
      </c>
      <c r="F505">
        <v>13</v>
      </c>
      <c r="G505">
        <v>800</v>
      </c>
      <c r="H505">
        <v>22</v>
      </c>
      <c r="I505" s="50">
        <v>70.900000000000006</v>
      </c>
      <c r="J505" s="50">
        <v>11.7</v>
      </c>
      <c r="K505" s="50">
        <v>0</v>
      </c>
      <c r="L505" s="50">
        <v>53</v>
      </c>
      <c r="M505">
        <v>800</v>
      </c>
    </row>
    <row r="506" spans="1:13" hidden="1" x14ac:dyDescent="0.25">
      <c r="A506" t="s">
        <v>344</v>
      </c>
      <c r="B506" s="50" t="s">
        <v>193</v>
      </c>
      <c r="C506" s="50" t="s">
        <v>202</v>
      </c>
      <c r="D506" s="50" t="s">
        <v>242</v>
      </c>
      <c r="E506" s="50">
        <v>2</v>
      </c>
      <c r="F506">
        <v>13</v>
      </c>
      <c r="G506">
        <v>700</v>
      </c>
      <c r="H506">
        <v>22</v>
      </c>
      <c r="I506" s="50">
        <v>70.900000000000006</v>
      </c>
      <c r="J506" s="50">
        <v>11.7</v>
      </c>
      <c r="K506" s="50">
        <v>0</v>
      </c>
      <c r="L506" s="50">
        <v>53</v>
      </c>
      <c r="M506">
        <v>700</v>
      </c>
    </row>
    <row r="507" spans="1:13" hidden="1" x14ac:dyDescent="0.25">
      <c r="A507" t="s">
        <v>344</v>
      </c>
      <c r="B507" s="50" t="s">
        <v>193</v>
      </c>
      <c r="C507" s="50" t="s">
        <v>202</v>
      </c>
      <c r="D507" s="50" t="s">
        <v>242</v>
      </c>
      <c r="E507" s="50">
        <v>2</v>
      </c>
      <c r="F507">
        <v>13</v>
      </c>
      <c r="G507">
        <v>600</v>
      </c>
      <c r="H507">
        <v>22</v>
      </c>
      <c r="I507" s="50">
        <v>70.900000000000006</v>
      </c>
      <c r="J507" s="50">
        <v>11.7</v>
      </c>
      <c r="K507" s="50">
        <v>0</v>
      </c>
      <c r="L507" s="50">
        <v>53</v>
      </c>
      <c r="M507">
        <v>600</v>
      </c>
    </row>
    <row r="508" spans="1:13" hidden="1" x14ac:dyDescent="0.25">
      <c r="A508" t="s">
        <v>344</v>
      </c>
      <c r="B508" s="50" t="s">
        <v>193</v>
      </c>
      <c r="C508" s="50" t="s">
        <v>202</v>
      </c>
      <c r="D508" s="50" t="s">
        <v>242</v>
      </c>
      <c r="E508" s="50">
        <v>2</v>
      </c>
      <c r="F508">
        <v>13</v>
      </c>
      <c r="G508">
        <v>500</v>
      </c>
      <c r="H508">
        <v>22</v>
      </c>
      <c r="I508" s="50">
        <v>70.900000000000006</v>
      </c>
      <c r="J508" s="50">
        <v>11.7</v>
      </c>
      <c r="K508" s="50">
        <v>0</v>
      </c>
      <c r="L508" s="50">
        <v>53</v>
      </c>
      <c r="M508">
        <v>500</v>
      </c>
    </row>
    <row r="509" spans="1:13" hidden="1" x14ac:dyDescent="0.25">
      <c r="A509" t="s">
        <v>344</v>
      </c>
      <c r="B509" s="50" t="s">
        <v>193</v>
      </c>
      <c r="C509" s="50" t="s">
        <v>202</v>
      </c>
      <c r="D509" s="50" t="s">
        <v>242</v>
      </c>
      <c r="E509" s="50">
        <v>2</v>
      </c>
      <c r="F509">
        <v>13</v>
      </c>
      <c r="G509">
        <v>400</v>
      </c>
      <c r="H509">
        <v>22</v>
      </c>
      <c r="I509" s="50">
        <v>70.900000000000006</v>
      </c>
      <c r="J509" s="50">
        <v>11.7</v>
      </c>
      <c r="K509" s="50">
        <v>0</v>
      </c>
      <c r="L509" s="50">
        <v>53</v>
      </c>
      <c r="M509">
        <v>400</v>
      </c>
    </row>
    <row r="510" spans="1:13" hidden="1" x14ac:dyDescent="0.25">
      <c r="A510" t="s">
        <v>344</v>
      </c>
      <c r="B510" s="50" t="s">
        <v>193</v>
      </c>
      <c r="C510" s="50" t="s">
        <v>202</v>
      </c>
      <c r="D510" s="50" t="s">
        <v>242</v>
      </c>
      <c r="E510" s="50">
        <v>2</v>
      </c>
      <c r="F510">
        <v>13</v>
      </c>
      <c r="G510">
        <v>300</v>
      </c>
      <c r="H510">
        <v>22</v>
      </c>
      <c r="I510" s="50">
        <v>70.900000000000006</v>
      </c>
      <c r="J510" s="50">
        <v>11.7</v>
      </c>
      <c r="K510" s="50">
        <v>0</v>
      </c>
      <c r="L510" s="50">
        <v>53</v>
      </c>
      <c r="M510">
        <v>300</v>
      </c>
    </row>
    <row r="511" spans="1:13" hidden="1" x14ac:dyDescent="0.25">
      <c r="A511" t="s">
        <v>344</v>
      </c>
      <c r="B511" s="50" t="s">
        <v>193</v>
      </c>
      <c r="C511" s="50" t="s">
        <v>202</v>
      </c>
      <c r="D511" s="50" t="s">
        <v>242</v>
      </c>
      <c r="E511" s="50">
        <v>2</v>
      </c>
      <c r="F511">
        <v>13</v>
      </c>
      <c r="G511">
        <v>200</v>
      </c>
      <c r="H511">
        <v>22</v>
      </c>
      <c r="I511" s="50">
        <v>70.900000000000006</v>
      </c>
      <c r="J511" s="50">
        <v>11.7</v>
      </c>
      <c r="K511" s="50">
        <v>0</v>
      </c>
      <c r="L511" s="50">
        <v>53</v>
      </c>
      <c r="M511">
        <v>200</v>
      </c>
    </row>
    <row r="512" spans="1:13" hidden="1" x14ac:dyDescent="0.25">
      <c r="A512" t="s">
        <v>344</v>
      </c>
      <c r="B512" s="50" t="s">
        <v>193</v>
      </c>
      <c r="C512" s="50" t="s">
        <v>202</v>
      </c>
      <c r="D512" s="50" t="s">
        <v>242</v>
      </c>
      <c r="E512" s="50">
        <v>2</v>
      </c>
      <c r="F512">
        <v>13</v>
      </c>
      <c r="G512">
        <v>150</v>
      </c>
      <c r="H512">
        <v>22</v>
      </c>
      <c r="I512" s="50">
        <v>70.900000000000006</v>
      </c>
      <c r="J512" s="50">
        <v>11.7</v>
      </c>
      <c r="K512" s="50">
        <v>0</v>
      </c>
      <c r="L512" s="50">
        <v>53</v>
      </c>
      <c r="M512">
        <v>150</v>
      </c>
    </row>
    <row r="513" spans="1:13" hidden="1" x14ac:dyDescent="0.25">
      <c r="A513" t="s">
        <v>344</v>
      </c>
      <c r="B513" s="50" t="s">
        <v>193</v>
      </c>
      <c r="C513" s="50" t="s">
        <v>202</v>
      </c>
      <c r="D513" s="50" t="s">
        <v>242</v>
      </c>
      <c r="E513" s="50">
        <v>2</v>
      </c>
      <c r="F513">
        <v>13</v>
      </c>
      <c r="G513">
        <v>100</v>
      </c>
      <c r="H513">
        <v>22</v>
      </c>
      <c r="I513" s="50">
        <v>70.900000000000006</v>
      </c>
      <c r="J513" s="50">
        <v>11.7</v>
      </c>
      <c r="K513" s="50">
        <v>0</v>
      </c>
      <c r="L513" s="50">
        <v>53</v>
      </c>
      <c r="M513">
        <v>100</v>
      </c>
    </row>
    <row r="514" spans="1:13" hidden="1" x14ac:dyDescent="0.25">
      <c r="A514" t="s">
        <v>344</v>
      </c>
      <c r="B514" s="50" t="s">
        <v>193</v>
      </c>
      <c r="C514" s="50" t="s">
        <v>202</v>
      </c>
      <c r="D514" s="50" t="s">
        <v>242</v>
      </c>
      <c r="E514" s="50">
        <v>2</v>
      </c>
      <c r="F514">
        <v>11</v>
      </c>
      <c r="G514">
        <v>800</v>
      </c>
      <c r="H514">
        <v>19.3</v>
      </c>
      <c r="I514" s="50">
        <v>45.9</v>
      </c>
      <c r="J514" s="50">
        <v>11.7</v>
      </c>
      <c r="K514" s="50">
        <v>0</v>
      </c>
      <c r="L514" s="50">
        <v>38</v>
      </c>
      <c r="M514">
        <v>800</v>
      </c>
    </row>
    <row r="515" spans="1:13" hidden="1" x14ac:dyDescent="0.25">
      <c r="A515" t="s">
        <v>344</v>
      </c>
      <c r="B515" s="50" t="s">
        <v>193</v>
      </c>
      <c r="C515" s="50" t="s">
        <v>202</v>
      </c>
      <c r="D515" s="50" t="s">
        <v>242</v>
      </c>
      <c r="E515" s="50">
        <v>2</v>
      </c>
      <c r="F515">
        <v>11</v>
      </c>
      <c r="G515">
        <v>700</v>
      </c>
      <c r="H515">
        <v>19.3</v>
      </c>
      <c r="I515" s="50">
        <v>45.9</v>
      </c>
      <c r="J515" s="50">
        <v>11.7</v>
      </c>
      <c r="K515" s="50">
        <v>0</v>
      </c>
      <c r="L515" s="50">
        <v>38</v>
      </c>
      <c r="M515">
        <v>700</v>
      </c>
    </row>
    <row r="516" spans="1:13" hidden="1" x14ac:dyDescent="0.25">
      <c r="A516" t="s">
        <v>344</v>
      </c>
      <c r="B516" s="50" t="s">
        <v>193</v>
      </c>
      <c r="C516" s="50" t="s">
        <v>202</v>
      </c>
      <c r="D516" s="50" t="s">
        <v>242</v>
      </c>
      <c r="E516" s="50">
        <v>2</v>
      </c>
      <c r="F516">
        <v>11</v>
      </c>
      <c r="G516">
        <v>600</v>
      </c>
      <c r="H516">
        <v>19.3</v>
      </c>
      <c r="I516" s="50">
        <v>45.9</v>
      </c>
      <c r="J516" s="50">
        <v>11.7</v>
      </c>
      <c r="K516" s="50">
        <v>0</v>
      </c>
      <c r="L516" s="50">
        <v>38</v>
      </c>
      <c r="M516">
        <v>600</v>
      </c>
    </row>
    <row r="517" spans="1:13" hidden="1" x14ac:dyDescent="0.25">
      <c r="A517" t="s">
        <v>344</v>
      </c>
      <c r="B517" s="50" t="s">
        <v>193</v>
      </c>
      <c r="C517" s="50" t="s">
        <v>202</v>
      </c>
      <c r="D517" s="50" t="s">
        <v>242</v>
      </c>
      <c r="E517" s="50">
        <v>2</v>
      </c>
      <c r="F517">
        <v>11</v>
      </c>
      <c r="G517">
        <v>550</v>
      </c>
      <c r="H517">
        <v>19.3</v>
      </c>
      <c r="I517" s="50">
        <v>45.9</v>
      </c>
      <c r="J517" s="50">
        <v>11.7</v>
      </c>
      <c r="K517" s="50">
        <v>0</v>
      </c>
      <c r="L517" s="50">
        <v>38</v>
      </c>
      <c r="M517">
        <v>550</v>
      </c>
    </row>
    <row r="518" spans="1:13" hidden="1" x14ac:dyDescent="0.25">
      <c r="A518" t="s">
        <v>344</v>
      </c>
      <c r="B518" s="50" t="s">
        <v>193</v>
      </c>
      <c r="C518" s="50" t="s">
        <v>202</v>
      </c>
      <c r="D518" s="50" t="s">
        <v>242</v>
      </c>
      <c r="E518" s="50">
        <v>2</v>
      </c>
      <c r="F518">
        <v>11</v>
      </c>
      <c r="G518">
        <v>500</v>
      </c>
      <c r="H518">
        <v>19.3</v>
      </c>
      <c r="I518" s="50">
        <v>45.9</v>
      </c>
      <c r="J518" s="50">
        <v>11.7</v>
      </c>
      <c r="K518" s="50">
        <v>0</v>
      </c>
      <c r="L518" s="50">
        <v>38</v>
      </c>
      <c r="M518">
        <v>500</v>
      </c>
    </row>
    <row r="519" spans="1:13" hidden="1" x14ac:dyDescent="0.25">
      <c r="A519" t="s">
        <v>344</v>
      </c>
      <c r="B519" s="50" t="s">
        <v>193</v>
      </c>
      <c r="C519" s="50" t="s">
        <v>202</v>
      </c>
      <c r="D519" s="50" t="s">
        <v>242</v>
      </c>
      <c r="E519" s="50">
        <v>2</v>
      </c>
      <c r="F519">
        <v>11</v>
      </c>
      <c r="G519">
        <v>450</v>
      </c>
      <c r="H519">
        <v>19.3</v>
      </c>
      <c r="I519" s="50">
        <v>45.9</v>
      </c>
      <c r="J519" s="50">
        <v>11.7</v>
      </c>
      <c r="K519" s="50">
        <v>0</v>
      </c>
      <c r="L519" s="50">
        <v>38</v>
      </c>
      <c r="M519">
        <v>450</v>
      </c>
    </row>
    <row r="520" spans="1:13" hidden="1" x14ac:dyDescent="0.25">
      <c r="A520" t="s">
        <v>344</v>
      </c>
      <c r="B520" s="50" t="s">
        <v>193</v>
      </c>
      <c r="C520" s="50" t="s">
        <v>202</v>
      </c>
      <c r="D520" s="50" t="s">
        <v>242</v>
      </c>
      <c r="E520" s="50">
        <v>2</v>
      </c>
      <c r="F520">
        <v>11</v>
      </c>
      <c r="G520">
        <v>400</v>
      </c>
      <c r="H520">
        <v>19.3</v>
      </c>
      <c r="I520" s="50">
        <v>45.9</v>
      </c>
      <c r="J520" s="50">
        <v>11.7</v>
      </c>
      <c r="K520" s="50">
        <v>0</v>
      </c>
      <c r="L520" s="50">
        <v>38</v>
      </c>
      <c r="M520">
        <v>400</v>
      </c>
    </row>
    <row r="521" spans="1:13" hidden="1" x14ac:dyDescent="0.25">
      <c r="A521" t="s">
        <v>344</v>
      </c>
      <c r="B521" s="50" t="s">
        <v>193</v>
      </c>
      <c r="C521" s="50" t="s">
        <v>202</v>
      </c>
      <c r="D521" s="50" t="s">
        <v>242</v>
      </c>
      <c r="E521" s="50">
        <v>2</v>
      </c>
      <c r="F521">
        <v>11</v>
      </c>
      <c r="G521">
        <v>375</v>
      </c>
      <c r="H521">
        <v>19.3</v>
      </c>
      <c r="I521" s="50">
        <v>45.9</v>
      </c>
      <c r="J521" s="50">
        <v>11.7</v>
      </c>
      <c r="K521" s="50">
        <v>0</v>
      </c>
      <c r="L521" s="50">
        <v>38</v>
      </c>
      <c r="M521">
        <v>375</v>
      </c>
    </row>
    <row r="522" spans="1:13" hidden="1" x14ac:dyDescent="0.25">
      <c r="A522" t="s">
        <v>344</v>
      </c>
      <c r="B522" s="50" t="s">
        <v>193</v>
      </c>
      <c r="C522" s="50" t="s">
        <v>202</v>
      </c>
      <c r="D522" s="50" t="s">
        <v>242</v>
      </c>
      <c r="E522" s="50">
        <v>2</v>
      </c>
      <c r="F522">
        <v>11</v>
      </c>
      <c r="G522">
        <v>350</v>
      </c>
      <c r="H522">
        <v>19.3</v>
      </c>
      <c r="I522" s="50">
        <v>45.9</v>
      </c>
      <c r="J522" s="50">
        <v>11.7</v>
      </c>
      <c r="K522" s="50">
        <v>0</v>
      </c>
      <c r="L522" s="50">
        <v>38</v>
      </c>
      <c r="M522">
        <v>350</v>
      </c>
    </row>
    <row r="523" spans="1:13" hidden="1" x14ac:dyDescent="0.25">
      <c r="A523" t="s">
        <v>344</v>
      </c>
      <c r="B523" s="50" t="s">
        <v>193</v>
      </c>
      <c r="C523" s="50" t="s">
        <v>202</v>
      </c>
      <c r="D523" s="50" t="s">
        <v>242</v>
      </c>
      <c r="E523" s="50">
        <v>2</v>
      </c>
      <c r="F523">
        <v>11</v>
      </c>
      <c r="G523">
        <v>325</v>
      </c>
      <c r="H523">
        <v>19.3</v>
      </c>
      <c r="I523" s="50">
        <v>45.9</v>
      </c>
      <c r="J523" s="50">
        <v>11.7</v>
      </c>
      <c r="K523" s="50">
        <v>0</v>
      </c>
      <c r="L523" s="50">
        <v>38</v>
      </c>
      <c r="M523">
        <v>325</v>
      </c>
    </row>
    <row r="524" spans="1:13" hidden="1" x14ac:dyDescent="0.25">
      <c r="A524" t="s">
        <v>344</v>
      </c>
      <c r="B524" s="50" t="s">
        <v>193</v>
      </c>
      <c r="C524" s="50" t="s">
        <v>202</v>
      </c>
      <c r="D524" s="50" t="s">
        <v>242</v>
      </c>
      <c r="E524" s="50">
        <v>2</v>
      </c>
      <c r="F524">
        <v>11</v>
      </c>
      <c r="G524">
        <v>300</v>
      </c>
      <c r="H524">
        <v>19.3</v>
      </c>
      <c r="I524" s="50">
        <v>45.9</v>
      </c>
      <c r="J524" s="50">
        <v>11.7</v>
      </c>
      <c r="K524" s="50">
        <v>0</v>
      </c>
      <c r="L524" s="50">
        <v>38</v>
      </c>
      <c r="M524">
        <v>300</v>
      </c>
    </row>
    <row r="525" spans="1:13" hidden="1" x14ac:dyDescent="0.25">
      <c r="A525" t="s">
        <v>344</v>
      </c>
      <c r="B525" s="50" t="s">
        <v>193</v>
      </c>
      <c r="C525" s="50" t="s">
        <v>202</v>
      </c>
      <c r="D525" s="50" t="s">
        <v>242</v>
      </c>
      <c r="E525" s="50">
        <v>2</v>
      </c>
      <c r="F525">
        <v>11</v>
      </c>
      <c r="G525">
        <v>275</v>
      </c>
      <c r="H525">
        <v>19.3</v>
      </c>
      <c r="I525" s="50">
        <v>45.9</v>
      </c>
      <c r="J525" s="50">
        <v>11.7</v>
      </c>
      <c r="K525" s="50">
        <v>0</v>
      </c>
      <c r="L525" s="50">
        <v>38</v>
      </c>
      <c r="M525">
        <v>275</v>
      </c>
    </row>
    <row r="526" spans="1:13" hidden="1" x14ac:dyDescent="0.25">
      <c r="A526" t="s">
        <v>344</v>
      </c>
      <c r="B526" s="50" t="s">
        <v>193</v>
      </c>
      <c r="C526" s="50" t="s">
        <v>202</v>
      </c>
      <c r="D526" s="50" t="s">
        <v>242</v>
      </c>
      <c r="E526" s="50">
        <v>2</v>
      </c>
      <c r="F526">
        <v>11</v>
      </c>
      <c r="G526">
        <v>250</v>
      </c>
      <c r="H526">
        <v>19.3</v>
      </c>
      <c r="I526" s="50">
        <v>45.9</v>
      </c>
      <c r="J526" s="50">
        <v>11.7</v>
      </c>
      <c r="K526" s="50">
        <v>0</v>
      </c>
      <c r="L526" s="50">
        <v>38</v>
      </c>
      <c r="M526">
        <v>250</v>
      </c>
    </row>
    <row r="527" spans="1:13" hidden="1" x14ac:dyDescent="0.25">
      <c r="A527" t="s">
        <v>344</v>
      </c>
      <c r="B527" s="50" t="s">
        <v>193</v>
      </c>
      <c r="C527" s="50" t="s">
        <v>202</v>
      </c>
      <c r="D527" s="50" t="s">
        <v>242</v>
      </c>
      <c r="E527" s="50">
        <v>2</v>
      </c>
      <c r="F527">
        <v>11</v>
      </c>
      <c r="G527">
        <v>225</v>
      </c>
      <c r="H527">
        <v>19.3</v>
      </c>
      <c r="I527" s="50">
        <v>45.9</v>
      </c>
      <c r="J527" s="50">
        <v>11.7</v>
      </c>
      <c r="K527" s="50">
        <v>0</v>
      </c>
      <c r="L527" s="50">
        <v>38</v>
      </c>
      <c r="M527">
        <v>225</v>
      </c>
    </row>
    <row r="528" spans="1:13" hidden="1" x14ac:dyDescent="0.25">
      <c r="A528" t="s">
        <v>344</v>
      </c>
      <c r="B528" s="50" t="s">
        <v>193</v>
      </c>
      <c r="C528" s="50" t="s">
        <v>202</v>
      </c>
      <c r="D528" s="50" t="s">
        <v>242</v>
      </c>
      <c r="E528" s="50">
        <v>2</v>
      </c>
      <c r="F528">
        <v>11</v>
      </c>
      <c r="G528">
        <v>200</v>
      </c>
      <c r="H528">
        <v>19.3</v>
      </c>
      <c r="I528" s="50">
        <v>45.9</v>
      </c>
      <c r="J528" s="50">
        <v>11.7</v>
      </c>
      <c r="K528" s="50">
        <v>0</v>
      </c>
      <c r="L528" s="50">
        <v>38</v>
      </c>
      <c r="M528">
        <v>200</v>
      </c>
    </row>
    <row r="529" spans="1:13" hidden="1" x14ac:dyDescent="0.25">
      <c r="A529" t="s">
        <v>344</v>
      </c>
      <c r="B529" s="50" t="s">
        <v>193</v>
      </c>
      <c r="C529" s="50" t="s">
        <v>202</v>
      </c>
      <c r="D529" s="50" t="s">
        <v>242</v>
      </c>
      <c r="E529" s="50">
        <v>2</v>
      </c>
      <c r="F529">
        <v>11</v>
      </c>
      <c r="G529">
        <v>175</v>
      </c>
      <c r="H529">
        <v>19.3</v>
      </c>
      <c r="I529" s="50">
        <v>45.9</v>
      </c>
      <c r="J529" s="50">
        <v>11.7</v>
      </c>
      <c r="K529" s="50">
        <v>0</v>
      </c>
      <c r="L529" s="50">
        <v>38</v>
      </c>
      <c r="M529">
        <v>175</v>
      </c>
    </row>
    <row r="530" spans="1:13" hidden="1" x14ac:dyDescent="0.25">
      <c r="A530" t="s">
        <v>344</v>
      </c>
      <c r="B530" s="50" t="s">
        <v>193</v>
      </c>
      <c r="C530" s="50" t="s">
        <v>202</v>
      </c>
      <c r="D530" s="50" t="s">
        <v>242</v>
      </c>
      <c r="E530" s="50">
        <v>2</v>
      </c>
      <c r="F530">
        <v>11</v>
      </c>
      <c r="G530">
        <v>150</v>
      </c>
      <c r="H530">
        <v>19.3</v>
      </c>
      <c r="I530" s="50">
        <v>45.9</v>
      </c>
      <c r="J530" s="50">
        <v>11.7</v>
      </c>
      <c r="K530" s="50">
        <v>0</v>
      </c>
      <c r="L530" s="50">
        <v>38</v>
      </c>
      <c r="M530">
        <v>150</v>
      </c>
    </row>
    <row r="531" spans="1:13" hidden="1" x14ac:dyDescent="0.25">
      <c r="A531" t="s">
        <v>344</v>
      </c>
      <c r="B531" s="50" t="s">
        <v>193</v>
      </c>
      <c r="C531" s="50" t="s">
        <v>202</v>
      </c>
      <c r="D531" s="50" t="s">
        <v>242</v>
      </c>
      <c r="E531" s="50">
        <v>2</v>
      </c>
      <c r="F531">
        <v>11</v>
      </c>
      <c r="G531">
        <v>125</v>
      </c>
      <c r="H531">
        <v>19.3</v>
      </c>
      <c r="I531" s="50">
        <v>45.9</v>
      </c>
      <c r="J531" s="50">
        <v>11.7</v>
      </c>
      <c r="K531" s="50">
        <v>0</v>
      </c>
      <c r="L531" s="50">
        <v>38</v>
      </c>
      <c r="M531">
        <v>125</v>
      </c>
    </row>
    <row r="532" spans="1:13" hidden="1" x14ac:dyDescent="0.25">
      <c r="A532" t="s">
        <v>344</v>
      </c>
      <c r="B532" s="50" t="s">
        <v>193</v>
      </c>
      <c r="C532" s="50" t="s">
        <v>202</v>
      </c>
      <c r="D532" s="50" t="s">
        <v>242</v>
      </c>
      <c r="E532" s="50">
        <v>2</v>
      </c>
      <c r="F532">
        <v>11</v>
      </c>
      <c r="G532">
        <v>100</v>
      </c>
      <c r="H532">
        <v>19.3</v>
      </c>
      <c r="I532" s="50">
        <v>45.9</v>
      </c>
      <c r="J532" s="50">
        <v>11.7</v>
      </c>
      <c r="K532" s="50">
        <v>0</v>
      </c>
      <c r="L532" s="50">
        <v>38</v>
      </c>
      <c r="M532">
        <v>100</v>
      </c>
    </row>
    <row r="533" spans="1:13" hidden="1" x14ac:dyDescent="0.25">
      <c r="A533" t="s">
        <v>344</v>
      </c>
      <c r="B533" s="50" t="s">
        <v>193</v>
      </c>
      <c r="C533" s="50" t="s">
        <v>202</v>
      </c>
      <c r="D533" s="50" t="s">
        <v>242</v>
      </c>
      <c r="E533" s="50">
        <v>2</v>
      </c>
      <c r="F533">
        <v>9</v>
      </c>
      <c r="G533">
        <v>520</v>
      </c>
      <c r="H533">
        <v>16</v>
      </c>
      <c r="I533" s="50">
        <v>27.2</v>
      </c>
      <c r="J533" s="50">
        <v>11.7</v>
      </c>
      <c r="K533" s="50">
        <v>0</v>
      </c>
      <c r="L533" s="50">
        <v>25.4</v>
      </c>
      <c r="M533">
        <v>520</v>
      </c>
    </row>
    <row r="534" spans="1:13" hidden="1" x14ac:dyDescent="0.25">
      <c r="A534" t="s">
        <v>344</v>
      </c>
      <c r="B534" s="50" t="s">
        <v>193</v>
      </c>
      <c r="C534" s="50" t="s">
        <v>202</v>
      </c>
      <c r="D534" s="50" t="s">
        <v>242</v>
      </c>
      <c r="E534" s="50">
        <v>2</v>
      </c>
      <c r="F534">
        <v>9</v>
      </c>
      <c r="G534">
        <v>480</v>
      </c>
      <c r="H534">
        <v>16</v>
      </c>
      <c r="I534" s="50">
        <v>27.2</v>
      </c>
      <c r="J534" s="50">
        <v>11.7</v>
      </c>
      <c r="K534" s="50">
        <v>0</v>
      </c>
      <c r="L534" s="50">
        <v>25.4</v>
      </c>
      <c r="M534">
        <v>480</v>
      </c>
    </row>
    <row r="535" spans="1:13" hidden="1" x14ac:dyDescent="0.25">
      <c r="A535" t="s">
        <v>344</v>
      </c>
      <c r="B535" s="50" t="s">
        <v>193</v>
      </c>
      <c r="C535" s="50" t="s">
        <v>202</v>
      </c>
      <c r="D535" s="50" t="s">
        <v>242</v>
      </c>
      <c r="E535" s="50">
        <v>2</v>
      </c>
      <c r="F535">
        <v>9</v>
      </c>
      <c r="G535">
        <v>440</v>
      </c>
      <c r="H535">
        <v>16</v>
      </c>
      <c r="I535" s="50">
        <v>27.2</v>
      </c>
      <c r="J535" s="50">
        <v>11.7</v>
      </c>
      <c r="K535" s="50">
        <v>0</v>
      </c>
      <c r="L535" s="50">
        <v>25.4</v>
      </c>
      <c r="M535">
        <v>440</v>
      </c>
    </row>
    <row r="536" spans="1:13" hidden="1" x14ac:dyDescent="0.25">
      <c r="A536" t="s">
        <v>344</v>
      </c>
      <c r="B536" s="50" t="s">
        <v>193</v>
      </c>
      <c r="C536" s="50" t="s">
        <v>202</v>
      </c>
      <c r="D536" s="50" t="s">
        <v>242</v>
      </c>
      <c r="E536" s="50">
        <v>2</v>
      </c>
      <c r="F536">
        <v>9</v>
      </c>
      <c r="G536">
        <v>400</v>
      </c>
      <c r="H536">
        <v>16</v>
      </c>
      <c r="I536" s="50">
        <v>27.2</v>
      </c>
      <c r="J536" s="50">
        <v>11.7</v>
      </c>
      <c r="K536" s="50">
        <v>0</v>
      </c>
      <c r="L536" s="50">
        <v>25.4</v>
      </c>
      <c r="M536">
        <v>400</v>
      </c>
    </row>
    <row r="537" spans="1:13" hidden="1" x14ac:dyDescent="0.25">
      <c r="A537" t="s">
        <v>344</v>
      </c>
      <c r="B537" s="50" t="s">
        <v>193</v>
      </c>
      <c r="C537" s="50" t="s">
        <v>202</v>
      </c>
      <c r="D537" s="50" t="s">
        <v>242</v>
      </c>
      <c r="E537" s="50">
        <v>2</v>
      </c>
      <c r="F537">
        <v>9</v>
      </c>
      <c r="G537">
        <v>380</v>
      </c>
      <c r="H537">
        <v>16</v>
      </c>
      <c r="I537" s="50">
        <v>27.2</v>
      </c>
      <c r="J537" s="50">
        <v>11.7</v>
      </c>
      <c r="K537" s="50">
        <v>0</v>
      </c>
      <c r="L537" s="50">
        <v>25.4</v>
      </c>
      <c r="M537">
        <v>380</v>
      </c>
    </row>
    <row r="538" spans="1:13" hidden="1" x14ac:dyDescent="0.25">
      <c r="A538" t="s">
        <v>344</v>
      </c>
      <c r="B538" s="50" t="s">
        <v>193</v>
      </c>
      <c r="C538" s="50" t="s">
        <v>202</v>
      </c>
      <c r="D538" s="50" t="s">
        <v>242</v>
      </c>
      <c r="E538" s="50">
        <v>2</v>
      </c>
      <c r="F538">
        <v>9</v>
      </c>
      <c r="G538">
        <v>360</v>
      </c>
      <c r="H538">
        <v>16</v>
      </c>
      <c r="I538" s="50">
        <v>27.2</v>
      </c>
      <c r="J538" s="50">
        <v>11.7</v>
      </c>
      <c r="K538" s="50">
        <v>0</v>
      </c>
      <c r="L538" s="50">
        <v>25.4</v>
      </c>
      <c r="M538">
        <v>360</v>
      </c>
    </row>
    <row r="539" spans="1:13" hidden="1" x14ac:dyDescent="0.25">
      <c r="A539" t="s">
        <v>344</v>
      </c>
      <c r="B539" s="50" t="s">
        <v>193</v>
      </c>
      <c r="C539" s="50" t="s">
        <v>202</v>
      </c>
      <c r="D539" s="50" t="s">
        <v>242</v>
      </c>
      <c r="E539" s="50">
        <v>2</v>
      </c>
      <c r="F539">
        <v>9</v>
      </c>
      <c r="G539">
        <v>340</v>
      </c>
      <c r="H539">
        <v>16</v>
      </c>
      <c r="I539" s="50">
        <v>27.2</v>
      </c>
      <c r="J539" s="50">
        <v>11.7</v>
      </c>
      <c r="K539" s="50">
        <v>0</v>
      </c>
      <c r="L539" s="50">
        <v>25.4</v>
      </c>
      <c r="M539">
        <v>340</v>
      </c>
    </row>
    <row r="540" spans="1:13" hidden="1" x14ac:dyDescent="0.25">
      <c r="A540" t="s">
        <v>344</v>
      </c>
      <c r="B540" s="50" t="s">
        <v>193</v>
      </c>
      <c r="C540" s="50" t="s">
        <v>202</v>
      </c>
      <c r="D540" s="50" t="s">
        <v>242</v>
      </c>
      <c r="E540" s="50">
        <v>2</v>
      </c>
      <c r="F540">
        <v>9</v>
      </c>
      <c r="G540">
        <v>320</v>
      </c>
      <c r="H540">
        <v>16</v>
      </c>
      <c r="I540" s="50">
        <v>27.2</v>
      </c>
      <c r="J540" s="50">
        <v>11.7</v>
      </c>
      <c r="K540" s="50">
        <v>0</v>
      </c>
      <c r="L540" s="50">
        <v>25.4</v>
      </c>
      <c r="M540">
        <v>320</v>
      </c>
    </row>
    <row r="541" spans="1:13" hidden="1" x14ac:dyDescent="0.25">
      <c r="A541" t="s">
        <v>344</v>
      </c>
      <c r="B541" s="50" t="s">
        <v>193</v>
      </c>
      <c r="C541" s="50" t="s">
        <v>202</v>
      </c>
      <c r="D541" s="50" t="s">
        <v>242</v>
      </c>
      <c r="E541" s="50">
        <v>2</v>
      </c>
      <c r="F541">
        <v>9</v>
      </c>
      <c r="G541">
        <v>300</v>
      </c>
      <c r="H541">
        <v>16</v>
      </c>
      <c r="I541" s="50">
        <v>27.2</v>
      </c>
      <c r="J541" s="50">
        <v>11.7</v>
      </c>
      <c r="K541" s="50">
        <v>0</v>
      </c>
      <c r="L541" s="50">
        <v>25.4</v>
      </c>
      <c r="M541">
        <v>300</v>
      </c>
    </row>
    <row r="542" spans="1:13" hidden="1" x14ac:dyDescent="0.25">
      <c r="A542" t="s">
        <v>344</v>
      </c>
      <c r="B542" s="50" t="s">
        <v>193</v>
      </c>
      <c r="C542" s="50" t="s">
        <v>202</v>
      </c>
      <c r="D542" s="50" t="s">
        <v>242</v>
      </c>
      <c r="E542" s="50">
        <v>2</v>
      </c>
      <c r="F542">
        <v>9</v>
      </c>
      <c r="G542">
        <v>280</v>
      </c>
      <c r="H542">
        <v>16</v>
      </c>
      <c r="I542" s="50">
        <v>27.2</v>
      </c>
      <c r="J542" s="50">
        <v>11.7</v>
      </c>
      <c r="K542" s="50">
        <v>0</v>
      </c>
      <c r="L542" s="50">
        <v>25.4</v>
      </c>
      <c r="M542">
        <v>280</v>
      </c>
    </row>
    <row r="543" spans="1:13" hidden="1" x14ac:dyDescent="0.25">
      <c r="A543" t="s">
        <v>344</v>
      </c>
      <c r="B543" s="50" t="s">
        <v>193</v>
      </c>
      <c r="C543" s="50" t="s">
        <v>202</v>
      </c>
      <c r="D543" s="50" t="s">
        <v>242</v>
      </c>
      <c r="E543" s="50">
        <v>2</v>
      </c>
      <c r="F543">
        <v>9</v>
      </c>
      <c r="G543">
        <v>260</v>
      </c>
      <c r="H543">
        <v>16</v>
      </c>
      <c r="I543" s="50">
        <v>27.2</v>
      </c>
      <c r="J543" s="50">
        <v>11.7</v>
      </c>
      <c r="K543" s="50">
        <v>0</v>
      </c>
      <c r="L543" s="50">
        <v>25.4</v>
      </c>
      <c r="M543">
        <v>260</v>
      </c>
    </row>
    <row r="544" spans="1:13" hidden="1" x14ac:dyDescent="0.25">
      <c r="A544" t="s">
        <v>344</v>
      </c>
      <c r="B544" s="50" t="s">
        <v>193</v>
      </c>
      <c r="C544" s="50" t="s">
        <v>202</v>
      </c>
      <c r="D544" s="50" t="s">
        <v>242</v>
      </c>
      <c r="E544" s="50">
        <v>2</v>
      </c>
      <c r="F544">
        <v>9</v>
      </c>
      <c r="G544">
        <v>240</v>
      </c>
      <c r="H544">
        <v>16</v>
      </c>
      <c r="I544" s="50">
        <v>27.2</v>
      </c>
      <c r="J544" s="50">
        <v>11.7</v>
      </c>
      <c r="K544" s="50">
        <v>0</v>
      </c>
      <c r="L544" s="50">
        <v>25.4</v>
      </c>
      <c r="M544">
        <v>240</v>
      </c>
    </row>
    <row r="545" spans="1:13" hidden="1" x14ac:dyDescent="0.25">
      <c r="A545" t="s">
        <v>344</v>
      </c>
      <c r="B545" s="50" t="s">
        <v>193</v>
      </c>
      <c r="C545" s="50" t="s">
        <v>202</v>
      </c>
      <c r="D545" s="50" t="s">
        <v>242</v>
      </c>
      <c r="E545" s="50">
        <v>2</v>
      </c>
      <c r="F545">
        <v>9</v>
      </c>
      <c r="G545">
        <v>220</v>
      </c>
      <c r="H545">
        <v>16</v>
      </c>
      <c r="I545" s="50">
        <v>27.2</v>
      </c>
      <c r="J545" s="50">
        <v>11.7</v>
      </c>
      <c r="K545" s="50">
        <v>0</v>
      </c>
      <c r="L545" s="50">
        <v>25.4</v>
      </c>
      <c r="M545">
        <v>220</v>
      </c>
    </row>
    <row r="546" spans="1:13" hidden="1" x14ac:dyDescent="0.25">
      <c r="A546" t="s">
        <v>344</v>
      </c>
      <c r="B546" s="50" t="s">
        <v>193</v>
      </c>
      <c r="C546" s="50" t="s">
        <v>202</v>
      </c>
      <c r="D546" s="50" t="s">
        <v>242</v>
      </c>
      <c r="E546" s="50">
        <v>2</v>
      </c>
      <c r="F546">
        <v>9</v>
      </c>
      <c r="G546">
        <v>200</v>
      </c>
      <c r="H546">
        <v>16</v>
      </c>
      <c r="I546" s="50">
        <v>27.2</v>
      </c>
      <c r="J546" s="50">
        <v>11.7</v>
      </c>
      <c r="K546" s="50">
        <v>0</v>
      </c>
      <c r="L546" s="50">
        <v>25.4</v>
      </c>
      <c r="M546">
        <v>200</v>
      </c>
    </row>
    <row r="547" spans="1:13" hidden="1" x14ac:dyDescent="0.25">
      <c r="A547" t="s">
        <v>344</v>
      </c>
      <c r="B547" s="50" t="s">
        <v>193</v>
      </c>
      <c r="C547" s="50" t="s">
        <v>202</v>
      </c>
      <c r="D547" s="50" t="s">
        <v>242</v>
      </c>
      <c r="E547" s="50">
        <v>2</v>
      </c>
      <c r="F547">
        <v>9</v>
      </c>
      <c r="G547">
        <v>180</v>
      </c>
      <c r="H547">
        <v>16</v>
      </c>
      <c r="I547" s="50">
        <v>27.2</v>
      </c>
      <c r="J547" s="50">
        <v>11.7</v>
      </c>
      <c r="K547" s="50">
        <v>0</v>
      </c>
      <c r="L547" s="50">
        <v>25.4</v>
      </c>
      <c r="M547">
        <v>180</v>
      </c>
    </row>
    <row r="548" spans="1:13" hidden="1" x14ac:dyDescent="0.25">
      <c r="A548" t="s">
        <v>344</v>
      </c>
      <c r="B548" s="50" t="s">
        <v>193</v>
      </c>
      <c r="C548" s="50" t="s">
        <v>202</v>
      </c>
      <c r="D548" s="50" t="s">
        <v>242</v>
      </c>
      <c r="E548" s="50">
        <v>2</v>
      </c>
      <c r="F548">
        <v>9</v>
      </c>
      <c r="G548">
        <v>160</v>
      </c>
      <c r="H548">
        <v>16</v>
      </c>
      <c r="I548" s="50">
        <v>27.2</v>
      </c>
      <c r="J548" s="50">
        <v>11.7</v>
      </c>
      <c r="K548" s="50">
        <v>0</v>
      </c>
      <c r="L548" s="50">
        <v>25.4</v>
      </c>
      <c r="M548">
        <v>160</v>
      </c>
    </row>
    <row r="549" spans="1:13" hidden="1" x14ac:dyDescent="0.25">
      <c r="A549" t="s">
        <v>344</v>
      </c>
      <c r="B549" s="50" t="s">
        <v>193</v>
      </c>
      <c r="C549" s="50" t="s">
        <v>202</v>
      </c>
      <c r="D549" s="50" t="s">
        <v>242</v>
      </c>
      <c r="E549" s="50">
        <v>2</v>
      </c>
      <c r="F549">
        <v>9</v>
      </c>
      <c r="G549">
        <v>140</v>
      </c>
      <c r="H549">
        <v>16</v>
      </c>
      <c r="I549" s="50">
        <v>27.2</v>
      </c>
      <c r="J549" s="50">
        <v>11.7</v>
      </c>
      <c r="K549" s="50">
        <v>0</v>
      </c>
      <c r="L549" s="50">
        <v>25.4</v>
      </c>
      <c r="M549">
        <v>140</v>
      </c>
    </row>
    <row r="550" spans="1:13" hidden="1" x14ac:dyDescent="0.25">
      <c r="A550" t="s">
        <v>344</v>
      </c>
      <c r="B550" s="50" t="s">
        <v>193</v>
      </c>
      <c r="C550" s="50" t="s">
        <v>202</v>
      </c>
      <c r="D550" s="50" t="s">
        <v>242</v>
      </c>
      <c r="E550" s="50">
        <v>2</v>
      </c>
      <c r="F550">
        <v>9</v>
      </c>
      <c r="G550">
        <v>120</v>
      </c>
      <c r="H550">
        <v>16</v>
      </c>
      <c r="I550" s="50">
        <v>27.2</v>
      </c>
      <c r="J550" s="50">
        <v>11.7</v>
      </c>
      <c r="K550" s="50">
        <v>0</v>
      </c>
      <c r="L550" s="50">
        <v>25.4</v>
      </c>
      <c r="M550">
        <v>120</v>
      </c>
    </row>
    <row r="551" spans="1:13" hidden="1" x14ac:dyDescent="0.25">
      <c r="A551" t="s">
        <v>344</v>
      </c>
      <c r="B551" s="50" t="s">
        <v>193</v>
      </c>
      <c r="C551" s="50" t="s">
        <v>202</v>
      </c>
      <c r="D551" s="50" t="s">
        <v>242</v>
      </c>
      <c r="E551" s="50">
        <v>2</v>
      </c>
      <c r="F551">
        <v>9</v>
      </c>
      <c r="G551">
        <v>100</v>
      </c>
      <c r="H551">
        <v>16</v>
      </c>
      <c r="I551" s="50">
        <v>27.2</v>
      </c>
      <c r="J551" s="50">
        <v>11.7</v>
      </c>
      <c r="K551" s="50">
        <v>0</v>
      </c>
      <c r="L551" s="50">
        <v>25.4</v>
      </c>
      <c r="M551">
        <v>100</v>
      </c>
    </row>
    <row r="552" spans="1:13" hidden="1" x14ac:dyDescent="0.25">
      <c r="A552" t="s">
        <v>344</v>
      </c>
      <c r="B552" s="50" t="s">
        <v>193</v>
      </c>
      <c r="C552" s="50" t="s">
        <v>203</v>
      </c>
      <c r="D552" s="50" t="s">
        <v>243</v>
      </c>
      <c r="E552" s="50">
        <v>3</v>
      </c>
      <c r="F552">
        <v>9</v>
      </c>
      <c r="G552">
        <v>360</v>
      </c>
      <c r="H552">
        <v>11.5</v>
      </c>
      <c r="I552" s="50">
        <v>27.2</v>
      </c>
      <c r="J552" s="50">
        <v>11.7</v>
      </c>
      <c r="K552" s="50">
        <v>0</v>
      </c>
      <c r="L552" s="50">
        <v>25.4</v>
      </c>
      <c r="M552">
        <v>360</v>
      </c>
    </row>
    <row r="553" spans="1:13" hidden="1" x14ac:dyDescent="0.25">
      <c r="A553" t="s">
        <v>344</v>
      </c>
      <c r="B553" s="50" t="s">
        <v>193</v>
      </c>
      <c r="C553" s="50" t="s">
        <v>203</v>
      </c>
      <c r="D553" s="50" t="s">
        <v>243</v>
      </c>
      <c r="E553" s="50">
        <v>3</v>
      </c>
      <c r="F553">
        <v>9</v>
      </c>
      <c r="G553">
        <v>320</v>
      </c>
      <c r="H553">
        <v>11.5</v>
      </c>
      <c r="I553" s="50">
        <v>27.2</v>
      </c>
      <c r="J553" s="50">
        <v>11.7</v>
      </c>
      <c r="K553" s="50">
        <v>0</v>
      </c>
      <c r="L553" s="50">
        <v>25.4</v>
      </c>
      <c r="M553">
        <v>320</v>
      </c>
    </row>
    <row r="554" spans="1:13" hidden="1" x14ac:dyDescent="0.25">
      <c r="A554" t="s">
        <v>344</v>
      </c>
      <c r="B554" s="50" t="s">
        <v>193</v>
      </c>
      <c r="C554" s="50" t="s">
        <v>203</v>
      </c>
      <c r="D554" s="50" t="s">
        <v>243</v>
      </c>
      <c r="E554" s="50">
        <v>3</v>
      </c>
      <c r="F554">
        <v>9</v>
      </c>
      <c r="G554">
        <v>280</v>
      </c>
      <c r="H554">
        <v>11.5</v>
      </c>
      <c r="I554" s="50">
        <v>27.2</v>
      </c>
      <c r="J554" s="50">
        <v>11.7</v>
      </c>
      <c r="K554" s="50">
        <v>0</v>
      </c>
      <c r="L554" s="50">
        <v>25.4</v>
      </c>
      <c r="M554">
        <v>280</v>
      </c>
    </row>
    <row r="555" spans="1:13" hidden="1" x14ac:dyDescent="0.25">
      <c r="A555" t="s">
        <v>344</v>
      </c>
      <c r="B555" s="50" t="s">
        <v>193</v>
      </c>
      <c r="C555" s="50" t="s">
        <v>203</v>
      </c>
      <c r="D555" s="50" t="s">
        <v>243</v>
      </c>
      <c r="E555" s="50">
        <v>3</v>
      </c>
      <c r="F555">
        <v>9</v>
      </c>
      <c r="G555">
        <v>240</v>
      </c>
      <c r="H555">
        <v>11.5</v>
      </c>
      <c r="I555" s="50">
        <v>27.2</v>
      </c>
      <c r="J555" s="50">
        <v>11.7</v>
      </c>
      <c r="K555" s="50">
        <v>0</v>
      </c>
      <c r="L555" s="50">
        <v>25.4</v>
      </c>
      <c r="M555">
        <v>240</v>
      </c>
    </row>
    <row r="556" spans="1:13" hidden="1" x14ac:dyDescent="0.25">
      <c r="A556" t="s">
        <v>344</v>
      </c>
      <c r="B556" s="50" t="s">
        <v>193</v>
      </c>
      <c r="C556" s="50" t="s">
        <v>203</v>
      </c>
      <c r="D556" s="50" t="s">
        <v>243</v>
      </c>
      <c r="E556" s="50">
        <v>3</v>
      </c>
      <c r="F556">
        <v>9</v>
      </c>
      <c r="G556">
        <v>200</v>
      </c>
      <c r="H556">
        <v>11.5</v>
      </c>
      <c r="I556" s="50">
        <v>27.2</v>
      </c>
      <c r="J556" s="50">
        <v>11.7</v>
      </c>
      <c r="K556" s="50">
        <v>0</v>
      </c>
      <c r="L556" s="50">
        <v>25.4</v>
      </c>
      <c r="M556">
        <v>200</v>
      </c>
    </row>
    <row r="557" spans="1:13" hidden="1" x14ac:dyDescent="0.25">
      <c r="A557" t="s">
        <v>344</v>
      </c>
      <c r="B557" s="50" t="s">
        <v>193</v>
      </c>
      <c r="C557" s="50" t="s">
        <v>203</v>
      </c>
      <c r="D557" s="50" t="s">
        <v>243</v>
      </c>
      <c r="E557" s="50">
        <v>3</v>
      </c>
      <c r="F557">
        <v>7</v>
      </c>
      <c r="G557">
        <v>300</v>
      </c>
      <c r="H557">
        <v>9.5</v>
      </c>
      <c r="I557" s="50">
        <v>14.2</v>
      </c>
      <c r="J557" s="50">
        <v>11.7</v>
      </c>
      <c r="K557" s="50">
        <v>0</v>
      </c>
      <c r="L557" s="50">
        <v>15.4</v>
      </c>
      <c r="M557">
        <v>300</v>
      </c>
    </row>
    <row r="558" spans="1:13" hidden="1" x14ac:dyDescent="0.25">
      <c r="A558" t="s">
        <v>344</v>
      </c>
      <c r="B558" s="50" t="s">
        <v>193</v>
      </c>
      <c r="C558" s="50" t="s">
        <v>203</v>
      </c>
      <c r="D558" s="50" t="s">
        <v>243</v>
      </c>
      <c r="E558" s="50">
        <v>3</v>
      </c>
      <c r="F558">
        <v>7</v>
      </c>
      <c r="G558">
        <v>260</v>
      </c>
      <c r="H558">
        <v>9.5</v>
      </c>
      <c r="I558" s="50">
        <v>14.2</v>
      </c>
      <c r="J558" s="50">
        <v>11.7</v>
      </c>
      <c r="K558" s="50">
        <v>0</v>
      </c>
      <c r="L558" s="50">
        <v>15.4</v>
      </c>
      <c r="M558">
        <v>260</v>
      </c>
    </row>
    <row r="559" spans="1:13" hidden="1" x14ac:dyDescent="0.25">
      <c r="A559" t="s">
        <v>344</v>
      </c>
      <c r="B559" s="50" t="s">
        <v>193</v>
      </c>
      <c r="C559" s="50" t="s">
        <v>203</v>
      </c>
      <c r="D559" s="50" t="s">
        <v>243</v>
      </c>
      <c r="E559" s="50">
        <v>3</v>
      </c>
      <c r="F559">
        <v>7</v>
      </c>
      <c r="G559">
        <v>220</v>
      </c>
      <c r="H559">
        <v>9.5</v>
      </c>
      <c r="I559" s="50">
        <v>14.2</v>
      </c>
      <c r="J559" s="50">
        <v>11.7</v>
      </c>
      <c r="K559" s="50">
        <v>0</v>
      </c>
      <c r="L559" s="50">
        <v>15.4</v>
      </c>
      <c r="M559">
        <v>220</v>
      </c>
    </row>
    <row r="560" spans="1:13" hidden="1" x14ac:dyDescent="0.25">
      <c r="A560" t="s">
        <v>344</v>
      </c>
      <c r="B560" s="50" t="s">
        <v>193</v>
      </c>
      <c r="C560" s="50" t="s">
        <v>203</v>
      </c>
      <c r="D560" s="50" t="s">
        <v>243</v>
      </c>
      <c r="E560" s="50">
        <v>3</v>
      </c>
      <c r="F560">
        <v>7</v>
      </c>
      <c r="G560">
        <v>180</v>
      </c>
      <c r="H560">
        <v>9.5</v>
      </c>
      <c r="I560" s="50">
        <v>14.2</v>
      </c>
      <c r="J560" s="50">
        <v>11.7</v>
      </c>
      <c r="K560" s="50">
        <v>0</v>
      </c>
      <c r="L560" s="50">
        <v>15.4</v>
      </c>
      <c r="M560">
        <v>180</v>
      </c>
    </row>
    <row r="561" spans="1:13" hidden="1" x14ac:dyDescent="0.25">
      <c r="A561" t="s">
        <v>344</v>
      </c>
      <c r="B561" s="50" t="s">
        <v>193</v>
      </c>
      <c r="C561" s="50" t="s">
        <v>203</v>
      </c>
      <c r="D561" s="50" t="s">
        <v>243</v>
      </c>
      <c r="E561" s="50">
        <v>3</v>
      </c>
      <c r="F561">
        <v>7</v>
      </c>
      <c r="G561">
        <v>140</v>
      </c>
      <c r="H561">
        <v>9.5</v>
      </c>
      <c r="I561" s="50">
        <v>14.2</v>
      </c>
      <c r="J561" s="50">
        <v>11.7</v>
      </c>
      <c r="K561" s="50">
        <v>0</v>
      </c>
      <c r="L561" s="50">
        <v>15.4</v>
      </c>
      <c r="M561">
        <v>140</v>
      </c>
    </row>
    <row r="562" spans="1:13" hidden="1" x14ac:dyDescent="0.25">
      <c r="A562" t="s">
        <v>344</v>
      </c>
      <c r="B562" s="50" t="s">
        <v>193</v>
      </c>
      <c r="C562" s="50" t="s">
        <v>203</v>
      </c>
      <c r="D562" s="50" t="s">
        <v>243</v>
      </c>
      <c r="E562" s="50">
        <v>3</v>
      </c>
      <c r="F562">
        <v>5.6</v>
      </c>
      <c r="G562">
        <v>160</v>
      </c>
      <c r="H562">
        <v>8</v>
      </c>
      <c r="I562" s="50">
        <v>10.6</v>
      </c>
      <c r="J562" s="50">
        <v>11.7</v>
      </c>
      <c r="K562" s="50">
        <v>0</v>
      </c>
      <c r="L562" s="50">
        <v>12.3</v>
      </c>
      <c r="M562">
        <v>160</v>
      </c>
    </row>
    <row r="563" spans="1:13" hidden="1" x14ac:dyDescent="0.25">
      <c r="A563" t="s">
        <v>344</v>
      </c>
      <c r="B563" s="50" t="s">
        <v>193</v>
      </c>
      <c r="C563" s="50" t="s">
        <v>203</v>
      </c>
      <c r="D563" s="50" t="s">
        <v>243</v>
      </c>
      <c r="E563" s="50">
        <v>3</v>
      </c>
      <c r="F563">
        <v>5.6</v>
      </c>
      <c r="G563">
        <v>140</v>
      </c>
      <c r="H563">
        <v>8</v>
      </c>
      <c r="I563" s="50">
        <v>10.6</v>
      </c>
      <c r="J563" s="50">
        <v>11.7</v>
      </c>
      <c r="K563" s="50">
        <v>0</v>
      </c>
      <c r="L563" s="50">
        <v>12.3</v>
      </c>
      <c r="M563">
        <v>140</v>
      </c>
    </row>
    <row r="564" spans="1:13" hidden="1" x14ac:dyDescent="0.25">
      <c r="A564" t="s">
        <v>344</v>
      </c>
      <c r="B564" s="50" t="s">
        <v>193</v>
      </c>
      <c r="C564" s="50" t="s">
        <v>203</v>
      </c>
      <c r="D564" s="50" t="s">
        <v>243</v>
      </c>
      <c r="E564" s="50">
        <v>3</v>
      </c>
      <c r="F564">
        <v>5.3</v>
      </c>
      <c r="G564">
        <v>120</v>
      </c>
      <c r="H564">
        <v>8</v>
      </c>
      <c r="I564" s="50">
        <v>9.1999999999999993</v>
      </c>
      <c r="J564" s="50">
        <v>11.7</v>
      </c>
      <c r="K564" s="50">
        <v>0</v>
      </c>
      <c r="L564" s="50">
        <v>11</v>
      </c>
      <c r="M564">
        <v>120</v>
      </c>
    </row>
    <row r="565" spans="1:13" hidden="1" x14ac:dyDescent="0.25">
      <c r="A565" t="s">
        <v>344</v>
      </c>
      <c r="B565" s="50" t="s">
        <v>193</v>
      </c>
      <c r="C565" s="50" t="s">
        <v>203</v>
      </c>
      <c r="D565" s="50" t="s">
        <v>243</v>
      </c>
      <c r="E565" s="50">
        <v>3</v>
      </c>
      <c r="F565">
        <v>5.3</v>
      </c>
      <c r="G565">
        <v>100</v>
      </c>
      <c r="H565">
        <v>8</v>
      </c>
      <c r="I565" s="50">
        <v>9.1999999999999993</v>
      </c>
      <c r="J565" s="50">
        <v>11.7</v>
      </c>
      <c r="K565" s="50">
        <v>0</v>
      </c>
      <c r="L565" s="50">
        <v>11</v>
      </c>
      <c r="M565">
        <v>100</v>
      </c>
    </row>
    <row r="566" spans="1:13" hidden="1" x14ac:dyDescent="0.25">
      <c r="A566" t="s">
        <v>344</v>
      </c>
      <c r="B566" s="50" t="s">
        <v>193</v>
      </c>
      <c r="C566" s="50" t="s">
        <v>203</v>
      </c>
      <c r="D566" s="50" t="s">
        <v>243</v>
      </c>
      <c r="E566" s="50">
        <v>3</v>
      </c>
      <c r="F566">
        <v>5.3</v>
      </c>
      <c r="G566">
        <v>80</v>
      </c>
      <c r="H566">
        <v>8</v>
      </c>
      <c r="I566" s="50">
        <v>9.1999999999999993</v>
      </c>
      <c r="J566" s="50">
        <v>11.7</v>
      </c>
      <c r="K566" s="50">
        <v>0</v>
      </c>
      <c r="L566" s="50">
        <v>11</v>
      </c>
      <c r="M566">
        <v>80</v>
      </c>
    </row>
    <row r="567" spans="1:13" hidden="1" x14ac:dyDescent="0.25">
      <c r="A567" t="s">
        <v>344</v>
      </c>
      <c r="B567" s="50" t="s">
        <v>193</v>
      </c>
      <c r="C567" s="50" t="s">
        <v>204</v>
      </c>
      <c r="D567" s="50" t="s">
        <v>244</v>
      </c>
      <c r="E567" s="50">
        <v>2</v>
      </c>
      <c r="F567">
        <v>8</v>
      </c>
      <c r="G567">
        <v>320</v>
      </c>
      <c r="H567">
        <v>11.5</v>
      </c>
      <c r="I567" s="50">
        <v>33.4</v>
      </c>
      <c r="J567" s="50">
        <v>42</v>
      </c>
      <c r="K567" s="50">
        <v>0</v>
      </c>
      <c r="L567" s="50">
        <v>32</v>
      </c>
      <c r="M567">
        <v>320</v>
      </c>
    </row>
    <row r="568" spans="1:13" hidden="1" x14ac:dyDescent="0.25">
      <c r="A568" t="s">
        <v>344</v>
      </c>
      <c r="B568" s="50" t="s">
        <v>193</v>
      </c>
      <c r="C568" s="50" t="s">
        <v>204</v>
      </c>
      <c r="D568" s="50" t="s">
        <v>244</v>
      </c>
      <c r="E568" s="50">
        <v>2</v>
      </c>
      <c r="F568">
        <v>8</v>
      </c>
      <c r="G568">
        <v>280</v>
      </c>
      <c r="H568">
        <v>11.5</v>
      </c>
      <c r="I568" s="50">
        <v>33.4</v>
      </c>
      <c r="J568" s="50">
        <v>42</v>
      </c>
      <c r="K568" s="50">
        <v>0</v>
      </c>
      <c r="L568" s="50">
        <v>32</v>
      </c>
      <c r="M568">
        <v>280</v>
      </c>
    </row>
    <row r="569" spans="1:13" hidden="1" x14ac:dyDescent="0.25">
      <c r="A569" t="s">
        <v>344</v>
      </c>
      <c r="B569" s="50" t="s">
        <v>193</v>
      </c>
      <c r="C569" s="50" t="s">
        <v>204</v>
      </c>
      <c r="D569" s="50" t="s">
        <v>244</v>
      </c>
      <c r="E569" s="50">
        <v>2</v>
      </c>
      <c r="F569">
        <v>8</v>
      </c>
      <c r="G569">
        <v>240</v>
      </c>
      <c r="H569">
        <v>11.5</v>
      </c>
      <c r="I569" s="50">
        <v>33.4</v>
      </c>
      <c r="J569" s="50">
        <v>42</v>
      </c>
      <c r="K569" s="50">
        <v>0</v>
      </c>
      <c r="L569" s="50">
        <v>32</v>
      </c>
      <c r="M569">
        <v>240</v>
      </c>
    </row>
    <row r="570" spans="1:13" hidden="1" x14ac:dyDescent="0.25">
      <c r="A570" t="s">
        <v>344</v>
      </c>
      <c r="B570" s="50" t="s">
        <v>193</v>
      </c>
      <c r="C570" s="50" t="s">
        <v>204</v>
      </c>
      <c r="D570" s="50" t="s">
        <v>244</v>
      </c>
      <c r="E570" s="50">
        <v>2</v>
      </c>
      <c r="F570">
        <v>8</v>
      </c>
      <c r="G570">
        <v>200</v>
      </c>
      <c r="H570">
        <v>11.5</v>
      </c>
      <c r="I570" s="50">
        <v>33.4</v>
      </c>
      <c r="J570" s="50">
        <v>42</v>
      </c>
      <c r="K570" s="50">
        <v>0</v>
      </c>
      <c r="L570" s="50">
        <v>32</v>
      </c>
      <c r="M570">
        <v>200</v>
      </c>
    </row>
    <row r="571" spans="1:13" hidden="1" x14ac:dyDescent="0.25">
      <c r="A571" t="s">
        <v>344</v>
      </c>
      <c r="B571" s="50" t="s">
        <v>193</v>
      </c>
      <c r="C571" s="50" t="s">
        <v>204</v>
      </c>
      <c r="D571" s="50" t="s">
        <v>244</v>
      </c>
      <c r="E571" s="50">
        <v>2</v>
      </c>
      <c r="F571">
        <v>6</v>
      </c>
      <c r="G571">
        <v>260</v>
      </c>
      <c r="H571">
        <v>9.5</v>
      </c>
      <c r="I571" s="50">
        <v>15.8</v>
      </c>
      <c r="J571" s="50">
        <v>42</v>
      </c>
      <c r="K571" s="50">
        <v>0</v>
      </c>
      <c r="L571" s="50">
        <v>18</v>
      </c>
      <c r="M571">
        <v>260</v>
      </c>
    </row>
    <row r="572" spans="1:13" hidden="1" x14ac:dyDescent="0.25">
      <c r="A572" t="s">
        <v>344</v>
      </c>
      <c r="B572" s="50" t="s">
        <v>193</v>
      </c>
      <c r="C572" s="50" t="s">
        <v>204</v>
      </c>
      <c r="D572" s="50" t="s">
        <v>244</v>
      </c>
      <c r="E572" s="50">
        <v>2</v>
      </c>
      <c r="F572">
        <v>6</v>
      </c>
      <c r="G572">
        <v>220</v>
      </c>
      <c r="H572">
        <v>9.5</v>
      </c>
      <c r="I572" s="50">
        <v>15.8</v>
      </c>
      <c r="J572" s="50">
        <v>42</v>
      </c>
      <c r="K572" s="50">
        <v>0</v>
      </c>
      <c r="L572" s="50">
        <v>18</v>
      </c>
      <c r="M572">
        <v>220</v>
      </c>
    </row>
    <row r="573" spans="1:13" hidden="1" x14ac:dyDescent="0.25">
      <c r="A573" t="s">
        <v>344</v>
      </c>
      <c r="B573" s="50" t="s">
        <v>193</v>
      </c>
      <c r="C573" s="50" t="s">
        <v>204</v>
      </c>
      <c r="D573" s="50" t="s">
        <v>244</v>
      </c>
      <c r="E573" s="50">
        <v>2</v>
      </c>
      <c r="F573">
        <v>6</v>
      </c>
      <c r="G573">
        <v>180</v>
      </c>
      <c r="H573">
        <v>9.5</v>
      </c>
      <c r="I573" s="50">
        <v>15.8</v>
      </c>
      <c r="J573" s="50">
        <v>42</v>
      </c>
      <c r="K573" s="50">
        <v>0</v>
      </c>
      <c r="L573" s="50">
        <v>18</v>
      </c>
      <c r="M573">
        <v>180</v>
      </c>
    </row>
    <row r="574" spans="1:13" hidden="1" x14ac:dyDescent="0.25">
      <c r="A574" t="s">
        <v>344</v>
      </c>
      <c r="B574" s="50" t="s">
        <v>193</v>
      </c>
      <c r="C574" s="50" t="s">
        <v>204</v>
      </c>
      <c r="D574" s="50" t="s">
        <v>244</v>
      </c>
      <c r="E574" s="50">
        <v>2</v>
      </c>
      <c r="F574">
        <v>6</v>
      </c>
      <c r="G574">
        <v>140</v>
      </c>
      <c r="H574">
        <v>9.5</v>
      </c>
      <c r="I574" s="50">
        <v>15.8</v>
      </c>
      <c r="J574" s="50">
        <v>42</v>
      </c>
      <c r="K574" s="50">
        <v>0</v>
      </c>
      <c r="L574" s="50">
        <v>18</v>
      </c>
      <c r="M574">
        <v>140</v>
      </c>
    </row>
    <row r="575" spans="1:13" hidden="1" x14ac:dyDescent="0.25">
      <c r="A575" t="s">
        <v>344</v>
      </c>
      <c r="B575" s="50" t="s">
        <v>193</v>
      </c>
      <c r="C575" s="50" t="s">
        <v>205</v>
      </c>
      <c r="D575" s="50" t="s">
        <v>243</v>
      </c>
      <c r="E575" s="50">
        <v>2</v>
      </c>
      <c r="F575">
        <v>11</v>
      </c>
      <c r="G575">
        <v>600</v>
      </c>
      <c r="H575">
        <v>13.5</v>
      </c>
      <c r="I575" s="50">
        <v>45.9</v>
      </c>
      <c r="J575" s="50">
        <v>11.7</v>
      </c>
      <c r="K575" s="50">
        <v>0</v>
      </c>
      <c r="L575" s="50">
        <v>38</v>
      </c>
      <c r="M575">
        <v>600</v>
      </c>
    </row>
    <row r="576" spans="1:13" hidden="1" x14ac:dyDescent="0.25">
      <c r="A576" t="s">
        <v>344</v>
      </c>
      <c r="B576" s="50" t="s">
        <v>193</v>
      </c>
      <c r="C576" s="50" t="s">
        <v>205</v>
      </c>
      <c r="D576" s="50" t="s">
        <v>243</v>
      </c>
      <c r="E576" s="50">
        <v>2</v>
      </c>
      <c r="F576">
        <v>11</v>
      </c>
      <c r="G576">
        <v>550</v>
      </c>
      <c r="H576">
        <v>13.5</v>
      </c>
      <c r="I576" s="50">
        <v>45.9</v>
      </c>
      <c r="J576" s="50">
        <v>11.7</v>
      </c>
      <c r="K576" s="50">
        <v>0</v>
      </c>
      <c r="L576" s="50">
        <v>38</v>
      </c>
      <c r="M576">
        <v>550</v>
      </c>
    </row>
    <row r="577" spans="1:13" hidden="1" x14ac:dyDescent="0.25">
      <c r="A577" t="s">
        <v>344</v>
      </c>
      <c r="B577" s="50" t="s">
        <v>193</v>
      </c>
      <c r="C577" s="50" t="s">
        <v>205</v>
      </c>
      <c r="D577" s="50" t="s">
        <v>243</v>
      </c>
      <c r="E577" s="50">
        <v>2</v>
      </c>
      <c r="F577">
        <v>11</v>
      </c>
      <c r="G577">
        <v>500</v>
      </c>
      <c r="H577">
        <v>13.5</v>
      </c>
      <c r="I577" s="50">
        <v>45.9</v>
      </c>
      <c r="J577" s="50">
        <v>11.7</v>
      </c>
      <c r="K577" s="50">
        <v>0</v>
      </c>
      <c r="L577" s="50">
        <v>38</v>
      </c>
      <c r="M577">
        <v>500</v>
      </c>
    </row>
    <row r="578" spans="1:13" hidden="1" x14ac:dyDescent="0.25">
      <c r="A578" t="s">
        <v>344</v>
      </c>
      <c r="B578" s="50" t="s">
        <v>193</v>
      </c>
      <c r="C578" s="50" t="s">
        <v>205</v>
      </c>
      <c r="D578" s="50" t="s">
        <v>243</v>
      </c>
      <c r="E578" s="50">
        <v>2</v>
      </c>
      <c r="F578">
        <v>11</v>
      </c>
      <c r="G578">
        <v>450</v>
      </c>
      <c r="H578">
        <v>13.5</v>
      </c>
      <c r="I578" s="50">
        <v>45.9</v>
      </c>
      <c r="J578" s="50">
        <v>11.7</v>
      </c>
      <c r="K578" s="50">
        <v>0</v>
      </c>
      <c r="L578" s="50">
        <v>38</v>
      </c>
      <c r="M578">
        <v>450</v>
      </c>
    </row>
    <row r="579" spans="1:13" hidden="1" x14ac:dyDescent="0.25">
      <c r="A579" t="s">
        <v>344</v>
      </c>
      <c r="B579" s="50" t="s">
        <v>193</v>
      </c>
      <c r="C579" s="50" t="s">
        <v>205</v>
      </c>
      <c r="D579" s="50" t="s">
        <v>243</v>
      </c>
      <c r="E579" s="50">
        <v>2</v>
      </c>
      <c r="F579">
        <v>11</v>
      </c>
      <c r="G579">
        <v>400</v>
      </c>
      <c r="H579">
        <v>13.5</v>
      </c>
      <c r="I579" s="50">
        <v>45.9</v>
      </c>
      <c r="J579" s="50">
        <v>11.7</v>
      </c>
      <c r="K579" s="50">
        <v>0</v>
      </c>
      <c r="L579" s="50">
        <v>38</v>
      </c>
      <c r="M579">
        <v>400</v>
      </c>
    </row>
    <row r="580" spans="1:13" hidden="1" x14ac:dyDescent="0.25">
      <c r="A580" t="s">
        <v>344</v>
      </c>
      <c r="B580" s="50" t="s">
        <v>193</v>
      </c>
      <c r="C580" s="50" t="s">
        <v>205</v>
      </c>
      <c r="D580" s="50" t="s">
        <v>243</v>
      </c>
      <c r="E580" s="50">
        <v>2</v>
      </c>
      <c r="F580">
        <v>11</v>
      </c>
      <c r="G580">
        <v>350</v>
      </c>
      <c r="H580">
        <v>13.5</v>
      </c>
      <c r="I580" s="50">
        <v>45.9</v>
      </c>
      <c r="J580" s="50">
        <v>11.7</v>
      </c>
      <c r="K580" s="50">
        <v>0</v>
      </c>
      <c r="L580" s="50">
        <v>38</v>
      </c>
      <c r="M580">
        <v>350</v>
      </c>
    </row>
    <row r="581" spans="1:13" hidden="1" x14ac:dyDescent="0.25">
      <c r="A581" t="s">
        <v>344</v>
      </c>
      <c r="B581" s="50" t="s">
        <v>193</v>
      </c>
      <c r="C581" s="50" t="s">
        <v>205</v>
      </c>
      <c r="D581" s="50" t="s">
        <v>243</v>
      </c>
      <c r="E581" s="50">
        <v>2</v>
      </c>
      <c r="F581">
        <v>11</v>
      </c>
      <c r="G581">
        <v>300</v>
      </c>
      <c r="H581">
        <v>13.5</v>
      </c>
      <c r="I581" s="50">
        <v>45.9</v>
      </c>
      <c r="J581" s="50">
        <v>11.7</v>
      </c>
      <c r="K581" s="50">
        <v>0</v>
      </c>
      <c r="L581" s="50">
        <v>38</v>
      </c>
      <c r="M581">
        <v>300</v>
      </c>
    </row>
    <row r="582" spans="1:13" hidden="1" x14ac:dyDescent="0.25">
      <c r="A582" t="s">
        <v>344</v>
      </c>
      <c r="B582" s="50" t="s">
        <v>193</v>
      </c>
      <c r="C582" s="50" t="s">
        <v>205</v>
      </c>
      <c r="D582" s="50" t="s">
        <v>243</v>
      </c>
      <c r="E582" s="50">
        <v>2</v>
      </c>
      <c r="F582">
        <v>11</v>
      </c>
      <c r="G582">
        <v>250</v>
      </c>
      <c r="H582">
        <v>13.5</v>
      </c>
      <c r="I582" s="50">
        <v>45.9</v>
      </c>
      <c r="J582" s="50">
        <v>11.7</v>
      </c>
      <c r="K582" s="50">
        <v>0</v>
      </c>
      <c r="L582" s="50">
        <v>38</v>
      </c>
      <c r="M582">
        <v>250</v>
      </c>
    </row>
    <row r="583" spans="1:13" hidden="1" x14ac:dyDescent="0.25">
      <c r="A583" t="s">
        <v>344</v>
      </c>
      <c r="B583" s="50" t="s">
        <v>193</v>
      </c>
      <c r="C583" s="50" t="s">
        <v>205</v>
      </c>
      <c r="D583" s="50" t="s">
        <v>243</v>
      </c>
      <c r="E583" s="50">
        <v>2</v>
      </c>
      <c r="F583">
        <v>9</v>
      </c>
      <c r="G583">
        <v>520</v>
      </c>
      <c r="H583">
        <v>11.5</v>
      </c>
      <c r="I583" s="50">
        <v>27.2</v>
      </c>
      <c r="J583" s="50">
        <v>11.7</v>
      </c>
      <c r="K583" s="50">
        <v>0</v>
      </c>
      <c r="L583" s="50">
        <v>25.4</v>
      </c>
      <c r="M583">
        <v>520</v>
      </c>
    </row>
    <row r="584" spans="1:13" hidden="1" x14ac:dyDescent="0.25">
      <c r="A584" t="s">
        <v>344</v>
      </c>
      <c r="B584" s="50" t="s">
        <v>193</v>
      </c>
      <c r="C584" s="50" t="s">
        <v>205</v>
      </c>
      <c r="D584" s="50" t="s">
        <v>243</v>
      </c>
      <c r="E584" s="50">
        <v>2</v>
      </c>
      <c r="F584">
        <v>9</v>
      </c>
      <c r="G584">
        <v>480</v>
      </c>
      <c r="H584">
        <v>11.5</v>
      </c>
      <c r="I584" s="50">
        <v>27.2</v>
      </c>
      <c r="J584" s="50">
        <v>11.7</v>
      </c>
      <c r="K584" s="50">
        <v>0</v>
      </c>
      <c r="L584" s="50">
        <v>25.4</v>
      </c>
      <c r="M584">
        <v>480</v>
      </c>
    </row>
    <row r="585" spans="1:13" hidden="1" x14ac:dyDescent="0.25">
      <c r="A585" t="s">
        <v>344</v>
      </c>
      <c r="B585" s="50" t="s">
        <v>193</v>
      </c>
      <c r="C585" s="50" t="s">
        <v>205</v>
      </c>
      <c r="D585" s="50" t="s">
        <v>243</v>
      </c>
      <c r="E585" s="50">
        <v>2</v>
      </c>
      <c r="F585">
        <v>9</v>
      </c>
      <c r="G585">
        <v>440</v>
      </c>
      <c r="H585">
        <v>11.5</v>
      </c>
      <c r="I585" s="50">
        <v>27.2</v>
      </c>
      <c r="J585" s="50">
        <v>11.7</v>
      </c>
      <c r="K585" s="50">
        <v>0</v>
      </c>
      <c r="L585" s="50">
        <v>25.4</v>
      </c>
      <c r="M585">
        <v>440</v>
      </c>
    </row>
    <row r="586" spans="1:13" hidden="1" x14ac:dyDescent="0.25">
      <c r="A586" t="s">
        <v>344</v>
      </c>
      <c r="B586" s="50" t="s">
        <v>193</v>
      </c>
      <c r="C586" s="50" t="s">
        <v>205</v>
      </c>
      <c r="D586" s="50" t="s">
        <v>243</v>
      </c>
      <c r="E586" s="50">
        <v>2</v>
      </c>
      <c r="F586">
        <v>9</v>
      </c>
      <c r="G586">
        <v>400</v>
      </c>
      <c r="H586">
        <v>11.5</v>
      </c>
      <c r="I586" s="50">
        <v>27.2</v>
      </c>
      <c r="J586" s="50">
        <v>11.7</v>
      </c>
      <c r="K586" s="50">
        <v>0</v>
      </c>
      <c r="L586" s="50">
        <v>25.4</v>
      </c>
      <c r="M586">
        <v>400</v>
      </c>
    </row>
    <row r="587" spans="1:13" hidden="1" x14ac:dyDescent="0.25">
      <c r="A587" t="s">
        <v>344</v>
      </c>
      <c r="B587" s="50" t="s">
        <v>193</v>
      </c>
      <c r="C587" s="50" t="s">
        <v>205</v>
      </c>
      <c r="D587" s="50" t="s">
        <v>243</v>
      </c>
      <c r="E587" s="50">
        <v>2</v>
      </c>
      <c r="F587">
        <v>9</v>
      </c>
      <c r="G587">
        <v>380</v>
      </c>
      <c r="H587">
        <v>11.5</v>
      </c>
      <c r="I587" s="50">
        <v>27.2</v>
      </c>
      <c r="J587" s="50">
        <v>11.7</v>
      </c>
      <c r="K587" s="50">
        <v>0</v>
      </c>
      <c r="L587" s="50">
        <v>25.4</v>
      </c>
      <c r="M587">
        <v>380</v>
      </c>
    </row>
    <row r="588" spans="1:13" hidden="1" x14ac:dyDescent="0.25">
      <c r="A588" t="s">
        <v>344</v>
      </c>
      <c r="B588" s="50" t="s">
        <v>193</v>
      </c>
      <c r="C588" s="50" t="s">
        <v>205</v>
      </c>
      <c r="D588" s="50" t="s">
        <v>243</v>
      </c>
      <c r="E588" s="50">
        <v>2</v>
      </c>
      <c r="F588">
        <v>9</v>
      </c>
      <c r="G588">
        <v>360</v>
      </c>
      <c r="H588">
        <v>11.5</v>
      </c>
      <c r="I588" s="50">
        <v>27.2</v>
      </c>
      <c r="J588" s="50">
        <v>11.7</v>
      </c>
      <c r="K588" s="50">
        <v>0</v>
      </c>
      <c r="L588" s="50">
        <v>25.4</v>
      </c>
      <c r="M588">
        <v>360</v>
      </c>
    </row>
    <row r="589" spans="1:13" hidden="1" x14ac:dyDescent="0.25">
      <c r="A589" t="s">
        <v>344</v>
      </c>
      <c r="B589" s="50" t="s">
        <v>193</v>
      </c>
      <c r="C589" s="50" t="s">
        <v>205</v>
      </c>
      <c r="D589" s="50" t="s">
        <v>243</v>
      </c>
      <c r="E589" s="50">
        <v>2</v>
      </c>
      <c r="F589">
        <v>9</v>
      </c>
      <c r="G589">
        <v>340</v>
      </c>
      <c r="H589">
        <v>11.5</v>
      </c>
      <c r="I589" s="50">
        <v>27.2</v>
      </c>
      <c r="J589" s="50">
        <v>11.7</v>
      </c>
      <c r="K589" s="50">
        <v>0</v>
      </c>
      <c r="L589" s="50">
        <v>25.4</v>
      </c>
      <c r="M589">
        <v>340</v>
      </c>
    </row>
    <row r="590" spans="1:13" hidden="1" x14ac:dyDescent="0.25">
      <c r="A590" t="s">
        <v>344</v>
      </c>
      <c r="B590" s="50" t="s">
        <v>193</v>
      </c>
      <c r="C590" s="50" t="s">
        <v>205</v>
      </c>
      <c r="D590" s="50" t="s">
        <v>243</v>
      </c>
      <c r="E590" s="50">
        <v>2</v>
      </c>
      <c r="F590">
        <v>9</v>
      </c>
      <c r="G590">
        <v>320</v>
      </c>
      <c r="H590">
        <v>11.5</v>
      </c>
      <c r="I590" s="50">
        <v>27.2</v>
      </c>
      <c r="J590" s="50">
        <v>11.7</v>
      </c>
      <c r="K590" s="50">
        <v>0</v>
      </c>
      <c r="L590" s="50">
        <v>25.4</v>
      </c>
      <c r="M590">
        <v>320</v>
      </c>
    </row>
    <row r="591" spans="1:13" hidden="1" x14ac:dyDescent="0.25">
      <c r="A591" t="s">
        <v>344</v>
      </c>
      <c r="B591" s="50" t="s">
        <v>193</v>
      </c>
      <c r="C591" s="50" t="s">
        <v>205</v>
      </c>
      <c r="D591" s="50" t="s">
        <v>243</v>
      </c>
      <c r="E591" s="50">
        <v>2</v>
      </c>
      <c r="F591">
        <v>9</v>
      </c>
      <c r="G591">
        <v>300</v>
      </c>
      <c r="H591">
        <v>11.5</v>
      </c>
      <c r="I591" s="50">
        <v>27.2</v>
      </c>
      <c r="J591" s="50">
        <v>11.7</v>
      </c>
      <c r="K591" s="50">
        <v>0</v>
      </c>
      <c r="L591" s="50">
        <v>25.4</v>
      </c>
      <c r="M591">
        <v>300</v>
      </c>
    </row>
    <row r="592" spans="1:13" hidden="1" x14ac:dyDescent="0.25">
      <c r="A592" t="s">
        <v>344</v>
      </c>
      <c r="B592" s="50" t="s">
        <v>193</v>
      </c>
      <c r="C592" s="50" t="s">
        <v>205</v>
      </c>
      <c r="D592" s="50" t="s">
        <v>243</v>
      </c>
      <c r="E592" s="50">
        <v>2</v>
      </c>
      <c r="F592">
        <v>9</v>
      </c>
      <c r="G592">
        <v>280</v>
      </c>
      <c r="H592">
        <v>11.5</v>
      </c>
      <c r="I592" s="50">
        <v>27.2</v>
      </c>
      <c r="J592" s="50">
        <v>11.7</v>
      </c>
      <c r="K592" s="50">
        <v>0</v>
      </c>
      <c r="L592" s="50">
        <v>25.4</v>
      </c>
      <c r="M592">
        <v>280</v>
      </c>
    </row>
    <row r="593" spans="1:13" hidden="1" x14ac:dyDescent="0.25">
      <c r="A593" t="s">
        <v>344</v>
      </c>
      <c r="B593" s="50" t="s">
        <v>193</v>
      </c>
      <c r="C593" s="50" t="s">
        <v>205</v>
      </c>
      <c r="D593" s="50" t="s">
        <v>243</v>
      </c>
      <c r="E593" s="50">
        <v>2</v>
      </c>
      <c r="F593">
        <v>9</v>
      </c>
      <c r="G593">
        <v>260</v>
      </c>
      <c r="H593">
        <v>11.5</v>
      </c>
      <c r="I593" s="50">
        <v>27.2</v>
      </c>
      <c r="J593" s="50">
        <v>11.7</v>
      </c>
      <c r="K593" s="50">
        <v>0</v>
      </c>
      <c r="L593" s="50">
        <v>25.4</v>
      </c>
      <c r="M593">
        <v>260</v>
      </c>
    </row>
    <row r="594" spans="1:13" hidden="1" x14ac:dyDescent="0.25">
      <c r="A594" t="s">
        <v>344</v>
      </c>
      <c r="B594" s="50" t="s">
        <v>193</v>
      </c>
      <c r="C594" s="50" t="s">
        <v>205</v>
      </c>
      <c r="D594" s="50" t="s">
        <v>243</v>
      </c>
      <c r="E594" s="50">
        <v>2</v>
      </c>
      <c r="F594">
        <v>9</v>
      </c>
      <c r="G594">
        <v>240</v>
      </c>
      <c r="H594">
        <v>11.5</v>
      </c>
      <c r="I594" s="50">
        <v>27.2</v>
      </c>
      <c r="J594" s="50">
        <v>11.7</v>
      </c>
      <c r="K594" s="50">
        <v>0</v>
      </c>
      <c r="L594" s="50">
        <v>25.4</v>
      </c>
      <c r="M594">
        <v>240</v>
      </c>
    </row>
    <row r="595" spans="1:13" hidden="1" x14ac:dyDescent="0.25">
      <c r="A595" t="s">
        <v>344</v>
      </c>
      <c r="B595" s="50" t="s">
        <v>193</v>
      </c>
      <c r="C595" s="50" t="s">
        <v>205</v>
      </c>
      <c r="D595" s="50" t="s">
        <v>243</v>
      </c>
      <c r="E595" s="50">
        <v>2</v>
      </c>
      <c r="F595">
        <v>9</v>
      </c>
      <c r="G595">
        <v>220</v>
      </c>
      <c r="H595">
        <v>11.5</v>
      </c>
      <c r="I595" s="50">
        <v>27.2</v>
      </c>
      <c r="J595" s="50">
        <v>11.7</v>
      </c>
      <c r="K595" s="50">
        <v>0</v>
      </c>
      <c r="L595" s="50">
        <v>25.4</v>
      </c>
      <c r="M595">
        <v>220</v>
      </c>
    </row>
    <row r="596" spans="1:13" hidden="1" x14ac:dyDescent="0.25">
      <c r="A596" t="s">
        <v>344</v>
      </c>
      <c r="B596" s="50" t="s">
        <v>193</v>
      </c>
      <c r="C596" s="50" t="s">
        <v>205</v>
      </c>
      <c r="D596" s="50" t="s">
        <v>243</v>
      </c>
      <c r="E596" s="50">
        <v>2</v>
      </c>
      <c r="F596">
        <v>9</v>
      </c>
      <c r="G596">
        <v>200</v>
      </c>
      <c r="H596">
        <v>11.5</v>
      </c>
      <c r="I596" s="50">
        <v>27.2</v>
      </c>
      <c r="J596" s="50">
        <v>11.7</v>
      </c>
      <c r="K596" s="50">
        <v>0</v>
      </c>
      <c r="L596" s="50">
        <v>25.4</v>
      </c>
      <c r="M596">
        <v>200</v>
      </c>
    </row>
    <row r="597" spans="1:13" hidden="1" x14ac:dyDescent="0.25">
      <c r="A597" t="s">
        <v>344</v>
      </c>
      <c r="B597" s="50" t="s">
        <v>193</v>
      </c>
      <c r="C597" s="50" t="s">
        <v>205</v>
      </c>
      <c r="D597" s="50" t="s">
        <v>243</v>
      </c>
      <c r="E597" s="50">
        <v>2</v>
      </c>
      <c r="F597">
        <v>9</v>
      </c>
      <c r="G597">
        <v>180</v>
      </c>
      <c r="H597">
        <v>11.5</v>
      </c>
      <c r="I597" s="50">
        <v>27.2</v>
      </c>
      <c r="J597" s="50">
        <v>11.7</v>
      </c>
      <c r="K597" s="50">
        <v>0</v>
      </c>
      <c r="L597" s="50">
        <v>25.4</v>
      </c>
      <c r="M597">
        <v>180</v>
      </c>
    </row>
    <row r="598" spans="1:13" hidden="1" x14ac:dyDescent="0.25">
      <c r="A598" t="s">
        <v>344</v>
      </c>
      <c r="B598" s="50" t="s">
        <v>193</v>
      </c>
      <c r="C598" s="50" t="s">
        <v>205</v>
      </c>
      <c r="D598" s="50" t="s">
        <v>243</v>
      </c>
      <c r="E598" s="50">
        <v>2</v>
      </c>
      <c r="F598">
        <v>9</v>
      </c>
      <c r="G598">
        <v>160</v>
      </c>
      <c r="H598">
        <v>11.5</v>
      </c>
      <c r="I598" s="50">
        <v>27.2</v>
      </c>
      <c r="J598" s="50">
        <v>11.7</v>
      </c>
      <c r="K598" s="50">
        <v>0</v>
      </c>
      <c r="L598" s="50">
        <v>25.4</v>
      </c>
      <c r="M598">
        <v>160</v>
      </c>
    </row>
    <row r="599" spans="1:13" hidden="1" x14ac:dyDescent="0.25">
      <c r="A599" t="s">
        <v>344</v>
      </c>
      <c r="B599" s="50" t="s">
        <v>193</v>
      </c>
      <c r="C599" s="50" t="s">
        <v>205</v>
      </c>
      <c r="D599" s="50" t="s">
        <v>243</v>
      </c>
      <c r="E599" s="50">
        <v>2</v>
      </c>
      <c r="F599">
        <v>7</v>
      </c>
      <c r="G599">
        <v>380</v>
      </c>
      <c r="H599">
        <v>9.5</v>
      </c>
      <c r="I599" s="50">
        <v>14.2</v>
      </c>
      <c r="J599" s="50">
        <v>11.7</v>
      </c>
      <c r="K599" s="50">
        <v>0</v>
      </c>
      <c r="L599" s="50">
        <v>15.4</v>
      </c>
      <c r="M599">
        <v>380</v>
      </c>
    </row>
    <row r="600" spans="1:13" hidden="1" x14ac:dyDescent="0.25">
      <c r="A600" t="s">
        <v>344</v>
      </c>
      <c r="B600" s="50" t="s">
        <v>193</v>
      </c>
      <c r="C600" s="50" t="s">
        <v>205</v>
      </c>
      <c r="D600" s="50" t="s">
        <v>243</v>
      </c>
      <c r="E600" s="50">
        <v>2</v>
      </c>
      <c r="F600">
        <v>7</v>
      </c>
      <c r="G600">
        <v>340</v>
      </c>
      <c r="H600">
        <v>9.5</v>
      </c>
      <c r="I600" s="50">
        <v>14.2</v>
      </c>
      <c r="J600" s="50">
        <v>11.7</v>
      </c>
      <c r="K600" s="50">
        <v>0</v>
      </c>
      <c r="L600" s="50">
        <v>15.4</v>
      </c>
      <c r="M600">
        <v>340</v>
      </c>
    </row>
    <row r="601" spans="1:13" hidden="1" x14ac:dyDescent="0.25">
      <c r="A601" t="s">
        <v>344</v>
      </c>
      <c r="B601" s="50" t="s">
        <v>193</v>
      </c>
      <c r="C601" s="50" t="s">
        <v>205</v>
      </c>
      <c r="D601" s="50" t="s">
        <v>243</v>
      </c>
      <c r="E601" s="50">
        <v>2</v>
      </c>
      <c r="F601">
        <v>7</v>
      </c>
      <c r="G601">
        <v>300</v>
      </c>
      <c r="H601">
        <v>9.5</v>
      </c>
      <c r="I601" s="50">
        <v>14.2</v>
      </c>
      <c r="J601" s="50">
        <v>11.7</v>
      </c>
      <c r="K601" s="50">
        <v>0</v>
      </c>
      <c r="L601" s="50">
        <v>15.4</v>
      </c>
      <c r="M601">
        <v>300</v>
      </c>
    </row>
    <row r="602" spans="1:13" hidden="1" x14ac:dyDescent="0.25">
      <c r="A602" t="s">
        <v>344</v>
      </c>
      <c r="B602" s="50" t="s">
        <v>193</v>
      </c>
      <c r="C602" s="50" t="s">
        <v>205</v>
      </c>
      <c r="D602" s="50" t="s">
        <v>243</v>
      </c>
      <c r="E602" s="50">
        <v>2</v>
      </c>
      <c r="F602">
        <v>7</v>
      </c>
      <c r="G602">
        <v>280</v>
      </c>
      <c r="H602">
        <v>9.5</v>
      </c>
      <c r="I602" s="50">
        <v>14.2</v>
      </c>
      <c r="J602" s="50">
        <v>11.7</v>
      </c>
      <c r="K602" s="50">
        <v>0</v>
      </c>
      <c r="L602" s="50">
        <v>15.4</v>
      </c>
      <c r="M602">
        <v>280</v>
      </c>
    </row>
    <row r="603" spans="1:13" hidden="1" x14ac:dyDescent="0.25">
      <c r="A603" t="s">
        <v>344</v>
      </c>
      <c r="B603" s="50" t="s">
        <v>193</v>
      </c>
      <c r="C603" s="50" t="s">
        <v>205</v>
      </c>
      <c r="D603" s="50" t="s">
        <v>243</v>
      </c>
      <c r="E603" s="50">
        <v>2</v>
      </c>
      <c r="F603">
        <v>7</v>
      </c>
      <c r="G603">
        <v>260</v>
      </c>
      <c r="H603">
        <v>9.5</v>
      </c>
      <c r="I603" s="50">
        <v>14.2</v>
      </c>
      <c r="J603" s="50">
        <v>11.7</v>
      </c>
      <c r="K603" s="50">
        <v>0</v>
      </c>
      <c r="L603" s="50">
        <v>15.4</v>
      </c>
      <c r="M603">
        <v>260</v>
      </c>
    </row>
    <row r="604" spans="1:13" hidden="1" x14ac:dyDescent="0.25">
      <c r="A604" t="s">
        <v>344</v>
      </c>
      <c r="B604" s="50" t="s">
        <v>193</v>
      </c>
      <c r="C604" s="50" t="s">
        <v>205</v>
      </c>
      <c r="D604" s="50" t="s">
        <v>243</v>
      </c>
      <c r="E604" s="50">
        <v>2</v>
      </c>
      <c r="F604">
        <v>7</v>
      </c>
      <c r="G604">
        <v>240</v>
      </c>
      <c r="H604">
        <v>9.5</v>
      </c>
      <c r="I604" s="50">
        <v>14.2</v>
      </c>
      <c r="J604" s="50">
        <v>11.7</v>
      </c>
      <c r="K604" s="50">
        <v>0</v>
      </c>
      <c r="L604" s="50">
        <v>15.4</v>
      </c>
      <c r="M604">
        <v>240</v>
      </c>
    </row>
    <row r="605" spans="1:13" hidden="1" x14ac:dyDescent="0.25">
      <c r="A605" t="s">
        <v>344</v>
      </c>
      <c r="B605" s="50" t="s">
        <v>193</v>
      </c>
      <c r="C605" s="50" t="s">
        <v>205</v>
      </c>
      <c r="D605" s="50" t="s">
        <v>243</v>
      </c>
      <c r="E605" s="50">
        <v>2</v>
      </c>
      <c r="F605">
        <v>7</v>
      </c>
      <c r="G605">
        <v>220</v>
      </c>
      <c r="H605">
        <v>9.5</v>
      </c>
      <c r="I605" s="50">
        <v>14.2</v>
      </c>
      <c r="J605" s="50">
        <v>11.7</v>
      </c>
      <c r="K605" s="50">
        <v>0</v>
      </c>
      <c r="L605" s="50">
        <v>15.4</v>
      </c>
      <c r="M605">
        <v>220</v>
      </c>
    </row>
    <row r="606" spans="1:13" hidden="1" x14ac:dyDescent="0.25">
      <c r="A606" t="s">
        <v>344</v>
      </c>
      <c r="B606" s="50" t="s">
        <v>193</v>
      </c>
      <c r="C606" s="50" t="s">
        <v>205</v>
      </c>
      <c r="D606" s="50" t="s">
        <v>243</v>
      </c>
      <c r="E606" s="50">
        <v>2</v>
      </c>
      <c r="F606">
        <v>7</v>
      </c>
      <c r="G606">
        <v>200</v>
      </c>
      <c r="H606">
        <v>9.5</v>
      </c>
      <c r="I606" s="50">
        <v>14.2</v>
      </c>
      <c r="J606" s="50">
        <v>11.7</v>
      </c>
      <c r="K606" s="50">
        <v>0</v>
      </c>
      <c r="L606" s="50">
        <v>15.4</v>
      </c>
      <c r="M606">
        <v>200</v>
      </c>
    </row>
    <row r="607" spans="1:13" hidden="1" x14ac:dyDescent="0.25">
      <c r="A607" t="s">
        <v>344</v>
      </c>
      <c r="B607" s="50" t="s">
        <v>193</v>
      </c>
      <c r="C607" s="50" t="s">
        <v>205</v>
      </c>
      <c r="D607" s="50" t="s">
        <v>243</v>
      </c>
      <c r="E607" s="50">
        <v>2</v>
      </c>
      <c r="F607">
        <v>7</v>
      </c>
      <c r="G607">
        <v>180</v>
      </c>
      <c r="H607">
        <v>9.5</v>
      </c>
      <c r="I607" s="50">
        <v>14.2</v>
      </c>
      <c r="J607" s="50">
        <v>11.7</v>
      </c>
      <c r="K607" s="50">
        <v>0</v>
      </c>
      <c r="L607" s="50">
        <v>15.4</v>
      </c>
      <c r="M607">
        <v>180</v>
      </c>
    </row>
    <row r="608" spans="1:13" hidden="1" x14ac:dyDescent="0.25">
      <c r="A608" t="s">
        <v>344</v>
      </c>
      <c r="B608" s="50" t="s">
        <v>193</v>
      </c>
      <c r="C608" s="50" t="s">
        <v>205</v>
      </c>
      <c r="D608" s="50" t="s">
        <v>243</v>
      </c>
      <c r="E608" s="50">
        <v>2</v>
      </c>
      <c r="F608">
        <v>7</v>
      </c>
      <c r="G608">
        <v>160</v>
      </c>
      <c r="H608">
        <v>9.5</v>
      </c>
      <c r="I608" s="50">
        <v>14.2</v>
      </c>
      <c r="J608" s="50">
        <v>11.7</v>
      </c>
      <c r="K608" s="50">
        <v>0</v>
      </c>
      <c r="L608" s="50">
        <v>15.4</v>
      </c>
      <c r="M608">
        <v>160</v>
      </c>
    </row>
    <row r="609" spans="1:13" hidden="1" x14ac:dyDescent="0.25">
      <c r="A609" t="s">
        <v>344</v>
      </c>
      <c r="B609" s="50" t="s">
        <v>193</v>
      </c>
      <c r="C609" s="50" t="s">
        <v>205</v>
      </c>
      <c r="D609" s="50" t="s">
        <v>243</v>
      </c>
      <c r="E609" s="50">
        <v>2</v>
      </c>
      <c r="F609">
        <v>7</v>
      </c>
      <c r="G609">
        <v>140</v>
      </c>
      <c r="H609">
        <v>9.5</v>
      </c>
      <c r="I609" s="50">
        <v>14.2</v>
      </c>
      <c r="J609" s="50">
        <v>11.7</v>
      </c>
      <c r="K609" s="50">
        <v>0</v>
      </c>
      <c r="L609" s="50">
        <v>15.4</v>
      </c>
      <c r="M609">
        <v>140</v>
      </c>
    </row>
    <row r="610" spans="1:13" hidden="1" x14ac:dyDescent="0.25">
      <c r="A610" t="s">
        <v>344</v>
      </c>
      <c r="B610" s="50" t="s">
        <v>193</v>
      </c>
      <c r="C610" s="50" t="s">
        <v>205</v>
      </c>
      <c r="D610" s="50" t="s">
        <v>243</v>
      </c>
      <c r="E610" s="50">
        <v>2</v>
      </c>
      <c r="F610">
        <v>7</v>
      </c>
      <c r="G610">
        <v>120</v>
      </c>
      <c r="H610">
        <v>9.5</v>
      </c>
      <c r="I610" s="50">
        <v>14.2</v>
      </c>
      <c r="J610" s="50">
        <v>11.7</v>
      </c>
      <c r="K610" s="50">
        <v>0</v>
      </c>
      <c r="L610" s="50">
        <v>15.4</v>
      </c>
      <c r="M610">
        <v>120</v>
      </c>
    </row>
    <row r="611" spans="1:13" hidden="1" x14ac:dyDescent="0.25">
      <c r="A611" t="s">
        <v>344</v>
      </c>
      <c r="B611" s="50" t="s">
        <v>193</v>
      </c>
      <c r="C611" s="50" t="s">
        <v>205</v>
      </c>
      <c r="D611" s="50" t="s">
        <v>243</v>
      </c>
      <c r="E611" s="50">
        <v>2</v>
      </c>
      <c r="F611">
        <v>7</v>
      </c>
      <c r="G611">
        <v>100</v>
      </c>
      <c r="H611">
        <v>9.5</v>
      </c>
      <c r="I611" s="50">
        <v>14.2</v>
      </c>
      <c r="J611" s="50">
        <v>11.7</v>
      </c>
      <c r="K611" s="50">
        <v>0</v>
      </c>
      <c r="L611" s="50">
        <v>15.4</v>
      </c>
      <c r="M611">
        <v>100</v>
      </c>
    </row>
    <row r="612" spans="1:13" hidden="1" x14ac:dyDescent="0.25">
      <c r="A612" t="s">
        <v>344</v>
      </c>
      <c r="B612" s="50" t="s">
        <v>193</v>
      </c>
      <c r="C612" s="50" t="s">
        <v>205</v>
      </c>
      <c r="D612" s="50" t="s">
        <v>243</v>
      </c>
      <c r="E612" s="50">
        <v>2</v>
      </c>
      <c r="F612">
        <v>7</v>
      </c>
      <c r="G612">
        <v>80</v>
      </c>
      <c r="H612">
        <v>9.5</v>
      </c>
      <c r="I612" s="50">
        <v>14.2</v>
      </c>
      <c r="J612" s="50">
        <v>11.7</v>
      </c>
      <c r="K612" s="50">
        <v>0</v>
      </c>
      <c r="L612" s="50">
        <v>15.4</v>
      </c>
      <c r="M612">
        <v>80</v>
      </c>
    </row>
    <row r="613" spans="1:13" hidden="1" x14ac:dyDescent="0.25">
      <c r="A613" t="s">
        <v>344</v>
      </c>
      <c r="B613" s="50" t="s">
        <v>193</v>
      </c>
      <c r="C613" s="50" t="s">
        <v>205</v>
      </c>
      <c r="D613" s="50" t="s">
        <v>243</v>
      </c>
      <c r="E613" s="50">
        <v>2</v>
      </c>
      <c r="F613">
        <v>5.6</v>
      </c>
      <c r="G613">
        <v>160</v>
      </c>
      <c r="H613">
        <v>8</v>
      </c>
      <c r="I613" s="50">
        <v>10.6</v>
      </c>
      <c r="J613" s="50">
        <v>11.7</v>
      </c>
      <c r="K613" s="50">
        <v>0</v>
      </c>
      <c r="L613" s="50">
        <v>12.3</v>
      </c>
      <c r="M613">
        <v>160</v>
      </c>
    </row>
    <row r="614" spans="1:13" hidden="1" x14ac:dyDescent="0.25">
      <c r="A614" t="s">
        <v>344</v>
      </c>
      <c r="B614" s="50" t="s">
        <v>193</v>
      </c>
      <c r="C614" s="50" t="s">
        <v>205</v>
      </c>
      <c r="D614" s="50" t="s">
        <v>243</v>
      </c>
      <c r="E614" s="50">
        <v>2</v>
      </c>
      <c r="F614">
        <v>5.6</v>
      </c>
      <c r="G614">
        <v>140</v>
      </c>
      <c r="H614">
        <v>8</v>
      </c>
      <c r="I614" s="50">
        <v>10.6</v>
      </c>
      <c r="J614" s="50">
        <v>11.7</v>
      </c>
      <c r="K614" s="50">
        <v>0</v>
      </c>
      <c r="L614" s="50">
        <v>12.3</v>
      </c>
      <c r="M614">
        <v>140</v>
      </c>
    </row>
    <row r="615" spans="1:13" hidden="1" x14ac:dyDescent="0.25">
      <c r="A615" t="s">
        <v>344</v>
      </c>
      <c r="B615" s="50" t="s">
        <v>193</v>
      </c>
      <c r="C615" s="50" t="s">
        <v>205</v>
      </c>
      <c r="D615" s="50" t="s">
        <v>243</v>
      </c>
      <c r="E615" s="50">
        <v>2</v>
      </c>
      <c r="F615">
        <v>5.3</v>
      </c>
      <c r="G615">
        <v>120</v>
      </c>
      <c r="H615">
        <v>8</v>
      </c>
      <c r="I615" s="50">
        <v>9.1999999999999993</v>
      </c>
      <c r="J615" s="50">
        <v>11.7</v>
      </c>
      <c r="K615" s="50">
        <v>0</v>
      </c>
      <c r="L615" s="50">
        <v>11</v>
      </c>
      <c r="M615">
        <v>120</v>
      </c>
    </row>
    <row r="616" spans="1:13" hidden="1" x14ac:dyDescent="0.25">
      <c r="A616" t="s">
        <v>344</v>
      </c>
      <c r="B616" s="50" t="s">
        <v>193</v>
      </c>
      <c r="C616" s="50" t="s">
        <v>205</v>
      </c>
      <c r="D616" s="50" t="s">
        <v>243</v>
      </c>
      <c r="E616" s="50">
        <v>2</v>
      </c>
      <c r="F616">
        <v>5.3</v>
      </c>
      <c r="G616">
        <v>100</v>
      </c>
      <c r="H616">
        <v>8</v>
      </c>
      <c r="I616" s="50">
        <v>9.1999999999999993</v>
      </c>
      <c r="J616" s="50">
        <v>11.7</v>
      </c>
      <c r="K616" s="50">
        <v>0</v>
      </c>
      <c r="L616" s="50">
        <v>11</v>
      </c>
      <c r="M616">
        <v>100</v>
      </c>
    </row>
    <row r="617" spans="1:13" hidden="1" x14ac:dyDescent="0.25">
      <c r="A617" t="s">
        <v>344</v>
      </c>
      <c r="B617" s="50" t="s">
        <v>193</v>
      </c>
      <c r="C617" s="50" t="s">
        <v>205</v>
      </c>
      <c r="D617" s="50" t="s">
        <v>243</v>
      </c>
      <c r="E617" s="50">
        <v>2</v>
      </c>
      <c r="F617">
        <v>5.3</v>
      </c>
      <c r="G617">
        <v>80</v>
      </c>
      <c r="H617">
        <v>8</v>
      </c>
      <c r="I617" s="50">
        <v>9.1999999999999993</v>
      </c>
      <c r="J617" s="50">
        <v>11.7</v>
      </c>
      <c r="K617" s="50">
        <v>0</v>
      </c>
      <c r="L617" s="50">
        <v>11</v>
      </c>
      <c r="M617">
        <v>80</v>
      </c>
    </row>
    <row r="618" spans="1:13" hidden="1" x14ac:dyDescent="0.25">
      <c r="A618" t="s">
        <v>344</v>
      </c>
      <c r="B618" s="50" t="s">
        <v>193</v>
      </c>
      <c r="C618" s="50" t="s">
        <v>328</v>
      </c>
      <c r="D618" s="50" t="s">
        <v>329</v>
      </c>
      <c r="E618" s="50">
        <v>2</v>
      </c>
      <c r="F618">
        <v>6</v>
      </c>
      <c r="G618">
        <v>60</v>
      </c>
      <c r="H618">
        <v>15.5</v>
      </c>
      <c r="I618" s="50">
        <v>9.4937000000000005</v>
      </c>
      <c r="J618" s="50">
        <v>11.7</v>
      </c>
      <c r="K618" s="50">
        <v>10.5</v>
      </c>
      <c r="L618" s="50">
        <v>11.3</v>
      </c>
      <c r="M618">
        <v>40</v>
      </c>
    </row>
    <row r="619" spans="1:13" hidden="1" x14ac:dyDescent="0.25">
      <c r="A619" t="s">
        <v>344</v>
      </c>
      <c r="B619" s="50" t="s">
        <v>193</v>
      </c>
      <c r="C619" s="50" t="s">
        <v>328</v>
      </c>
      <c r="D619" s="50" t="s">
        <v>329</v>
      </c>
      <c r="E619" s="50">
        <v>2</v>
      </c>
      <c r="F619">
        <v>6</v>
      </c>
      <c r="G619">
        <v>70</v>
      </c>
      <c r="H619">
        <v>15.5</v>
      </c>
      <c r="I619" s="50">
        <v>9.4937000000000005</v>
      </c>
      <c r="J619" s="50">
        <v>11.7</v>
      </c>
      <c r="K619" s="50">
        <v>10.5</v>
      </c>
      <c r="L619" s="50">
        <v>11.3</v>
      </c>
      <c r="M619">
        <v>40</v>
      </c>
    </row>
    <row r="620" spans="1:13" hidden="1" x14ac:dyDescent="0.25">
      <c r="A620" t="s">
        <v>344</v>
      </c>
      <c r="B620" s="50" t="s">
        <v>193</v>
      </c>
      <c r="C620" s="50" t="s">
        <v>328</v>
      </c>
      <c r="D620" s="50" t="s">
        <v>329</v>
      </c>
      <c r="E620" s="50">
        <v>2</v>
      </c>
      <c r="F620">
        <v>6</v>
      </c>
      <c r="G620">
        <v>80</v>
      </c>
      <c r="H620">
        <v>15.5</v>
      </c>
      <c r="I620" s="50">
        <v>9.4937000000000005</v>
      </c>
      <c r="J620" s="50">
        <v>11.7</v>
      </c>
      <c r="K620" s="50">
        <v>10.5</v>
      </c>
      <c r="L620" s="50">
        <v>11.3</v>
      </c>
      <c r="M620">
        <v>50</v>
      </c>
    </row>
    <row r="621" spans="1:13" hidden="1" x14ac:dyDescent="0.25">
      <c r="A621" t="s">
        <v>344</v>
      </c>
      <c r="B621" s="50" t="s">
        <v>193</v>
      </c>
      <c r="C621" s="50" t="s">
        <v>328</v>
      </c>
      <c r="D621" s="50" t="s">
        <v>329</v>
      </c>
      <c r="E621" s="50">
        <v>2</v>
      </c>
      <c r="F621">
        <v>6</v>
      </c>
      <c r="G621">
        <v>90</v>
      </c>
      <c r="H621">
        <v>15.5</v>
      </c>
      <c r="I621" s="50">
        <v>9.4937000000000005</v>
      </c>
      <c r="J621" s="50">
        <v>11.7</v>
      </c>
      <c r="K621" s="50">
        <v>10.5</v>
      </c>
      <c r="L621" s="50">
        <v>11.3</v>
      </c>
      <c r="M621">
        <v>50</v>
      </c>
    </row>
    <row r="622" spans="1:13" hidden="1" x14ac:dyDescent="0.25">
      <c r="A622" t="s">
        <v>344</v>
      </c>
      <c r="B622" s="50" t="s">
        <v>193</v>
      </c>
      <c r="C622" s="50" t="s">
        <v>328</v>
      </c>
      <c r="D622" s="50" t="s">
        <v>329</v>
      </c>
      <c r="E622" s="50">
        <v>2</v>
      </c>
      <c r="F622">
        <v>6</v>
      </c>
      <c r="G622">
        <v>100</v>
      </c>
      <c r="H622">
        <v>15.5</v>
      </c>
      <c r="I622" s="50">
        <v>9.4937000000000005</v>
      </c>
      <c r="J622" s="50">
        <v>11.7</v>
      </c>
      <c r="K622" s="50">
        <v>10.5</v>
      </c>
      <c r="L622" s="50">
        <v>11.3</v>
      </c>
      <c r="M622">
        <v>60</v>
      </c>
    </row>
    <row r="623" spans="1:13" hidden="1" x14ac:dyDescent="0.25">
      <c r="A623" t="s">
        <v>344</v>
      </c>
      <c r="B623" s="50" t="s">
        <v>193</v>
      </c>
      <c r="C623" s="50" t="s">
        <v>328</v>
      </c>
      <c r="D623" s="50" t="s">
        <v>329</v>
      </c>
      <c r="E623" s="50">
        <v>2</v>
      </c>
      <c r="F623">
        <v>6</v>
      </c>
      <c r="G623">
        <v>120</v>
      </c>
      <c r="H623">
        <v>15.5</v>
      </c>
      <c r="I623" s="50">
        <v>9.4937000000000005</v>
      </c>
      <c r="J623" s="50">
        <v>11.7</v>
      </c>
      <c r="K623" s="50">
        <v>10.5</v>
      </c>
      <c r="L623" s="50">
        <v>11.3</v>
      </c>
      <c r="M623">
        <v>75</v>
      </c>
    </row>
    <row r="624" spans="1:13" hidden="1" x14ac:dyDescent="0.25">
      <c r="A624" t="s">
        <v>344</v>
      </c>
      <c r="B624" s="50" t="s">
        <v>193</v>
      </c>
      <c r="C624" s="50" t="s">
        <v>328</v>
      </c>
      <c r="D624" s="50" t="s">
        <v>329</v>
      </c>
      <c r="E624" s="50">
        <v>2</v>
      </c>
      <c r="F624">
        <v>6</v>
      </c>
      <c r="G624">
        <v>140</v>
      </c>
      <c r="H624">
        <v>15.5</v>
      </c>
      <c r="I624" s="50">
        <v>9.4937000000000005</v>
      </c>
      <c r="J624" s="50">
        <v>11.7</v>
      </c>
      <c r="K624" s="50">
        <v>10.5</v>
      </c>
      <c r="L624" s="50">
        <v>11.3</v>
      </c>
      <c r="M624">
        <v>75</v>
      </c>
    </row>
    <row r="625" spans="1:13" hidden="1" x14ac:dyDescent="0.25">
      <c r="A625" t="s">
        <v>344</v>
      </c>
      <c r="B625" s="50" t="s">
        <v>193</v>
      </c>
      <c r="C625" s="50" t="s">
        <v>328</v>
      </c>
      <c r="D625" s="50" t="s">
        <v>329</v>
      </c>
      <c r="E625" s="50">
        <v>2</v>
      </c>
      <c r="F625">
        <v>6</v>
      </c>
      <c r="G625">
        <v>160</v>
      </c>
      <c r="H625">
        <v>15.5</v>
      </c>
      <c r="I625" s="50">
        <v>9.4937000000000005</v>
      </c>
      <c r="J625" s="50">
        <v>11.7</v>
      </c>
      <c r="K625" s="50">
        <v>10.5</v>
      </c>
      <c r="L625" s="50">
        <v>11.3</v>
      </c>
      <c r="M625">
        <v>75</v>
      </c>
    </row>
    <row r="626" spans="1:13" hidden="1" x14ac:dyDescent="0.25">
      <c r="A626" t="s">
        <v>344</v>
      </c>
      <c r="B626" s="50" t="s">
        <v>193</v>
      </c>
      <c r="C626" s="50" t="s">
        <v>328</v>
      </c>
      <c r="D626" s="50" t="s">
        <v>329</v>
      </c>
      <c r="E626" s="50">
        <v>2</v>
      </c>
      <c r="F626">
        <v>6</v>
      </c>
      <c r="G626">
        <v>180</v>
      </c>
      <c r="H626">
        <v>15.5</v>
      </c>
      <c r="I626" s="50">
        <v>9.4937000000000005</v>
      </c>
      <c r="J626" s="50">
        <v>11.7</v>
      </c>
      <c r="K626" s="50">
        <v>10.5</v>
      </c>
      <c r="L626" s="50">
        <v>11.3</v>
      </c>
      <c r="M626">
        <v>75</v>
      </c>
    </row>
    <row r="627" spans="1:13" hidden="1" x14ac:dyDescent="0.25">
      <c r="A627" t="s">
        <v>344</v>
      </c>
      <c r="B627" s="50" t="s">
        <v>193</v>
      </c>
      <c r="C627" s="50" t="s">
        <v>328</v>
      </c>
      <c r="D627" s="50" t="s">
        <v>329</v>
      </c>
      <c r="E627" s="50">
        <v>2</v>
      </c>
      <c r="F627">
        <v>6</v>
      </c>
      <c r="G627">
        <v>200</v>
      </c>
      <c r="H627">
        <v>15.5</v>
      </c>
      <c r="I627" s="50">
        <v>9.4937000000000005</v>
      </c>
      <c r="J627" s="50">
        <v>11.7</v>
      </c>
      <c r="K627" s="50">
        <v>10.5</v>
      </c>
      <c r="L627" s="50">
        <v>11.3</v>
      </c>
      <c r="M627">
        <v>75</v>
      </c>
    </row>
    <row r="628" spans="1:13" hidden="1" x14ac:dyDescent="0.25">
      <c r="A628" t="s">
        <v>344</v>
      </c>
      <c r="B628" s="50" t="s">
        <v>193</v>
      </c>
      <c r="C628" s="50" t="s">
        <v>328</v>
      </c>
      <c r="D628" s="50" t="s">
        <v>329</v>
      </c>
      <c r="E628" s="50">
        <v>2</v>
      </c>
      <c r="F628">
        <v>6</v>
      </c>
      <c r="G628">
        <v>220</v>
      </c>
      <c r="H628">
        <v>15.5</v>
      </c>
      <c r="I628" s="50">
        <v>9.4937000000000005</v>
      </c>
      <c r="J628" s="50">
        <v>11.7</v>
      </c>
      <c r="K628" s="50">
        <v>10.5</v>
      </c>
      <c r="L628" s="50">
        <v>11.3</v>
      </c>
      <c r="M628">
        <v>100</v>
      </c>
    </row>
    <row r="629" spans="1:13" hidden="1" x14ac:dyDescent="0.25">
      <c r="A629" t="s">
        <v>344</v>
      </c>
      <c r="B629" s="50" t="s">
        <v>193</v>
      </c>
      <c r="C629" s="50" t="s">
        <v>328</v>
      </c>
      <c r="D629" s="50" t="s">
        <v>329</v>
      </c>
      <c r="E629" s="50">
        <v>2</v>
      </c>
      <c r="F629">
        <v>6</v>
      </c>
      <c r="G629">
        <v>240</v>
      </c>
      <c r="H629">
        <v>15.5</v>
      </c>
      <c r="I629" s="50">
        <v>9.4937000000000005</v>
      </c>
      <c r="J629" s="50">
        <v>11.7</v>
      </c>
      <c r="K629" s="50">
        <v>10.5</v>
      </c>
      <c r="L629" s="50">
        <v>11.3</v>
      </c>
      <c r="M629">
        <v>100</v>
      </c>
    </row>
    <row r="630" spans="1:13" hidden="1" x14ac:dyDescent="0.25">
      <c r="A630" t="s">
        <v>344</v>
      </c>
      <c r="B630" s="50" t="s">
        <v>193</v>
      </c>
      <c r="C630" s="50" t="s">
        <v>328</v>
      </c>
      <c r="D630" s="50" t="s">
        <v>329</v>
      </c>
      <c r="E630" s="50">
        <v>2</v>
      </c>
      <c r="F630">
        <v>6</v>
      </c>
      <c r="G630">
        <v>260</v>
      </c>
      <c r="H630">
        <v>15.5</v>
      </c>
      <c r="I630" s="50">
        <v>9.4937000000000005</v>
      </c>
      <c r="J630" s="50">
        <v>11.7</v>
      </c>
      <c r="K630" s="50">
        <v>10.5</v>
      </c>
      <c r="L630" s="50">
        <v>11.3</v>
      </c>
      <c r="M630">
        <v>100</v>
      </c>
    </row>
    <row r="631" spans="1:13" hidden="1" x14ac:dyDescent="0.25">
      <c r="A631" t="s">
        <v>344</v>
      </c>
      <c r="B631" s="50" t="s">
        <v>193</v>
      </c>
      <c r="C631" s="50" t="s">
        <v>328</v>
      </c>
      <c r="D631" s="50" t="s">
        <v>329</v>
      </c>
      <c r="E631" s="50">
        <v>2</v>
      </c>
      <c r="F631">
        <v>6</v>
      </c>
      <c r="G631">
        <v>280</v>
      </c>
      <c r="H631">
        <v>15.5</v>
      </c>
      <c r="I631" s="50">
        <v>9.4937000000000005</v>
      </c>
      <c r="J631" s="50">
        <v>11.7</v>
      </c>
      <c r="K631" s="50">
        <v>10.5</v>
      </c>
      <c r="L631" s="50">
        <v>11.3</v>
      </c>
      <c r="M631">
        <v>100</v>
      </c>
    </row>
    <row r="632" spans="1:13" hidden="1" x14ac:dyDescent="0.25">
      <c r="A632" t="s">
        <v>344</v>
      </c>
      <c r="B632" s="50" t="s">
        <v>193</v>
      </c>
      <c r="C632" s="50" t="s">
        <v>328</v>
      </c>
      <c r="D632" s="50" t="s">
        <v>329</v>
      </c>
      <c r="E632" s="50">
        <v>2</v>
      </c>
      <c r="F632">
        <v>6</v>
      </c>
      <c r="G632">
        <v>300</v>
      </c>
      <c r="H632">
        <v>15.5</v>
      </c>
      <c r="I632" s="50">
        <v>9.4937000000000005</v>
      </c>
      <c r="J632" s="50">
        <v>11.7</v>
      </c>
      <c r="K632" s="50">
        <v>10.5</v>
      </c>
      <c r="L632" s="50">
        <v>11.3</v>
      </c>
      <c r="M632">
        <v>100</v>
      </c>
    </row>
    <row r="633" spans="1:13" hidden="1" x14ac:dyDescent="0.25">
      <c r="A633" t="s">
        <v>344</v>
      </c>
      <c r="B633" s="50" t="s">
        <v>193</v>
      </c>
      <c r="C633" s="50" t="s">
        <v>328</v>
      </c>
      <c r="D633" s="50" t="s">
        <v>329</v>
      </c>
      <c r="E633" s="50">
        <v>2</v>
      </c>
      <c r="F633">
        <v>8</v>
      </c>
      <c r="G633">
        <v>40</v>
      </c>
      <c r="H633">
        <v>19</v>
      </c>
      <c r="I633" s="50">
        <v>20.057500000000001</v>
      </c>
      <c r="J633" s="50">
        <v>11.7</v>
      </c>
      <c r="K633" s="50">
        <v>10.5</v>
      </c>
      <c r="L633" s="50">
        <v>20.100000000000001</v>
      </c>
      <c r="M633">
        <v>32</v>
      </c>
    </row>
    <row r="634" spans="1:13" hidden="1" x14ac:dyDescent="0.25">
      <c r="A634" t="s">
        <v>344</v>
      </c>
      <c r="B634" s="50" t="s">
        <v>193</v>
      </c>
      <c r="C634" s="50" t="s">
        <v>328</v>
      </c>
      <c r="D634" s="50" t="s">
        <v>329</v>
      </c>
      <c r="E634" s="50">
        <v>2</v>
      </c>
      <c r="F634">
        <v>8</v>
      </c>
      <c r="G634">
        <v>60</v>
      </c>
      <c r="H634">
        <v>19</v>
      </c>
      <c r="I634" s="50">
        <v>20.057500000000001</v>
      </c>
      <c r="J634" s="50">
        <v>11.7</v>
      </c>
      <c r="K634" s="50">
        <v>10.5</v>
      </c>
      <c r="L634" s="50">
        <v>20.100000000000001</v>
      </c>
      <c r="M634">
        <v>52</v>
      </c>
    </row>
    <row r="635" spans="1:13" hidden="1" x14ac:dyDescent="0.25">
      <c r="A635" t="s">
        <v>344</v>
      </c>
      <c r="B635" s="50" t="s">
        <v>193</v>
      </c>
      <c r="C635" s="50" t="s">
        <v>328</v>
      </c>
      <c r="D635" s="50" t="s">
        <v>329</v>
      </c>
      <c r="E635" s="50">
        <v>2</v>
      </c>
      <c r="F635">
        <v>8</v>
      </c>
      <c r="G635">
        <v>80</v>
      </c>
      <c r="H635">
        <v>19</v>
      </c>
      <c r="I635" s="50">
        <v>20.057500000000001</v>
      </c>
      <c r="J635" s="50">
        <v>11.7</v>
      </c>
      <c r="K635" s="50">
        <v>10.5</v>
      </c>
      <c r="L635" s="50">
        <v>20.100000000000001</v>
      </c>
      <c r="M635">
        <v>52</v>
      </c>
    </row>
    <row r="636" spans="1:13" hidden="1" x14ac:dyDescent="0.25">
      <c r="A636" t="s">
        <v>344</v>
      </c>
      <c r="B636" s="50" t="s">
        <v>193</v>
      </c>
      <c r="C636" s="50" t="s">
        <v>328</v>
      </c>
      <c r="D636" s="50" t="s">
        <v>329</v>
      </c>
      <c r="E636" s="50">
        <v>2</v>
      </c>
      <c r="F636">
        <v>8</v>
      </c>
      <c r="G636">
        <v>100</v>
      </c>
      <c r="H636">
        <v>19</v>
      </c>
      <c r="I636" s="50">
        <v>20.057500000000001</v>
      </c>
      <c r="J636" s="50">
        <v>11.7</v>
      </c>
      <c r="K636" s="50">
        <v>10.5</v>
      </c>
      <c r="L636" s="50">
        <v>20.100000000000001</v>
      </c>
      <c r="M636">
        <v>52</v>
      </c>
    </row>
    <row r="637" spans="1:13" hidden="1" x14ac:dyDescent="0.25">
      <c r="A637" t="s">
        <v>344</v>
      </c>
      <c r="B637" s="50" t="s">
        <v>193</v>
      </c>
      <c r="C637" s="50" t="s">
        <v>328</v>
      </c>
      <c r="D637" s="50" t="s">
        <v>329</v>
      </c>
      <c r="E637" s="50">
        <v>2</v>
      </c>
      <c r="F637">
        <v>8</v>
      </c>
      <c r="G637">
        <v>120</v>
      </c>
      <c r="H637">
        <v>19</v>
      </c>
      <c r="I637" s="50">
        <v>20.057500000000001</v>
      </c>
      <c r="J637" s="50">
        <v>11.7</v>
      </c>
      <c r="K637" s="50">
        <v>10.5</v>
      </c>
      <c r="L637" s="50">
        <v>20.100000000000001</v>
      </c>
      <c r="M637">
        <v>80</v>
      </c>
    </row>
    <row r="638" spans="1:13" hidden="1" x14ac:dyDescent="0.25">
      <c r="A638" t="s">
        <v>344</v>
      </c>
      <c r="B638" s="50" t="s">
        <v>193</v>
      </c>
      <c r="C638" s="50" t="s">
        <v>328</v>
      </c>
      <c r="D638" s="50" t="s">
        <v>329</v>
      </c>
      <c r="E638" s="50">
        <v>2</v>
      </c>
      <c r="F638">
        <v>8</v>
      </c>
      <c r="G638">
        <v>140</v>
      </c>
      <c r="H638">
        <v>19</v>
      </c>
      <c r="I638" s="50">
        <v>20.057500000000001</v>
      </c>
      <c r="J638" s="50">
        <v>11.7</v>
      </c>
      <c r="K638" s="50">
        <v>10.5</v>
      </c>
      <c r="L638" s="50">
        <v>20.100000000000001</v>
      </c>
      <c r="M638">
        <v>80</v>
      </c>
    </row>
    <row r="639" spans="1:13" hidden="1" x14ac:dyDescent="0.25">
      <c r="A639" t="s">
        <v>344</v>
      </c>
      <c r="B639" s="50" t="s">
        <v>193</v>
      </c>
      <c r="C639" s="50" t="s">
        <v>328</v>
      </c>
      <c r="D639" s="50" t="s">
        <v>329</v>
      </c>
      <c r="E639" s="50">
        <v>2</v>
      </c>
      <c r="F639">
        <v>8</v>
      </c>
      <c r="G639">
        <v>160</v>
      </c>
      <c r="H639">
        <v>19</v>
      </c>
      <c r="I639" s="50">
        <v>20.057500000000001</v>
      </c>
      <c r="J639" s="50">
        <v>11.7</v>
      </c>
      <c r="K639" s="50">
        <v>10.5</v>
      </c>
      <c r="L639" s="50">
        <v>20.100000000000001</v>
      </c>
      <c r="M639">
        <v>100</v>
      </c>
    </row>
    <row r="640" spans="1:13" hidden="1" x14ac:dyDescent="0.25">
      <c r="A640" t="s">
        <v>344</v>
      </c>
      <c r="B640" s="50" t="s">
        <v>193</v>
      </c>
      <c r="C640" s="50" t="s">
        <v>328</v>
      </c>
      <c r="D640" s="50" t="s">
        <v>329</v>
      </c>
      <c r="E640" s="50">
        <v>2</v>
      </c>
      <c r="F640">
        <v>8</v>
      </c>
      <c r="G640">
        <v>180</v>
      </c>
      <c r="H640">
        <v>19</v>
      </c>
      <c r="I640" s="50">
        <v>20.057500000000001</v>
      </c>
      <c r="J640" s="50">
        <v>11.7</v>
      </c>
      <c r="K640" s="50">
        <v>10.5</v>
      </c>
      <c r="L640" s="50">
        <v>20.100000000000001</v>
      </c>
      <c r="M640">
        <v>100</v>
      </c>
    </row>
    <row r="641" spans="1:13" hidden="1" x14ac:dyDescent="0.25">
      <c r="A641" t="s">
        <v>344</v>
      </c>
      <c r="B641" s="50" t="s">
        <v>193</v>
      </c>
      <c r="C641" s="50" t="s">
        <v>328</v>
      </c>
      <c r="D641" s="50" t="s">
        <v>329</v>
      </c>
      <c r="E641" s="50">
        <v>2</v>
      </c>
      <c r="F641">
        <v>8</v>
      </c>
      <c r="G641">
        <v>200</v>
      </c>
      <c r="H641">
        <v>19</v>
      </c>
      <c r="I641" s="50">
        <v>20.057500000000001</v>
      </c>
      <c r="J641" s="50">
        <v>11.7</v>
      </c>
      <c r="K641" s="50">
        <v>10.5</v>
      </c>
      <c r="L641" s="50">
        <v>20.100000000000001</v>
      </c>
      <c r="M641">
        <v>100</v>
      </c>
    </row>
    <row r="642" spans="1:13" hidden="1" x14ac:dyDescent="0.25">
      <c r="A642" t="s">
        <v>344</v>
      </c>
      <c r="B642" s="50" t="s">
        <v>193</v>
      </c>
      <c r="C642" s="50" t="s">
        <v>328</v>
      </c>
      <c r="D642" s="50" t="s">
        <v>329</v>
      </c>
      <c r="E642" s="50">
        <v>2</v>
      </c>
      <c r="F642">
        <v>8</v>
      </c>
      <c r="G642">
        <v>220</v>
      </c>
      <c r="H642">
        <v>19</v>
      </c>
      <c r="I642" s="50">
        <v>20.057500000000001</v>
      </c>
      <c r="J642" s="50">
        <v>11.7</v>
      </c>
      <c r="K642" s="50">
        <v>10.5</v>
      </c>
      <c r="L642" s="50">
        <v>20.100000000000001</v>
      </c>
      <c r="M642">
        <v>100</v>
      </c>
    </row>
    <row r="643" spans="1:13" hidden="1" x14ac:dyDescent="0.25">
      <c r="A643" t="s">
        <v>344</v>
      </c>
      <c r="B643" s="50" t="s">
        <v>193</v>
      </c>
      <c r="C643" s="50" t="s">
        <v>328</v>
      </c>
      <c r="D643" s="50" t="s">
        <v>329</v>
      </c>
      <c r="E643" s="50">
        <v>2</v>
      </c>
      <c r="F643">
        <v>8</v>
      </c>
      <c r="G643">
        <v>240</v>
      </c>
      <c r="H643">
        <v>19</v>
      </c>
      <c r="I643" s="50">
        <v>20.057500000000001</v>
      </c>
      <c r="J643" s="50">
        <v>11.7</v>
      </c>
      <c r="K643" s="50">
        <v>10.5</v>
      </c>
      <c r="L643" s="50">
        <v>20.100000000000001</v>
      </c>
      <c r="M643">
        <v>100</v>
      </c>
    </row>
    <row r="644" spans="1:13" hidden="1" x14ac:dyDescent="0.25">
      <c r="A644" t="s">
        <v>344</v>
      </c>
      <c r="B644" s="50" t="s">
        <v>193</v>
      </c>
      <c r="C644" s="50" t="s">
        <v>328</v>
      </c>
      <c r="D644" s="50" t="s">
        <v>329</v>
      </c>
      <c r="E644" s="50">
        <v>2</v>
      </c>
      <c r="F644">
        <v>8</v>
      </c>
      <c r="G644">
        <v>260</v>
      </c>
      <c r="H644">
        <v>19</v>
      </c>
      <c r="I644" s="50">
        <v>20.057500000000001</v>
      </c>
      <c r="J644" s="50">
        <v>11.7</v>
      </c>
      <c r="K644" s="50">
        <v>10.5</v>
      </c>
      <c r="L644" s="50">
        <v>20.100000000000001</v>
      </c>
      <c r="M644">
        <v>100</v>
      </c>
    </row>
    <row r="645" spans="1:13" hidden="1" x14ac:dyDescent="0.25">
      <c r="A645" t="s">
        <v>344</v>
      </c>
      <c r="B645" s="50" t="s">
        <v>193</v>
      </c>
      <c r="C645" s="50" t="s">
        <v>328</v>
      </c>
      <c r="D645" s="50" t="s">
        <v>329</v>
      </c>
      <c r="E645" s="50">
        <v>2</v>
      </c>
      <c r="F645">
        <v>8</v>
      </c>
      <c r="G645">
        <v>280</v>
      </c>
      <c r="H645">
        <v>19</v>
      </c>
      <c r="I645" s="50">
        <v>20.057500000000001</v>
      </c>
      <c r="J645" s="50">
        <v>11.7</v>
      </c>
      <c r="K645" s="50">
        <v>10.5</v>
      </c>
      <c r="L645" s="50">
        <v>20.100000000000001</v>
      </c>
      <c r="M645">
        <v>100</v>
      </c>
    </row>
    <row r="646" spans="1:13" hidden="1" x14ac:dyDescent="0.25">
      <c r="A646" t="s">
        <v>344</v>
      </c>
      <c r="B646" s="50" t="s">
        <v>193</v>
      </c>
      <c r="C646" s="50" t="s">
        <v>328</v>
      </c>
      <c r="D646" s="50" t="s">
        <v>329</v>
      </c>
      <c r="E646" s="50">
        <v>2</v>
      </c>
      <c r="F646">
        <v>8</v>
      </c>
      <c r="G646">
        <v>300</v>
      </c>
      <c r="H646">
        <v>19</v>
      </c>
      <c r="I646" s="50">
        <v>20.057500000000001</v>
      </c>
      <c r="J646" s="50">
        <v>11.7</v>
      </c>
      <c r="K646" s="50">
        <v>10.5</v>
      </c>
      <c r="L646" s="50">
        <v>20.100000000000001</v>
      </c>
      <c r="M646">
        <v>100</v>
      </c>
    </row>
    <row r="647" spans="1:13" hidden="1" x14ac:dyDescent="0.25">
      <c r="A647" t="s">
        <v>344</v>
      </c>
      <c r="B647" s="50" t="s">
        <v>193</v>
      </c>
      <c r="C647" s="50" t="s">
        <v>328</v>
      </c>
      <c r="D647" s="50" t="s">
        <v>329</v>
      </c>
      <c r="E647" s="50">
        <v>2</v>
      </c>
      <c r="F647">
        <v>8</v>
      </c>
      <c r="G647">
        <v>320</v>
      </c>
      <c r="H647">
        <v>19</v>
      </c>
      <c r="I647" s="50">
        <v>20.057500000000001</v>
      </c>
      <c r="J647" s="50">
        <v>11.7</v>
      </c>
      <c r="K647" s="50">
        <v>10.5</v>
      </c>
      <c r="L647" s="50">
        <v>20.100000000000001</v>
      </c>
      <c r="M647">
        <v>100</v>
      </c>
    </row>
    <row r="648" spans="1:13" hidden="1" x14ac:dyDescent="0.25">
      <c r="A648" t="s">
        <v>344</v>
      </c>
      <c r="B648" s="50" t="s">
        <v>193</v>
      </c>
      <c r="C648" s="50" t="s">
        <v>328</v>
      </c>
      <c r="D648" s="50" t="s">
        <v>329</v>
      </c>
      <c r="E648" s="50">
        <v>2</v>
      </c>
      <c r="F648">
        <v>8</v>
      </c>
      <c r="G648">
        <v>340</v>
      </c>
      <c r="H648">
        <v>19</v>
      </c>
      <c r="I648" s="50">
        <v>20.057500000000001</v>
      </c>
      <c r="J648" s="50">
        <v>11.7</v>
      </c>
      <c r="K648" s="50">
        <v>10.5</v>
      </c>
      <c r="L648" s="50">
        <v>20.100000000000001</v>
      </c>
      <c r="M648">
        <v>100</v>
      </c>
    </row>
    <row r="649" spans="1:13" hidden="1" x14ac:dyDescent="0.25">
      <c r="A649" t="s">
        <v>344</v>
      </c>
      <c r="B649" s="50" t="s">
        <v>193</v>
      </c>
      <c r="C649" s="50" t="s">
        <v>328</v>
      </c>
      <c r="D649" s="50" t="s">
        <v>329</v>
      </c>
      <c r="E649" s="50">
        <v>2</v>
      </c>
      <c r="F649">
        <v>8</v>
      </c>
      <c r="G649">
        <v>360</v>
      </c>
      <c r="H649">
        <v>19</v>
      </c>
      <c r="I649" s="50">
        <v>20.057500000000001</v>
      </c>
      <c r="J649" s="50">
        <v>11.7</v>
      </c>
      <c r="K649" s="50">
        <v>10.5</v>
      </c>
      <c r="L649" s="50">
        <v>20.100000000000001</v>
      </c>
      <c r="M649">
        <v>100</v>
      </c>
    </row>
    <row r="650" spans="1:13" hidden="1" x14ac:dyDescent="0.25">
      <c r="A650" t="s">
        <v>344</v>
      </c>
      <c r="B650" s="50" t="s">
        <v>193</v>
      </c>
      <c r="C650" s="50" t="s">
        <v>328</v>
      </c>
      <c r="D650" s="50" t="s">
        <v>329</v>
      </c>
      <c r="E650" s="50">
        <v>2</v>
      </c>
      <c r="F650">
        <v>8</v>
      </c>
      <c r="G650">
        <v>380</v>
      </c>
      <c r="H650">
        <v>19</v>
      </c>
      <c r="I650" s="50">
        <v>20.057500000000001</v>
      </c>
      <c r="J650" s="50">
        <v>11.7</v>
      </c>
      <c r="K650" s="50">
        <v>10.5</v>
      </c>
      <c r="L650" s="50">
        <v>20.100000000000001</v>
      </c>
      <c r="M650">
        <v>100</v>
      </c>
    </row>
    <row r="651" spans="1:13" hidden="1" x14ac:dyDescent="0.25">
      <c r="A651" t="s">
        <v>344</v>
      </c>
      <c r="B651" s="50" t="s">
        <v>193</v>
      </c>
      <c r="C651" s="50" t="s">
        <v>328</v>
      </c>
      <c r="D651" s="50" t="s">
        <v>329</v>
      </c>
      <c r="E651" s="50">
        <v>2</v>
      </c>
      <c r="F651">
        <v>8</v>
      </c>
      <c r="G651">
        <v>400</v>
      </c>
      <c r="H651">
        <v>19</v>
      </c>
      <c r="I651" s="50">
        <v>20.057500000000001</v>
      </c>
      <c r="J651" s="50">
        <v>11.7</v>
      </c>
      <c r="K651" s="50">
        <v>10.5</v>
      </c>
      <c r="L651" s="50">
        <v>20.100000000000001</v>
      </c>
      <c r="M651">
        <v>100</v>
      </c>
    </row>
    <row r="652" spans="1:13" hidden="1" x14ac:dyDescent="0.25">
      <c r="A652" t="s">
        <v>344</v>
      </c>
      <c r="B652" s="50" t="s">
        <v>193</v>
      </c>
      <c r="C652" s="50" t="s">
        <v>328</v>
      </c>
      <c r="D652" s="50" t="s">
        <v>329</v>
      </c>
      <c r="E652" s="50">
        <v>2</v>
      </c>
      <c r="F652">
        <v>8</v>
      </c>
      <c r="G652">
        <v>440</v>
      </c>
      <c r="H652">
        <v>19</v>
      </c>
      <c r="I652" s="50">
        <v>20.057500000000001</v>
      </c>
      <c r="J652" s="50">
        <v>11.7</v>
      </c>
      <c r="K652" s="50">
        <v>10.5</v>
      </c>
      <c r="L652" s="50">
        <v>20.100000000000001</v>
      </c>
      <c r="M652">
        <v>100</v>
      </c>
    </row>
    <row r="653" spans="1:13" hidden="1" x14ac:dyDescent="0.25">
      <c r="A653" t="s">
        <v>344</v>
      </c>
      <c r="B653" s="50" t="s">
        <v>193</v>
      </c>
      <c r="C653" s="50" t="s">
        <v>328</v>
      </c>
      <c r="D653" s="50" t="s">
        <v>329</v>
      </c>
      <c r="E653" s="50">
        <v>2</v>
      </c>
      <c r="F653">
        <v>8</v>
      </c>
      <c r="G653">
        <v>480</v>
      </c>
      <c r="H653">
        <v>19</v>
      </c>
      <c r="I653" s="50">
        <v>20.057500000000001</v>
      </c>
      <c r="J653" s="50">
        <v>11.7</v>
      </c>
      <c r="K653" s="50">
        <v>10.5</v>
      </c>
      <c r="L653" s="50">
        <v>20.100000000000001</v>
      </c>
      <c r="M653">
        <v>100</v>
      </c>
    </row>
    <row r="654" spans="1:13" hidden="1" x14ac:dyDescent="0.25">
      <c r="A654" t="s">
        <v>344</v>
      </c>
      <c r="B654" s="50" t="s">
        <v>193</v>
      </c>
      <c r="C654" s="50" t="s">
        <v>328</v>
      </c>
      <c r="D654" s="50" t="s">
        <v>329</v>
      </c>
      <c r="E654" s="50">
        <v>2</v>
      </c>
      <c r="F654">
        <v>8</v>
      </c>
      <c r="G654">
        <v>520</v>
      </c>
      <c r="H654">
        <v>19</v>
      </c>
      <c r="I654" s="50">
        <v>20.057500000000001</v>
      </c>
      <c r="J654" s="50">
        <v>11.7</v>
      </c>
      <c r="K654" s="50">
        <v>10.5</v>
      </c>
      <c r="L654" s="50">
        <v>20.100000000000001</v>
      </c>
      <c r="M654">
        <v>100</v>
      </c>
    </row>
    <row r="655" spans="1:13" hidden="1" x14ac:dyDescent="0.25">
      <c r="A655" t="s">
        <v>344</v>
      </c>
      <c r="B655" s="50" t="s">
        <v>193</v>
      </c>
      <c r="C655" s="50" t="s">
        <v>328</v>
      </c>
      <c r="D655" s="50" t="s">
        <v>329</v>
      </c>
      <c r="E655" s="50">
        <v>2</v>
      </c>
      <c r="F655">
        <v>8</v>
      </c>
      <c r="G655">
        <v>200</v>
      </c>
      <c r="H655">
        <v>24.5</v>
      </c>
      <c r="I655" s="50">
        <v>20.057500000000001</v>
      </c>
      <c r="J655" s="50">
        <v>11.7</v>
      </c>
      <c r="K655" s="50">
        <v>16</v>
      </c>
      <c r="L655" s="50">
        <v>20.100000000000001</v>
      </c>
      <c r="M655">
        <v>120</v>
      </c>
    </row>
    <row r="656" spans="1:13" hidden="1" x14ac:dyDescent="0.25">
      <c r="A656" t="s">
        <v>344</v>
      </c>
      <c r="B656" s="50" t="s">
        <v>193</v>
      </c>
      <c r="C656" s="50" t="s">
        <v>328</v>
      </c>
      <c r="D656" s="50" t="s">
        <v>329</v>
      </c>
      <c r="E656" s="50">
        <v>2</v>
      </c>
      <c r="F656">
        <v>8</v>
      </c>
      <c r="G656">
        <v>220</v>
      </c>
      <c r="H656">
        <v>24.5</v>
      </c>
      <c r="I656" s="50">
        <v>20.057500000000001</v>
      </c>
      <c r="J656" s="50">
        <v>11.7</v>
      </c>
      <c r="K656" s="50">
        <v>16</v>
      </c>
      <c r="L656" s="50">
        <v>20.100000000000001</v>
      </c>
      <c r="M656">
        <v>120</v>
      </c>
    </row>
    <row r="657" spans="1:13" hidden="1" x14ac:dyDescent="0.25">
      <c r="A657" t="s">
        <v>344</v>
      </c>
      <c r="B657" s="50" t="s">
        <v>193</v>
      </c>
      <c r="C657" s="50" t="s">
        <v>328</v>
      </c>
      <c r="D657" s="50" t="s">
        <v>329</v>
      </c>
      <c r="E657" s="50">
        <v>2</v>
      </c>
      <c r="F657">
        <v>8</v>
      </c>
      <c r="G657">
        <v>240</v>
      </c>
      <c r="H657">
        <v>24.5</v>
      </c>
      <c r="I657" s="50">
        <v>20.057500000000001</v>
      </c>
      <c r="J657" s="50">
        <v>11.7</v>
      </c>
      <c r="K657" s="50">
        <v>16</v>
      </c>
      <c r="L657" s="50">
        <v>20.100000000000001</v>
      </c>
      <c r="M657">
        <v>120</v>
      </c>
    </row>
    <row r="658" spans="1:13" hidden="1" x14ac:dyDescent="0.25">
      <c r="A658" t="s">
        <v>344</v>
      </c>
      <c r="B658" s="50" t="s">
        <v>193</v>
      </c>
      <c r="C658" s="50" t="s">
        <v>328</v>
      </c>
      <c r="D658" s="50" t="s">
        <v>329</v>
      </c>
      <c r="E658" s="50">
        <v>2</v>
      </c>
      <c r="F658">
        <v>10</v>
      </c>
      <c r="G658">
        <v>100</v>
      </c>
      <c r="H658">
        <v>25</v>
      </c>
      <c r="I658" s="50">
        <v>35.829599999999999</v>
      </c>
      <c r="J658" s="50">
        <v>11.7</v>
      </c>
      <c r="K658" s="50">
        <v>10.5</v>
      </c>
      <c r="L658" s="50">
        <v>31.4</v>
      </c>
      <c r="M658">
        <v>52</v>
      </c>
    </row>
    <row r="659" spans="1:13" hidden="1" x14ac:dyDescent="0.25">
      <c r="A659" t="s">
        <v>344</v>
      </c>
      <c r="B659" s="50" t="s">
        <v>193</v>
      </c>
      <c r="C659" s="50" t="s">
        <v>328</v>
      </c>
      <c r="D659" s="50" t="s">
        <v>329</v>
      </c>
      <c r="E659" s="50">
        <v>2</v>
      </c>
      <c r="F659">
        <v>10</v>
      </c>
      <c r="G659">
        <v>120</v>
      </c>
      <c r="H659">
        <v>25</v>
      </c>
      <c r="I659" s="50">
        <v>35.829599999999999</v>
      </c>
      <c r="J659" s="50">
        <v>11.7</v>
      </c>
      <c r="K659" s="50">
        <v>10.5</v>
      </c>
      <c r="L659" s="50">
        <v>31.4</v>
      </c>
      <c r="M659">
        <v>60</v>
      </c>
    </row>
    <row r="660" spans="1:13" hidden="1" x14ac:dyDescent="0.25">
      <c r="A660" t="s">
        <v>344</v>
      </c>
      <c r="B660" s="50" t="s">
        <v>193</v>
      </c>
      <c r="C660" s="50" t="s">
        <v>328</v>
      </c>
      <c r="D660" s="50" t="s">
        <v>329</v>
      </c>
      <c r="E660" s="50">
        <v>2</v>
      </c>
      <c r="F660">
        <v>10</v>
      </c>
      <c r="G660">
        <v>140</v>
      </c>
      <c r="H660">
        <v>25</v>
      </c>
      <c r="I660" s="50">
        <v>35.829599999999999</v>
      </c>
      <c r="J660" s="50">
        <v>11.7</v>
      </c>
      <c r="K660" s="50">
        <v>10.5</v>
      </c>
      <c r="L660" s="50">
        <v>31.4</v>
      </c>
      <c r="M660">
        <v>60</v>
      </c>
    </row>
    <row r="661" spans="1:13" hidden="1" x14ac:dyDescent="0.25">
      <c r="A661" t="s">
        <v>344</v>
      </c>
      <c r="B661" s="50" t="s">
        <v>193</v>
      </c>
      <c r="C661" s="50" t="s">
        <v>328</v>
      </c>
      <c r="D661" s="50" t="s">
        <v>329</v>
      </c>
      <c r="E661" s="50">
        <v>2</v>
      </c>
      <c r="F661">
        <v>10</v>
      </c>
      <c r="G661">
        <v>160</v>
      </c>
      <c r="H661">
        <v>25</v>
      </c>
      <c r="I661" s="50">
        <v>35.829599999999999</v>
      </c>
      <c r="J661" s="50">
        <v>11.7</v>
      </c>
      <c r="K661" s="50">
        <v>10.5</v>
      </c>
      <c r="L661" s="50">
        <v>31.4</v>
      </c>
      <c r="M661">
        <v>80</v>
      </c>
    </row>
    <row r="662" spans="1:13" hidden="1" x14ac:dyDescent="0.25">
      <c r="A662" t="s">
        <v>344</v>
      </c>
      <c r="B662" s="50" t="s">
        <v>193</v>
      </c>
      <c r="C662" s="50" t="s">
        <v>328</v>
      </c>
      <c r="D662" s="50" t="s">
        <v>329</v>
      </c>
      <c r="E662" s="50">
        <v>2</v>
      </c>
      <c r="F662">
        <v>10</v>
      </c>
      <c r="G662">
        <v>180</v>
      </c>
      <c r="H662">
        <v>25</v>
      </c>
      <c r="I662" s="50">
        <v>35.829599999999999</v>
      </c>
      <c r="J662" s="50">
        <v>11.7</v>
      </c>
      <c r="K662" s="50">
        <v>10.5</v>
      </c>
      <c r="L662" s="50">
        <v>31.4</v>
      </c>
      <c r="M662">
        <v>80</v>
      </c>
    </row>
    <row r="663" spans="1:13" hidden="1" x14ac:dyDescent="0.25">
      <c r="A663" t="s">
        <v>344</v>
      </c>
      <c r="B663" s="50" t="s">
        <v>193</v>
      </c>
      <c r="C663" s="50" t="s">
        <v>328</v>
      </c>
      <c r="D663" s="50" t="s">
        <v>329</v>
      </c>
      <c r="E663" s="50">
        <v>2</v>
      </c>
      <c r="F663">
        <v>10</v>
      </c>
      <c r="G663">
        <v>200</v>
      </c>
      <c r="H663">
        <v>25</v>
      </c>
      <c r="I663" s="50">
        <v>35.829599999999999</v>
      </c>
      <c r="J663" s="50">
        <v>11.7</v>
      </c>
      <c r="K663" s="50">
        <v>10.5</v>
      </c>
      <c r="L663" s="50">
        <v>31.4</v>
      </c>
      <c r="M663">
        <v>100</v>
      </c>
    </row>
    <row r="664" spans="1:13" hidden="1" x14ac:dyDescent="0.25">
      <c r="A664" t="s">
        <v>344</v>
      </c>
      <c r="B664" s="50" t="s">
        <v>193</v>
      </c>
      <c r="C664" s="50" t="s">
        <v>328</v>
      </c>
      <c r="D664" s="50" t="s">
        <v>329</v>
      </c>
      <c r="E664" s="50">
        <v>2</v>
      </c>
      <c r="F664">
        <v>10</v>
      </c>
      <c r="G664">
        <v>220</v>
      </c>
      <c r="H664">
        <v>25</v>
      </c>
      <c r="I664" s="50">
        <v>35.829599999999999</v>
      </c>
      <c r="J664" s="50">
        <v>11.7</v>
      </c>
      <c r="K664" s="50">
        <v>10.5</v>
      </c>
      <c r="L664" s="50">
        <v>31.4</v>
      </c>
      <c r="M664">
        <v>100</v>
      </c>
    </row>
    <row r="665" spans="1:13" hidden="1" x14ac:dyDescent="0.25">
      <c r="A665" t="s">
        <v>344</v>
      </c>
      <c r="B665" s="50" t="s">
        <v>193</v>
      </c>
      <c r="C665" s="50" t="s">
        <v>328</v>
      </c>
      <c r="D665" s="50" t="s">
        <v>329</v>
      </c>
      <c r="E665" s="50">
        <v>2</v>
      </c>
      <c r="F665">
        <v>10</v>
      </c>
      <c r="G665">
        <v>240</v>
      </c>
      <c r="H665">
        <v>25</v>
      </c>
      <c r="I665" s="50">
        <v>35.829599999999999</v>
      </c>
      <c r="J665" s="50">
        <v>11.7</v>
      </c>
      <c r="K665" s="50">
        <v>10.5</v>
      </c>
      <c r="L665" s="50">
        <v>31.4</v>
      </c>
      <c r="M665">
        <v>100</v>
      </c>
    </row>
    <row r="666" spans="1:13" hidden="1" x14ac:dyDescent="0.25">
      <c r="A666" t="s">
        <v>344</v>
      </c>
      <c r="B666" s="50" t="s">
        <v>193</v>
      </c>
      <c r="C666" s="50" t="s">
        <v>328</v>
      </c>
      <c r="D666" s="50" t="s">
        <v>329</v>
      </c>
      <c r="E666" s="50">
        <v>2</v>
      </c>
      <c r="F666">
        <v>10</v>
      </c>
      <c r="G666">
        <v>260</v>
      </c>
      <c r="H666">
        <v>25</v>
      </c>
      <c r="I666" s="50">
        <v>35.829599999999999</v>
      </c>
      <c r="J666" s="50">
        <v>11.7</v>
      </c>
      <c r="K666" s="50">
        <v>10.5</v>
      </c>
      <c r="L666" s="50">
        <v>31.4</v>
      </c>
      <c r="M666">
        <v>100</v>
      </c>
    </row>
    <row r="667" spans="1:13" hidden="1" x14ac:dyDescent="0.25">
      <c r="A667" t="s">
        <v>344</v>
      </c>
      <c r="B667" s="50" t="s">
        <v>193</v>
      </c>
      <c r="C667" s="50" t="s">
        <v>328</v>
      </c>
      <c r="D667" s="50" t="s">
        <v>329</v>
      </c>
      <c r="E667" s="50">
        <v>2</v>
      </c>
      <c r="F667">
        <v>10</v>
      </c>
      <c r="G667">
        <v>280</v>
      </c>
      <c r="H667">
        <v>25</v>
      </c>
      <c r="I667" s="50">
        <v>35.829599999999999</v>
      </c>
      <c r="J667" s="50">
        <v>11.7</v>
      </c>
      <c r="K667" s="50">
        <v>10.5</v>
      </c>
      <c r="L667" s="50">
        <v>31.4</v>
      </c>
      <c r="M667">
        <v>100</v>
      </c>
    </row>
    <row r="668" spans="1:13" hidden="1" x14ac:dyDescent="0.25">
      <c r="A668" t="s">
        <v>344</v>
      </c>
      <c r="B668" s="50" t="s">
        <v>193</v>
      </c>
      <c r="C668" s="50" t="s">
        <v>328</v>
      </c>
      <c r="D668" s="50" t="s">
        <v>329</v>
      </c>
      <c r="E668" s="50">
        <v>2</v>
      </c>
      <c r="F668">
        <v>10</v>
      </c>
      <c r="G668">
        <v>300</v>
      </c>
      <c r="H668">
        <v>25</v>
      </c>
      <c r="I668" s="50">
        <v>35.829599999999999</v>
      </c>
      <c r="J668" s="50">
        <v>11.7</v>
      </c>
      <c r="K668" s="50">
        <v>10.5</v>
      </c>
      <c r="L668" s="50">
        <v>31.4</v>
      </c>
      <c r="M668">
        <v>100</v>
      </c>
    </row>
    <row r="669" spans="1:13" hidden="1" x14ac:dyDescent="0.25">
      <c r="A669" t="s">
        <v>344</v>
      </c>
      <c r="B669" s="50" t="s">
        <v>193</v>
      </c>
      <c r="C669" s="50" t="s">
        <v>328</v>
      </c>
      <c r="D669" s="50" t="s">
        <v>329</v>
      </c>
      <c r="E669" s="50">
        <v>2</v>
      </c>
      <c r="F669">
        <v>10</v>
      </c>
      <c r="G669">
        <v>320</v>
      </c>
      <c r="H669">
        <v>25</v>
      </c>
      <c r="I669" s="50">
        <v>35.829599999999999</v>
      </c>
      <c r="J669" s="50">
        <v>11.7</v>
      </c>
      <c r="K669" s="50">
        <v>10.5</v>
      </c>
      <c r="L669" s="50">
        <v>31.4</v>
      </c>
      <c r="M669">
        <v>120</v>
      </c>
    </row>
    <row r="670" spans="1:13" hidden="1" x14ac:dyDescent="0.25">
      <c r="A670" t="s">
        <v>344</v>
      </c>
      <c r="B670" s="50" t="s">
        <v>193</v>
      </c>
      <c r="C670" s="50" t="s">
        <v>328</v>
      </c>
      <c r="D670" s="50" t="s">
        <v>329</v>
      </c>
      <c r="E670" s="50">
        <v>2</v>
      </c>
      <c r="F670">
        <v>10</v>
      </c>
      <c r="G670">
        <v>340</v>
      </c>
      <c r="H670">
        <v>25</v>
      </c>
      <c r="I670" s="50">
        <v>35.829599999999999</v>
      </c>
      <c r="J670" s="50">
        <v>11.7</v>
      </c>
      <c r="K670" s="50">
        <v>10.5</v>
      </c>
      <c r="L670" s="50">
        <v>31.4</v>
      </c>
      <c r="M670">
        <v>120</v>
      </c>
    </row>
    <row r="671" spans="1:13" hidden="1" x14ac:dyDescent="0.25">
      <c r="A671" t="s">
        <v>344</v>
      </c>
      <c r="B671" s="50" t="s">
        <v>193</v>
      </c>
      <c r="C671" s="50" t="s">
        <v>328</v>
      </c>
      <c r="D671" s="50" t="s">
        <v>329</v>
      </c>
      <c r="E671" s="50">
        <v>2</v>
      </c>
      <c r="F671">
        <v>10</v>
      </c>
      <c r="G671">
        <v>360</v>
      </c>
      <c r="H671">
        <v>25</v>
      </c>
      <c r="I671" s="50">
        <v>35.829599999999999</v>
      </c>
      <c r="J671" s="50">
        <v>11.7</v>
      </c>
      <c r="K671" s="50">
        <v>10.5</v>
      </c>
      <c r="L671" s="50">
        <v>31.4</v>
      </c>
      <c r="M671">
        <v>120</v>
      </c>
    </row>
    <row r="672" spans="1:13" hidden="1" x14ac:dyDescent="0.25">
      <c r="A672" t="s">
        <v>344</v>
      </c>
      <c r="B672" s="50" t="s">
        <v>193</v>
      </c>
      <c r="C672" s="50" t="s">
        <v>328</v>
      </c>
      <c r="D672" s="50" t="s">
        <v>329</v>
      </c>
      <c r="E672" s="50">
        <v>2</v>
      </c>
      <c r="F672">
        <v>10</v>
      </c>
      <c r="G672">
        <v>380</v>
      </c>
      <c r="H672">
        <v>25</v>
      </c>
      <c r="I672" s="50">
        <v>35.829599999999999</v>
      </c>
      <c r="J672" s="50">
        <v>11.7</v>
      </c>
      <c r="K672" s="50">
        <v>10.5</v>
      </c>
      <c r="L672" s="50">
        <v>31.4</v>
      </c>
      <c r="M672">
        <v>120</v>
      </c>
    </row>
    <row r="673" spans="1:13" hidden="1" x14ac:dyDescent="0.25">
      <c r="A673" t="s">
        <v>344</v>
      </c>
      <c r="B673" s="50" t="s">
        <v>193</v>
      </c>
      <c r="C673" s="50" t="s">
        <v>328</v>
      </c>
      <c r="D673" s="50" t="s">
        <v>329</v>
      </c>
      <c r="E673" s="50">
        <v>2</v>
      </c>
      <c r="F673">
        <v>10</v>
      </c>
      <c r="G673">
        <v>400</v>
      </c>
      <c r="H673">
        <v>25</v>
      </c>
      <c r="I673" s="50">
        <v>35.829599999999999</v>
      </c>
      <c r="J673" s="50">
        <v>11.7</v>
      </c>
      <c r="K673" s="50">
        <v>10.5</v>
      </c>
      <c r="L673" s="50">
        <v>31.4</v>
      </c>
      <c r="M673">
        <v>120</v>
      </c>
    </row>
    <row r="674" spans="1:13" hidden="1" x14ac:dyDescent="0.25">
      <c r="A674" t="s">
        <v>344</v>
      </c>
      <c r="B674" s="50" t="s">
        <v>193</v>
      </c>
      <c r="C674" s="50" t="s">
        <v>328</v>
      </c>
      <c r="D674" s="50" t="s">
        <v>329</v>
      </c>
      <c r="E674" s="50">
        <v>2</v>
      </c>
      <c r="F674">
        <v>10</v>
      </c>
      <c r="G674">
        <v>440</v>
      </c>
      <c r="H674">
        <v>25</v>
      </c>
      <c r="I674" s="50">
        <v>35.829599999999999</v>
      </c>
      <c r="J674" s="50">
        <v>11.7</v>
      </c>
      <c r="K674" s="50">
        <v>10.5</v>
      </c>
      <c r="L674" s="50">
        <v>31.4</v>
      </c>
      <c r="M674">
        <v>120</v>
      </c>
    </row>
    <row r="675" spans="1:13" hidden="1" x14ac:dyDescent="0.25">
      <c r="A675" t="s">
        <v>344</v>
      </c>
      <c r="B675" s="50" t="s">
        <v>193</v>
      </c>
      <c r="C675" s="50" t="s">
        <v>328</v>
      </c>
      <c r="D675" s="50" t="s">
        <v>329</v>
      </c>
      <c r="E675" s="50">
        <v>2</v>
      </c>
      <c r="F675">
        <v>10</v>
      </c>
      <c r="G675">
        <v>480</v>
      </c>
      <c r="H675">
        <v>25</v>
      </c>
      <c r="I675" s="50">
        <v>35.829599999999999</v>
      </c>
      <c r="J675" s="50">
        <v>11.7</v>
      </c>
      <c r="K675" s="50">
        <v>10.5</v>
      </c>
      <c r="L675" s="50">
        <v>31.4</v>
      </c>
      <c r="M675">
        <v>120</v>
      </c>
    </row>
    <row r="676" spans="1:13" hidden="1" x14ac:dyDescent="0.25">
      <c r="A676" t="s">
        <v>344</v>
      </c>
      <c r="B676" s="50" t="s">
        <v>193</v>
      </c>
      <c r="C676" s="50" t="s">
        <v>328</v>
      </c>
      <c r="D676" s="50" t="s">
        <v>329</v>
      </c>
      <c r="E676" s="50">
        <v>2</v>
      </c>
      <c r="F676">
        <v>10</v>
      </c>
      <c r="G676">
        <v>520</v>
      </c>
      <c r="H676">
        <v>25</v>
      </c>
      <c r="I676" s="50">
        <v>35.829599999999999</v>
      </c>
      <c r="J676" s="50">
        <v>11.7</v>
      </c>
      <c r="K676" s="50">
        <v>10.5</v>
      </c>
      <c r="L676" s="50">
        <v>31.4</v>
      </c>
      <c r="M676">
        <v>120</v>
      </c>
    </row>
    <row r="677" spans="1:13" hidden="1" x14ac:dyDescent="0.25">
      <c r="A677" t="s">
        <v>344</v>
      </c>
      <c r="B677" s="50" t="s">
        <v>193</v>
      </c>
      <c r="C677" s="50" t="s">
        <v>330</v>
      </c>
      <c r="D677" s="50" t="s">
        <v>329</v>
      </c>
      <c r="E677" s="50">
        <v>3</v>
      </c>
      <c r="F677">
        <v>6</v>
      </c>
      <c r="G677">
        <v>60</v>
      </c>
      <c r="H677">
        <v>15.5</v>
      </c>
      <c r="I677" s="50">
        <v>9.4937000000000005</v>
      </c>
      <c r="J677" s="50">
        <v>11.7</v>
      </c>
      <c r="K677" s="50">
        <v>10.5</v>
      </c>
      <c r="L677" s="50">
        <v>11.3</v>
      </c>
      <c r="M677">
        <v>40</v>
      </c>
    </row>
    <row r="678" spans="1:13" hidden="1" x14ac:dyDescent="0.25">
      <c r="A678" t="s">
        <v>344</v>
      </c>
      <c r="B678" s="50" t="s">
        <v>193</v>
      </c>
      <c r="C678" s="50" t="s">
        <v>330</v>
      </c>
      <c r="D678" s="50" t="s">
        <v>329</v>
      </c>
      <c r="E678" s="50">
        <v>3</v>
      </c>
      <c r="F678">
        <v>6</v>
      </c>
      <c r="G678">
        <v>80</v>
      </c>
      <c r="H678">
        <v>15.5</v>
      </c>
      <c r="I678" s="50">
        <v>9.4937000000000005</v>
      </c>
      <c r="J678" s="50">
        <v>11.7</v>
      </c>
      <c r="K678" s="50">
        <v>10.5</v>
      </c>
      <c r="L678" s="50">
        <v>11.3</v>
      </c>
      <c r="M678">
        <v>50</v>
      </c>
    </row>
    <row r="679" spans="1:13" hidden="1" x14ac:dyDescent="0.25">
      <c r="A679" t="s">
        <v>344</v>
      </c>
      <c r="B679" s="50" t="s">
        <v>193</v>
      </c>
      <c r="C679" s="50" t="s">
        <v>330</v>
      </c>
      <c r="D679" s="50" t="s">
        <v>329</v>
      </c>
      <c r="E679" s="50">
        <v>3</v>
      </c>
      <c r="F679">
        <v>6</v>
      </c>
      <c r="G679">
        <v>100</v>
      </c>
      <c r="H679">
        <v>15.5</v>
      </c>
      <c r="I679" s="50">
        <v>9.4937000000000005</v>
      </c>
      <c r="J679" s="50">
        <v>11.7</v>
      </c>
      <c r="K679" s="50">
        <v>10.5</v>
      </c>
      <c r="L679" s="50">
        <v>11.3</v>
      </c>
      <c r="M679">
        <v>60</v>
      </c>
    </row>
    <row r="680" spans="1:13" hidden="1" x14ac:dyDescent="0.25">
      <c r="A680" t="s">
        <v>344</v>
      </c>
      <c r="B680" s="50" t="s">
        <v>193</v>
      </c>
      <c r="C680" s="50" t="s">
        <v>330</v>
      </c>
      <c r="D680" s="50" t="s">
        <v>329</v>
      </c>
      <c r="E680" s="50">
        <v>3</v>
      </c>
      <c r="F680">
        <v>6</v>
      </c>
      <c r="G680">
        <v>120</v>
      </c>
      <c r="H680">
        <v>15.5</v>
      </c>
      <c r="I680" s="50">
        <v>9.4937000000000005</v>
      </c>
      <c r="J680" s="50">
        <v>11.7</v>
      </c>
      <c r="K680" s="50">
        <v>10.5</v>
      </c>
      <c r="L680" s="50">
        <v>11.3</v>
      </c>
      <c r="M680">
        <v>75</v>
      </c>
    </row>
    <row r="681" spans="1:13" hidden="1" x14ac:dyDescent="0.25">
      <c r="A681" t="s">
        <v>344</v>
      </c>
      <c r="B681" s="50" t="s">
        <v>193</v>
      </c>
      <c r="C681" s="50" t="s">
        <v>330</v>
      </c>
      <c r="D681" s="50" t="s">
        <v>329</v>
      </c>
      <c r="E681" s="50">
        <v>3</v>
      </c>
      <c r="F681">
        <v>6</v>
      </c>
      <c r="G681">
        <v>140</v>
      </c>
      <c r="H681">
        <v>15.5</v>
      </c>
      <c r="I681" s="50">
        <v>9.4937000000000005</v>
      </c>
      <c r="J681" s="50">
        <v>11.7</v>
      </c>
      <c r="K681" s="50">
        <v>10.5</v>
      </c>
      <c r="L681" s="50">
        <v>11.3</v>
      </c>
      <c r="M681">
        <v>75</v>
      </c>
    </row>
    <row r="682" spans="1:13" hidden="1" x14ac:dyDescent="0.25">
      <c r="A682" t="s">
        <v>344</v>
      </c>
      <c r="B682" s="50" t="s">
        <v>193</v>
      </c>
      <c r="C682" s="50" t="s">
        <v>330</v>
      </c>
      <c r="D682" s="50" t="s">
        <v>329</v>
      </c>
      <c r="E682" s="50">
        <v>3</v>
      </c>
      <c r="F682">
        <v>6</v>
      </c>
      <c r="G682">
        <v>160</v>
      </c>
      <c r="H682">
        <v>15.5</v>
      </c>
      <c r="I682" s="50">
        <v>9.4937000000000005</v>
      </c>
      <c r="J682" s="50">
        <v>11.7</v>
      </c>
      <c r="K682" s="50">
        <v>10.5</v>
      </c>
      <c r="L682" s="50">
        <v>11.3</v>
      </c>
      <c r="M682">
        <v>75</v>
      </c>
    </row>
    <row r="683" spans="1:13" hidden="1" x14ac:dyDescent="0.25">
      <c r="A683" t="s">
        <v>344</v>
      </c>
      <c r="B683" s="50" t="s">
        <v>193</v>
      </c>
      <c r="C683" s="50" t="s">
        <v>330</v>
      </c>
      <c r="D683" s="50" t="s">
        <v>329</v>
      </c>
      <c r="E683" s="50">
        <v>3</v>
      </c>
      <c r="F683">
        <v>6</v>
      </c>
      <c r="G683">
        <v>180</v>
      </c>
      <c r="H683">
        <v>15.5</v>
      </c>
      <c r="I683" s="50">
        <v>9.4937000000000005</v>
      </c>
      <c r="J683" s="50">
        <v>11.7</v>
      </c>
      <c r="K683" s="50">
        <v>10.5</v>
      </c>
      <c r="L683" s="50">
        <v>11.3</v>
      </c>
      <c r="M683">
        <v>75</v>
      </c>
    </row>
    <row r="684" spans="1:13" hidden="1" x14ac:dyDescent="0.25">
      <c r="A684" t="s">
        <v>344</v>
      </c>
      <c r="B684" s="50" t="s">
        <v>193</v>
      </c>
      <c r="C684" s="50" t="s">
        <v>330</v>
      </c>
      <c r="D684" s="50" t="s">
        <v>329</v>
      </c>
      <c r="E684" s="50">
        <v>3</v>
      </c>
      <c r="F684">
        <v>6</v>
      </c>
      <c r="G684">
        <v>200</v>
      </c>
      <c r="H684">
        <v>15.5</v>
      </c>
      <c r="I684" s="50">
        <v>9.4937000000000005</v>
      </c>
      <c r="J684" s="50">
        <v>11.7</v>
      </c>
      <c r="K684" s="50">
        <v>10.5</v>
      </c>
      <c r="L684" s="50">
        <v>11.3</v>
      </c>
      <c r="M684">
        <v>75</v>
      </c>
    </row>
    <row r="685" spans="1:13" hidden="1" x14ac:dyDescent="0.25">
      <c r="A685" t="s">
        <v>344</v>
      </c>
      <c r="B685" s="50" t="s">
        <v>193</v>
      </c>
      <c r="C685" s="50" t="s">
        <v>330</v>
      </c>
      <c r="D685" s="50" t="s">
        <v>329</v>
      </c>
      <c r="E685" s="50">
        <v>3</v>
      </c>
      <c r="F685">
        <v>8</v>
      </c>
      <c r="G685">
        <v>100</v>
      </c>
      <c r="H685">
        <v>19</v>
      </c>
      <c r="I685" s="50">
        <v>20.057500000000001</v>
      </c>
      <c r="J685" s="50">
        <v>11.7</v>
      </c>
      <c r="K685" s="50">
        <v>10.5</v>
      </c>
      <c r="L685" s="50">
        <v>20.100000000000001</v>
      </c>
      <c r="M685">
        <v>52</v>
      </c>
    </row>
    <row r="686" spans="1:13" hidden="1" x14ac:dyDescent="0.25">
      <c r="A686" t="s">
        <v>344</v>
      </c>
      <c r="B686" s="50" t="s">
        <v>193</v>
      </c>
      <c r="C686" s="50" t="s">
        <v>330</v>
      </c>
      <c r="D686" s="50" t="s">
        <v>329</v>
      </c>
      <c r="E686" s="50">
        <v>3</v>
      </c>
      <c r="F686">
        <v>8</v>
      </c>
      <c r="G686">
        <v>120</v>
      </c>
      <c r="H686">
        <v>19</v>
      </c>
      <c r="I686" s="50">
        <v>20.057500000000001</v>
      </c>
      <c r="J686" s="50">
        <v>11.7</v>
      </c>
      <c r="K686" s="50">
        <v>10.5</v>
      </c>
      <c r="L686" s="50">
        <v>20.100000000000001</v>
      </c>
      <c r="M686">
        <v>80</v>
      </c>
    </row>
    <row r="687" spans="1:13" hidden="1" x14ac:dyDescent="0.25">
      <c r="A687" t="s">
        <v>344</v>
      </c>
      <c r="B687" s="50" t="s">
        <v>193</v>
      </c>
      <c r="C687" s="50" t="s">
        <v>330</v>
      </c>
      <c r="D687" s="50" t="s">
        <v>329</v>
      </c>
      <c r="E687" s="50">
        <v>3</v>
      </c>
      <c r="F687">
        <v>8</v>
      </c>
      <c r="G687">
        <v>140</v>
      </c>
      <c r="H687">
        <v>19</v>
      </c>
      <c r="I687" s="50">
        <v>20.057500000000001</v>
      </c>
      <c r="J687" s="50">
        <v>11.7</v>
      </c>
      <c r="K687" s="50">
        <v>10.5</v>
      </c>
      <c r="L687" s="50">
        <v>20.100000000000001</v>
      </c>
      <c r="M687">
        <v>80</v>
      </c>
    </row>
    <row r="688" spans="1:13" hidden="1" x14ac:dyDescent="0.25">
      <c r="A688" t="s">
        <v>344</v>
      </c>
      <c r="B688" s="50" t="s">
        <v>193</v>
      </c>
      <c r="C688" s="50" t="s">
        <v>330</v>
      </c>
      <c r="D688" s="50" t="s">
        <v>329</v>
      </c>
      <c r="E688" s="50">
        <v>3</v>
      </c>
      <c r="F688">
        <v>8</v>
      </c>
      <c r="G688">
        <v>160</v>
      </c>
      <c r="H688">
        <v>19</v>
      </c>
      <c r="I688" s="50">
        <v>20.057500000000001</v>
      </c>
      <c r="J688" s="50">
        <v>11.7</v>
      </c>
      <c r="K688" s="50">
        <v>10.5</v>
      </c>
      <c r="L688" s="50">
        <v>20.100000000000001</v>
      </c>
      <c r="M688">
        <v>100</v>
      </c>
    </row>
    <row r="689" spans="1:13" hidden="1" x14ac:dyDescent="0.25">
      <c r="A689" t="s">
        <v>344</v>
      </c>
      <c r="B689" s="50" t="s">
        <v>193</v>
      </c>
      <c r="C689" s="50" t="s">
        <v>330</v>
      </c>
      <c r="D689" s="50" t="s">
        <v>329</v>
      </c>
      <c r="E689" s="50">
        <v>3</v>
      </c>
      <c r="F689">
        <v>8</v>
      </c>
      <c r="G689">
        <v>180</v>
      </c>
      <c r="H689">
        <v>19</v>
      </c>
      <c r="I689" s="50">
        <v>20.057500000000001</v>
      </c>
      <c r="J689" s="50">
        <v>11.7</v>
      </c>
      <c r="K689" s="50">
        <v>10.5</v>
      </c>
      <c r="L689" s="50">
        <v>20.100000000000001</v>
      </c>
      <c r="M689">
        <v>100</v>
      </c>
    </row>
    <row r="690" spans="1:13" hidden="1" x14ac:dyDescent="0.25">
      <c r="A690" t="s">
        <v>344</v>
      </c>
      <c r="B690" s="50" t="s">
        <v>193</v>
      </c>
      <c r="C690" s="50" t="s">
        <v>330</v>
      </c>
      <c r="D690" s="50" t="s">
        <v>329</v>
      </c>
      <c r="E690" s="50">
        <v>3</v>
      </c>
      <c r="F690">
        <v>8</v>
      </c>
      <c r="G690">
        <v>200</v>
      </c>
      <c r="H690">
        <v>19</v>
      </c>
      <c r="I690" s="50">
        <v>20.057500000000001</v>
      </c>
      <c r="J690" s="50">
        <v>11.7</v>
      </c>
      <c r="K690" s="50">
        <v>10.5</v>
      </c>
      <c r="L690" s="50">
        <v>20.100000000000001</v>
      </c>
      <c r="M690">
        <v>100</v>
      </c>
    </row>
    <row r="691" spans="1:13" hidden="1" x14ac:dyDescent="0.25">
      <c r="A691" t="s">
        <v>344</v>
      </c>
      <c r="B691" s="50" t="s">
        <v>193</v>
      </c>
      <c r="C691" s="50" t="s">
        <v>330</v>
      </c>
      <c r="D691" s="50" t="s">
        <v>329</v>
      </c>
      <c r="E691" s="50">
        <v>3</v>
      </c>
      <c r="F691">
        <v>8</v>
      </c>
      <c r="G691">
        <v>220</v>
      </c>
      <c r="H691">
        <v>19</v>
      </c>
      <c r="I691" s="50">
        <v>20.057500000000001</v>
      </c>
      <c r="J691" s="50">
        <v>11.7</v>
      </c>
      <c r="K691" s="50">
        <v>10.5</v>
      </c>
      <c r="L691" s="50">
        <v>20.100000000000001</v>
      </c>
      <c r="M691">
        <v>100</v>
      </c>
    </row>
    <row r="692" spans="1:13" hidden="1" x14ac:dyDescent="0.25">
      <c r="A692" t="s">
        <v>344</v>
      </c>
      <c r="B692" s="50" t="s">
        <v>193</v>
      </c>
      <c r="C692" s="50" t="s">
        <v>330</v>
      </c>
      <c r="D692" s="50" t="s">
        <v>329</v>
      </c>
      <c r="E692" s="50">
        <v>3</v>
      </c>
      <c r="F692">
        <v>8</v>
      </c>
      <c r="G692">
        <v>240</v>
      </c>
      <c r="H692">
        <v>19</v>
      </c>
      <c r="I692" s="50">
        <v>20.057500000000001</v>
      </c>
      <c r="J692" s="50">
        <v>11.7</v>
      </c>
      <c r="K692" s="50">
        <v>10.5</v>
      </c>
      <c r="L692" s="50">
        <v>20.100000000000001</v>
      </c>
      <c r="M692">
        <v>100</v>
      </c>
    </row>
    <row r="693" spans="1:13" hidden="1" x14ac:dyDescent="0.25">
      <c r="A693" t="s">
        <v>213</v>
      </c>
      <c r="B693" s="15" t="s">
        <v>193</v>
      </c>
      <c r="C693" s="15" t="s">
        <v>207</v>
      </c>
      <c r="D693" s="15" t="s">
        <v>260</v>
      </c>
      <c r="E693" s="15"/>
      <c r="F693">
        <v>24</v>
      </c>
      <c r="G693">
        <v>85</v>
      </c>
      <c r="H693">
        <v>39.979999999999997</v>
      </c>
      <c r="I693" s="56">
        <v>603.6884559200339</v>
      </c>
      <c r="J693" s="15"/>
      <c r="K693" s="15"/>
      <c r="L693" s="15">
        <v>254.2</v>
      </c>
    </row>
    <row r="694" spans="1:13" hidden="1" x14ac:dyDescent="0.25">
      <c r="A694" t="s">
        <v>213</v>
      </c>
      <c r="B694" s="15" t="s">
        <v>193</v>
      </c>
      <c r="C694" s="15" t="s">
        <v>207</v>
      </c>
      <c r="D694" s="15" t="s">
        <v>260</v>
      </c>
      <c r="E694" s="15"/>
      <c r="F694">
        <v>24</v>
      </c>
      <c r="G694">
        <v>80</v>
      </c>
      <c r="H694">
        <v>39.979999999999997</v>
      </c>
      <c r="I694" s="56">
        <v>603.6884559200339</v>
      </c>
      <c r="J694" s="15"/>
      <c r="K694" s="15"/>
      <c r="L694" s="15">
        <v>254.2</v>
      </c>
    </row>
    <row r="695" spans="1:13" hidden="1" x14ac:dyDescent="0.25">
      <c r="A695" t="s">
        <v>213</v>
      </c>
      <c r="B695" s="15" t="s">
        <v>193</v>
      </c>
      <c r="C695" s="15" t="s">
        <v>207</v>
      </c>
      <c r="D695" s="15" t="s">
        <v>260</v>
      </c>
      <c r="E695" s="15"/>
      <c r="F695">
        <v>24</v>
      </c>
      <c r="G695">
        <v>70</v>
      </c>
      <c r="H695">
        <v>39.979999999999997</v>
      </c>
      <c r="I695" s="56">
        <v>603.6884559200339</v>
      </c>
      <c r="J695" s="15"/>
      <c r="K695" s="15"/>
      <c r="L695" s="15">
        <v>254.2</v>
      </c>
    </row>
    <row r="696" spans="1:13" hidden="1" x14ac:dyDescent="0.25">
      <c r="A696" t="s">
        <v>213</v>
      </c>
      <c r="B696" s="15" t="s">
        <v>193</v>
      </c>
      <c r="C696" s="15" t="s">
        <v>207</v>
      </c>
      <c r="D696" s="15" t="s">
        <v>260</v>
      </c>
      <c r="E696" s="15"/>
      <c r="F696">
        <v>24</v>
      </c>
      <c r="G696">
        <v>65</v>
      </c>
      <c r="H696">
        <v>39.979999999999997</v>
      </c>
      <c r="I696" s="56">
        <v>603.6884559200339</v>
      </c>
      <c r="J696" s="15"/>
      <c r="K696" s="15"/>
      <c r="L696" s="15">
        <v>254.2</v>
      </c>
    </row>
    <row r="697" spans="1:13" hidden="1" x14ac:dyDescent="0.25">
      <c r="A697" t="s">
        <v>213</v>
      </c>
      <c r="B697" s="15" t="s">
        <v>193</v>
      </c>
      <c r="C697" s="15" t="s">
        <v>207</v>
      </c>
      <c r="D697" s="15" t="s">
        <v>260</v>
      </c>
      <c r="E697" s="15"/>
      <c r="F697">
        <v>24</v>
      </c>
      <c r="G697">
        <v>60</v>
      </c>
      <c r="H697">
        <v>39.979999999999997</v>
      </c>
      <c r="I697" s="56">
        <v>603.6884559200339</v>
      </c>
      <c r="J697" s="15"/>
      <c r="K697" s="15"/>
      <c r="L697" s="15">
        <v>254.2</v>
      </c>
    </row>
    <row r="698" spans="1:13" hidden="1" x14ac:dyDescent="0.25">
      <c r="A698" t="s">
        <v>213</v>
      </c>
      <c r="B698" s="15" t="s">
        <v>193</v>
      </c>
      <c r="C698" s="15" t="s">
        <v>207</v>
      </c>
      <c r="D698" s="15" t="s">
        <v>260</v>
      </c>
      <c r="E698" s="15"/>
      <c r="F698">
        <v>24</v>
      </c>
      <c r="G698">
        <v>50</v>
      </c>
      <c r="H698">
        <v>39.979999999999997</v>
      </c>
      <c r="I698" s="56">
        <v>603.6884559200339</v>
      </c>
      <c r="J698" s="15"/>
      <c r="K698" s="15"/>
      <c r="L698" s="15">
        <v>254.2</v>
      </c>
    </row>
    <row r="699" spans="1:13" hidden="1" x14ac:dyDescent="0.25">
      <c r="A699" t="s">
        <v>213</v>
      </c>
      <c r="B699" s="15" t="s">
        <v>193</v>
      </c>
      <c r="C699" s="15" t="s">
        <v>207</v>
      </c>
      <c r="D699" s="15" t="s">
        <v>260</v>
      </c>
      <c r="E699" s="15"/>
      <c r="F699">
        <v>24</v>
      </c>
      <c r="G699">
        <v>40</v>
      </c>
      <c r="H699">
        <v>39.979999999999997</v>
      </c>
      <c r="I699" s="56">
        <v>603.6884559200339</v>
      </c>
      <c r="J699" s="15"/>
      <c r="K699" s="15"/>
      <c r="L699" s="15">
        <v>254.2</v>
      </c>
    </row>
    <row r="700" spans="1:13" hidden="1" x14ac:dyDescent="0.25">
      <c r="A700" t="s">
        <v>213</v>
      </c>
      <c r="B700" s="15" t="s">
        <v>193</v>
      </c>
      <c r="C700" s="15" t="s">
        <v>207</v>
      </c>
      <c r="D700" s="15" t="s">
        <v>260</v>
      </c>
      <c r="E700" s="15"/>
      <c r="F700">
        <v>20</v>
      </c>
      <c r="G700">
        <v>100</v>
      </c>
      <c r="H700">
        <v>33.53</v>
      </c>
      <c r="I700" s="56">
        <v>375.59459402917901</v>
      </c>
      <c r="J700" s="15"/>
      <c r="K700" s="15"/>
      <c r="L700" s="15">
        <v>176.4</v>
      </c>
    </row>
    <row r="701" spans="1:13" hidden="1" x14ac:dyDescent="0.25">
      <c r="A701" t="s">
        <v>213</v>
      </c>
      <c r="B701" s="15" t="s">
        <v>193</v>
      </c>
      <c r="C701" s="15" t="s">
        <v>207</v>
      </c>
      <c r="D701" s="15" t="s">
        <v>260</v>
      </c>
      <c r="E701" s="15"/>
      <c r="F701">
        <v>20</v>
      </c>
      <c r="G701">
        <v>80</v>
      </c>
      <c r="H701">
        <v>33.53</v>
      </c>
      <c r="I701" s="56">
        <v>375.59459402917901</v>
      </c>
      <c r="J701" s="15"/>
      <c r="K701" s="15"/>
      <c r="L701" s="15">
        <v>176.4</v>
      </c>
    </row>
    <row r="702" spans="1:13" hidden="1" x14ac:dyDescent="0.25">
      <c r="A702" t="s">
        <v>213</v>
      </c>
      <c r="B702" s="15" t="s">
        <v>193</v>
      </c>
      <c r="C702" s="15" t="s">
        <v>207</v>
      </c>
      <c r="D702" s="15" t="s">
        <v>260</v>
      </c>
      <c r="E702" s="15"/>
      <c r="F702">
        <v>20</v>
      </c>
      <c r="G702">
        <v>70</v>
      </c>
      <c r="H702">
        <v>33.53</v>
      </c>
      <c r="I702" s="56">
        <v>375.59459402917901</v>
      </c>
      <c r="J702" s="15"/>
      <c r="K702" s="15"/>
      <c r="L702" s="15">
        <v>176.4</v>
      </c>
    </row>
    <row r="703" spans="1:13" hidden="1" x14ac:dyDescent="0.25">
      <c r="A703" t="s">
        <v>213</v>
      </c>
      <c r="B703" s="15" t="s">
        <v>193</v>
      </c>
      <c r="C703" s="15" t="s">
        <v>207</v>
      </c>
      <c r="D703" s="15" t="s">
        <v>260</v>
      </c>
      <c r="E703" s="15"/>
      <c r="F703">
        <v>20</v>
      </c>
      <c r="G703">
        <v>60</v>
      </c>
      <c r="H703">
        <v>33.53</v>
      </c>
      <c r="I703" s="56">
        <v>375.59459402917901</v>
      </c>
      <c r="J703" s="15"/>
      <c r="K703" s="15"/>
      <c r="L703" s="15">
        <v>176.4</v>
      </c>
    </row>
    <row r="704" spans="1:13" hidden="1" x14ac:dyDescent="0.25">
      <c r="A704" t="s">
        <v>213</v>
      </c>
      <c r="B704" s="15" t="s">
        <v>193</v>
      </c>
      <c r="C704" s="15" t="s">
        <v>207</v>
      </c>
      <c r="D704" s="15" t="s">
        <v>260</v>
      </c>
      <c r="E704" s="15"/>
      <c r="F704">
        <v>20</v>
      </c>
      <c r="G704">
        <v>50</v>
      </c>
      <c r="H704">
        <v>33.53</v>
      </c>
      <c r="I704" s="56">
        <v>375.59459402917901</v>
      </c>
      <c r="J704" s="15"/>
      <c r="K704" s="15"/>
      <c r="L704" s="15">
        <v>176.4</v>
      </c>
    </row>
    <row r="705" spans="1:12" hidden="1" x14ac:dyDescent="0.25">
      <c r="A705" t="s">
        <v>213</v>
      </c>
      <c r="B705" s="15" t="s">
        <v>193</v>
      </c>
      <c r="C705" s="15" t="s">
        <v>207</v>
      </c>
      <c r="D705" s="15" t="s">
        <v>260</v>
      </c>
      <c r="E705" s="15"/>
      <c r="F705">
        <v>20</v>
      </c>
      <c r="G705">
        <v>40</v>
      </c>
      <c r="H705">
        <v>33.53</v>
      </c>
      <c r="I705" s="56">
        <v>375.59459402917901</v>
      </c>
      <c r="J705" s="15"/>
      <c r="K705" s="15"/>
      <c r="L705" s="15">
        <v>176.4</v>
      </c>
    </row>
    <row r="706" spans="1:12" hidden="1" x14ac:dyDescent="0.25">
      <c r="A706" t="s">
        <v>213</v>
      </c>
      <c r="B706" s="15" t="s">
        <v>193</v>
      </c>
      <c r="C706" s="15" t="s">
        <v>208</v>
      </c>
      <c r="D706" s="15" t="s">
        <v>261</v>
      </c>
      <c r="E706" s="15">
        <v>3</v>
      </c>
      <c r="F706">
        <v>12</v>
      </c>
      <c r="G706">
        <v>300</v>
      </c>
      <c r="H706">
        <v>20.03</v>
      </c>
      <c r="I706" s="56">
        <v>76.745423286936145</v>
      </c>
      <c r="J706" s="15"/>
      <c r="K706" s="15"/>
      <c r="L706" s="15">
        <v>30.3</v>
      </c>
    </row>
    <row r="707" spans="1:12" hidden="1" x14ac:dyDescent="0.25">
      <c r="A707" t="s">
        <v>213</v>
      </c>
      <c r="B707" s="15" t="s">
        <v>193</v>
      </c>
      <c r="C707" s="15" t="s">
        <v>208</v>
      </c>
      <c r="D707" s="15" t="s">
        <v>261</v>
      </c>
      <c r="E707" s="15">
        <v>3</v>
      </c>
      <c r="F707">
        <v>12</v>
      </c>
      <c r="G707">
        <v>280</v>
      </c>
      <c r="H707">
        <v>20.03</v>
      </c>
      <c r="I707" s="56">
        <v>76.745423286936145</v>
      </c>
      <c r="J707" s="15"/>
      <c r="K707" s="15"/>
      <c r="L707" s="15">
        <v>30.3</v>
      </c>
    </row>
    <row r="708" spans="1:12" hidden="1" x14ac:dyDescent="0.25">
      <c r="A708" t="s">
        <v>213</v>
      </c>
      <c r="B708" s="15" t="s">
        <v>193</v>
      </c>
      <c r="C708" s="15" t="s">
        <v>208</v>
      </c>
      <c r="D708" s="15" t="s">
        <v>261</v>
      </c>
      <c r="E708" s="15">
        <v>3</v>
      </c>
      <c r="F708">
        <v>12</v>
      </c>
      <c r="G708">
        <v>240</v>
      </c>
      <c r="H708">
        <v>20.03</v>
      </c>
      <c r="I708" s="56">
        <v>76.745423286936145</v>
      </c>
      <c r="J708" s="15"/>
      <c r="K708" s="15"/>
      <c r="L708" s="15">
        <v>30.3</v>
      </c>
    </row>
    <row r="709" spans="1:12" hidden="1" x14ac:dyDescent="0.25">
      <c r="A709" t="s">
        <v>213</v>
      </c>
      <c r="B709" s="15" t="s">
        <v>193</v>
      </c>
      <c r="C709" s="15" t="s">
        <v>208</v>
      </c>
      <c r="D709" s="15" t="s">
        <v>261</v>
      </c>
      <c r="E709" s="15">
        <v>3</v>
      </c>
      <c r="F709">
        <v>12</v>
      </c>
      <c r="G709">
        <v>220</v>
      </c>
      <c r="H709">
        <v>20.03</v>
      </c>
      <c r="I709" s="56">
        <v>76.745423286936145</v>
      </c>
      <c r="J709" s="15"/>
      <c r="K709" s="15"/>
      <c r="L709" s="15">
        <v>30.3</v>
      </c>
    </row>
    <row r="710" spans="1:12" hidden="1" x14ac:dyDescent="0.25">
      <c r="A710" t="s">
        <v>213</v>
      </c>
      <c r="B710" s="15" t="s">
        <v>193</v>
      </c>
      <c r="C710" s="15" t="s">
        <v>208</v>
      </c>
      <c r="D710" s="15" t="s">
        <v>261</v>
      </c>
      <c r="E710" s="15">
        <v>3</v>
      </c>
      <c r="F710">
        <v>12</v>
      </c>
      <c r="G710">
        <v>200</v>
      </c>
      <c r="H710">
        <v>20.03</v>
      </c>
      <c r="I710" s="56">
        <v>76.745423286936145</v>
      </c>
      <c r="J710" s="15"/>
      <c r="K710" s="15"/>
      <c r="L710" s="15">
        <v>30.3</v>
      </c>
    </row>
    <row r="711" spans="1:12" hidden="1" x14ac:dyDescent="0.25">
      <c r="A711" t="s">
        <v>213</v>
      </c>
      <c r="B711" s="15" t="s">
        <v>193</v>
      </c>
      <c r="C711" s="15" t="s">
        <v>208</v>
      </c>
      <c r="D711" s="15" t="s">
        <v>261</v>
      </c>
      <c r="E711" s="15">
        <v>3</v>
      </c>
      <c r="F711">
        <v>12</v>
      </c>
      <c r="G711">
        <v>180</v>
      </c>
      <c r="H711">
        <v>20.03</v>
      </c>
      <c r="I711" s="56">
        <v>76.745423286936145</v>
      </c>
      <c r="J711" s="15"/>
      <c r="K711" s="15"/>
      <c r="L711" s="15">
        <v>30.3</v>
      </c>
    </row>
    <row r="712" spans="1:12" hidden="1" x14ac:dyDescent="0.25">
      <c r="A712" t="s">
        <v>213</v>
      </c>
      <c r="B712" s="15" t="s">
        <v>193</v>
      </c>
      <c r="C712" s="15" t="s">
        <v>208</v>
      </c>
      <c r="D712" s="15" t="s">
        <v>261</v>
      </c>
      <c r="E712" s="15">
        <v>3</v>
      </c>
      <c r="F712">
        <v>12</v>
      </c>
      <c r="G712">
        <v>160</v>
      </c>
      <c r="H712">
        <v>20.03</v>
      </c>
      <c r="I712" s="56">
        <v>76.745423286936145</v>
      </c>
      <c r="J712" s="15"/>
      <c r="K712" s="15"/>
      <c r="L712" s="15">
        <v>30.3</v>
      </c>
    </row>
    <row r="713" spans="1:12" hidden="1" x14ac:dyDescent="0.25">
      <c r="A713" t="s">
        <v>213</v>
      </c>
      <c r="B713" s="15" t="s">
        <v>193</v>
      </c>
      <c r="C713" s="15" t="s">
        <v>208</v>
      </c>
      <c r="D713" s="15" t="s">
        <v>261</v>
      </c>
      <c r="E713" s="15">
        <v>3</v>
      </c>
      <c r="F713">
        <v>12</v>
      </c>
      <c r="G713">
        <v>140</v>
      </c>
      <c r="H713">
        <v>20.03</v>
      </c>
      <c r="I713" s="56">
        <v>76.745423286936145</v>
      </c>
      <c r="J713" s="15"/>
      <c r="K713" s="15"/>
      <c r="L713" s="15">
        <v>30.3</v>
      </c>
    </row>
    <row r="714" spans="1:12" hidden="1" x14ac:dyDescent="0.25">
      <c r="A714" t="s">
        <v>213</v>
      </c>
      <c r="B714" s="15" t="s">
        <v>193</v>
      </c>
      <c r="C714" s="15" t="s">
        <v>208</v>
      </c>
      <c r="D714" s="15" t="s">
        <v>261</v>
      </c>
      <c r="E714" s="15">
        <v>3</v>
      </c>
      <c r="F714">
        <v>10</v>
      </c>
      <c r="G714">
        <v>220</v>
      </c>
      <c r="H714">
        <v>17.77</v>
      </c>
      <c r="I714" s="56">
        <v>47.772860466419715</v>
      </c>
      <c r="J714" s="15"/>
      <c r="K714" s="15"/>
      <c r="L714" s="15">
        <v>20.9</v>
      </c>
    </row>
    <row r="715" spans="1:12" hidden="1" x14ac:dyDescent="0.25">
      <c r="A715" t="s">
        <v>213</v>
      </c>
      <c r="B715" s="15" t="s">
        <v>193</v>
      </c>
      <c r="C715" s="15" t="s">
        <v>208</v>
      </c>
      <c r="D715" s="15" t="s">
        <v>261</v>
      </c>
      <c r="E715" s="15">
        <v>3</v>
      </c>
      <c r="F715">
        <v>10</v>
      </c>
      <c r="G715">
        <v>200</v>
      </c>
      <c r="H715">
        <v>17.77</v>
      </c>
      <c r="I715" s="56">
        <v>47.772860466419715</v>
      </c>
      <c r="J715" s="15"/>
      <c r="K715" s="15"/>
      <c r="L715" s="15">
        <v>20.9</v>
      </c>
    </row>
    <row r="716" spans="1:12" hidden="1" x14ac:dyDescent="0.25">
      <c r="A716" t="s">
        <v>213</v>
      </c>
      <c r="B716" s="15" t="s">
        <v>193</v>
      </c>
      <c r="C716" s="15" t="s">
        <v>208</v>
      </c>
      <c r="D716" s="15" t="s">
        <v>261</v>
      </c>
      <c r="E716" s="15">
        <v>3</v>
      </c>
      <c r="F716">
        <v>10</v>
      </c>
      <c r="G716">
        <v>180</v>
      </c>
      <c r="H716">
        <v>17.77</v>
      </c>
      <c r="I716" s="56">
        <v>47.772860466419715</v>
      </c>
      <c r="J716" s="15"/>
      <c r="K716" s="15"/>
      <c r="L716" s="15">
        <v>20.9</v>
      </c>
    </row>
    <row r="717" spans="1:12" hidden="1" x14ac:dyDescent="0.25">
      <c r="A717" t="s">
        <v>213</v>
      </c>
      <c r="B717" s="15" t="s">
        <v>193</v>
      </c>
      <c r="C717" s="15" t="s">
        <v>208</v>
      </c>
      <c r="D717" s="15" t="s">
        <v>261</v>
      </c>
      <c r="E717" s="15">
        <v>3</v>
      </c>
      <c r="F717">
        <v>10</v>
      </c>
      <c r="G717">
        <v>160</v>
      </c>
      <c r="H717">
        <v>17.77</v>
      </c>
      <c r="I717" s="56">
        <v>47.772860466419715</v>
      </c>
      <c r="J717" s="15"/>
      <c r="K717" s="15"/>
      <c r="L717" s="15">
        <v>20.9</v>
      </c>
    </row>
    <row r="718" spans="1:12" hidden="1" x14ac:dyDescent="0.25">
      <c r="A718" t="s">
        <v>213</v>
      </c>
      <c r="B718" s="15" t="s">
        <v>193</v>
      </c>
      <c r="C718" s="15" t="s">
        <v>208</v>
      </c>
      <c r="D718" s="15" t="s">
        <v>261</v>
      </c>
      <c r="E718" s="15">
        <v>3</v>
      </c>
      <c r="F718">
        <v>10</v>
      </c>
      <c r="G718">
        <v>150</v>
      </c>
      <c r="H718">
        <v>17.77</v>
      </c>
      <c r="I718" s="56">
        <v>47.772860466419715</v>
      </c>
      <c r="J718" s="15"/>
      <c r="K718" s="15"/>
      <c r="L718" s="15">
        <v>20.9</v>
      </c>
    </row>
    <row r="719" spans="1:12" hidden="1" x14ac:dyDescent="0.25">
      <c r="A719" t="s">
        <v>213</v>
      </c>
      <c r="B719" s="15" t="s">
        <v>193</v>
      </c>
      <c r="C719" s="15" t="s">
        <v>208</v>
      </c>
      <c r="D719" s="15" t="s">
        <v>261</v>
      </c>
      <c r="E719" s="15">
        <v>3</v>
      </c>
      <c r="F719">
        <v>10</v>
      </c>
      <c r="G719">
        <v>140</v>
      </c>
      <c r="H719">
        <v>17.77</v>
      </c>
      <c r="I719" s="56">
        <v>47.772860466419715</v>
      </c>
      <c r="J719" s="15"/>
      <c r="K719" s="15"/>
      <c r="L719" s="15">
        <v>20.9</v>
      </c>
    </row>
    <row r="720" spans="1:12" hidden="1" x14ac:dyDescent="0.25">
      <c r="A720" t="s">
        <v>213</v>
      </c>
      <c r="B720" s="15" t="s">
        <v>193</v>
      </c>
      <c r="C720" s="15" t="s">
        <v>208</v>
      </c>
      <c r="D720" s="15" t="s">
        <v>261</v>
      </c>
      <c r="E720" s="15">
        <v>3</v>
      </c>
      <c r="F720">
        <v>10</v>
      </c>
      <c r="G720">
        <v>130</v>
      </c>
      <c r="H720">
        <v>17.77</v>
      </c>
      <c r="I720" s="56">
        <v>47.772860466419715</v>
      </c>
      <c r="J720" s="15"/>
      <c r="K720" s="15"/>
      <c r="L720" s="15">
        <v>20.9</v>
      </c>
    </row>
    <row r="721" spans="1:12" hidden="1" x14ac:dyDescent="0.25">
      <c r="A721" t="s">
        <v>213</v>
      </c>
      <c r="B721" s="15" t="s">
        <v>193</v>
      </c>
      <c r="C721" s="15" t="s">
        <v>208</v>
      </c>
      <c r="D721" s="15" t="s">
        <v>261</v>
      </c>
      <c r="E721" s="15">
        <v>3</v>
      </c>
      <c r="F721">
        <v>10</v>
      </c>
      <c r="G721">
        <v>120</v>
      </c>
      <c r="H721">
        <v>17.77</v>
      </c>
      <c r="I721" s="56">
        <v>47.772860466419715</v>
      </c>
      <c r="J721" s="15"/>
      <c r="K721" s="15"/>
      <c r="L721" s="15">
        <v>20.9</v>
      </c>
    </row>
    <row r="722" spans="1:12" hidden="1" x14ac:dyDescent="0.25">
      <c r="A722" t="s">
        <v>213</v>
      </c>
      <c r="B722" s="15" t="s">
        <v>193</v>
      </c>
      <c r="C722" s="15" t="s">
        <v>208</v>
      </c>
      <c r="D722" s="15" t="s">
        <v>261</v>
      </c>
      <c r="E722" s="15">
        <v>3</v>
      </c>
      <c r="F722">
        <v>8</v>
      </c>
      <c r="G722">
        <v>140</v>
      </c>
      <c r="H722">
        <v>14.38</v>
      </c>
      <c r="I722" s="56">
        <v>26.74331330445693</v>
      </c>
      <c r="J722" s="15"/>
      <c r="K722" s="15"/>
      <c r="L722" s="15">
        <v>13.2</v>
      </c>
    </row>
    <row r="723" spans="1:12" hidden="1" x14ac:dyDescent="0.25">
      <c r="A723" t="s">
        <v>213</v>
      </c>
      <c r="B723" s="15" t="s">
        <v>193</v>
      </c>
      <c r="C723" s="15" t="s">
        <v>208</v>
      </c>
      <c r="D723" s="15" t="s">
        <v>261</v>
      </c>
      <c r="E723" s="15">
        <v>3</v>
      </c>
      <c r="F723">
        <v>8</v>
      </c>
      <c r="G723">
        <v>120</v>
      </c>
      <c r="H723">
        <v>14.38</v>
      </c>
      <c r="I723" s="56">
        <v>26.74331330445693</v>
      </c>
      <c r="J723" s="15"/>
      <c r="K723" s="15"/>
      <c r="L723" s="15">
        <v>13.2</v>
      </c>
    </row>
    <row r="724" spans="1:12" hidden="1" x14ac:dyDescent="0.25">
      <c r="A724" t="s">
        <v>213</v>
      </c>
      <c r="B724" s="15" t="s">
        <v>193</v>
      </c>
      <c r="C724" s="15" t="s">
        <v>208</v>
      </c>
      <c r="D724" s="15" t="s">
        <v>261</v>
      </c>
      <c r="E724" s="15">
        <v>3</v>
      </c>
      <c r="F724">
        <v>8</v>
      </c>
      <c r="G724">
        <v>100</v>
      </c>
      <c r="H724">
        <v>14.38</v>
      </c>
      <c r="I724" s="56">
        <v>26.74331330445693</v>
      </c>
      <c r="J724" s="15"/>
      <c r="K724" s="15"/>
      <c r="L724" s="15">
        <v>13.2</v>
      </c>
    </row>
    <row r="725" spans="1:12" hidden="1" x14ac:dyDescent="0.25">
      <c r="A725" t="s">
        <v>213</v>
      </c>
      <c r="B725" s="15" t="s">
        <v>193</v>
      </c>
      <c r="C725" s="15" t="s">
        <v>208</v>
      </c>
      <c r="D725" s="15" t="s">
        <v>261</v>
      </c>
      <c r="E725" s="15">
        <v>3</v>
      </c>
      <c r="F725">
        <v>8</v>
      </c>
      <c r="G725">
        <v>90</v>
      </c>
      <c r="H725">
        <v>14.38</v>
      </c>
      <c r="I725" s="56">
        <v>26.74331330445693</v>
      </c>
      <c r="J725" s="15"/>
      <c r="K725" s="15"/>
      <c r="L725" s="15">
        <v>13.2</v>
      </c>
    </row>
    <row r="726" spans="1:12" hidden="1" x14ac:dyDescent="0.25">
      <c r="A726" t="s">
        <v>213</v>
      </c>
      <c r="B726" s="15" t="s">
        <v>193</v>
      </c>
      <c r="C726" s="15" t="s">
        <v>208</v>
      </c>
      <c r="D726" s="15" t="s">
        <v>261</v>
      </c>
      <c r="E726" s="15">
        <v>3</v>
      </c>
      <c r="F726">
        <v>8</v>
      </c>
      <c r="G726">
        <v>80</v>
      </c>
      <c r="H726">
        <v>14.38</v>
      </c>
      <c r="I726" s="56">
        <v>26.74331330445693</v>
      </c>
      <c r="J726" s="15"/>
      <c r="K726" s="15"/>
      <c r="L726" s="15">
        <v>13.2</v>
      </c>
    </row>
    <row r="727" spans="1:12" hidden="1" x14ac:dyDescent="0.25">
      <c r="A727" t="s">
        <v>213</v>
      </c>
      <c r="B727" s="15" t="s">
        <v>193</v>
      </c>
      <c r="C727" s="15" t="s">
        <v>208</v>
      </c>
      <c r="D727" s="15" t="s">
        <v>261</v>
      </c>
      <c r="E727" s="15">
        <v>3</v>
      </c>
      <c r="F727">
        <v>8</v>
      </c>
      <c r="G727">
        <v>70</v>
      </c>
      <c r="H727">
        <v>14.38</v>
      </c>
      <c r="I727" s="56">
        <v>26.74331330445693</v>
      </c>
      <c r="J727" s="15"/>
      <c r="K727" s="15"/>
      <c r="L727" s="15">
        <v>13.2</v>
      </c>
    </row>
    <row r="728" spans="1:12" hidden="1" x14ac:dyDescent="0.25">
      <c r="A728" t="s">
        <v>213</v>
      </c>
      <c r="B728" s="15" t="s">
        <v>193</v>
      </c>
      <c r="C728" s="15" t="s">
        <v>208</v>
      </c>
      <c r="D728" s="15" t="s">
        <v>261</v>
      </c>
      <c r="E728" s="15">
        <v>3</v>
      </c>
      <c r="F728">
        <v>8</v>
      </c>
      <c r="G728">
        <v>60</v>
      </c>
      <c r="H728">
        <v>14.38</v>
      </c>
      <c r="I728" s="56">
        <v>26.74331330445693</v>
      </c>
      <c r="J728" s="15"/>
      <c r="K728" s="15"/>
      <c r="L728" s="15">
        <v>13.2</v>
      </c>
    </row>
    <row r="729" spans="1:12" hidden="1" x14ac:dyDescent="0.25">
      <c r="A729" t="s">
        <v>213</v>
      </c>
      <c r="B729" s="15" t="s">
        <v>193</v>
      </c>
      <c r="C729" s="15" t="s">
        <v>208</v>
      </c>
      <c r="D729" s="15" t="s">
        <v>261</v>
      </c>
      <c r="E729" s="15">
        <v>3</v>
      </c>
      <c r="F729">
        <v>8</v>
      </c>
      <c r="G729">
        <v>50</v>
      </c>
      <c r="H729">
        <v>14.38</v>
      </c>
      <c r="I729" s="56">
        <v>26.74331330445693</v>
      </c>
      <c r="J729" s="15"/>
      <c r="K729" s="15"/>
      <c r="L729" s="15">
        <v>13.2</v>
      </c>
    </row>
    <row r="730" spans="1:12" hidden="1" x14ac:dyDescent="0.25">
      <c r="A730" t="s">
        <v>213</v>
      </c>
      <c r="B730" s="15" t="s">
        <v>193</v>
      </c>
      <c r="C730" s="15" t="s">
        <v>209</v>
      </c>
      <c r="D730" s="15" t="s">
        <v>261</v>
      </c>
      <c r="E730" s="15">
        <v>1</v>
      </c>
      <c r="F730">
        <v>12</v>
      </c>
      <c r="G730">
        <v>300</v>
      </c>
      <c r="H730">
        <v>20.03</v>
      </c>
      <c r="I730" s="56">
        <v>76.745423286936145</v>
      </c>
      <c r="J730" s="15"/>
      <c r="K730" s="15"/>
      <c r="L730" s="15">
        <v>30.3</v>
      </c>
    </row>
    <row r="731" spans="1:12" hidden="1" x14ac:dyDescent="0.25">
      <c r="A731" t="s">
        <v>213</v>
      </c>
      <c r="B731" s="15" t="s">
        <v>193</v>
      </c>
      <c r="C731" s="15" t="s">
        <v>209</v>
      </c>
      <c r="D731" s="15" t="s">
        <v>261</v>
      </c>
      <c r="E731" s="15">
        <v>1</v>
      </c>
      <c r="F731">
        <v>12</v>
      </c>
      <c r="G731">
        <v>280</v>
      </c>
      <c r="H731">
        <v>20.03</v>
      </c>
      <c r="I731" s="56">
        <v>76.745423286936145</v>
      </c>
      <c r="J731" s="15"/>
      <c r="K731" s="15"/>
      <c r="L731" s="15">
        <v>30.3</v>
      </c>
    </row>
    <row r="732" spans="1:12" hidden="1" x14ac:dyDescent="0.25">
      <c r="A732" t="s">
        <v>213</v>
      </c>
      <c r="B732" s="15" t="s">
        <v>193</v>
      </c>
      <c r="C732" s="15" t="s">
        <v>209</v>
      </c>
      <c r="D732" s="15" t="s">
        <v>261</v>
      </c>
      <c r="E732" s="15">
        <v>1</v>
      </c>
      <c r="F732">
        <v>12</v>
      </c>
      <c r="G732">
        <v>260</v>
      </c>
      <c r="H732">
        <v>20.03</v>
      </c>
      <c r="I732" s="56">
        <v>76.745423286936145</v>
      </c>
      <c r="J732" s="15"/>
      <c r="K732" s="15"/>
      <c r="L732" s="15">
        <v>30.3</v>
      </c>
    </row>
    <row r="733" spans="1:12" hidden="1" x14ac:dyDescent="0.25">
      <c r="A733" t="s">
        <v>213</v>
      </c>
      <c r="B733" s="15" t="s">
        <v>193</v>
      </c>
      <c r="C733" s="15" t="s">
        <v>209</v>
      </c>
      <c r="D733" s="15" t="s">
        <v>261</v>
      </c>
      <c r="E733" s="15">
        <v>1</v>
      </c>
      <c r="F733">
        <v>12</v>
      </c>
      <c r="G733">
        <v>240</v>
      </c>
      <c r="H733">
        <v>20.03</v>
      </c>
      <c r="I733" s="56">
        <v>76.745423286936145</v>
      </c>
      <c r="J733" s="15"/>
      <c r="K733" s="15"/>
      <c r="L733" s="15">
        <v>30.3</v>
      </c>
    </row>
    <row r="734" spans="1:12" hidden="1" x14ac:dyDescent="0.25">
      <c r="A734" t="s">
        <v>213</v>
      </c>
      <c r="B734" s="15" t="s">
        <v>193</v>
      </c>
      <c r="C734" s="15" t="s">
        <v>209</v>
      </c>
      <c r="D734" s="15" t="s">
        <v>261</v>
      </c>
      <c r="E734" s="15">
        <v>1</v>
      </c>
      <c r="F734">
        <v>12</v>
      </c>
      <c r="G734">
        <v>220</v>
      </c>
      <c r="H734">
        <v>20.03</v>
      </c>
      <c r="I734" s="56">
        <v>76.745423286936145</v>
      </c>
      <c r="J734" s="15"/>
      <c r="K734" s="15"/>
      <c r="L734" s="15">
        <v>30.3</v>
      </c>
    </row>
    <row r="735" spans="1:12" hidden="1" x14ac:dyDescent="0.25">
      <c r="A735" t="s">
        <v>213</v>
      </c>
      <c r="B735" s="15" t="s">
        <v>193</v>
      </c>
      <c r="C735" s="15" t="s">
        <v>209</v>
      </c>
      <c r="D735" s="15" t="s">
        <v>261</v>
      </c>
      <c r="E735" s="15">
        <v>1</v>
      </c>
      <c r="F735">
        <v>12</v>
      </c>
      <c r="G735">
        <v>200</v>
      </c>
      <c r="H735">
        <v>20.03</v>
      </c>
      <c r="I735" s="56">
        <v>76.745423286936145</v>
      </c>
      <c r="J735" s="15"/>
      <c r="K735" s="15"/>
      <c r="L735" s="15">
        <v>30.3</v>
      </c>
    </row>
    <row r="736" spans="1:12" hidden="1" x14ac:dyDescent="0.25">
      <c r="A736" t="s">
        <v>213</v>
      </c>
      <c r="B736" s="15" t="s">
        <v>193</v>
      </c>
      <c r="C736" s="15" t="s">
        <v>209</v>
      </c>
      <c r="D736" s="15" t="s">
        <v>261</v>
      </c>
      <c r="E736" s="15">
        <v>1</v>
      </c>
      <c r="F736">
        <v>10</v>
      </c>
      <c r="G736">
        <v>220</v>
      </c>
      <c r="H736">
        <v>17.77</v>
      </c>
      <c r="I736" s="56">
        <v>47.772860466419715</v>
      </c>
      <c r="J736" s="15"/>
      <c r="K736" s="15"/>
      <c r="L736" s="15">
        <v>20.9</v>
      </c>
    </row>
    <row r="737" spans="1:12" hidden="1" x14ac:dyDescent="0.25">
      <c r="A737" t="s">
        <v>213</v>
      </c>
      <c r="B737" s="15" t="s">
        <v>193</v>
      </c>
      <c r="C737" s="15" t="s">
        <v>209</v>
      </c>
      <c r="D737" s="15" t="s">
        <v>261</v>
      </c>
      <c r="E737" s="15">
        <v>1</v>
      </c>
      <c r="F737">
        <v>10</v>
      </c>
      <c r="G737">
        <v>200</v>
      </c>
      <c r="H737">
        <v>17.77</v>
      </c>
      <c r="I737" s="56">
        <v>47.772860466419715</v>
      </c>
      <c r="J737" s="15"/>
      <c r="K737" s="15"/>
      <c r="L737" s="15">
        <v>20.9</v>
      </c>
    </row>
    <row r="738" spans="1:12" hidden="1" x14ac:dyDescent="0.25">
      <c r="A738" t="s">
        <v>213</v>
      </c>
      <c r="B738" s="15" t="s">
        <v>193</v>
      </c>
      <c r="C738" s="15" t="s">
        <v>209</v>
      </c>
      <c r="D738" s="15" t="s">
        <v>261</v>
      </c>
      <c r="E738" s="15">
        <v>1</v>
      </c>
      <c r="F738">
        <v>10</v>
      </c>
      <c r="G738">
        <v>180</v>
      </c>
      <c r="H738">
        <v>17.77</v>
      </c>
      <c r="I738" s="56">
        <v>47.772860466419715</v>
      </c>
      <c r="J738" s="15"/>
      <c r="K738" s="15"/>
      <c r="L738" s="15">
        <v>20.9</v>
      </c>
    </row>
    <row r="739" spans="1:12" hidden="1" x14ac:dyDescent="0.25">
      <c r="A739" t="s">
        <v>213</v>
      </c>
      <c r="B739" s="15" t="s">
        <v>193</v>
      </c>
      <c r="C739" s="15" t="s">
        <v>209</v>
      </c>
      <c r="D739" s="15" t="s">
        <v>261</v>
      </c>
      <c r="E739" s="15">
        <v>1</v>
      </c>
      <c r="F739">
        <v>10</v>
      </c>
      <c r="G739">
        <v>160</v>
      </c>
      <c r="H739">
        <v>17.77</v>
      </c>
      <c r="I739" s="56">
        <v>47.772860466419715</v>
      </c>
      <c r="J739" s="15"/>
      <c r="K739" s="15"/>
      <c r="L739" s="15">
        <v>20.9</v>
      </c>
    </row>
    <row r="740" spans="1:12" hidden="1" x14ac:dyDescent="0.25">
      <c r="A740" t="s">
        <v>213</v>
      </c>
      <c r="B740" s="15" t="s">
        <v>193</v>
      </c>
      <c r="C740" s="15" t="s">
        <v>209</v>
      </c>
      <c r="D740" s="15" t="s">
        <v>261</v>
      </c>
      <c r="E740" s="15">
        <v>1</v>
      </c>
      <c r="F740">
        <v>10</v>
      </c>
      <c r="G740">
        <v>150</v>
      </c>
      <c r="H740">
        <v>17.77</v>
      </c>
      <c r="I740" s="56">
        <v>47.772860466419715</v>
      </c>
      <c r="J740" s="15"/>
      <c r="K740" s="15"/>
      <c r="L740" s="15">
        <v>20.9</v>
      </c>
    </row>
    <row r="741" spans="1:12" hidden="1" x14ac:dyDescent="0.25">
      <c r="A741" t="s">
        <v>213</v>
      </c>
      <c r="B741" s="15" t="s">
        <v>193</v>
      </c>
      <c r="C741" s="15" t="s">
        <v>209</v>
      </c>
      <c r="D741" s="15" t="s">
        <v>261</v>
      </c>
      <c r="E741" s="15">
        <v>1</v>
      </c>
      <c r="F741">
        <v>10</v>
      </c>
      <c r="G741">
        <v>140</v>
      </c>
      <c r="H741">
        <v>17.77</v>
      </c>
      <c r="I741" s="56">
        <v>47.772860466419715</v>
      </c>
      <c r="J741" s="15"/>
      <c r="K741" s="15"/>
      <c r="L741" s="15">
        <v>20.9</v>
      </c>
    </row>
    <row r="742" spans="1:12" hidden="1" x14ac:dyDescent="0.25">
      <c r="A742" t="s">
        <v>213</v>
      </c>
      <c r="B742" s="15" t="s">
        <v>193</v>
      </c>
      <c r="C742" s="15" t="s">
        <v>209</v>
      </c>
      <c r="D742" s="15" t="s">
        <v>261</v>
      </c>
      <c r="E742" s="15">
        <v>1</v>
      </c>
      <c r="F742">
        <v>10</v>
      </c>
      <c r="G742">
        <v>130</v>
      </c>
      <c r="H742">
        <v>17.77</v>
      </c>
      <c r="I742" s="56">
        <v>47.772860466419715</v>
      </c>
      <c r="J742" s="15"/>
      <c r="K742" s="15"/>
      <c r="L742" s="15">
        <v>20.9</v>
      </c>
    </row>
    <row r="743" spans="1:12" hidden="1" x14ac:dyDescent="0.25">
      <c r="A743" t="s">
        <v>213</v>
      </c>
      <c r="B743" s="15" t="s">
        <v>193</v>
      </c>
      <c r="C743" s="15" t="s">
        <v>209</v>
      </c>
      <c r="D743" s="15" t="s">
        <v>261</v>
      </c>
      <c r="E743" s="15">
        <v>1</v>
      </c>
      <c r="F743">
        <v>10</v>
      </c>
      <c r="G743">
        <v>120</v>
      </c>
      <c r="H743">
        <v>17.77</v>
      </c>
      <c r="I743" s="56">
        <v>47.772860466419715</v>
      </c>
      <c r="J743" s="15"/>
      <c r="K743" s="15"/>
      <c r="L743" s="15">
        <v>20.9</v>
      </c>
    </row>
    <row r="744" spans="1:12" hidden="1" x14ac:dyDescent="0.25">
      <c r="A744" t="s">
        <v>213</v>
      </c>
      <c r="B744" s="15" t="s">
        <v>193</v>
      </c>
      <c r="C744" s="15" t="s">
        <v>209</v>
      </c>
      <c r="D744" s="15" t="s">
        <v>261</v>
      </c>
      <c r="E744" s="15">
        <v>1</v>
      </c>
      <c r="F744">
        <v>10</v>
      </c>
      <c r="G744">
        <v>100</v>
      </c>
      <c r="H744">
        <v>17.77</v>
      </c>
      <c r="I744" s="56">
        <v>47.772860466419715</v>
      </c>
      <c r="J744" s="15"/>
      <c r="K744" s="15"/>
      <c r="L744" s="15">
        <v>20.9</v>
      </c>
    </row>
    <row r="745" spans="1:12" hidden="1" x14ac:dyDescent="0.25">
      <c r="A745" t="s">
        <v>213</v>
      </c>
      <c r="B745" s="15" t="s">
        <v>193</v>
      </c>
      <c r="C745" s="15" t="s">
        <v>209</v>
      </c>
      <c r="D745" s="15" t="s">
        <v>261</v>
      </c>
      <c r="E745" s="15">
        <v>1</v>
      </c>
      <c r="F745">
        <v>8</v>
      </c>
      <c r="G745">
        <v>140</v>
      </c>
      <c r="H745">
        <v>14.38</v>
      </c>
      <c r="I745" s="56">
        <v>26.74331330445693</v>
      </c>
      <c r="J745" s="15"/>
      <c r="K745" s="15"/>
      <c r="L745" s="15">
        <v>13.2</v>
      </c>
    </row>
    <row r="746" spans="1:12" hidden="1" x14ac:dyDescent="0.25">
      <c r="A746" t="s">
        <v>213</v>
      </c>
      <c r="B746" s="15" t="s">
        <v>193</v>
      </c>
      <c r="C746" s="15" t="s">
        <v>209</v>
      </c>
      <c r="D746" s="15" t="s">
        <v>261</v>
      </c>
      <c r="E746" s="15">
        <v>1</v>
      </c>
      <c r="F746">
        <v>8</v>
      </c>
      <c r="G746">
        <v>120</v>
      </c>
      <c r="H746">
        <v>14.38</v>
      </c>
      <c r="I746" s="56">
        <v>26.74331330445693</v>
      </c>
      <c r="J746" s="15"/>
      <c r="K746" s="15"/>
      <c r="L746" s="15">
        <v>13.2</v>
      </c>
    </row>
    <row r="747" spans="1:12" hidden="1" x14ac:dyDescent="0.25">
      <c r="A747" t="s">
        <v>213</v>
      </c>
      <c r="B747" s="15" t="s">
        <v>193</v>
      </c>
      <c r="C747" s="15" t="s">
        <v>209</v>
      </c>
      <c r="D747" s="15" t="s">
        <v>261</v>
      </c>
      <c r="E747" s="15">
        <v>1</v>
      </c>
      <c r="F747">
        <v>8</v>
      </c>
      <c r="G747">
        <v>100</v>
      </c>
      <c r="H747">
        <v>14.38</v>
      </c>
      <c r="I747" s="56">
        <v>26.74331330445693</v>
      </c>
      <c r="J747" s="15"/>
      <c r="K747" s="15"/>
      <c r="L747" s="15">
        <v>13.2</v>
      </c>
    </row>
    <row r="748" spans="1:12" hidden="1" x14ac:dyDescent="0.25">
      <c r="A748" t="s">
        <v>213</v>
      </c>
      <c r="B748" s="15" t="s">
        <v>193</v>
      </c>
      <c r="C748" s="15" t="s">
        <v>209</v>
      </c>
      <c r="D748" s="15" t="s">
        <v>261</v>
      </c>
      <c r="E748" s="15">
        <v>1</v>
      </c>
      <c r="F748">
        <v>8</v>
      </c>
      <c r="G748">
        <v>90</v>
      </c>
      <c r="H748">
        <v>14.38</v>
      </c>
      <c r="I748" s="56">
        <v>26.74331330445693</v>
      </c>
      <c r="J748" s="15"/>
      <c r="K748" s="15"/>
      <c r="L748" s="15">
        <v>13.2</v>
      </c>
    </row>
    <row r="749" spans="1:12" hidden="1" x14ac:dyDescent="0.25">
      <c r="A749" t="s">
        <v>213</v>
      </c>
      <c r="B749" s="15" t="s">
        <v>193</v>
      </c>
      <c r="C749" s="15" t="s">
        <v>209</v>
      </c>
      <c r="D749" s="15" t="s">
        <v>261</v>
      </c>
      <c r="E749" s="15">
        <v>1</v>
      </c>
      <c r="F749">
        <v>8</v>
      </c>
      <c r="G749">
        <v>80</v>
      </c>
      <c r="H749">
        <v>14.38</v>
      </c>
      <c r="I749" s="56">
        <v>26.74331330445693</v>
      </c>
      <c r="J749" s="15"/>
      <c r="K749" s="15"/>
      <c r="L749" s="15">
        <v>13.2</v>
      </c>
    </row>
    <row r="750" spans="1:12" hidden="1" x14ac:dyDescent="0.25">
      <c r="A750" t="s">
        <v>213</v>
      </c>
      <c r="B750" s="15" t="s">
        <v>193</v>
      </c>
      <c r="C750" s="15" t="s">
        <v>209</v>
      </c>
      <c r="D750" s="15" t="s">
        <v>261</v>
      </c>
      <c r="E750" s="15">
        <v>1</v>
      </c>
      <c r="F750">
        <v>8</v>
      </c>
      <c r="G750">
        <v>70</v>
      </c>
      <c r="H750">
        <v>14.38</v>
      </c>
      <c r="I750" s="56">
        <v>26.74331330445693</v>
      </c>
      <c r="J750" s="15"/>
      <c r="K750" s="15"/>
      <c r="L750" s="15">
        <v>13.2</v>
      </c>
    </row>
    <row r="751" spans="1:12" hidden="1" x14ac:dyDescent="0.25">
      <c r="A751" t="s">
        <v>213</v>
      </c>
      <c r="B751" s="15" t="s">
        <v>193</v>
      </c>
      <c r="C751" s="15" t="s">
        <v>209</v>
      </c>
      <c r="D751" s="15" t="s">
        <v>261</v>
      </c>
      <c r="E751" s="15">
        <v>1</v>
      </c>
      <c r="F751">
        <v>8</v>
      </c>
      <c r="G751">
        <v>60</v>
      </c>
      <c r="H751">
        <v>14.38</v>
      </c>
      <c r="I751" s="56">
        <v>26.74331330445693</v>
      </c>
      <c r="J751" s="15"/>
      <c r="K751" s="15"/>
      <c r="L751" s="15">
        <v>13.2</v>
      </c>
    </row>
    <row r="752" spans="1:12" hidden="1" x14ac:dyDescent="0.25">
      <c r="A752" t="s">
        <v>213</v>
      </c>
      <c r="B752" s="15" t="s">
        <v>193</v>
      </c>
      <c r="C752" s="15" t="s">
        <v>209</v>
      </c>
      <c r="D752" s="15" t="s">
        <v>261</v>
      </c>
      <c r="E752" s="15">
        <v>1</v>
      </c>
      <c r="F752">
        <v>8</v>
      </c>
      <c r="G752">
        <v>50</v>
      </c>
      <c r="H752">
        <v>14.38</v>
      </c>
      <c r="I752" s="56">
        <v>26.74331330445693</v>
      </c>
      <c r="J752" s="15"/>
      <c r="K752" s="15"/>
      <c r="L752" s="15">
        <v>13.2</v>
      </c>
    </row>
    <row r="753" spans="1:12" hidden="1" x14ac:dyDescent="0.25">
      <c r="A753" t="s">
        <v>213</v>
      </c>
      <c r="B753" s="15" t="s">
        <v>193</v>
      </c>
      <c r="C753" s="15" t="s">
        <v>210</v>
      </c>
      <c r="D753" s="15" t="s">
        <v>260</v>
      </c>
      <c r="E753" s="15">
        <v>3</v>
      </c>
      <c r="F753">
        <v>20</v>
      </c>
      <c r="G753">
        <v>400</v>
      </c>
      <c r="H753">
        <v>32.950000000000003</v>
      </c>
      <c r="I753" s="56">
        <v>579</v>
      </c>
      <c r="J753" s="15"/>
      <c r="K753" s="15"/>
      <c r="L753" s="15">
        <v>176.4</v>
      </c>
    </row>
    <row r="754" spans="1:12" hidden="1" x14ac:dyDescent="0.25">
      <c r="A754" t="s">
        <v>213</v>
      </c>
      <c r="B754" s="15" t="s">
        <v>193</v>
      </c>
      <c r="C754" s="15" t="s">
        <v>210</v>
      </c>
      <c r="D754" s="15" t="s">
        <v>260</v>
      </c>
      <c r="E754" s="15">
        <v>3</v>
      </c>
      <c r="F754">
        <v>20</v>
      </c>
      <c r="G754">
        <v>380</v>
      </c>
      <c r="H754">
        <v>32.950000000000003</v>
      </c>
      <c r="I754" s="56">
        <v>579</v>
      </c>
      <c r="J754" s="15"/>
      <c r="K754" s="15"/>
      <c r="L754" s="15">
        <v>176.4</v>
      </c>
    </row>
    <row r="755" spans="1:12" hidden="1" x14ac:dyDescent="0.25">
      <c r="A755" t="s">
        <v>213</v>
      </c>
      <c r="B755" s="15" t="s">
        <v>193</v>
      </c>
      <c r="C755" s="15" t="s">
        <v>210</v>
      </c>
      <c r="D755" s="15" t="s">
        <v>260</v>
      </c>
      <c r="E755" s="15">
        <v>3</v>
      </c>
      <c r="F755">
        <v>20</v>
      </c>
      <c r="G755">
        <v>360</v>
      </c>
      <c r="H755">
        <v>32.950000000000003</v>
      </c>
      <c r="I755" s="56">
        <v>579</v>
      </c>
      <c r="J755" s="15"/>
      <c r="K755" s="15"/>
      <c r="L755" s="15">
        <v>176.4</v>
      </c>
    </row>
    <row r="756" spans="1:12" hidden="1" x14ac:dyDescent="0.25">
      <c r="A756" t="s">
        <v>213</v>
      </c>
      <c r="B756" s="15" t="s">
        <v>193</v>
      </c>
      <c r="C756" s="15" t="s">
        <v>210</v>
      </c>
      <c r="D756" s="15" t="s">
        <v>260</v>
      </c>
      <c r="E756" s="15">
        <v>3</v>
      </c>
      <c r="F756">
        <v>20</v>
      </c>
      <c r="G756">
        <v>340</v>
      </c>
      <c r="H756">
        <v>32.950000000000003</v>
      </c>
      <c r="I756" s="56">
        <v>579</v>
      </c>
      <c r="J756" s="15"/>
      <c r="K756" s="15"/>
      <c r="L756" s="15">
        <v>176.4</v>
      </c>
    </row>
    <row r="757" spans="1:12" hidden="1" x14ac:dyDescent="0.25">
      <c r="A757" t="s">
        <v>213</v>
      </c>
      <c r="B757" s="15" t="s">
        <v>193</v>
      </c>
      <c r="C757" s="15" t="s">
        <v>210</v>
      </c>
      <c r="D757" s="15" t="s">
        <v>260</v>
      </c>
      <c r="E757" s="15">
        <v>3</v>
      </c>
      <c r="F757">
        <v>20</v>
      </c>
      <c r="G757">
        <v>320</v>
      </c>
      <c r="H757">
        <v>32.950000000000003</v>
      </c>
      <c r="I757" s="56">
        <v>579</v>
      </c>
      <c r="J757" s="15"/>
      <c r="K757" s="15"/>
      <c r="L757" s="15">
        <v>176.4</v>
      </c>
    </row>
    <row r="758" spans="1:12" hidden="1" x14ac:dyDescent="0.25">
      <c r="A758" t="s">
        <v>213</v>
      </c>
      <c r="B758" s="15" t="s">
        <v>193</v>
      </c>
      <c r="C758" s="15" t="s">
        <v>210</v>
      </c>
      <c r="D758" s="15" t="s">
        <v>260</v>
      </c>
      <c r="E758" s="15">
        <v>3</v>
      </c>
      <c r="F758">
        <v>20</v>
      </c>
      <c r="G758">
        <v>300</v>
      </c>
      <c r="H758">
        <v>32.950000000000003</v>
      </c>
      <c r="I758" s="56">
        <v>579</v>
      </c>
      <c r="J758" s="15"/>
      <c r="K758" s="15"/>
      <c r="L758" s="15">
        <v>176.4</v>
      </c>
    </row>
    <row r="759" spans="1:12" hidden="1" x14ac:dyDescent="0.25">
      <c r="A759" t="s">
        <v>213</v>
      </c>
      <c r="B759" s="15" t="s">
        <v>193</v>
      </c>
      <c r="C759" s="15" t="s">
        <v>210</v>
      </c>
      <c r="D759" s="15" t="s">
        <v>260</v>
      </c>
      <c r="E759" s="15">
        <v>3</v>
      </c>
      <c r="F759">
        <v>20</v>
      </c>
      <c r="G759">
        <v>280</v>
      </c>
      <c r="H759">
        <v>32.950000000000003</v>
      </c>
      <c r="I759" s="56">
        <v>579</v>
      </c>
      <c r="J759" s="15"/>
      <c r="K759" s="15"/>
      <c r="L759" s="15">
        <v>176.4</v>
      </c>
    </row>
    <row r="760" spans="1:12" hidden="1" x14ac:dyDescent="0.25">
      <c r="A760" t="s">
        <v>213</v>
      </c>
      <c r="B760" s="15" t="s">
        <v>193</v>
      </c>
      <c r="C760" s="15" t="s">
        <v>210</v>
      </c>
      <c r="D760" s="15" t="s">
        <v>260</v>
      </c>
      <c r="E760" s="15">
        <v>3</v>
      </c>
      <c r="F760">
        <v>20</v>
      </c>
      <c r="G760">
        <v>260</v>
      </c>
      <c r="H760">
        <v>32.950000000000003</v>
      </c>
      <c r="I760" s="56">
        <v>579</v>
      </c>
      <c r="J760" s="15"/>
      <c r="K760" s="15"/>
      <c r="L760" s="15">
        <v>176.4</v>
      </c>
    </row>
    <row r="761" spans="1:12" hidden="1" x14ac:dyDescent="0.25">
      <c r="A761" t="s">
        <v>213</v>
      </c>
      <c r="B761" s="15" t="s">
        <v>193</v>
      </c>
      <c r="C761" s="15" t="s">
        <v>210</v>
      </c>
      <c r="D761" s="15" t="s">
        <v>260</v>
      </c>
      <c r="E761" s="15">
        <v>3</v>
      </c>
      <c r="F761">
        <v>20</v>
      </c>
      <c r="G761">
        <v>240</v>
      </c>
      <c r="H761">
        <v>32.950000000000003</v>
      </c>
      <c r="I761" s="56">
        <v>579</v>
      </c>
      <c r="J761" s="15"/>
      <c r="K761" s="15"/>
      <c r="L761" s="15">
        <v>176.4</v>
      </c>
    </row>
    <row r="762" spans="1:12" hidden="1" x14ac:dyDescent="0.25">
      <c r="A762" t="s">
        <v>213</v>
      </c>
      <c r="B762" s="15" t="s">
        <v>193</v>
      </c>
      <c r="C762" s="15" t="s">
        <v>210</v>
      </c>
      <c r="D762" s="15" t="s">
        <v>260</v>
      </c>
      <c r="E762" s="15">
        <v>3</v>
      </c>
      <c r="F762">
        <v>20</v>
      </c>
      <c r="G762">
        <v>220</v>
      </c>
      <c r="H762">
        <v>32.950000000000003</v>
      </c>
      <c r="I762" s="56">
        <v>579</v>
      </c>
      <c r="J762" s="15"/>
      <c r="K762" s="15"/>
      <c r="L762" s="15">
        <v>176.4</v>
      </c>
    </row>
    <row r="763" spans="1:12" hidden="1" x14ac:dyDescent="0.25">
      <c r="A763" t="s">
        <v>213</v>
      </c>
      <c r="B763" s="15" t="s">
        <v>193</v>
      </c>
      <c r="C763" s="15" t="s">
        <v>210</v>
      </c>
      <c r="D763" s="15" t="s">
        <v>260</v>
      </c>
      <c r="E763" s="15">
        <v>3</v>
      </c>
      <c r="F763">
        <v>20</v>
      </c>
      <c r="G763">
        <v>200</v>
      </c>
      <c r="H763">
        <v>32.950000000000003</v>
      </c>
      <c r="I763" s="56">
        <v>579</v>
      </c>
      <c r="J763" s="15"/>
      <c r="K763" s="15"/>
      <c r="L763" s="15">
        <v>176.4</v>
      </c>
    </row>
    <row r="764" spans="1:12" hidden="1" x14ac:dyDescent="0.25">
      <c r="A764" t="s">
        <v>213</v>
      </c>
      <c r="B764" s="15" t="s">
        <v>193</v>
      </c>
      <c r="C764" s="15" t="s">
        <v>210</v>
      </c>
      <c r="D764" s="15" t="s">
        <v>260</v>
      </c>
      <c r="E764" s="15">
        <v>3</v>
      </c>
      <c r="F764">
        <v>20</v>
      </c>
      <c r="G764">
        <v>180</v>
      </c>
      <c r="H764">
        <v>32.950000000000003</v>
      </c>
      <c r="I764" s="56">
        <v>579</v>
      </c>
      <c r="J764" s="15"/>
      <c r="K764" s="15"/>
      <c r="L764" s="15">
        <v>176.4</v>
      </c>
    </row>
    <row r="765" spans="1:12" hidden="1" x14ac:dyDescent="0.25">
      <c r="A765" t="s">
        <v>213</v>
      </c>
      <c r="B765" s="15" t="s">
        <v>193</v>
      </c>
      <c r="C765" s="15" t="s">
        <v>210</v>
      </c>
      <c r="D765" s="15" t="s">
        <v>260</v>
      </c>
      <c r="E765" s="15">
        <v>3</v>
      </c>
      <c r="F765">
        <v>20</v>
      </c>
      <c r="G765">
        <v>160</v>
      </c>
      <c r="H765">
        <v>32.950000000000003</v>
      </c>
      <c r="I765" s="56">
        <v>579</v>
      </c>
      <c r="J765" s="15"/>
      <c r="K765" s="15"/>
      <c r="L765" s="15">
        <v>176.4</v>
      </c>
    </row>
    <row r="766" spans="1:12" hidden="1" x14ac:dyDescent="0.25">
      <c r="A766" t="s">
        <v>213</v>
      </c>
      <c r="B766" s="15" t="s">
        <v>193</v>
      </c>
      <c r="C766" s="15" t="s">
        <v>210</v>
      </c>
      <c r="D766" s="15" t="s">
        <v>260</v>
      </c>
      <c r="E766" s="15">
        <v>3</v>
      </c>
      <c r="F766">
        <v>16</v>
      </c>
      <c r="G766">
        <v>300</v>
      </c>
      <c r="H766">
        <v>26.17</v>
      </c>
      <c r="I766" s="56">
        <v>324</v>
      </c>
      <c r="J766" s="15"/>
      <c r="K766" s="15"/>
      <c r="L766" s="15">
        <v>113</v>
      </c>
    </row>
    <row r="767" spans="1:12" hidden="1" x14ac:dyDescent="0.25">
      <c r="A767" t="s">
        <v>213</v>
      </c>
      <c r="B767" s="15" t="s">
        <v>193</v>
      </c>
      <c r="C767" s="15" t="s">
        <v>210</v>
      </c>
      <c r="D767" s="15" t="s">
        <v>260</v>
      </c>
      <c r="E767" s="15">
        <v>3</v>
      </c>
      <c r="F767">
        <v>16</v>
      </c>
      <c r="G767">
        <v>280</v>
      </c>
      <c r="H767">
        <v>26.17</v>
      </c>
      <c r="I767" s="56">
        <v>324</v>
      </c>
      <c r="J767" s="15"/>
      <c r="K767" s="15"/>
      <c r="L767" s="15">
        <v>113</v>
      </c>
    </row>
    <row r="768" spans="1:12" hidden="1" x14ac:dyDescent="0.25">
      <c r="A768" t="s">
        <v>213</v>
      </c>
      <c r="B768" s="15" t="s">
        <v>193</v>
      </c>
      <c r="C768" s="15" t="s">
        <v>210</v>
      </c>
      <c r="D768" s="15" t="s">
        <v>260</v>
      </c>
      <c r="E768" s="15">
        <v>3</v>
      </c>
      <c r="F768">
        <v>16</v>
      </c>
      <c r="G768">
        <v>260</v>
      </c>
      <c r="H768">
        <v>26.17</v>
      </c>
      <c r="I768" s="56">
        <v>324</v>
      </c>
      <c r="J768" s="15"/>
      <c r="K768" s="15"/>
      <c r="L768" s="15">
        <v>113</v>
      </c>
    </row>
    <row r="769" spans="1:12" hidden="1" x14ac:dyDescent="0.25">
      <c r="A769" t="s">
        <v>213</v>
      </c>
      <c r="B769" s="15" t="s">
        <v>193</v>
      </c>
      <c r="C769" s="15" t="s">
        <v>210</v>
      </c>
      <c r="D769" s="15" t="s">
        <v>260</v>
      </c>
      <c r="E769" s="15">
        <v>3</v>
      </c>
      <c r="F769">
        <v>16</v>
      </c>
      <c r="G769">
        <v>240</v>
      </c>
      <c r="H769">
        <v>26.17</v>
      </c>
      <c r="I769" s="56">
        <v>324</v>
      </c>
      <c r="J769" s="15"/>
      <c r="K769" s="15"/>
      <c r="L769" s="15">
        <v>113</v>
      </c>
    </row>
    <row r="770" spans="1:12" hidden="1" x14ac:dyDescent="0.25">
      <c r="A770" t="s">
        <v>213</v>
      </c>
      <c r="B770" s="15" t="s">
        <v>193</v>
      </c>
      <c r="C770" s="15" t="s">
        <v>210</v>
      </c>
      <c r="D770" s="15" t="s">
        <v>260</v>
      </c>
      <c r="E770" s="15">
        <v>3</v>
      </c>
      <c r="F770">
        <v>16</v>
      </c>
      <c r="G770">
        <v>220</v>
      </c>
      <c r="H770">
        <v>26.17</v>
      </c>
      <c r="I770" s="56">
        <v>324</v>
      </c>
      <c r="J770" s="15"/>
      <c r="K770" s="15"/>
      <c r="L770" s="15">
        <v>113</v>
      </c>
    </row>
    <row r="771" spans="1:12" hidden="1" x14ac:dyDescent="0.25">
      <c r="A771" t="s">
        <v>213</v>
      </c>
      <c r="B771" s="15" t="s">
        <v>193</v>
      </c>
      <c r="C771" s="15" t="s">
        <v>210</v>
      </c>
      <c r="D771" s="15" t="s">
        <v>260</v>
      </c>
      <c r="E771" s="15">
        <v>3</v>
      </c>
      <c r="F771">
        <v>16</v>
      </c>
      <c r="G771">
        <v>200</v>
      </c>
      <c r="H771">
        <v>26.17</v>
      </c>
      <c r="I771" s="56">
        <v>324</v>
      </c>
      <c r="J771" s="15"/>
      <c r="K771" s="15"/>
      <c r="L771" s="15">
        <v>113</v>
      </c>
    </row>
    <row r="772" spans="1:12" hidden="1" x14ac:dyDescent="0.25">
      <c r="A772" t="s">
        <v>213</v>
      </c>
      <c r="B772" s="15" t="s">
        <v>193</v>
      </c>
      <c r="C772" s="15" t="s">
        <v>210</v>
      </c>
      <c r="D772" s="15" t="s">
        <v>260</v>
      </c>
      <c r="E772" s="15">
        <v>3</v>
      </c>
      <c r="F772">
        <v>16</v>
      </c>
      <c r="G772">
        <v>180</v>
      </c>
      <c r="H772">
        <v>26.17</v>
      </c>
      <c r="I772" s="56">
        <v>324</v>
      </c>
      <c r="J772" s="15"/>
      <c r="K772" s="15"/>
      <c r="L772" s="15">
        <v>113</v>
      </c>
    </row>
    <row r="773" spans="1:12" hidden="1" x14ac:dyDescent="0.25">
      <c r="A773" t="s">
        <v>213</v>
      </c>
      <c r="B773" s="15" t="s">
        <v>193</v>
      </c>
      <c r="C773" s="15" t="s">
        <v>210</v>
      </c>
      <c r="D773" s="15" t="s">
        <v>260</v>
      </c>
      <c r="E773" s="15">
        <v>3</v>
      </c>
      <c r="F773">
        <v>16</v>
      </c>
      <c r="G773">
        <v>160</v>
      </c>
      <c r="H773">
        <v>26.17</v>
      </c>
      <c r="I773" s="56">
        <v>324</v>
      </c>
      <c r="J773" s="15"/>
      <c r="K773" s="15"/>
      <c r="L773" s="15">
        <v>113</v>
      </c>
    </row>
    <row r="774" spans="1:12" hidden="1" x14ac:dyDescent="0.25">
      <c r="A774" t="s">
        <v>213</v>
      </c>
      <c r="B774" s="15" t="s">
        <v>193</v>
      </c>
      <c r="C774" s="15" t="s">
        <v>210</v>
      </c>
      <c r="D774" s="15" t="s">
        <v>260</v>
      </c>
      <c r="E774" s="15">
        <v>3</v>
      </c>
      <c r="F774">
        <v>16</v>
      </c>
      <c r="G774">
        <v>150</v>
      </c>
      <c r="H774">
        <v>26.75</v>
      </c>
      <c r="I774" s="56">
        <v>324</v>
      </c>
      <c r="J774" s="15"/>
      <c r="K774" s="15"/>
      <c r="L774" s="15">
        <v>113</v>
      </c>
    </row>
    <row r="775" spans="1:12" hidden="1" x14ac:dyDescent="0.25">
      <c r="A775" t="s">
        <v>213</v>
      </c>
      <c r="B775" s="15" t="s">
        <v>193</v>
      </c>
      <c r="C775" s="15" t="s">
        <v>210</v>
      </c>
      <c r="D775" s="15" t="s">
        <v>260</v>
      </c>
      <c r="E775" s="15">
        <v>3</v>
      </c>
      <c r="F775">
        <v>16</v>
      </c>
      <c r="G775">
        <v>140</v>
      </c>
      <c r="H775">
        <v>26.75</v>
      </c>
      <c r="I775" s="56">
        <v>324</v>
      </c>
      <c r="J775" s="15"/>
      <c r="K775" s="15"/>
      <c r="L775" s="15">
        <v>113</v>
      </c>
    </row>
    <row r="776" spans="1:12" hidden="1" x14ac:dyDescent="0.25">
      <c r="A776" t="s">
        <v>213</v>
      </c>
      <c r="B776" s="15" t="s">
        <v>193</v>
      </c>
      <c r="C776" s="15" t="s">
        <v>210</v>
      </c>
      <c r="D776" s="15" t="s">
        <v>260</v>
      </c>
      <c r="E776" s="15">
        <v>3</v>
      </c>
      <c r="F776">
        <v>16</v>
      </c>
      <c r="G776">
        <v>120</v>
      </c>
      <c r="H776">
        <v>26.75</v>
      </c>
      <c r="I776" s="56">
        <v>324</v>
      </c>
      <c r="J776" s="15"/>
      <c r="K776" s="15"/>
      <c r="L776" s="15">
        <v>113</v>
      </c>
    </row>
    <row r="777" spans="1:12" hidden="1" x14ac:dyDescent="0.25">
      <c r="A777" t="s">
        <v>213</v>
      </c>
      <c r="B777" s="15" t="s">
        <v>193</v>
      </c>
      <c r="C777" s="15" t="s">
        <v>210</v>
      </c>
      <c r="D777" s="15" t="s">
        <v>260</v>
      </c>
      <c r="E777" s="15">
        <v>3</v>
      </c>
      <c r="F777">
        <v>12</v>
      </c>
      <c r="G777">
        <v>260</v>
      </c>
      <c r="H777">
        <v>20.03</v>
      </c>
      <c r="I777" s="56">
        <v>153</v>
      </c>
      <c r="J777" s="15"/>
      <c r="K777" s="15"/>
      <c r="L777" s="15">
        <v>60.7</v>
      </c>
    </row>
    <row r="778" spans="1:12" hidden="1" x14ac:dyDescent="0.25">
      <c r="A778" t="s">
        <v>213</v>
      </c>
      <c r="B778" s="15" t="s">
        <v>193</v>
      </c>
      <c r="C778" s="15" t="s">
        <v>210</v>
      </c>
      <c r="D778" s="15" t="s">
        <v>260</v>
      </c>
      <c r="E778" s="15">
        <v>3</v>
      </c>
      <c r="F778">
        <v>12</v>
      </c>
      <c r="G778">
        <v>240</v>
      </c>
      <c r="H778">
        <v>20.03</v>
      </c>
      <c r="I778" s="56">
        <v>153</v>
      </c>
      <c r="J778" s="15"/>
      <c r="K778" s="15"/>
      <c r="L778" s="15">
        <v>60.7</v>
      </c>
    </row>
    <row r="779" spans="1:12" hidden="1" x14ac:dyDescent="0.25">
      <c r="A779" t="s">
        <v>213</v>
      </c>
      <c r="B779" s="15" t="s">
        <v>193</v>
      </c>
      <c r="C779" s="15" t="s">
        <v>210</v>
      </c>
      <c r="D779" s="15" t="s">
        <v>260</v>
      </c>
      <c r="E779" s="15">
        <v>3</v>
      </c>
      <c r="F779">
        <v>12</v>
      </c>
      <c r="G779">
        <v>220</v>
      </c>
      <c r="H779">
        <v>20.03</v>
      </c>
      <c r="I779" s="56">
        <v>153</v>
      </c>
      <c r="J779" s="15"/>
      <c r="K779" s="15"/>
      <c r="L779" s="15">
        <v>60.7</v>
      </c>
    </row>
    <row r="780" spans="1:12" hidden="1" x14ac:dyDescent="0.25">
      <c r="A780" t="s">
        <v>213</v>
      </c>
      <c r="B780" s="15" t="s">
        <v>193</v>
      </c>
      <c r="C780" s="15" t="s">
        <v>210</v>
      </c>
      <c r="D780" s="15" t="s">
        <v>260</v>
      </c>
      <c r="E780" s="15">
        <v>3</v>
      </c>
      <c r="F780">
        <v>12</v>
      </c>
      <c r="G780">
        <v>160</v>
      </c>
      <c r="H780">
        <v>20.03</v>
      </c>
      <c r="I780" s="56">
        <v>153</v>
      </c>
      <c r="J780" s="15"/>
      <c r="K780" s="15"/>
      <c r="L780" s="15">
        <v>60.7</v>
      </c>
    </row>
    <row r="781" spans="1:12" hidden="1" x14ac:dyDescent="0.25">
      <c r="A781" t="s">
        <v>213</v>
      </c>
      <c r="B781" s="15" t="s">
        <v>193</v>
      </c>
      <c r="C781" s="15" t="s">
        <v>210</v>
      </c>
      <c r="D781" s="15" t="s">
        <v>260</v>
      </c>
      <c r="E781" s="15">
        <v>3</v>
      </c>
      <c r="F781">
        <v>12</v>
      </c>
      <c r="G781">
        <v>180</v>
      </c>
      <c r="H781">
        <v>20.03</v>
      </c>
      <c r="I781" s="56">
        <v>153</v>
      </c>
      <c r="J781" s="15"/>
      <c r="K781" s="15"/>
      <c r="L781" s="15">
        <v>60.7</v>
      </c>
    </row>
    <row r="782" spans="1:12" hidden="1" x14ac:dyDescent="0.25">
      <c r="A782" t="s">
        <v>213</v>
      </c>
      <c r="B782" s="15" t="s">
        <v>193</v>
      </c>
      <c r="C782" s="15" t="s">
        <v>210</v>
      </c>
      <c r="D782" s="15" t="s">
        <v>260</v>
      </c>
      <c r="E782" s="15">
        <v>3</v>
      </c>
      <c r="F782">
        <v>12</v>
      </c>
      <c r="G782">
        <v>200</v>
      </c>
      <c r="H782">
        <v>20.03</v>
      </c>
      <c r="I782" s="56">
        <v>153</v>
      </c>
      <c r="J782" s="15"/>
      <c r="K782" s="15"/>
      <c r="L782" s="15">
        <v>60.7</v>
      </c>
    </row>
    <row r="783" spans="1:12" hidden="1" x14ac:dyDescent="0.25">
      <c r="A783" t="s">
        <v>213</v>
      </c>
      <c r="B783" s="15" t="s">
        <v>193</v>
      </c>
      <c r="C783" s="15" t="s">
        <v>210</v>
      </c>
      <c r="D783" s="15" t="s">
        <v>260</v>
      </c>
      <c r="E783" s="15">
        <v>3</v>
      </c>
      <c r="F783">
        <v>12</v>
      </c>
      <c r="G783">
        <v>140</v>
      </c>
      <c r="H783">
        <v>20.03</v>
      </c>
      <c r="I783" s="56">
        <v>153</v>
      </c>
      <c r="J783" s="15"/>
      <c r="K783" s="15"/>
      <c r="L783" s="15">
        <v>60.7</v>
      </c>
    </row>
    <row r="784" spans="1:12" hidden="1" x14ac:dyDescent="0.25">
      <c r="A784" t="s">
        <v>213</v>
      </c>
      <c r="B784" s="15" t="s">
        <v>193</v>
      </c>
      <c r="C784" s="15" t="s">
        <v>210</v>
      </c>
      <c r="D784" s="15" t="s">
        <v>260</v>
      </c>
      <c r="E784" s="15">
        <v>3</v>
      </c>
      <c r="F784">
        <v>12</v>
      </c>
      <c r="G784">
        <v>120</v>
      </c>
      <c r="H784">
        <v>20.03</v>
      </c>
      <c r="I784" s="56">
        <v>153</v>
      </c>
      <c r="J784" s="15"/>
      <c r="K784" s="15"/>
      <c r="L784" s="15">
        <v>60.7</v>
      </c>
    </row>
    <row r="785" spans="1:12" hidden="1" x14ac:dyDescent="0.25">
      <c r="A785" t="s">
        <v>213</v>
      </c>
      <c r="B785" s="15" t="s">
        <v>193</v>
      </c>
      <c r="C785" s="15" t="s">
        <v>210</v>
      </c>
      <c r="D785" s="15" t="s">
        <v>260</v>
      </c>
      <c r="E785" s="15">
        <v>3</v>
      </c>
      <c r="F785">
        <v>12</v>
      </c>
      <c r="G785">
        <v>100</v>
      </c>
      <c r="H785">
        <v>20.03</v>
      </c>
      <c r="I785" s="56">
        <v>153</v>
      </c>
      <c r="J785" s="15"/>
      <c r="K785" s="15"/>
      <c r="L785" s="15">
        <v>60.7</v>
      </c>
    </row>
    <row r="786" spans="1:12" hidden="1" x14ac:dyDescent="0.25">
      <c r="A786" t="s">
        <v>213</v>
      </c>
      <c r="B786" s="15" t="s">
        <v>193</v>
      </c>
      <c r="C786" s="15" t="s">
        <v>211</v>
      </c>
      <c r="D786" s="15" t="s">
        <v>260</v>
      </c>
      <c r="E786" s="15">
        <v>1</v>
      </c>
      <c r="F786">
        <v>20</v>
      </c>
      <c r="G786">
        <v>460</v>
      </c>
      <c r="H786">
        <v>32.950000000000003</v>
      </c>
      <c r="I786" s="56">
        <v>579</v>
      </c>
      <c r="J786" s="15"/>
      <c r="K786" s="15"/>
      <c r="L786" s="15">
        <v>176.4</v>
      </c>
    </row>
    <row r="787" spans="1:12" hidden="1" x14ac:dyDescent="0.25">
      <c r="A787" t="s">
        <v>213</v>
      </c>
      <c r="B787" s="15" t="s">
        <v>193</v>
      </c>
      <c r="C787" s="15" t="s">
        <v>211</v>
      </c>
      <c r="D787" s="15" t="s">
        <v>260</v>
      </c>
      <c r="E787" s="15">
        <v>1</v>
      </c>
      <c r="F787">
        <v>20</v>
      </c>
      <c r="G787">
        <v>440</v>
      </c>
      <c r="H787">
        <v>32.950000000000003</v>
      </c>
      <c r="I787" s="56">
        <v>579</v>
      </c>
      <c r="J787" s="15"/>
      <c r="K787" s="15"/>
      <c r="L787" s="15">
        <v>176.4</v>
      </c>
    </row>
    <row r="788" spans="1:12" hidden="1" x14ac:dyDescent="0.25">
      <c r="A788" t="s">
        <v>213</v>
      </c>
      <c r="B788" s="15" t="s">
        <v>193</v>
      </c>
      <c r="C788" s="15" t="s">
        <v>211</v>
      </c>
      <c r="D788" s="15" t="s">
        <v>260</v>
      </c>
      <c r="E788" s="15">
        <v>1</v>
      </c>
      <c r="F788">
        <v>20</v>
      </c>
      <c r="G788">
        <v>420</v>
      </c>
      <c r="H788">
        <v>32.950000000000003</v>
      </c>
      <c r="I788" s="56">
        <v>579</v>
      </c>
      <c r="J788" s="15"/>
      <c r="K788" s="15"/>
      <c r="L788" s="15">
        <v>176.4</v>
      </c>
    </row>
    <row r="789" spans="1:12" hidden="1" x14ac:dyDescent="0.25">
      <c r="A789" t="s">
        <v>213</v>
      </c>
      <c r="B789" s="15" t="s">
        <v>193</v>
      </c>
      <c r="C789" s="15" t="s">
        <v>211</v>
      </c>
      <c r="D789" s="15" t="s">
        <v>260</v>
      </c>
      <c r="E789" s="15">
        <v>1</v>
      </c>
      <c r="F789">
        <v>20</v>
      </c>
      <c r="G789">
        <v>400</v>
      </c>
      <c r="H789">
        <v>32.950000000000003</v>
      </c>
      <c r="I789" s="56">
        <v>579</v>
      </c>
      <c r="J789" s="15"/>
      <c r="K789" s="15"/>
      <c r="L789" s="15">
        <v>176.4</v>
      </c>
    </row>
    <row r="790" spans="1:12" hidden="1" x14ac:dyDescent="0.25">
      <c r="A790" t="s">
        <v>213</v>
      </c>
      <c r="B790" s="15" t="s">
        <v>193</v>
      </c>
      <c r="C790" s="15" t="s">
        <v>211</v>
      </c>
      <c r="D790" s="15" t="s">
        <v>260</v>
      </c>
      <c r="E790" s="15">
        <v>1</v>
      </c>
      <c r="F790">
        <v>20</v>
      </c>
      <c r="G790">
        <v>380</v>
      </c>
      <c r="H790">
        <v>32.950000000000003</v>
      </c>
      <c r="I790" s="56">
        <v>579</v>
      </c>
      <c r="J790" s="15"/>
      <c r="K790" s="15"/>
      <c r="L790" s="15">
        <v>176.4</v>
      </c>
    </row>
    <row r="791" spans="1:12" hidden="1" x14ac:dyDescent="0.25">
      <c r="A791" t="s">
        <v>213</v>
      </c>
      <c r="B791" s="15" t="s">
        <v>193</v>
      </c>
      <c r="C791" s="15" t="s">
        <v>211</v>
      </c>
      <c r="D791" s="15" t="s">
        <v>260</v>
      </c>
      <c r="E791" s="15">
        <v>1</v>
      </c>
      <c r="F791">
        <v>20</v>
      </c>
      <c r="G791">
        <v>360</v>
      </c>
      <c r="H791">
        <v>32.950000000000003</v>
      </c>
      <c r="I791" s="56">
        <v>579</v>
      </c>
      <c r="J791" s="15"/>
      <c r="K791" s="15"/>
      <c r="L791" s="15">
        <v>176.4</v>
      </c>
    </row>
    <row r="792" spans="1:12" hidden="1" x14ac:dyDescent="0.25">
      <c r="A792" t="s">
        <v>213</v>
      </c>
      <c r="B792" s="15" t="s">
        <v>193</v>
      </c>
      <c r="C792" s="15" t="s">
        <v>211</v>
      </c>
      <c r="D792" s="15" t="s">
        <v>260</v>
      </c>
      <c r="E792" s="15">
        <v>1</v>
      </c>
      <c r="F792">
        <v>20</v>
      </c>
      <c r="G792">
        <v>340</v>
      </c>
      <c r="H792">
        <v>32.950000000000003</v>
      </c>
      <c r="I792" s="56">
        <v>579</v>
      </c>
      <c r="J792" s="15"/>
      <c r="K792" s="15"/>
      <c r="L792" s="15">
        <v>176.4</v>
      </c>
    </row>
    <row r="793" spans="1:12" hidden="1" x14ac:dyDescent="0.25">
      <c r="A793" t="s">
        <v>213</v>
      </c>
      <c r="B793" s="15" t="s">
        <v>193</v>
      </c>
      <c r="C793" s="15" t="s">
        <v>211</v>
      </c>
      <c r="D793" s="15" t="s">
        <v>260</v>
      </c>
      <c r="E793" s="15">
        <v>1</v>
      </c>
      <c r="F793">
        <v>20</v>
      </c>
      <c r="G793">
        <v>320</v>
      </c>
      <c r="H793">
        <v>32.950000000000003</v>
      </c>
      <c r="I793" s="56">
        <v>579</v>
      </c>
      <c r="J793" s="15"/>
      <c r="K793" s="15"/>
      <c r="L793" s="15">
        <v>176.4</v>
      </c>
    </row>
    <row r="794" spans="1:12" hidden="1" x14ac:dyDescent="0.25">
      <c r="A794" t="s">
        <v>213</v>
      </c>
      <c r="B794" s="15" t="s">
        <v>193</v>
      </c>
      <c r="C794" s="15" t="s">
        <v>211</v>
      </c>
      <c r="D794" s="15" t="s">
        <v>260</v>
      </c>
      <c r="E794" s="15">
        <v>1</v>
      </c>
      <c r="F794">
        <v>20</v>
      </c>
      <c r="G794">
        <v>300</v>
      </c>
      <c r="H794">
        <v>32.950000000000003</v>
      </c>
      <c r="I794" s="56">
        <v>579</v>
      </c>
      <c r="J794" s="15"/>
      <c r="K794" s="15"/>
      <c r="L794" s="15">
        <v>176.4</v>
      </c>
    </row>
    <row r="795" spans="1:12" hidden="1" x14ac:dyDescent="0.25">
      <c r="A795" t="s">
        <v>213</v>
      </c>
      <c r="B795" s="15" t="s">
        <v>193</v>
      </c>
      <c r="C795" s="15" t="s">
        <v>211</v>
      </c>
      <c r="D795" s="15" t="s">
        <v>260</v>
      </c>
      <c r="E795" s="15">
        <v>1</v>
      </c>
      <c r="F795">
        <v>20</v>
      </c>
      <c r="G795">
        <v>280</v>
      </c>
      <c r="H795">
        <v>32.950000000000003</v>
      </c>
      <c r="I795" s="56">
        <v>579</v>
      </c>
      <c r="J795" s="15"/>
      <c r="K795" s="15"/>
      <c r="L795" s="15">
        <v>176.4</v>
      </c>
    </row>
    <row r="796" spans="1:12" hidden="1" x14ac:dyDescent="0.25">
      <c r="A796" t="s">
        <v>213</v>
      </c>
      <c r="B796" s="15" t="s">
        <v>193</v>
      </c>
      <c r="C796" s="15" t="s">
        <v>211</v>
      </c>
      <c r="D796" s="15" t="s">
        <v>260</v>
      </c>
      <c r="E796" s="15">
        <v>1</v>
      </c>
      <c r="F796">
        <v>20</v>
      </c>
      <c r="G796">
        <v>260</v>
      </c>
      <c r="H796">
        <v>32.950000000000003</v>
      </c>
      <c r="I796" s="56">
        <v>579</v>
      </c>
      <c r="J796" s="15"/>
      <c r="K796" s="15"/>
      <c r="L796" s="15">
        <v>176.4</v>
      </c>
    </row>
    <row r="797" spans="1:12" hidden="1" x14ac:dyDescent="0.25">
      <c r="A797" t="s">
        <v>213</v>
      </c>
      <c r="B797" s="15" t="s">
        <v>193</v>
      </c>
      <c r="C797" s="15" t="s">
        <v>211</v>
      </c>
      <c r="D797" s="15" t="s">
        <v>260</v>
      </c>
      <c r="E797" s="15">
        <v>1</v>
      </c>
      <c r="F797">
        <v>20</v>
      </c>
      <c r="G797">
        <v>240</v>
      </c>
      <c r="H797">
        <v>32.950000000000003</v>
      </c>
      <c r="I797" s="56">
        <v>579</v>
      </c>
      <c r="J797" s="15"/>
      <c r="K797" s="15"/>
      <c r="L797" s="15">
        <v>176.4</v>
      </c>
    </row>
    <row r="798" spans="1:12" hidden="1" x14ac:dyDescent="0.25">
      <c r="A798" t="s">
        <v>213</v>
      </c>
      <c r="B798" s="15" t="s">
        <v>193</v>
      </c>
      <c r="C798" s="15" t="s">
        <v>211</v>
      </c>
      <c r="D798" s="15" t="s">
        <v>260</v>
      </c>
      <c r="E798" s="15">
        <v>1</v>
      </c>
      <c r="F798">
        <v>20</v>
      </c>
      <c r="G798">
        <v>220</v>
      </c>
      <c r="H798">
        <v>32.950000000000003</v>
      </c>
      <c r="I798" s="56">
        <v>579</v>
      </c>
      <c r="J798" s="15"/>
      <c r="K798" s="15"/>
      <c r="L798" s="15">
        <v>176.4</v>
      </c>
    </row>
    <row r="799" spans="1:12" hidden="1" x14ac:dyDescent="0.25">
      <c r="A799" t="s">
        <v>213</v>
      </c>
      <c r="B799" s="15" t="s">
        <v>193</v>
      </c>
      <c r="C799" s="15" t="s">
        <v>211</v>
      </c>
      <c r="D799" s="15" t="s">
        <v>260</v>
      </c>
      <c r="E799" s="15">
        <v>1</v>
      </c>
      <c r="F799">
        <v>20</v>
      </c>
      <c r="G799">
        <v>200</v>
      </c>
      <c r="H799">
        <v>32.950000000000003</v>
      </c>
      <c r="I799" s="56">
        <v>579</v>
      </c>
      <c r="J799" s="15"/>
      <c r="K799" s="15"/>
      <c r="L799" s="15">
        <v>176.4</v>
      </c>
    </row>
    <row r="800" spans="1:12" hidden="1" x14ac:dyDescent="0.25">
      <c r="A800" t="s">
        <v>213</v>
      </c>
      <c r="B800" s="15" t="s">
        <v>193</v>
      </c>
      <c r="C800" s="15" t="s">
        <v>211</v>
      </c>
      <c r="D800" s="15" t="s">
        <v>260</v>
      </c>
      <c r="E800" s="15">
        <v>1</v>
      </c>
      <c r="F800">
        <v>20</v>
      </c>
      <c r="G800">
        <v>180</v>
      </c>
      <c r="H800">
        <v>32.950000000000003</v>
      </c>
      <c r="I800" s="56">
        <v>579</v>
      </c>
      <c r="J800" s="15"/>
      <c r="K800" s="15"/>
      <c r="L800" s="15">
        <v>176.4</v>
      </c>
    </row>
    <row r="801" spans="1:12" hidden="1" x14ac:dyDescent="0.25">
      <c r="A801" t="s">
        <v>213</v>
      </c>
      <c r="B801" s="15" t="s">
        <v>193</v>
      </c>
      <c r="C801" s="15" t="s">
        <v>211</v>
      </c>
      <c r="D801" s="15" t="s">
        <v>260</v>
      </c>
      <c r="E801" s="15">
        <v>1</v>
      </c>
      <c r="F801">
        <v>20</v>
      </c>
      <c r="G801">
        <v>160</v>
      </c>
      <c r="H801">
        <v>32.950000000000003</v>
      </c>
      <c r="I801" s="56">
        <v>579</v>
      </c>
      <c r="J801" s="15"/>
      <c r="K801" s="15"/>
      <c r="L801" s="15">
        <v>176.4</v>
      </c>
    </row>
    <row r="802" spans="1:12" hidden="1" x14ac:dyDescent="0.25">
      <c r="A802" t="s">
        <v>213</v>
      </c>
      <c r="B802" s="15" t="s">
        <v>193</v>
      </c>
      <c r="C802" s="15" t="s">
        <v>211</v>
      </c>
      <c r="D802" s="15" t="s">
        <v>260</v>
      </c>
      <c r="E802" s="15">
        <v>1</v>
      </c>
      <c r="F802">
        <v>20</v>
      </c>
      <c r="G802">
        <v>140</v>
      </c>
      <c r="H802">
        <v>33.53</v>
      </c>
      <c r="I802" s="56">
        <v>579</v>
      </c>
      <c r="J802" s="15"/>
      <c r="K802" s="15"/>
      <c r="L802" s="15">
        <v>176.4</v>
      </c>
    </row>
    <row r="803" spans="1:12" hidden="1" x14ac:dyDescent="0.25">
      <c r="A803" t="s">
        <v>213</v>
      </c>
      <c r="B803" s="15" t="s">
        <v>193</v>
      </c>
      <c r="C803" s="15" t="s">
        <v>211</v>
      </c>
      <c r="D803" s="15" t="s">
        <v>260</v>
      </c>
      <c r="E803" s="15">
        <v>1</v>
      </c>
      <c r="F803">
        <v>20</v>
      </c>
      <c r="G803">
        <v>120</v>
      </c>
      <c r="H803">
        <v>33.53</v>
      </c>
      <c r="I803" s="56">
        <v>579</v>
      </c>
      <c r="J803" s="15"/>
      <c r="K803" s="15"/>
      <c r="L803" s="15">
        <v>176.4</v>
      </c>
    </row>
    <row r="804" spans="1:12" hidden="1" x14ac:dyDescent="0.25">
      <c r="A804" t="s">
        <v>213</v>
      </c>
      <c r="B804" s="15" t="s">
        <v>193</v>
      </c>
      <c r="C804" s="15" t="s">
        <v>211</v>
      </c>
      <c r="D804" s="15" t="s">
        <v>260</v>
      </c>
      <c r="E804" s="15">
        <v>1</v>
      </c>
      <c r="F804">
        <v>16</v>
      </c>
      <c r="G804">
        <v>500</v>
      </c>
      <c r="H804">
        <v>26.17</v>
      </c>
      <c r="I804" s="56">
        <v>324</v>
      </c>
      <c r="J804" s="15"/>
      <c r="K804" s="15"/>
      <c r="L804" s="15">
        <v>113</v>
      </c>
    </row>
    <row r="805" spans="1:12" hidden="1" x14ac:dyDescent="0.25">
      <c r="A805" t="s">
        <v>213</v>
      </c>
      <c r="B805" s="15" t="s">
        <v>193</v>
      </c>
      <c r="C805" s="15" t="s">
        <v>211</v>
      </c>
      <c r="D805" s="15" t="s">
        <v>260</v>
      </c>
      <c r="E805" s="15">
        <v>1</v>
      </c>
      <c r="F805">
        <v>16</v>
      </c>
      <c r="G805">
        <v>460</v>
      </c>
      <c r="H805">
        <v>26.17</v>
      </c>
      <c r="I805" s="56">
        <v>324</v>
      </c>
      <c r="J805" s="15"/>
      <c r="K805" s="15"/>
      <c r="L805" s="15">
        <v>113</v>
      </c>
    </row>
    <row r="806" spans="1:12" hidden="1" x14ac:dyDescent="0.25">
      <c r="A806" t="s">
        <v>213</v>
      </c>
      <c r="B806" s="15" t="s">
        <v>193</v>
      </c>
      <c r="C806" s="15" t="s">
        <v>211</v>
      </c>
      <c r="D806" s="15" t="s">
        <v>260</v>
      </c>
      <c r="E806" s="15">
        <v>1</v>
      </c>
      <c r="F806">
        <v>16</v>
      </c>
      <c r="G806">
        <v>440</v>
      </c>
      <c r="H806">
        <v>26.17</v>
      </c>
      <c r="I806" s="56">
        <v>324</v>
      </c>
      <c r="J806" s="15"/>
      <c r="K806" s="15"/>
      <c r="L806" s="15">
        <v>113</v>
      </c>
    </row>
    <row r="807" spans="1:12" hidden="1" x14ac:dyDescent="0.25">
      <c r="A807" t="s">
        <v>213</v>
      </c>
      <c r="B807" s="15" t="s">
        <v>193</v>
      </c>
      <c r="C807" s="15" t="s">
        <v>211</v>
      </c>
      <c r="D807" s="15" t="s">
        <v>260</v>
      </c>
      <c r="E807" s="15">
        <v>1</v>
      </c>
      <c r="F807">
        <v>16</v>
      </c>
      <c r="G807">
        <v>420</v>
      </c>
      <c r="H807">
        <v>26.17</v>
      </c>
      <c r="I807" s="56">
        <v>324</v>
      </c>
      <c r="J807" s="15"/>
      <c r="K807" s="15"/>
      <c r="L807" s="15">
        <v>113</v>
      </c>
    </row>
    <row r="808" spans="1:12" hidden="1" x14ac:dyDescent="0.25">
      <c r="A808" t="s">
        <v>213</v>
      </c>
      <c r="B808" s="15" t="s">
        <v>193</v>
      </c>
      <c r="C808" s="15" t="s">
        <v>211</v>
      </c>
      <c r="D808" s="15" t="s">
        <v>260</v>
      </c>
      <c r="E808" s="15">
        <v>1</v>
      </c>
      <c r="F808">
        <v>16</v>
      </c>
      <c r="G808">
        <v>400</v>
      </c>
      <c r="H808">
        <v>26.17</v>
      </c>
      <c r="I808" s="56">
        <v>324</v>
      </c>
      <c r="J808" s="15"/>
      <c r="K808" s="15"/>
      <c r="L808" s="15">
        <v>113</v>
      </c>
    </row>
    <row r="809" spans="1:12" hidden="1" x14ac:dyDescent="0.25">
      <c r="A809" t="s">
        <v>213</v>
      </c>
      <c r="B809" s="15" t="s">
        <v>193</v>
      </c>
      <c r="C809" s="15" t="s">
        <v>211</v>
      </c>
      <c r="D809" s="15" t="s">
        <v>260</v>
      </c>
      <c r="E809" s="15">
        <v>1</v>
      </c>
      <c r="F809">
        <v>16</v>
      </c>
      <c r="G809">
        <v>380</v>
      </c>
      <c r="H809">
        <v>26.17</v>
      </c>
      <c r="I809" s="56">
        <v>324</v>
      </c>
      <c r="J809" s="15"/>
      <c r="K809" s="15"/>
      <c r="L809" s="15">
        <v>113</v>
      </c>
    </row>
    <row r="810" spans="1:12" hidden="1" x14ac:dyDescent="0.25">
      <c r="A810" t="s">
        <v>213</v>
      </c>
      <c r="B810" s="15" t="s">
        <v>193</v>
      </c>
      <c r="C810" s="15" t="s">
        <v>211</v>
      </c>
      <c r="D810" s="15" t="s">
        <v>260</v>
      </c>
      <c r="E810" s="15">
        <v>1</v>
      </c>
      <c r="F810">
        <v>16</v>
      </c>
      <c r="G810">
        <v>360</v>
      </c>
      <c r="H810">
        <v>26.17</v>
      </c>
      <c r="I810" s="56">
        <v>324</v>
      </c>
      <c r="J810" s="15"/>
      <c r="K810" s="15"/>
      <c r="L810" s="15">
        <v>113</v>
      </c>
    </row>
    <row r="811" spans="1:12" hidden="1" x14ac:dyDescent="0.25">
      <c r="A811" t="s">
        <v>213</v>
      </c>
      <c r="B811" s="15" t="s">
        <v>193</v>
      </c>
      <c r="C811" s="15" t="s">
        <v>211</v>
      </c>
      <c r="D811" s="15" t="s">
        <v>260</v>
      </c>
      <c r="E811" s="15">
        <v>1</v>
      </c>
      <c r="F811">
        <v>16</v>
      </c>
      <c r="G811">
        <v>340</v>
      </c>
      <c r="H811">
        <v>26.17</v>
      </c>
      <c r="I811" s="56">
        <v>324</v>
      </c>
      <c r="J811" s="15"/>
      <c r="K811" s="15"/>
      <c r="L811" s="15">
        <v>113</v>
      </c>
    </row>
    <row r="812" spans="1:12" hidden="1" x14ac:dyDescent="0.25">
      <c r="A812" t="s">
        <v>213</v>
      </c>
      <c r="B812" s="15" t="s">
        <v>193</v>
      </c>
      <c r="C812" s="15" t="s">
        <v>211</v>
      </c>
      <c r="D812" s="15" t="s">
        <v>260</v>
      </c>
      <c r="E812" s="15">
        <v>1</v>
      </c>
      <c r="F812">
        <v>16</v>
      </c>
      <c r="G812">
        <v>320</v>
      </c>
      <c r="H812">
        <v>26.17</v>
      </c>
      <c r="I812" s="56">
        <v>324</v>
      </c>
      <c r="J812" s="15"/>
      <c r="K812" s="15"/>
      <c r="L812" s="15">
        <v>113</v>
      </c>
    </row>
    <row r="813" spans="1:12" hidden="1" x14ac:dyDescent="0.25">
      <c r="A813" t="s">
        <v>213</v>
      </c>
      <c r="B813" s="15" t="s">
        <v>193</v>
      </c>
      <c r="C813" s="15" t="s">
        <v>211</v>
      </c>
      <c r="D813" s="15" t="s">
        <v>260</v>
      </c>
      <c r="E813" s="15">
        <v>1</v>
      </c>
      <c r="F813">
        <v>16</v>
      </c>
      <c r="G813">
        <v>300</v>
      </c>
      <c r="H813">
        <v>26.17</v>
      </c>
      <c r="I813" s="56">
        <v>324</v>
      </c>
      <c r="J813" s="15"/>
      <c r="K813" s="15"/>
      <c r="L813" s="15">
        <v>113</v>
      </c>
    </row>
    <row r="814" spans="1:12" hidden="1" x14ac:dyDescent="0.25">
      <c r="A814" t="s">
        <v>213</v>
      </c>
      <c r="B814" s="15" t="s">
        <v>193</v>
      </c>
      <c r="C814" s="15" t="s">
        <v>211</v>
      </c>
      <c r="D814" s="15" t="s">
        <v>260</v>
      </c>
      <c r="E814" s="15">
        <v>1</v>
      </c>
      <c r="F814">
        <v>16</v>
      </c>
      <c r="G814">
        <v>280</v>
      </c>
      <c r="H814">
        <v>26.17</v>
      </c>
      <c r="I814" s="56">
        <v>324</v>
      </c>
      <c r="J814" s="15"/>
      <c r="K814" s="15"/>
      <c r="L814" s="15">
        <v>113</v>
      </c>
    </row>
    <row r="815" spans="1:12" hidden="1" x14ac:dyDescent="0.25">
      <c r="A815" t="s">
        <v>213</v>
      </c>
      <c r="B815" s="15" t="s">
        <v>193</v>
      </c>
      <c r="C815" s="15" t="s">
        <v>211</v>
      </c>
      <c r="D815" s="15" t="s">
        <v>260</v>
      </c>
      <c r="E815" s="15">
        <v>1</v>
      </c>
      <c r="F815">
        <v>16</v>
      </c>
      <c r="G815">
        <v>260</v>
      </c>
      <c r="H815">
        <v>26.17</v>
      </c>
      <c r="I815" s="56">
        <v>324</v>
      </c>
      <c r="J815" s="15"/>
      <c r="K815" s="15"/>
      <c r="L815" s="15">
        <v>113</v>
      </c>
    </row>
    <row r="816" spans="1:12" hidden="1" x14ac:dyDescent="0.25">
      <c r="A816" t="s">
        <v>213</v>
      </c>
      <c r="B816" s="15" t="s">
        <v>193</v>
      </c>
      <c r="C816" s="15" t="s">
        <v>211</v>
      </c>
      <c r="D816" s="15" t="s">
        <v>260</v>
      </c>
      <c r="E816" s="15">
        <v>1</v>
      </c>
      <c r="F816">
        <v>16</v>
      </c>
      <c r="G816">
        <v>240</v>
      </c>
      <c r="H816">
        <v>26.17</v>
      </c>
      <c r="I816" s="56">
        <v>324</v>
      </c>
      <c r="J816" s="15"/>
      <c r="K816" s="15"/>
      <c r="L816" s="15">
        <v>113</v>
      </c>
    </row>
    <row r="817" spans="1:12" hidden="1" x14ac:dyDescent="0.25">
      <c r="A817" t="s">
        <v>213</v>
      </c>
      <c r="B817" s="15" t="s">
        <v>193</v>
      </c>
      <c r="C817" s="15" t="s">
        <v>211</v>
      </c>
      <c r="D817" s="15" t="s">
        <v>260</v>
      </c>
      <c r="E817" s="15">
        <v>1</v>
      </c>
      <c r="F817">
        <v>16</v>
      </c>
      <c r="G817">
        <v>220</v>
      </c>
      <c r="H817">
        <v>26.17</v>
      </c>
      <c r="I817" s="56">
        <v>324</v>
      </c>
      <c r="J817" s="15"/>
      <c r="K817" s="15"/>
      <c r="L817" s="15">
        <v>113</v>
      </c>
    </row>
    <row r="818" spans="1:12" hidden="1" x14ac:dyDescent="0.25">
      <c r="A818" t="s">
        <v>213</v>
      </c>
      <c r="B818" s="15" t="s">
        <v>193</v>
      </c>
      <c r="C818" s="15" t="s">
        <v>211</v>
      </c>
      <c r="D818" s="15" t="s">
        <v>260</v>
      </c>
      <c r="E818" s="15">
        <v>1</v>
      </c>
      <c r="F818">
        <v>16</v>
      </c>
      <c r="G818">
        <v>200</v>
      </c>
      <c r="H818">
        <v>26.17</v>
      </c>
      <c r="I818" s="56">
        <v>324</v>
      </c>
      <c r="J818" s="15"/>
      <c r="K818" s="15"/>
      <c r="L818" s="15">
        <v>113</v>
      </c>
    </row>
    <row r="819" spans="1:12" hidden="1" x14ac:dyDescent="0.25">
      <c r="A819" t="s">
        <v>213</v>
      </c>
      <c r="B819" s="15" t="s">
        <v>193</v>
      </c>
      <c r="C819" s="15" t="s">
        <v>211</v>
      </c>
      <c r="D819" s="15" t="s">
        <v>260</v>
      </c>
      <c r="E819" s="15">
        <v>1</v>
      </c>
      <c r="F819">
        <v>16</v>
      </c>
      <c r="G819">
        <v>180</v>
      </c>
      <c r="H819">
        <v>26.17</v>
      </c>
      <c r="I819" s="56">
        <v>324</v>
      </c>
      <c r="J819" s="15"/>
      <c r="K819" s="15"/>
      <c r="L819" s="15">
        <v>113</v>
      </c>
    </row>
    <row r="820" spans="1:12" hidden="1" x14ac:dyDescent="0.25">
      <c r="A820" t="s">
        <v>213</v>
      </c>
      <c r="B820" s="15" t="s">
        <v>193</v>
      </c>
      <c r="C820" s="15" t="s">
        <v>211</v>
      </c>
      <c r="D820" s="15" t="s">
        <v>260</v>
      </c>
      <c r="E820" s="15">
        <v>1</v>
      </c>
      <c r="F820">
        <v>16</v>
      </c>
      <c r="G820">
        <v>160</v>
      </c>
      <c r="H820">
        <v>26.17</v>
      </c>
      <c r="I820" s="56">
        <v>324</v>
      </c>
      <c r="J820" s="15"/>
      <c r="K820" s="15"/>
      <c r="L820" s="15">
        <v>113</v>
      </c>
    </row>
    <row r="821" spans="1:12" hidden="1" x14ac:dyDescent="0.25">
      <c r="A821" t="s">
        <v>213</v>
      </c>
      <c r="B821" s="15" t="s">
        <v>193</v>
      </c>
      <c r="C821" s="15" t="s">
        <v>211</v>
      </c>
      <c r="D821" s="15" t="s">
        <v>260</v>
      </c>
      <c r="E821" s="15">
        <v>1</v>
      </c>
      <c r="F821">
        <v>16</v>
      </c>
      <c r="G821">
        <v>140</v>
      </c>
      <c r="H821">
        <v>26.75</v>
      </c>
      <c r="I821" s="56">
        <v>324</v>
      </c>
      <c r="J821" s="15"/>
      <c r="K821" s="15"/>
      <c r="L821" s="15">
        <v>113</v>
      </c>
    </row>
    <row r="822" spans="1:12" hidden="1" x14ac:dyDescent="0.25">
      <c r="A822" t="s">
        <v>213</v>
      </c>
      <c r="B822" s="15" t="s">
        <v>193</v>
      </c>
      <c r="C822" s="15" t="s">
        <v>211</v>
      </c>
      <c r="D822" s="15" t="s">
        <v>260</v>
      </c>
      <c r="E822" s="15">
        <v>1</v>
      </c>
      <c r="F822">
        <v>12</v>
      </c>
      <c r="G822">
        <v>400</v>
      </c>
      <c r="H822">
        <v>20.03</v>
      </c>
      <c r="I822" s="56">
        <v>153</v>
      </c>
      <c r="J822" s="15"/>
      <c r="K822" s="15"/>
      <c r="L822" s="15">
        <v>60.7</v>
      </c>
    </row>
    <row r="823" spans="1:12" hidden="1" x14ac:dyDescent="0.25">
      <c r="A823" t="s">
        <v>213</v>
      </c>
      <c r="B823" s="15" t="s">
        <v>193</v>
      </c>
      <c r="C823" s="15" t="s">
        <v>211</v>
      </c>
      <c r="D823" s="15" t="s">
        <v>260</v>
      </c>
      <c r="E823" s="15">
        <v>1</v>
      </c>
      <c r="F823">
        <v>12</v>
      </c>
      <c r="G823">
        <v>380</v>
      </c>
      <c r="H823">
        <v>20.03</v>
      </c>
      <c r="I823" s="56">
        <v>153</v>
      </c>
      <c r="J823" s="15"/>
      <c r="K823" s="15"/>
      <c r="L823" s="15">
        <v>60.7</v>
      </c>
    </row>
    <row r="824" spans="1:12" hidden="1" x14ac:dyDescent="0.25">
      <c r="A824" t="s">
        <v>213</v>
      </c>
      <c r="B824" s="15" t="s">
        <v>193</v>
      </c>
      <c r="C824" s="15" t="s">
        <v>211</v>
      </c>
      <c r="D824" s="15" t="s">
        <v>260</v>
      </c>
      <c r="E824" s="15">
        <v>1</v>
      </c>
      <c r="F824">
        <v>12</v>
      </c>
      <c r="G824">
        <v>360</v>
      </c>
      <c r="H824">
        <v>20.03</v>
      </c>
      <c r="I824" s="56">
        <v>153</v>
      </c>
      <c r="J824" s="15"/>
      <c r="K824" s="15"/>
      <c r="L824" s="15">
        <v>60.7</v>
      </c>
    </row>
    <row r="825" spans="1:12" hidden="1" x14ac:dyDescent="0.25">
      <c r="A825" t="s">
        <v>213</v>
      </c>
      <c r="B825" s="15" t="s">
        <v>193</v>
      </c>
      <c r="C825" s="15" t="s">
        <v>211</v>
      </c>
      <c r="D825" s="15" t="s">
        <v>260</v>
      </c>
      <c r="E825" s="15">
        <v>1</v>
      </c>
      <c r="F825">
        <v>12</v>
      </c>
      <c r="G825">
        <v>340</v>
      </c>
      <c r="H825">
        <v>20.03</v>
      </c>
      <c r="I825" s="56">
        <v>153</v>
      </c>
      <c r="J825" s="15"/>
      <c r="K825" s="15"/>
      <c r="L825" s="15">
        <v>60.7</v>
      </c>
    </row>
    <row r="826" spans="1:12" hidden="1" x14ac:dyDescent="0.25">
      <c r="A826" t="s">
        <v>213</v>
      </c>
      <c r="B826" s="15" t="s">
        <v>193</v>
      </c>
      <c r="C826" s="15" t="s">
        <v>211</v>
      </c>
      <c r="D826" s="15" t="s">
        <v>260</v>
      </c>
      <c r="E826" s="15">
        <v>1</v>
      </c>
      <c r="F826">
        <v>12</v>
      </c>
      <c r="G826">
        <v>320</v>
      </c>
      <c r="H826">
        <v>20.03</v>
      </c>
      <c r="I826" s="56">
        <v>153</v>
      </c>
      <c r="J826" s="15"/>
      <c r="K826" s="15"/>
      <c r="L826" s="15">
        <v>60.7</v>
      </c>
    </row>
    <row r="827" spans="1:12" hidden="1" x14ac:dyDescent="0.25">
      <c r="A827" t="s">
        <v>213</v>
      </c>
      <c r="B827" s="15" t="s">
        <v>193</v>
      </c>
      <c r="C827" s="15" t="s">
        <v>211</v>
      </c>
      <c r="D827" s="15" t="s">
        <v>260</v>
      </c>
      <c r="E827" s="15">
        <v>1</v>
      </c>
      <c r="F827">
        <v>12</v>
      </c>
      <c r="G827">
        <v>300</v>
      </c>
      <c r="H827">
        <v>20.03</v>
      </c>
      <c r="I827" s="56">
        <v>153</v>
      </c>
      <c r="J827" s="15"/>
      <c r="K827" s="15"/>
      <c r="L827" s="15">
        <v>60.7</v>
      </c>
    </row>
    <row r="828" spans="1:12" hidden="1" x14ac:dyDescent="0.25">
      <c r="A828" t="s">
        <v>213</v>
      </c>
      <c r="B828" s="15" t="s">
        <v>193</v>
      </c>
      <c r="C828" s="15" t="s">
        <v>211</v>
      </c>
      <c r="D828" s="15" t="s">
        <v>260</v>
      </c>
      <c r="E828" s="15">
        <v>1</v>
      </c>
      <c r="F828">
        <v>12</v>
      </c>
      <c r="G828">
        <v>280</v>
      </c>
      <c r="H828">
        <v>20.03</v>
      </c>
      <c r="I828" s="56">
        <v>153</v>
      </c>
      <c r="J828" s="15"/>
      <c r="K828" s="15"/>
      <c r="L828" s="15">
        <v>60.7</v>
      </c>
    </row>
    <row r="829" spans="1:12" hidden="1" x14ac:dyDescent="0.25">
      <c r="A829" t="s">
        <v>213</v>
      </c>
      <c r="B829" s="15" t="s">
        <v>193</v>
      </c>
      <c r="C829" s="15" t="s">
        <v>211</v>
      </c>
      <c r="D829" s="15" t="s">
        <v>260</v>
      </c>
      <c r="E829" s="15">
        <v>1</v>
      </c>
      <c r="F829">
        <v>12</v>
      </c>
      <c r="G829">
        <v>260</v>
      </c>
      <c r="H829">
        <v>20.03</v>
      </c>
      <c r="I829" s="56">
        <v>153</v>
      </c>
      <c r="J829" s="15"/>
      <c r="K829" s="15"/>
      <c r="L829" s="15">
        <v>60.7</v>
      </c>
    </row>
    <row r="830" spans="1:12" hidden="1" x14ac:dyDescent="0.25">
      <c r="A830" t="s">
        <v>213</v>
      </c>
      <c r="B830" s="15" t="s">
        <v>193</v>
      </c>
      <c r="C830" s="15" t="s">
        <v>211</v>
      </c>
      <c r="D830" s="15" t="s">
        <v>260</v>
      </c>
      <c r="E830" s="15">
        <v>1</v>
      </c>
      <c r="F830">
        <v>12</v>
      </c>
      <c r="G830">
        <v>240</v>
      </c>
      <c r="H830">
        <v>20.03</v>
      </c>
      <c r="I830" s="56">
        <v>153</v>
      </c>
      <c r="J830" s="15"/>
      <c r="K830" s="15"/>
      <c r="L830" s="15">
        <v>60.7</v>
      </c>
    </row>
    <row r="831" spans="1:12" hidden="1" x14ac:dyDescent="0.25">
      <c r="A831" t="s">
        <v>213</v>
      </c>
      <c r="B831" s="15" t="s">
        <v>193</v>
      </c>
      <c r="C831" s="15" t="s">
        <v>211</v>
      </c>
      <c r="D831" s="15" t="s">
        <v>260</v>
      </c>
      <c r="E831" s="15">
        <v>1</v>
      </c>
      <c r="F831">
        <v>12</v>
      </c>
      <c r="G831">
        <v>220</v>
      </c>
      <c r="H831">
        <v>20.03</v>
      </c>
      <c r="I831" s="56">
        <v>153</v>
      </c>
      <c r="J831" s="15"/>
      <c r="K831" s="15"/>
      <c r="L831" s="15">
        <v>60.7</v>
      </c>
    </row>
    <row r="832" spans="1:12" hidden="1" x14ac:dyDescent="0.25">
      <c r="A832" t="s">
        <v>213</v>
      </c>
      <c r="B832" s="15" t="s">
        <v>193</v>
      </c>
      <c r="C832" s="15" t="s">
        <v>211</v>
      </c>
      <c r="D832" s="15" t="s">
        <v>260</v>
      </c>
      <c r="E832" s="15">
        <v>1</v>
      </c>
      <c r="F832">
        <v>12</v>
      </c>
      <c r="G832">
        <v>200</v>
      </c>
      <c r="H832">
        <v>20.03</v>
      </c>
      <c r="I832" s="56">
        <v>153</v>
      </c>
      <c r="J832" s="15"/>
      <c r="K832" s="15"/>
      <c r="L832" s="15">
        <v>60.7</v>
      </c>
    </row>
    <row r="833" spans="1:15" hidden="1" x14ac:dyDescent="0.25">
      <c r="A833" t="s">
        <v>213</v>
      </c>
      <c r="B833" s="15" t="s">
        <v>193</v>
      </c>
      <c r="C833" s="15" t="s">
        <v>211</v>
      </c>
      <c r="D833" s="15" t="s">
        <v>260</v>
      </c>
      <c r="E833" s="15">
        <v>1</v>
      </c>
      <c r="F833">
        <v>12</v>
      </c>
      <c r="G833">
        <v>180</v>
      </c>
      <c r="H833">
        <v>20.03</v>
      </c>
      <c r="I833" s="56">
        <v>153</v>
      </c>
      <c r="J833" s="15"/>
      <c r="K833" s="15"/>
      <c r="L833" s="15">
        <v>60.7</v>
      </c>
    </row>
    <row r="834" spans="1:15" hidden="1" x14ac:dyDescent="0.25">
      <c r="A834" t="s">
        <v>213</v>
      </c>
      <c r="B834" s="15" t="s">
        <v>193</v>
      </c>
      <c r="C834" s="15" t="s">
        <v>211</v>
      </c>
      <c r="D834" s="15" t="s">
        <v>260</v>
      </c>
      <c r="E834" s="15">
        <v>1</v>
      </c>
      <c r="F834">
        <v>12</v>
      </c>
      <c r="G834">
        <v>160</v>
      </c>
      <c r="H834">
        <v>20.03</v>
      </c>
      <c r="I834" s="56">
        <v>153</v>
      </c>
      <c r="J834" s="15"/>
      <c r="K834" s="15"/>
      <c r="L834" s="15">
        <v>60.7</v>
      </c>
    </row>
    <row r="835" spans="1:15" hidden="1" x14ac:dyDescent="0.25">
      <c r="A835" t="s">
        <v>213</v>
      </c>
      <c r="B835" s="15" t="s">
        <v>193</v>
      </c>
      <c r="C835" s="15" t="s">
        <v>211</v>
      </c>
      <c r="D835" s="15" t="s">
        <v>260</v>
      </c>
      <c r="E835" s="15">
        <v>1</v>
      </c>
      <c r="F835">
        <v>12</v>
      </c>
      <c r="G835">
        <v>140</v>
      </c>
      <c r="H835">
        <v>20.03</v>
      </c>
      <c r="I835" s="56">
        <v>153</v>
      </c>
      <c r="J835" s="15"/>
      <c r="K835" s="15"/>
      <c r="L835" s="15">
        <v>60.7</v>
      </c>
    </row>
    <row r="836" spans="1:15" hidden="1" x14ac:dyDescent="0.25">
      <c r="A836" t="s">
        <v>213</v>
      </c>
      <c r="B836" s="15" t="s">
        <v>193</v>
      </c>
      <c r="C836" s="15" t="s">
        <v>211</v>
      </c>
      <c r="D836" s="15" t="s">
        <v>260</v>
      </c>
      <c r="E836" s="15">
        <v>1</v>
      </c>
      <c r="F836">
        <v>12</v>
      </c>
      <c r="G836">
        <v>120</v>
      </c>
      <c r="H836">
        <v>20.03</v>
      </c>
      <c r="I836" s="56">
        <v>153</v>
      </c>
      <c r="J836" s="15"/>
      <c r="K836" s="15"/>
      <c r="L836" s="15">
        <v>60.7</v>
      </c>
    </row>
    <row r="837" spans="1:15" hidden="1" x14ac:dyDescent="0.25">
      <c r="A837" t="s">
        <v>213</v>
      </c>
      <c r="B837" s="15" t="s">
        <v>193</v>
      </c>
      <c r="C837" s="15" t="s">
        <v>211</v>
      </c>
      <c r="D837" s="15" t="s">
        <v>260</v>
      </c>
      <c r="E837" s="15">
        <v>1</v>
      </c>
      <c r="F837">
        <v>12</v>
      </c>
      <c r="G837">
        <v>100</v>
      </c>
      <c r="H837">
        <v>20.03</v>
      </c>
      <c r="I837" s="56">
        <v>153</v>
      </c>
      <c r="J837" s="15"/>
      <c r="K837" s="15"/>
      <c r="L837" s="15">
        <v>60.7</v>
      </c>
    </row>
    <row r="838" spans="1:15" hidden="1" x14ac:dyDescent="0.25">
      <c r="A838" t="s">
        <v>213</v>
      </c>
      <c r="B838" s="15" t="s">
        <v>193</v>
      </c>
      <c r="C838" s="15" t="s">
        <v>312</v>
      </c>
      <c r="D838" s="15" t="s">
        <v>311</v>
      </c>
      <c r="E838" s="15">
        <v>3</v>
      </c>
      <c r="F838">
        <v>8</v>
      </c>
      <c r="G838">
        <v>1000</v>
      </c>
      <c r="H838">
        <v>8</v>
      </c>
      <c r="I838" s="56">
        <v>15.400413287855466</v>
      </c>
      <c r="J838" s="15"/>
      <c r="K838" s="15"/>
      <c r="L838" s="15">
        <v>13.2</v>
      </c>
      <c r="O838">
        <v>400</v>
      </c>
    </row>
    <row r="839" spans="1:15" hidden="1" x14ac:dyDescent="0.25">
      <c r="A839" t="s">
        <v>213</v>
      </c>
      <c r="B839" s="15" t="s">
        <v>193</v>
      </c>
      <c r="C839" s="15" t="s">
        <v>312</v>
      </c>
      <c r="D839" s="15" t="s">
        <v>311</v>
      </c>
      <c r="E839" s="15">
        <v>3</v>
      </c>
      <c r="F839">
        <v>10</v>
      </c>
      <c r="G839">
        <v>1000</v>
      </c>
      <c r="H839">
        <v>10</v>
      </c>
      <c r="I839" s="56">
        <v>28.15630485769011</v>
      </c>
      <c r="J839" s="15"/>
      <c r="K839" s="15"/>
      <c r="L839" s="15">
        <v>20.9</v>
      </c>
      <c r="O839">
        <v>400</v>
      </c>
    </row>
    <row r="840" spans="1:15" hidden="1" x14ac:dyDescent="0.25">
      <c r="A840" t="s">
        <v>213</v>
      </c>
      <c r="B840" s="15" t="s">
        <v>193</v>
      </c>
      <c r="C840" s="15" t="s">
        <v>312</v>
      </c>
      <c r="D840" s="15" t="s">
        <v>311</v>
      </c>
      <c r="E840" s="15">
        <v>3</v>
      </c>
      <c r="F840">
        <v>12</v>
      </c>
      <c r="G840">
        <v>1000</v>
      </c>
      <c r="H840">
        <v>12</v>
      </c>
      <c r="I840" s="56">
        <v>45.932009432796761</v>
      </c>
      <c r="J840" s="15"/>
      <c r="K840" s="15"/>
      <c r="L840" s="15">
        <v>30.3</v>
      </c>
      <c r="O840">
        <v>400</v>
      </c>
    </row>
    <row r="841" spans="1:15" hidden="1" x14ac:dyDescent="0.25">
      <c r="A841" t="s">
        <v>213</v>
      </c>
      <c r="B841" s="15" t="s">
        <v>193</v>
      </c>
      <c r="C841" s="15" t="s">
        <v>312</v>
      </c>
      <c r="D841" s="15" t="s">
        <v>311</v>
      </c>
      <c r="E841" s="15">
        <v>3</v>
      </c>
      <c r="F841">
        <v>14</v>
      </c>
      <c r="G841">
        <v>1000</v>
      </c>
      <c r="H841">
        <v>14</v>
      </c>
      <c r="I841" s="56">
        <v>69.485534896035929</v>
      </c>
      <c r="J841" s="15"/>
      <c r="K841" s="15"/>
      <c r="L841" s="15">
        <v>41.4</v>
      </c>
      <c r="O841">
        <v>400</v>
      </c>
    </row>
    <row r="842" spans="1:15" hidden="1" x14ac:dyDescent="0.25">
      <c r="A842" t="s">
        <v>213</v>
      </c>
      <c r="B842" s="15" t="s">
        <v>193</v>
      </c>
      <c r="C842" s="15" t="s">
        <v>312</v>
      </c>
      <c r="D842" s="15" t="s">
        <v>311</v>
      </c>
      <c r="E842" s="15">
        <v>3</v>
      </c>
      <c r="F842">
        <v>16</v>
      </c>
      <c r="G842">
        <v>1000</v>
      </c>
      <c r="H842">
        <v>16</v>
      </c>
      <c r="I842" s="56">
        <v>105.25031725389707</v>
      </c>
      <c r="J842" s="15"/>
      <c r="K842" s="15"/>
      <c r="L842" s="15">
        <v>56.5</v>
      </c>
      <c r="O842">
        <v>400</v>
      </c>
    </row>
    <row r="843" spans="1:15" hidden="1" x14ac:dyDescent="0.25">
      <c r="A843" t="s">
        <v>213</v>
      </c>
      <c r="B843" s="15" t="s">
        <v>193</v>
      </c>
      <c r="C843" s="15" t="s">
        <v>312</v>
      </c>
      <c r="D843" s="15" t="s">
        <v>311</v>
      </c>
      <c r="E843" s="15">
        <v>3</v>
      </c>
      <c r="F843">
        <v>18</v>
      </c>
      <c r="G843">
        <v>1000</v>
      </c>
      <c r="H843">
        <v>18</v>
      </c>
      <c r="I843" s="56">
        <v>135.43681936545528</v>
      </c>
      <c r="J843" s="15"/>
      <c r="K843" s="15"/>
      <c r="L843" s="15">
        <v>69.099999999999994</v>
      </c>
      <c r="O843">
        <v>400</v>
      </c>
    </row>
    <row r="844" spans="1:15" hidden="1" x14ac:dyDescent="0.25">
      <c r="A844" t="s">
        <v>213</v>
      </c>
      <c r="B844" s="15" t="s">
        <v>193</v>
      </c>
      <c r="C844" s="15" t="s">
        <v>312</v>
      </c>
      <c r="D844" s="15" t="s">
        <v>311</v>
      </c>
      <c r="E844" s="15">
        <v>3</v>
      </c>
      <c r="F844">
        <v>20</v>
      </c>
      <c r="G844">
        <v>1000</v>
      </c>
      <c r="H844">
        <v>20</v>
      </c>
      <c r="I844" s="56">
        <v>187.7972970145895</v>
      </c>
      <c r="J844" s="15"/>
      <c r="K844" s="15"/>
      <c r="L844" s="15">
        <v>88.2</v>
      </c>
      <c r="O844">
        <v>400</v>
      </c>
    </row>
    <row r="845" spans="1:15" hidden="1" x14ac:dyDescent="0.25">
      <c r="A845" t="s">
        <v>213</v>
      </c>
      <c r="B845" s="15" t="s">
        <v>193</v>
      </c>
      <c r="C845" s="15" t="s">
        <v>312</v>
      </c>
      <c r="D845" s="15" t="s">
        <v>311</v>
      </c>
      <c r="E845" s="15">
        <v>3</v>
      </c>
      <c r="F845">
        <v>22</v>
      </c>
      <c r="G845">
        <v>1000</v>
      </c>
      <c r="H845">
        <v>22</v>
      </c>
      <c r="I845" s="56">
        <v>251.05729333297666</v>
      </c>
      <c r="J845" s="15"/>
      <c r="K845" s="15"/>
      <c r="L845" s="15">
        <v>109.1</v>
      </c>
      <c r="O845">
        <v>400</v>
      </c>
    </row>
    <row r="846" spans="1:15" hidden="1" x14ac:dyDescent="0.25">
      <c r="A846" t="s">
        <v>213</v>
      </c>
      <c r="B846" s="15" t="s">
        <v>193</v>
      </c>
      <c r="C846" s="15" t="s">
        <v>312</v>
      </c>
      <c r="D846" s="15" t="s">
        <v>311</v>
      </c>
      <c r="E846" s="15">
        <v>3</v>
      </c>
      <c r="F846">
        <v>24</v>
      </c>
      <c r="G846">
        <v>1000</v>
      </c>
      <c r="H846">
        <v>24</v>
      </c>
      <c r="I846" s="56">
        <v>301.84422796001695</v>
      </c>
      <c r="J846" s="15"/>
      <c r="K846" s="15"/>
      <c r="L846" s="15">
        <v>127.1</v>
      </c>
      <c r="O846">
        <v>400</v>
      </c>
    </row>
    <row r="847" spans="1:15" hidden="1" x14ac:dyDescent="0.25">
      <c r="A847" t="s">
        <v>213</v>
      </c>
      <c r="B847" s="15" t="s">
        <v>193</v>
      </c>
      <c r="C847" s="15" t="s">
        <v>312</v>
      </c>
      <c r="D847" s="15" t="s">
        <v>311</v>
      </c>
      <c r="E847" s="15">
        <v>3</v>
      </c>
      <c r="F847">
        <v>27</v>
      </c>
      <c r="G847">
        <v>1000</v>
      </c>
      <c r="H847">
        <v>27</v>
      </c>
      <c r="I847" s="56">
        <v>431.79286912937238</v>
      </c>
      <c r="J847" s="15"/>
      <c r="K847" s="15"/>
      <c r="L847" s="15">
        <v>165.2</v>
      </c>
      <c r="O847">
        <v>400</v>
      </c>
    </row>
    <row r="848" spans="1:15" hidden="1" x14ac:dyDescent="0.25">
      <c r="A848" t="s">
        <v>213</v>
      </c>
      <c r="B848" s="15" t="s">
        <v>193</v>
      </c>
      <c r="C848" s="15" t="s">
        <v>312</v>
      </c>
      <c r="D848" s="15" t="s">
        <v>311</v>
      </c>
      <c r="E848" s="15">
        <v>3</v>
      </c>
      <c r="F848">
        <v>30</v>
      </c>
      <c r="G848">
        <v>1000</v>
      </c>
      <c r="H848">
        <v>30</v>
      </c>
      <c r="I848" s="56">
        <v>556.47626489443803</v>
      </c>
      <c r="J848" s="15"/>
      <c r="K848" s="15"/>
      <c r="L848" s="15">
        <v>202</v>
      </c>
      <c r="O848">
        <v>400</v>
      </c>
    </row>
    <row r="849" spans="1:15" hidden="1" x14ac:dyDescent="0.25">
      <c r="A849" t="s">
        <v>213</v>
      </c>
      <c r="B849" s="15" t="s">
        <v>193</v>
      </c>
      <c r="C849" s="15" t="s">
        <v>313</v>
      </c>
      <c r="D849" s="15" t="s">
        <v>311</v>
      </c>
      <c r="E849" s="15">
        <v>3</v>
      </c>
      <c r="F849">
        <v>8</v>
      </c>
      <c r="G849">
        <v>1000</v>
      </c>
      <c r="H849">
        <v>8</v>
      </c>
      <c r="I849" s="56">
        <v>30.800826575710932</v>
      </c>
      <c r="J849" s="15"/>
      <c r="K849" s="15"/>
      <c r="L849" s="15">
        <v>26.4</v>
      </c>
      <c r="O849">
        <v>800</v>
      </c>
    </row>
    <row r="850" spans="1:15" hidden="1" x14ac:dyDescent="0.25">
      <c r="A850" t="s">
        <v>213</v>
      </c>
      <c r="B850" s="15" t="s">
        <v>193</v>
      </c>
      <c r="C850" s="15" t="s">
        <v>313</v>
      </c>
      <c r="D850" s="15" t="s">
        <v>311</v>
      </c>
      <c r="E850" s="15">
        <v>3</v>
      </c>
      <c r="F850">
        <v>10</v>
      </c>
      <c r="G850">
        <v>1000</v>
      </c>
      <c r="H850">
        <v>10</v>
      </c>
      <c r="I850" s="56">
        <v>56.312609715380219</v>
      </c>
      <c r="J850" s="15"/>
      <c r="K850" s="15"/>
      <c r="L850" s="15">
        <v>41.8</v>
      </c>
      <c r="O850">
        <v>800</v>
      </c>
    </row>
    <row r="851" spans="1:15" hidden="1" x14ac:dyDescent="0.25">
      <c r="A851" t="s">
        <v>213</v>
      </c>
      <c r="B851" s="15" t="s">
        <v>193</v>
      </c>
      <c r="C851" s="15" t="s">
        <v>313</v>
      </c>
      <c r="D851" s="15" t="s">
        <v>311</v>
      </c>
      <c r="E851" s="15">
        <v>3</v>
      </c>
      <c r="F851">
        <v>12</v>
      </c>
      <c r="G851">
        <v>1000</v>
      </c>
      <c r="H851">
        <v>12</v>
      </c>
      <c r="I851" s="56">
        <v>91.864018865593522</v>
      </c>
      <c r="J851" s="15"/>
      <c r="K851" s="15"/>
      <c r="L851" s="15">
        <v>60.7</v>
      </c>
      <c r="O851">
        <v>800</v>
      </c>
    </row>
    <row r="852" spans="1:15" hidden="1" x14ac:dyDescent="0.25">
      <c r="A852" t="s">
        <v>213</v>
      </c>
      <c r="B852" s="15" t="s">
        <v>193</v>
      </c>
      <c r="C852" s="15" t="s">
        <v>313</v>
      </c>
      <c r="D852" s="15" t="s">
        <v>311</v>
      </c>
      <c r="E852" s="15">
        <v>3</v>
      </c>
      <c r="F852">
        <v>14</v>
      </c>
      <c r="G852">
        <v>1000</v>
      </c>
      <c r="H852">
        <v>14</v>
      </c>
      <c r="I852" s="56">
        <v>138.97106979207186</v>
      </c>
      <c r="J852" s="15"/>
      <c r="K852" s="15"/>
      <c r="L852" s="15">
        <v>82.8</v>
      </c>
      <c r="O852">
        <v>800</v>
      </c>
    </row>
    <row r="853" spans="1:15" hidden="1" x14ac:dyDescent="0.25">
      <c r="A853" t="s">
        <v>213</v>
      </c>
      <c r="B853" s="15" t="s">
        <v>193</v>
      </c>
      <c r="C853" s="15" t="s">
        <v>313</v>
      </c>
      <c r="D853" s="15" t="s">
        <v>311</v>
      </c>
      <c r="E853" s="15">
        <v>3</v>
      </c>
      <c r="F853">
        <v>16</v>
      </c>
      <c r="G853">
        <v>1000</v>
      </c>
      <c r="H853">
        <v>16</v>
      </c>
      <c r="I853" s="56">
        <v>210.50063450779413</v>
      </c>
      <c r="J853" s="15"/>
      <c r="K853" s="15"/>
      <c r="L853" s="15">
        <v>113</v>
      </c>
      <c r="O853">
        <v>800</v>
      </c>
    </row>
    <row r="854" spans="1:15" hidden="1" x14ac:dyDescent="0.25">
      <c r="A854" t="s">
        <v>213</v>
      </c>
      <c r="B854" s="15" t="s">
        <v>193</v>
      </c>
      <c r="C854" s="15" t="s">
        <v>313</v>
      </c>
      <c r="D854" s="15" t="s">
        <v>311</v>
      </c>
      <c r="E854" s="15">
        <v>3</v>
      </c>
      <c r="F854">
        <v>18</v>
      </c>
      <c r="G854">
        <v>1000</v>
      </c>
      <c r="H854">
        <v>18</v>
      </c>
      <c r="I854" s="56">
        <v>270.87363873091056</v>
      </c>
      <c r="J854" s="15"/>
      <c r="K854" s="15"/>
      <c r="L854" s="15">
        <v>138.19999999999999</v>
      </c>
      <c r="O854">
        <v>800</v>
      </c>
    </row>
    <row r="855" spans="1:15" hidden="1" x14ac:dyDescent="0.25">
      <c r="A855" t="s">
        <v>213</v>
      </c>
      <c r="B855" s="15" t="s">
        <v>193</v>
      </c>
      <c r="C855" s="15" t="s">
        <v>313</v>
      </c>
      <c r="D855" s="15" t="s">
        <v>311</v>
      </c>
      <c r="E855" s="15">
        <v>3</v>
      </c>
      <c r="F855">
        <v>20</v>
      </c>
      <c r="G855">
        <v>1000</v>
      </c>
      <c r="H855">
        <v>20</v>
      </c>
      <c r="I855" s="56">
        <v>375.59459402917901</v>
      </c>
      <c r="J855" s="15"/>
      <c r="K855" s="15"/>
      <c r="L855" s="15">
        <v>176.4</v>
      </c>
      <c r="O855">
        <v>800</v>
      </c>
    </row>
    <row r="856" spans="1:15" hidden="1" x14ac:dyDescent="0.25">
      <c r="A856" t="s">
        <v>213</v>
      </c>
      <c r="B856" s="15" t="s">
        <v>193</v>
      </c>
      <c r="C856" s="15" t="s">
        <v>313</v>
      </c>
      <c r="D856" s="15" t="s">
        <v>311</v>
      </c>
      <c r="E856" s="15">
        <v>3</v>
      </c>
      <c r="F856">
        <v>22</v>
      </c>
      <c r="G856">
        <v>1000</v>
      </c>
      <c r="H856">
        <v>22</v>
      </c>
      <c r="I856" s="56">
        <v>502.11458666595331</v>
      </c>
      <c r="J856" s="15"/>
      <c r="K856" s="15"/>
      <c r="L856" s="15">
        <v>218.2</v>
      </c>
      <c r="O856">
        <v>800</v>
      </c>
    </row>
    <row r="857" spans="1:15" hidden="1" x14ac:dyDescent="0.25">
      <c r="A857" t="s">
        <v>213</v>
      </c>
      <c r="B857" s="15" t="s">
        <v>193</v>
      </c>
      <c r="C857" s="15" t="s">
        <v>313</v>
      </c>
      <c r="D857" s="15" t="s">
        <v>311</v>
      </c>
      <c r="E857" s="15">
        <v>3</v>
      </c>
      <c r="F857">
        <v>24</v>
      </c>
      <c r="G857">
        <v>1000</v>
      </c>
      <c r="H857">
        <v>24</v>
      </c>
      <c r="I857" s="56">
        <v>603.6884559200339</v>
      </c>
      <c r="J857" s="15"/>
      <c r="K857" s="15"/>
      <c r="L857" s="15">
        <v>254.2</v>
      </c>
      <c r="O857">
        <v>800</v>
      </c>
    </row>
    <row r="858" spans="1:15" hidden="1" x14ac:dyDescent="0.25">
      <c r="A858" t="s">
        <v>213</v>
      </c>
      <c r="B858" s="15" t="s">
        <v>193</v>
      </c>
      <c r="C858" s="15" t="s">
        <v>313</v>
      </c>
      <c r="D858" s="15" t="s">
        <v>311</v>
      </c>
      <c r="E858" s="15">
        <v>3</v>
      </c>
      <c r="F858">
        <v>27</v>
      </c>
      <c r="G858">
        <v>1000</v>
      </c>
      <c r="H858">
        <v>27</v>
      </c>
      <c r="I858" s="56">
        <v>863.58573825874475</v>
      </c>
      <c r="J858" s="15"/>
      <c r="K858" s="15"/>
      <c r="L858" s="15">
        <v>330.5</v>
      </c>
      <c r="O858">
        <v>800</v>
      </c>
    </row>
    <row r="859" spans="1:15" hidden="1" x14ac:dyDescent="0.25">
      <c r="A859" t="s">
        <v>213</v>
      </c>
      <c r="B859" s="15" t="s">
        <v>193</v>
      </c>
      <c r="C859" s="15" t="s">
        <v>313</v>
      </c>
      <c r="D859" s="15" t="s">
        <v>311</v>
      </c>
      <c r="E859" s="15">
        <v>3</v>
      </c>
      <c r="F859">
        <v>30</v>
      </c>
      <c r="G859">
        <v>1000</v>
      </c>
      <c r="H859">
        <v>30</v>
      </c>
      <c r="I859" s="56">
        <v>1112.9525297888761</v>
      </c>
      <c r="J859" s="15"/>
      <c r="K859" s="15"/>
      <c r="L859" s="15">
        <v>403.9</v>
      </c>
      <c r="O859">
        <v>800</v>
      </c>
    </row>
    <row r="860" spans="1:15" hidden="1" x14ac:dyDescent="0.25">
      <c r="A860" t="s">
        <v>345</v>
      </c>
      <c r="B860" s="51" t="s">
        <v>193</v>
      </c>
      <c r="C860" s="51" t="s">
        <v>264</v>
      </c>
      <c r="D860" s="51" t="s">
        <v>265</v>
      </c>
      <c r="E860" s="51">
        <v>2</v>
      </c>
      <c r="F860">
        <v>4</v>
      </c>
      <c r="G860">
        <v>40</v>
      </c>
      <c r="H860">
        <v>8</v>
      </c>
      <c r="I860" s="51">
        <v>6.68</v>
      </c>
      <c r="J860" s="51">
        <v>6.43</v>
      </c>
      <c r="K860" s="51"/>
      <c r="L860" s="51">
        <v>6.5</v>
      </c>
    </row>
    <row r="861" spans="1:15" hidden="1" x14ac:dyDescent="0.25">
      <c r="A861" t="s">
        <v>345</v>
      </c>
      <c r="B861" s="51" t="s">
        <v>193</v>
      </c>
      <c r="C861" s="51" t="s">
        <v>264</v>
      </c>
      <c r="D861" s="51" t="s">
        <v>265</v>
      </c>
      <c r="E861" s="51">
        <v>2</v>
      </c>
      <c r="F861">
        <v>4</v>
      </c>
      <c r="G861">
        <v>50</v>
      </c>
      <c r="H861">
        <v>8</v>
      </c>
      <c r="I861" s="51">
        <v>6.68</v>
      </c>
      <c r="J861" s="51">
        <v>6.43</v>
      </c>
      <c r="K861" s="51"/>
      <c r="L861" s="51">
        <v>6.5</v>
      </c>
    </row>
    <row r="862" spans="1:15" hidden="1" x14ac:dyDescent="0.25">
      <c r="A862" t="s">
        <v>345</v>
      </c>
      <c r="B862" s="51" t="s">
        <v>193</v>
      </c>
      <c r="C862" s="51" t="s">
        <v>264</v>
      </c>
      <c r="D862" s="51" t="s">
        <v>265</v>
      </c>
      <c r="E862" s="51">
        <v>2</v>
      </c>
      <c r="F862">
        <v>4</v>
      </c>
      <c r="G862">
        <v>60</v>
      </c>
      <c r="H862">
        <v>8</v>
      </c>
      <c r="I862" s="51">
        <v>6.68</v>
      </c>
      <c r="J862" s="51">
        <v>6.43</v>
      </c>
      <c r="K862" s="51"/>
      <c r="L862" s="51">
        <v>6.5</v>
      </c>
    </row>
    <row r="863" spans="1:15" hidden="1" x14ac:dyDescent="0.25">
      <c r="A863" t="s">
        <v>345</v>
      </c>
      <c r="B863" s="51" t="s">
        <v>193</v>
      </c>
      <c r="C863" s="51" t="s">
        <v>264</v>
      </c>
      <c r="D863" s="51" t="s">
        <v>265</v>
      </c>
      <c r="E863" s="51">
        <v>2</v>
      </c>
      <c r="F863">
        <v>4</v>
      </c>
      <c r="G863">
        <v>75</v>
      </c>
      <c r="H863">
        <v>8</v>
      </c>
      <c r="I863" s="51">
        <v>6.68</v>
      </c>
      <c r="J863" s="51">
        <v>6.43</v>
      </c>
      <c r="K863" s="51"/>
      <c r="L863" s="51">
        <v>6.5</v>
      </c>
    </row>
    <row r="864" spans="1:15" hidden="1" x14ac:dyDescent="0.25">
      <c r="A864" t="s">
        <v>345</v>
      </c>
      <c r="B864" s="51" t="s">
        <v>193</v>
      </c>
      <c r="C864" s="51" t="s">
        <v>264</v>
      </c>
      <c r="D864" s="51" t="s">
        <v>265</v>
      </c>
      <c r="E864" s="51">
        <v>2</v>
      </c>
      <c r="F864">
        <v>4</v>
      </c>
      <c r="G864">
        <v>100</v>
      </c>
      <c r="H864">
        <v>8</v>
      </c>
      <c r="I864" s="51">
        <v>6.68</v>
      </c>
      <c r="J864" s="51">
        <v>6.43</v>
      </c>
      <c r="K864" s="51"/>
      <c r="L864" s="51">
        <v>6.5</v>
      </c>
    </row>
    <row r="865" spans="1:13" hidden="1" x14ac:dyDescent="0.25">
      <c r="A865" t="s">
        <v>345</v>
      </c>
      <c r="B865" s="51" t="s">
        <v>193</v>
      </c>
      <c r="C865" s="51" t="s">
        <v>264</v>
      </c>
      <c r="D865" s="51" t="s">
        <v>265</v>
      </c>
      <c r="E865" s="51">
        <v>2</v>
      </c>
      <c r="F865">
        <v>6</v>
      </c>
      <c r="G865">
        <v>60</v>
      </c>
      <c r="H865">
        <v>12</v>
      </c>
      <c r="I865" s="51">
        <v>20.2</v>
      </c>
      <c r="J865" s="51">
        <v>6.43</v>
      </c>
      <c r="K865" s="51"/>
      <c r="L865" s="51">
        <v>17</v>
      </c>
    </row>
    <row r="866" spans="1:13" hidden="1" x14ac:dyDescent="0.25">
      <c r="A866" t="s">
        <v>345</v>
      </c>
      <c r="B866" s="51" t="s">
        <v>193</v>
      </c>
      <c r="C866" s="51" t="s">
        <v>264</v>
      </c>
      <c r="D866" s="51" t="s">
        <v>265</v>
      </c>
      <c r="E866" s="51">
        <v>2</v>
      </c>
      <c r="F866">
        <v>6</v>
      </c>
      <c r="G866">
        <v>80</v>
      </c>
      <c r="H866">
        <v>12</v>
      </c>
      <c r="I866" s="51">
        <v>20.2</v>
      </c>
      <c r="J866" s="51">
        <v>6.43</v>
      </c>
      <c r="K866" s="51"/>
      <c r="L866" s="51">
        <v>17</v>
      </c>
    </row>
    <row r="867" spans="1:13" hidden="1" x14ac:dyDescent="0.25">
      <c r="A867" t="s">
        <v>345</v>
      </c>
      <c r="B867" s="51" t="s">
        <v>193</v>
      </c>
      <c r="C867" s="51" t="s">
        <v>264</v>
      </c>
      <c r="D867" s="51" t="s">
        <v>265</v>
      </c>
      <c r="E867" s="51">
        <v>2</v>
      </c>
      <c r="F867">
        <v>6</v>
      </c>
      <c r="G867">
        <v>100</v>
      </c>
      <c r="H867">
        <v>12</v>
      </c>
      <c r="I867" s="51">
        <v>20.2</v>
      </c>
      <c r="J867" s="51">
        <v>6.43</v>
      </c>
      <c r="K867" s="51"/>
      <c r="L867" s="51">
        <v>17</v>
      </c>
    </row>
    <row r="868" spans="1:13" hidden="1" x14ac:dyDescent="0.25">
      <c r="A868" t="s">
        <v>345</v>
      </c>
      <c r="B868" s="51" t="s">
        <v>193</v>
      </c>
      <c r="C868" s="51" t="s">
        <v>266</v>
      </c>
      <c r="D868" s="51" t="s">
        <v>265</v>
      </c>
      <c r="E868" s="51">
        <v>3</v>
      </c>
      <c r="F868">
        <v>4</v>
      </c>
      <c r="G868">
        <v>50</v>
      </c>
      <c r="H868">
        <v>8</v>
      </c>
      <c r="I868" s="51">
        <v>7.18</v>
      </c>
      <c r="J868" s="51">
        <v>6.43</v>
      </c>
      <c r="K868" s="51"/>
      <c r="L868" s="51">
        <v>6.5</v>
      </c>
    </row>
    <row r="869" spans="1:13" hidden="1" x14ac:dyDescent="0.25">
      <c r="A869" t="s">
        <v>344</v>
      </c>
      <c r="B869" s="52" t="s">
        <v>267</v>
      </c>
      <c r="C869" s="52" t="s">
        <v>360</v>
      </c>
      <c r="D869" s="52" t="s">
        <v>365</v>
      </c>
      <c r="E869" s="52">
        <v>2</v>
      </c>
      <c r="F869">
        <v>8</v>
      </c>
      <c r="G869">
        <v>160</v>
      </c>
      <c r="H869">
        <v>10.199999999999999</v>
      </c>
      <c r="I869" s="52">
        <v>20.3</v>
      </c>
      <c r="J869" s="52">
        <v>13.1</v>
      </c>
      <c r="K869" s="52">
        <v>0</v>
      </c>
      <c r="L869" s="52">
        <v>24.1</v>
      </c>
      <c r="M869">
        <v>150</v>
      </c>
    </row>
    <row r="870" spans="1:13" hidden="1" x14ac:dyDescent="0.25">
      <c r="A870" t="s">
        <v>344</v>
      </c>
      <c r="B870" s="52" t="s">
        <v>267</v>
      </c>
      <c r="C870" s="52" t="s">
        <v>360</v>
      </c>
      <c r="D870" s="52" t="s">
        <v>365</v>
      </c>
      <c r="E870" s="52">
        <v>2</v>
      </c>
      <c r="F870">
        <v>8</v>
      </c>
      <c r="G870">
        <v>180</v>
      </c>
      <c r="H870">
        <v>10.199999999999999</v>
      </c>
      <c r="I870" s="52">
        <v>20.3</v>
      </c>
      <c r="J870" s="52">
        <v>13.1</v>
      </c>
      <c r="K870" s="52">
        <v>0</v>
      </c>
      <c r="L870" s="52">
        <v>24.1</v>
      </c>
      <c r="M870">
        <v>170</v>
      </c>
    </row>
    <row r="871" spans="1:13" hidden="1" x14ac:dyDescent="0.25">
      <c r="A871" t="s">
        <v>344</v>
      </c>
      <c r="B871" s="52" t="s">
        <v>267</v>
      </c>
      <c r="C871" s="52" t="s">
        <v>360</v>
      </c>
      <c r="D871" s="52" t="s">
        <v>365</v>
      </c>
      <c r="E871" s="52">
        <v>2</v>
      </c>
      <c r="F871">
        <v>8</v>
      </c>
      <c r="G871">
        <v>200</v>
      </c>
      <c r="H871">
        <v>10.199999999999999</v>
      </c>
      <c r="I871" s="52">
        <v>20.3</v>
      </c>
      <c r="J871" s="52">
        <v>13.1</v>
      </c>
      <c r="K871" s="52">
        <v>0</v>
      </c>
      <c r="L871" s="52">
        <v>24.1</v>
      </c>
      <c r="M871">
        <v>190</v>
      </c>
    </row>
    <row r="872" spans="1:13" hidden="1" x14ac:dyDescent="0.25">
      <c r="A872" t="s">
        <v>344</v>
      </c>
      <c r="B872" s="52" t="s">
        <v>267</v>
      </c>
      <c r="C872" s="52" t="s">
        <v>360</v>
      </c>
      <c r="D872" s="52" t="s">
        <v>365</v>
      </c>
      <c r="E872" s="52">
        <v>2</v>
      </c>
      <c r="F872">
        <v>8</v>
      </c>
      <c r="G872">
        <v>220</v>
      </c>
      <c r="H872">
        <v>10.199999999999999</v>
      </c>
      <c r="I872" s="52">
        <v>20.3</v>
      </c>
      <c r="J872" s="52">
        <v>13.1</v>
      </c>
      <c r="K872" s="52">
        <v>0</v>
      </c>
      <c r="L872" s="52">
        <v>24.1</v>
      </c>
      <c r="M872">
        <v>210</v>
      </c>
    </row>
    <row r="873" spans="1:13" hidden="1" x14ac:dyDescent="0.25">
      <c r="A873" t="s">
        <v>344</v>
      </c>
      <c r="B873" s="52" t="s">
        <v>267</v>
      </c>
      <c r="C873" s="52" t="s">
        <v>360</v>
      </c>
      <c r="D873" s="52" t="s">
        <v>365</v>
      </c>
      <c r="E873" s="52">
        <v>2</v>
      </c>
      <c r="F873">
        <v>8</v>
      </c>
      <c r="G873">
        <v>240</v>
      </c>
      <c r="H873">
        <v>10.199999999999999</v>
      </c>
      <c r="I873" s="52">
        <v>20.3</v>
      </c>
      <c r="J873" s="52">
        <v>13.1</v>
      </c>
      <c r="K873" s="52">
        <v>0</v>
      </c>
      <c r="L873" s="52">
        <v>24.1</v>
      </c>
      <c r="M873">
        <v>230</v>
      </c>
    </row>
    <row r="874" spans="1:13" hidden="1" x14ac:dyDescent="0.25">
      <c r="A874" t="s">
        <v>344</v>
      </c>
      <c r="B874" s="52" t="s">
        <v>267</v>
      </c>
      <c r="C874" s="52" t="s">
        <v>360</v>
      </c>
      <c r="D874" s="52" t="s">
        <v>365</v>
      </c>
      <c r="E874" s="52">
        <v>2</v>
      </c>
      <c r="F874">
        <v>8</v>
      </c>
      <c r="G874">
        <v>260</v>
      </c>
      <c r="H874">
        <v>10.199999999999999</v>
      </c>
      <c r="I874" s="52">
        <v>20.3</v>
      </c>
      <c r="J874" s="52">
        <v>13.1</v>
      </c>
      <c r="K874" s="52">
        <v>0</v>
      </c>
      <c r="L874" s="52">
        <v>24.1</v>
      </c>
      <c r="M874">
        <v>250</v>
      </c>
    </row>
    <row r="875" spans="1:13" hidden="1" x14ac:dyDescent="0.25">
      <c r="A875" t="s">
        <v>344</v>
      </c>
      <c r="B875" s="52" t="s">
        <v>267</v>
      </c>
      <c r="C875" s="52" t="s">
        <v>360</v>
      </c>
      <c r="D875" s="52" t="s">
        <v>365</v>
      </c>
      <c r="E875" s="52">
        <v>2</v>
      </c>
      <c r="F875">
        <v>8</v>
      </c>
      <c r="G875">
        <v>280</v>
      </c>
      <c r="H875">
        <v>10.199999999999999</v>
      </c>
      <c r="I875" s="52">
        <v>20.3</v>
      </c>
      <c r="J875" s="52">
        <v>13.1</v>
      </c>
      <c r="K875" s="52">
        <v>0</v>
      </c>
      <c r="L875" s="52">
        <v>24.1</v>
      </c>
      <c r="M875">
        <v>270</v>
      </c>
    </row>
    <row r="876" spans="1:13" hidden="1" x14ac:dyDescent="0.25">
      <c r="A876" t="s">
        <v>344</v>
      </c>
      <c r="B876" s="52" t="s">
        <v>267</v>
      </c>
      <c r="C876" s="52" t="s">
        <v>360</v>
      </c>
      <c r="D876" s="52" t="s">
        <v>365</v>
      </c>
      <c r="E876" s="52">
        <v>2</v>
      </c>
      <c r="F876">
        <v>8</v>
      </c>
      <c r="G876">
        <v>300</v>
      </c>
      <c r="H876">
        <v>10.199999999999999</v>
      </c>
      <c r="I876" s="52">
        <v>20.3</v>
      </c>
      <c r="J876" s="52">
        <v>13.1</v>
      </c>
      <c r="K876" s="52">
        <v>0</v>
      </c>
      <c r="L876" s="52">
        <v>24.1</v>
      </c>
      <c r="M876">
        <v>290</v>
      </c>
    </row>
    <row r="877" spans="1:13" hidden="1" x14ac:dyDescent="0.25">
      <c r="A877" t="s">
        <v>344</v>
      </c>
      <c r="B877" s="52" t="s">
        <v>267</v>
      </c>
      <c r="C877" s="52" t="s">
        <v>360</v>
      </c>
      <c r="D877" s="52" t="s">
        <v>365</v>
      </c>
      <c r="E877" s="52">
        <v>2</v>
      </c>
      <c r="F877">
        <v>8</v>
      </c>
      <c r="G877">
        <v>325</v>
      </c>
      <c r="H877">
        <v>10.199999999999999</v>
      </c>
      <c r="I877" s="52">
        <v>20.3</v>
      </c>
      <c r="J877" s="52">
        <v>13.1</v>
      </c>
      <c r="K877" s="52">
        <v>0</v>
      </c>
      <c r="L877" s="52">
        <v>24.1</v>
      </c>
      <c r="M877">
        <v>315</v>
      </c>
    </row>
    <row r="878" spans="1:13" hidden="1" x14ac:dyDescent="0.25">
      <c r="A878" t="s">
        <v>344</v>
      </c>
      <c r="B878" s="52" t="s">
        <v>267</v>
      </c>
      <c r="C878" s="52" t="s">
        <v>360</v>
      </c>
      <c r="D878" s="52" t="s">
        <v>365</v>
      </c>
      <c r="E878" s="52">
        <v>2</v>
      </c>
      <c r="F878">
        <v>10</v>
      </c>
      <c r="G878">
        <v>300</v>
      </c>
      <c r="H878">
        <v>13.4</v>
      </c>
      <c r="I878" s="52">
        <v>36.700000000000003</v>
      </c>
      <c r="J878" s="52">
        <v>12.5</v>
      </c>
      <c r="K878" s="52">
        <v>0</v>
      </c>
      <c r="L878" s="52">
        <v>40</v>
      </c>
      <c r="M878">
        <v>288</v>
      </c>
    </row>
    <row r="879" spans="1:13" hidden="1" x14ac:dyDescent="0.25">
      <c r="A879" t="s">
        <v>344</v>
      </c>
      <c r="B879" s="52" t="s">
        <v>267</v>
      </c>
      <c r="C879" s="52" t="s">
        <v>360</v>
      </c>
      <c r="D879" s="52" t="s">
        <v>365</v>
      </c>
      <c r="E879" s="52">
        <v>2</v>
      </c>
      <c r="F879">
        <v>10</v>
      </c>
      <c r="G879">
        <v>325</v>
      </c>
      <c r="H879">
        <v>13.4</v>
      </c>
      <c r="I879" s="52">
        <v>36.700000000000003</v>
      </c>
      <c r="J879" s="52">
        <v>12.5</v>
      </c>
      <c r="K879" s="52">
        <v>0</v>
      </c>
      <c r="L879" s="52">
        <v>40</v>
      </c>
      <c r="M879">
        <v>301</v>
      </c>
    </row>
    <row r="880" spans="1:13" hidden="1" x14ac:dyDescent="0.25">
      <c r="A880" t="s">
        <v>344</v>
      </c>
      <c r="B880" s="52" t="s">
        <v>267</v>
      </c>
      <c r="C880" s="52" t="s">
        <v>360</v>
      </c>
      <c r="D880" s="52" t="s">
        <v>365</v>
      </c>
      <c r="E880" s="52">
        <v>2</v>
      </c>
      <c r="F880">
        <v>10</v>
      </c>
      <c r="G880">
        <v>350</v>
      </c>
      <c r="H880">
        <v>13.4</v>
      </c>
      <c r="I880" s="52">
        <v>36.700000000000003</v>
      </c>
      <c r="J880" s="52">
        <v>12.5</v>
      </c>
      <c r="K880" s="52">
        <v>0</v>
      </c>
      <c r="L880" s="52">
        <v>40</v>
      </c>
      <c r="M880">
        <v>326</v>
      </c>
    </row>
    <row r="881" spans="1:13" hidden="1" x14ac:dyDescent="0.25">
      <c r="A881" t="s">
        <v>344</v>
      </c>
      <c r="B881" s="52" t="s">
        <v>267</v>
      </c>
      <c r="C881" s="52" t="s">
        <v>360</v>
      </c>
      <c r="D881" s="52" t="s">
        <v>365</v>
      </c>
      <c r="E881" s="52">
        <v>2</v>
      </c>
      <c r="F881">
        <v>10</v>
      </c>
      <c r="G881">
        <v>375</v>
      </c>
      <c r="H881">
        <v>13.4</v>
      </c>
      <c r="I881" s="52">
        <v>36.700000000000003</v>
      </c>
      <c r="J881" s="52">
        <v>12.5</v>
      </c>
      <c r="K881" s="52">
        <v>0</v>
      </c>
      <c r="L881" s="52">
        <v>40</v>
      </c>
      <c r="M881">
        <v>351</v>
      </c>
    </row>
    <row r="882" spans="1:13" hidden="1" x14ac:dyDescent="0.25">
      <c r="A882" t="s">
        <v>344</v>
      </c>
      <c r="B882" s="52" t="s">
        <v>267</v>
      </c>
      <c r="C882" s="52" t="s">
        <v>360</v>
      </c>
      <c r="D882" s="52" t="s">
        <v>365</v>
      </c>
      <c r="E882" s="52">
        <v>2</v>
      </c>
      <c r="F882">
        <v>10</v>
      </c>
      <c r="G882">
        <v>400</v>
      </c>
      <c r="H882">
        <v>13.4</v>
      </c>
      <c r="I882" s="52">
        <v>36.700000000000003</v>
      </c>
      <c r="J882" s="52">
        <v>12.5</v>
      </c>
      <c r="K882" s="52">
        <v>0</v>
      </c>
      <c r="L882" s="52">
        <v>40</v>
      </c>
      <c r="M882">
        <v>376</v>
      </c>
    </row>
    <row r="883" spans="1:13" hidden="1" x14ac:dyDescent="0.25">
      <c r="A883" t="s">
        <v>344</v>
      </c>
      <c r="B883" s="52" t="s">
        <v>267</v>
      </c>
      <c r="C883" s="52" t="s">
        <v>360</v>
      </c>
      <c r="D883" s="52" t="s">
        <v>365</v>
      </c>
      <c r="E883" s="52">
        <v>2</v>
      </c>
      <c r="F883">
        <v>10</v>
      </c>
      <c r="G883">
        <v>450</v>
      </c>
      <c r="H883">
        <v>13.4</v>
      </c>
      <c r="I883" s="52">
        <v>36.700000000000003</v>
      </c>
      <c r="J883" s="52">
        <v>12.5</v>
      </c>
      <c r="K883" s="52">
        <v>0</v>
      </c>
      <c r="L883" s="52">
        <v>40</v>
      </c>
      <c r="M883">
        <v>428</v>
      </c>
    </row>
    <row r="884" spans="1:13" hidden="1" x14ac:dyDescent="0.25">
      <c r="A884" t="s">
        <v>344</v>
      </c>
      <c r="B884" s="52" t="s">
        <v>267</v>
      </c>
      <c r="C884" s="52" t="s">
        <v>360</v>
      </c>
      <c r="D884" s="52" t="s">
        <v>365</v>
      </c>
      <c r="E884" s="52">
        <v>2</v>
      </c>
      <c r="F884">
        <v>10</v>
      </c>
      <c r="G884">
        <v>500</v>
      </c>
      <c r="H884">
        <v>13.4</v>
      </c>
      <c r="I884" s="52">
        <v>36.700000000000003</v>
      </c>
      <c r="J884" s="52">
        <v>12.5</v>
      </c>
      <c r="K884" s="52">
        <v>0</v>
      </c>
      <c r="L884" s="52">
        <v>40</v>
      </c>
      <c r="M884">
        <v>476</v>
      </c>
    </row>
    <row r="885" spans="1:13" hidden="1" x14ac:dyDescent="0.25">
      <c r="A885" t="s">
        <v>344</v>
      </c>
      <c r="B885" s="52" t="s">
        <v>267</v>
      </c>
      <c r="C885" s="52" t="s">
        <v>360</v>
      </c>
      <c r="D885" s="52" t="s">
        <v>365</v>
      </c>
      <c r="E885" s="52">
        <v>2</v>
      </c>
      <c r="F885">
        <v>10</v>
      </c>
      <c r="G885">
        <v>600</v>
      </c>
      <c r="H885">
        <v>13.4</v>
      </c>
      <c r="I885" s="52">
        <v>36.700000000000003</v>
      </c>
      <c r="J885" s="52">
        <v>12.5</v>
      </c>
      <c r="K885" s="52">
        <v>0</v>
      </c>
      <c r="L885" s="52">
        <v>40</v>
      </c>
      <c r="M885">
        <v>576</v>
      </c>
    </row>
    <row r="886" spans="1:13" hidden="1" x14ac:dyDescent="0.25">
      <c r="A886" t="s">
        <v>344</v>
      </c>
      <c r="B886" s="52" t="s">
        <v>267</v>
      </c>
      <c r="C886" s="52" t="s">
        <v>360</v>
      </c>
      <c r="D886" s="52" t="s">
        <v>365</v>
      </c>
      <c r="E886" s="52">
        <v>2</v>
      </c>
      <c r="F886">
        <v>10</v>
      </c>
      <c r="G886">
        <v>800</v>
      </c>
      <c r="H886">
        <v>13.4</v>
      </c>
      <c r="I886" s="52">
        <v>36.700000000000003</v>
      </c>
      <c r="J886" s="52">
        <v>12.5</v>
      </c>
      <c r="K886" s="52">
        <v>0</v>
      </c>
      <c r="L886" s="52">
        <v>40</v>
      </c>
      <c r="M886">
        <v>786</v>
      </c>
    </row>
    <row r="887" spans="1:13" hidden="1" x14ac:dyDescent="0.25">
      <c r="A887" t="s">
        <v>344</v>
      </c>
      <c r="B887" s="52" t="s">
        <v>267</v>
      </c>
      <c r="C887" s="52" t="s">
        <v>360</v>
      </c>
      <c r="D887" s="52" t="s">
        <v>365</v>
      </c>
      <c r="E887" s="52">
        <v>2</v>
      </c>
      <c r="F887">
        <v>10</v>
      </c>
      <c r="G887">
        <v>1000</v>
      </c>
      <c r="H887">
        <v>13.4</v>
      </c>
      <c r="I887" s="52">
        <v>36.700000000000003</v>
      </c>
      <c r="J887" s="52">
        <v>12.5</v>
      </c>
      <c r="K887" s="52">
        <v>0</v>
      </c>
      <c r="L887" s="52">
        <v>40</v>
      </c>
      <c r="M887">
        <v>976</v>
      </c>
    </row>
    <row r="888" spans="1:13" hidden="1" x14ac:dyDescent="0.25">
      <c r="A888" t="s">
        <v>344</v>
      </c>
      <c r="B888" s="52" t="s">
        <v>267</v>
      </c>
      <c r="C888" s="52" t="s">
        <v>361</v>
      </c>
      <c r="D888" s="52" t="s">
        <v>366</v>
      </c>
      <c r="E888" s="52">
        <v>2</v>
      </c>
      <c r="F888">
        <v>8</v>
      </c>
      <c r="G888">
        <v>120</v>
      </c>
      <c r="H888">
        <v>15</v>
      </c>
      <c r="I888" s="52">
        <v>22.6</v>
      </c>
      <c r="J888" s="52">
        <v>10.9</v>
      </c>
      <c r="K888" s="52">
        <v>12.4</v>
      </c>
      <c r="L888" s="52">
        <v>22.6</v>
      </c>
      <c r="M888">
        <v>80</v>
      </c>
    </row>
    <row r="889" spans="1:13" hidden="1" x14ac:dyDescent="0.25">
      <c r="A889" t="s">
        <v>344</v>
      </c>
      <c r="B889" s="52" t="s">
        <v>267</v>
      </c>
      <c r="C889" s="52" t="s">
        <v>361</v>
      </c>
      <c r="D889" s="52" t="s">
        <v>366</v>
      </c>
      <c r="E889" s="52">
        <v>2</v>
      </c>
      <c r="F889">
        <v>8</v>
      </c>
      <c r="G889">
        <v>160</v>
      </c>
      <c r="H889">
        <v>15</v>
      </c>
      <c r="I889" s="52">
        <v>22.6</v>
      </c>
      <c r="J889" s="52">
        <v>10.9</v>
      </c>
      <c r="K889" s="52">
        <v>12.4</v>
      </c>
      <c r="L889" s="52">
        <v>22.6</v>
      </c>
      <c r="M889">
        <v>80</v>
      </c>
    </row>
    <row r="890" spans="1:13" hidden="1" x14ac:dyDescent="0.25">
      <c r="A890" t="s">
        <v>344</v>
      </c>
      <c r="B890" s="52" t="s">
        <v>267</v>
      </c>
      <c r="C890" s="52" t="s">
        <v>361</v>
      </c>
      <c r="D890" s="52" t="s">
        <v>366</v>
      </c>
      <c r="E890" s="52">
        <v>2</v>
      </c>
      <c r="F890">
        <v>8</v>
      </c>
      <c r="G890">
        <v>180</v>
      </c>
      <c r="H890">
        <v>15</v>
      </c>
      <c r="I890" s="52">
        <v>22.6</v>
      </c>
      <c r="J890" s="52">
        <v>10.9</v>
      </c>
      <c r="K890" s="52">
        <v>12.4</v>
      </c>
      <c r="L890" s="52">
        <v>22.6</v>
      </c>
      <c r="M890">
        <v>100</v>
      </c>
    </row>
    <row r="891" spans="1:13" hidden="1" x14ac:dyDescent="0.25">
      <c r="A891" t="s">
        <v>344</v>
      </c>
      <c r="B891" s="52" t="s">
        <v>267</v>
      </c>
      <c r="C891" s="52" t="s">
        <v>361</v>
      </c>
      <c r="D891" s="52" t="s">
        <v>366</v>
      </c>
      <c r="E891" s="52">
        <v>2</v>
      </c>
      <c r="F891">
        <v>8</v>
      </c>
      <c r="G891">
        <v>200</v>
      </c>
      <c r="H891">
        <v>15</v>
      </c>
      <c r="I891" s="52">
        <v>22.6</v>
      </c>
      <c r="J891" s="52">
        <v>10.9</v>
      </c>
      <c r="K891" s="52">
        <v>12.4</v>
      </c>
      <c r="L891" s="52">
        <v>22.6</v>
      </c>
      <c r="M891">
        <v>100</v>
      </c>
    </row>
    <row r="892" spans="1:13" hidden="1" x14ac:dyDescent="0.25">
      <c r="A892" t="s">
        <v>344</v>
      </c>
      <c r="B892" s="52" t="s">
        <v>267</v>
      </c>
      <c r="C892" s="52" t="s">
        <v>361</v>
      </c>
      <c r="D892" s="52" t="s">
        <v>366</v>
      </c>
      <c r="E892" s="52">
        <v>2</v>
      </c>
      <c r="F892">
        <v>8</v>
      </c>
      <c r="G892">
        <v>240</v>
      </c>
      <c r="H892">
        <v>15</v>
      </c>
      <c r="I892" s="52">
        <v>22.6</v>
      </c>
      <c r="J892" s="52">
        <v>10.9</v>
      </c>
      <c r="K892" s="52">
        <v>12.4</v>
      </c>
      <c r="L892" s="52">
        <v>22.6</v>
      </c>
      <c r="M892">
        <v>100</v>
      </c>
    </row>
    <row r="893" spans="1:13" hidden="1" x14ac:dyDescent="0.25">
      <c r="A893" t="s">
        <v>344</v>
      </c>
      <c r="B893" s="52" t="s">
        <v>267</v>
      </c>
      <c r="C893" s="52" t="s">
        <v>361</v>
      </c>
      <c r="D893" s="52" t="s">
        <v>366</v>
      </c>
      <c r="E893" s="52">
        <v>2</v>
      </c>
      <c r="F893">
        <v>8</v>
      </c>
      <c r="G893">
        <v>280</v>
      </c>
      <c r="H893">
        <v>15</v>
      </c>
      <c r="I893" s="52">
        <v>22.6</v>
      </c>
      <c r="J893" s="52">
        <v>10.9</v>
      </c>
      <c r="K893" s="52">
        <v>12.4</v>
      </c>
      <c r="L893" s="52">
        <v>22.6</v>
      </c>
      <c r="M893">
        <v>100</v>
      </c>
    </row>
    <row r="894" spans="1:13" hidden="1" x14ac:dyDescent="0.25">
      <c r="A894" t="s">
        <v>344</v>
      </c>
      <c r="B894" s="52" t="s">
        <v>267</v>
      </c>
      <c r="C894" s="52" t="s">
        <v>361</v>
      </c>
      <c r="D894" s="52" t="s">
        <v>366</v>
      </c>
      <c r="E894" s="52">
        <v>2</v>
      </c>
      <c r="F894">
        <v>8</v>
      </c>
      <c r="G894">
        <v>320</v>
      </c>
      <c r="H894">
        <v>15</v>
      </c>
      <c r="I894" s="52">
        <v>22.6</v>
      </c>
      <c r="J894" s="52">
        <v>10.9</v>
      </c>
      <c r="K894" s="52">
        <v>12.4</v>
      </c>
      <c r="L894" s="52">
        <v>22.6</v>
      </c>
      <c r="M894">
        <v>100</v>
      </c>
    </row>
    <row r="895" spans="1:13" hidden="1" x14ac:dyDescent="0.25">
      <c r="A895" t="s">
        <v>344</v>
      </c>
      <c r="B895" s="52" t="s">
        <v>267</v>
      </c>
      <c r="C895" s="52" t="s">
        <v>361</v>
      </c>
      <c r="D895" s="52" t="s">
        <v>366</v>
      </c>
      <c r="E895" s="52">
        <v>2</v>
      </c>
      <c r="F895">
        <v>8</v>
      </c>
      <c r="G895">
        <v>360</v>
      </c>
      <c r="H895">
        <v>15</v>
      </c>
      <c r="I895" s="52">
        <v>22.6</v>
      </c>
      <c r="J895" s="52">
        <v>10.9</v>
      </c>
      <c r="K895" s="52">
        <v>12.4</v>
      </c>
      <c r="L895" s="52">
        <v>22.6</v>
      </c>
      <c r="M895">
        <v>100</v>
      </c>
    </row>
    <row r="896" spans="1:13" hidden="1" x14ac:dyDescent="0.25">
      <c r="A896" t="s">
        <v>344</v>
      </c>
      <c r="B896" s="52" t="s">
        <v>267</v>
      </c>
      <c r="C896" s="52" t="s">
        <v>361</v>
      </c>
      <c r="D896" s="52" t="s">
        <v>366</v>
      </c>
      <c r="E896" s="52">
        <v>2</v>
      </c>
      <c r="F896">
        <v>8</v>
      </c>
      <c r="G896">
        <v>400</v>
      </c>
      <c r="H896">
        <v>15</v>
      </c>
      <c r="I896" s="52">
        <v>22.6</v>
      </c>
      <c r="J896" s="52">
        <v>10.9</v>
      </c>
      <c r="K896" s="52">
        <v>12.4</v>
      </c>
      <c r="L896" s="52">
        <v>22.6</v>
      </c>
      <c r="M896">
        <v>100</v>
      </c>
    </row>
    <row r="897" spans="1:13" hidden="1" x14ac:dyDescent="0.25">
      <c r="A897" t="s">
        <v>344</v>
      </c>
      <c r="B897" s="52" t="s">
        <v>267</v>
      </c>
      <c r="C897" s="52" t="s">
        <v>361</v>
      </c>
      <c r="D897" s="52" t="s">
        <v>366</v>
      </c>
      <c r="E897" s="52">
        <v>2</v>
      </c>
      <c r="F897">
        <v>8</v>
      </c>
      <c r="G897">
        <v>440</v>
      </c>
      <c r="H897">
        <v>15</v>
      </c>
      <c r="I897" s="52">
        <v>22.6</v>
      </c>
      <c r="J897" s="52">
        <v>10.9</v>
      </c>
      <c r="K897" s="52">
        <v>12.4</v>
      </c>
      <c r="L897" s="52">
        <v>22.6</v>
      </c>
      <c r="M897">
        <v>100</v>
      </c>
    </row>
    <row r="898" spans="1:13" hidden="1" x14ac:dyDescent="0.25">
      <c r="A898" t="s">
        <v>344</v>
      </c>
      <c r="B898" s="52" t="s">
        <v>267</v>
      </c>
      <c r="C898" s="52" t="s">
        <v>361</v>
      </c>
      <c r="D898" s="52" t="s">
        <v>366</v>
      </c>
      <c r="E898" s="52">
        <v>2</v>
      </c>
      <c r="F898">
        <v>8</v>
      </c>
      <c r="G898">
        <v>480</v>
      </c>
      <c r="H898">
        <v>15</v>
      </c>
      <c r="I898" s="52">
        <v>22.6</v>
      </c>
      <c r="J898" s="52">
        <v>10.9</v>
      </c>
      <c r="K898" s="52">
        <v>12.4</v>
      </c>
      <c r="L898" s="52">
        <v>22.6</v>
      </c>
      <c r="M898">
        <v>100</v>
      </c>
    </row>
    <row r="899" spans="1:13" hidden="1" x14ac:dyDescent="0.25">
      <c r="A899" t="s">
        <v>344</v>
      </c>
      <c r="B899" s="52" t="s">
        <v>267</v>
      </c>
      <c r="C899" s="52" t="s">
        <v>361</v>
      </c>
      <c r="D899" s="52" t="s">
        <v>366</v>
      </c>
      <c r="E899" s="52">
        <v>2</v>
      </c>
      <c r="F899">
        <v>10</v>
      </c>
      <c r="G899">
        <v>200</v>
      </c>
      <c r="H899">
        <v>18.5</v>
      </c>
      <c r="I899" s="52">
        <v>33.6</v>
      </c>
      <c r="J899" s="52">
        <v>11</v>
      </c>
      <c r="K899" s="52">
        <v>12.2</v>
      </c>
      <c r="L899" s="52">
        <v>33.6</v>
      </c>
      <c r="M899">
        <v>100</v>
      </c>
    </row>
    <row r="900" spans="1:13" hidden="1" x14ac:dyDescent="0.25">
      <c r="A900" t="s">
        <v>344</v>
      </c>
      <c r="B900" s="52" t="s">
        <v>267</v>
      </c>
      <c r="C900" s="52" t="s">
        <v>361</v>
      </c>
      <c r="D900" s="52" t="s">
        <v>366</v>
      </c>
      <c r="E900" s="52">
        <v>2</v>
      </c>
      <c r="F900">
        <v>10</v>
      </c>
      <c r="G900">
        <v>240</v>
      </c>
      <c r="H900">
        <v>18.5</v>
      </c>
      <c r="I900" s="52">
        <v>33.6</v>
      </c>
      <c r="J900" s="52">
        <v>11</v>
      </c>
      <c r="K900" s="52">
        <v>12.2</v>
      </c>
      <c r="L900" s="52">
        <v>33.6</v>
      </c>
      <c r="M900">
        <v>100</v>
      </c>
    </row>
    <row r="901" spans="1:13" hidden="1" x14ac:dyDescent="0.25">
      <c r="A901" t="s">
        <v>344</v>
      </c>
      <c r="B901" s="52" t="s">
        <v>267</v>
      </c>
      <c r="C901" s="52" t="s">
        <v>361</v>
      </c>
      <c r="D901" s="52" t="s">
        <v>366</v>
      </c>
      <c r="E901" s="52">
        <v>2</v>
      </c>
      <c r="F901">
        <v>10</v>
      </c>
      <c r="G901">
        <v>280</v>
      </c>
      <c r="H901">
        <v>18.5</v>
      </c>
      <c r="I901" s="52">
        <v>33.6</v>
      </c>
      <c r="J901" s="52">
        <v>11</v>
      </c>
      <c r="K901" s="52">
        <v>12.2</v>
      </c>
      <c r="L901" s="52">
        <v>33.6</v>
      </c>
      <c r="M901">
        <v>100</v>
      </c>
    </row>
    <row r="902" spans="1:13" hidden="1" x14ac:dyDescent="0.25">
      <c r="A902" t="s">
        <v>344</v>
      </c>
      <c r="B902" s="52" t="s">
        <v>267</v>
      </c>
      <c r="C902" s="52" t="s">
        <v>361</v>
      </c>
      <c r="D902" s="52" t="s">
        <v>366</v>
      </c>
      <c r="E902" s="52">
        <v>2</v>
      </c>
      <c r="F902">
        <v>10</v>
      </c>
      <c r="G902">
        <v>320</v>
      </c>
      <c r="H902">
        <v>18.5</v>
      </c>
      <c r="I902" s="52">
        <v>33.6</v>
      </c>
      <c r="J902" s="52">
        <v>11</v>
      </c>
      <c r="K902" s="52">
        <v>12.2</v>
      </c>
      <c r="L902" s="52">
        <v>33.6</v>
      </c>
      <c r="M902">
        <v>100</v>
      </c>
    </row>
    <row r="903" spans="1:13" hidden="1" x14ac:dyDescent="0.25">
      <c r="A903" t="s">
        <v>344</v>
      </c>
      <c r="B903" s="52" t="s">
        <v>267</v>
      </c>
      <c r="C903" s="52" t="s">
        <v>361</v>
      </c>
      <c r="D903" s="52" t="s">
        <v>366</v>
      </c>
      <c r="E903" s="52">
        <v>2</v>
      </c>
      <c r="F903">
        <v>10</v>
      </c>
      <c r="G903">
        <v>360</v>
      </c>
      <c r="H903">
        <v>18.5</v>
      </c>
      <c r="I903" s="52">
        <v>33.6</v>
      </c>
      <c r="J903" s="52">
        <v>11</v>
      </c>
      <c r="K903" s="52">
        <v>12.2</v>
      </c>
      <c r="L903" s="52">
        <v>33.6</v>
      </c>
      <c r="M903">
        <v>100</v>
      </c>
    </row>
    <row r="904" spans="1:13" hidden="1" x14ac:dyDescent="0.25">
      <c r="A904" t="s">
        <v>344</v>
      </c>
      <c r="B904" s="52" t="s">
        <v>267</v>
      </c>
      <c r="C904" s="52" t="s">
        <v>361</v>
      </c>
      <c r="D904" s="52" t="s">
        <v>366</v>
      </c>
      <c r="E904" s="52">
        <v>2</v>
      </c>
      <c r="F904">
        <v>10</v>
      </c>
      <c r="G904">
        <v>400</v>
      </c>
      <c r="H904">
        <v>18.5</v>
      </c>
      <c r="I904" s="52">
        <v>33.6</v>
      </c>
      <c r="J904" s="52">
        <v>11</v>
      </c>
      <c r="K904" s="52">
        <v>12.2</v>
      </c>
      <c r="L904" s="52">
        <v>33.6</v>
      </c>
      <c r="M904">
        <v>100</v>
      </c>
    </row>
    <row r="905" spans="1:13" hidden="1" x14ac:dyDescent="0.25">
      <c r="A905" t="s">
        <v>344</v>
      </c>
      <c r="B905" s="52" t="s">
        <v>267</v>
      </c>
      <c r="C905" s="52" t="s">
        <v>361</v>
      </c>
      <c r="D905" s="52" t="s">
        <v>366</v>
      </c>
      <c r="E905" s="52">
        <v>2</v>
      </c>
      <c r="F905">
        <v>10</v>
      </c>
      <c r="G905">
        <v>440</v>
      </c>
      <c r="H905">
        <v>18.5</v>
      </c>
      <c r="I905" s="52">
        <v>33.6</v>
      </c>
      <c r="J905" s="52">
        <v>11</v>
      </c>
      <c r="K905" s="52">
        <v>12.2</v>
      </c>
      <c r="L905" s="52">
        <v>33.6</v>
      </c>
      <c r="M905">
        <v>100</v>
      </c>
    </row>
    <row r="906" spans="1:13" hidden="1" x14ac:dyDescent="0.25">
      <c r="A906" t="s">
        <v>344</v>
      </c>
      <c r="B906" s="52" t="s">
        <v>267</v>
      </c>
      <c r="C906" s="52" t="s">
        <v>361</v>
      </c>
      <c r="D906" s="52" t="s">
        <v>366</v>
      </c>
      <c r="E906" s="52">
        <v>2</v>
      </c>
      <c r="F906">
        <v>10</v>
      </c>
      <c r="G906">
        <v>480</v>
      </c>
      <c r="H906">
        <v>18.5</v>
      </c>
      <c r="I906" s="52">
        <v>33.6</v>
      </c>
      <c r="J906" s="52">
        <v>11</v>
      </c>
      <c r="K906" s="52">
        <v>12.2</v>
      </c>
      <c r="L906" s="52">
        <v>33.6</v>
      </c>
      <c r="M906">
        <v>100</v>
      </c>
    </row>
    <row r="907" spans="1:13" hidden="1" x14ac:dyDescent="0.25">
      <c r="A907" t="s">
        <v>344</v>
      </c>
      <c r="B907" s="52" t="s">
        <v>267</v>
      </c>
      <c r="C907" s="52" t="s">
        <v>361</v>
      </c>
      <c r="D907" s="52" t="s">
        <v>366</v>
      </c>
      <c r="E907" s="52">
        <v>2</v>
      </c>
      <c r="F907">
        <v>12</v>
      </c>
      <c r="G907">
        <v>200</v>
      </c>
      <c r="H907">
        <v>20</v>
      </c>
      <c r="I907" s="52">
        <v>46.9</v>
      </c>
      <c r="J907" s="52">
        <v>11.2</v>
      </c>
      <c r="K907" s="52">
        <v>11</v>
      </c>
      <c r="L907" s="52">
        <v>46.9</v>
      </c>
      <c r="M907">
        <v>100</v>
      </c>
    </row>
    <row r="908" spans="1:13" hidden="1" x14ac:dyDescent="0.25">
      <c r="A908" t="s">
        <v>344</v>
      </c>
      <c r="B908" s="52" t="s">
        <v>267</v>
      </c>
      <c r="C908" s="52" t="s">
        <v>361</v>
      </c>
      <c r="D908" s="52" t="s">
        <v>366</v>
      </c>
      <c r="E908" s="52">
        <v>2</v>
      </c>
      <c r="F908">
        <v>12</v>
      </c>
      <c r="G908">
        <v>240</v>
      </c>
      <c r="H908">
        <v>20</v>
      </c>
      <c r="I908" s="52">
        <v>46.9</v>
      </c>
      <c r="J908" s="52">
        <v>11.2</v>
      </c>
      <c r="K908" s="52">
        <v>11</v>
      </c>
      <c r="L908" s="52">
        <v>46.9</v>
      </c>
      <c r="M908">
        <v>100</v>
      </c>
    </row>
    <row r="909" spans="1:13" hidden="1" x14ac:dyDescent="0.25">
      <c r="A909" t="s">
        <v>344</v>
      </c>
      <c r="B909" s="52" t="s">
        <v>267</v>
      </c>
      <c r="C909" s="52" t="s">
        <v>361</v>
      </c>
      <c r="D909" s="52" t="s">
        <v>366</v>
      </c>
      <c r="E909" s="52">
        <v>2</v>
      </c>
      <c r="F909">
        <v>12</v>
      </c>
      <c r="G909">
        <v>280</v>
      </c>
      <c r="H909">
        <v>20</v>
      </c>
      <c r="I909" s="52">
        <v>46.9</v>
      </c>
      <c r="J909" s="52">
        <v>11.2</v>
      </c>
      <c r="K909" s="52">
        <v>11</v>
      </c>
      <c r="L909" s="52">
        <v>46.9</v>
      </c>
      <c r="M909">
        <v>100</v>
      </c>
    </row>
    <row r="910" spans="1:13" hidden="1" x14ac:dyDescent="0.25">
      <c r="A910" t="s">
        <v>344</v>
      </c>
      <c r="B910" s="52" t="s">
        <v>267</v>
      </c>
      <c r="C910" s="52" t="s">
        <v>361</v>
      </c>
      <c r="D910" s="52" t="s">
        <v>366</v>
      </c>
      <c r="E910" s="52">
        <v>2</v>
      </c>
      <c r="F910">
        <v>12</v>
      </c>
      <c r="G910">
        <v>320</v>
      </c>
      <c r="H910">
        <v>20</v>
      </c>
      <c r="I910" s="52">
        <v>46.9</v>
      </c>
      <c r="J910" s="52">
        <v>11.2</v>
      </c>
      <c r="K910" s="52">
        <v>11</v>
      </c>
      <c r="L910" s="52">
        <v>46.9</v>
      </c>
      <c r="M910">
        <v>120</v>
      </c>
    </row>
    <row r="911" spans="1:13" hidden="1" x14ac:dyDescent="0.25">
      <c r="A911" t="s">
        <v>344</v>
      </c>
      <c r="B911" s="52" t="s">
        <v>267</v>
      </c>
      <c r="C911" s="52" t="s">
        <v>361</v>
      </c>
      <c r="D911" s="52" t="s">
        <v>366</v>
      </c>
      <c r="E911" s="52">
        <v>2</v>
      </c>
      <c r="F911">
        <v>12</v>
      </c>
      <c r="G911">
        <v>360</v>
      </c>
      <c r="H911">
        <v>20</v>
      </c>
      <c r="I911" s="52">
        <v>46.9</v>
      </c>
      <c r="J911" s="52">
        <v>11.2</v>
      </c>
      <c r="K911" s="52">
        <v>11</v>
      </c>
      <c r="L911" s="52">
        <v>46.9</v>
      </c>
      <c r="M911">
        <v>120</v>
      </c>
    </row>
    <row r="912" spans="1:13" hidden="1" x14ac:dyDescent="0.25">
      <c r="A912" t="s">
        <v>344</v>
      </c>
      <c r="B912" s="52" t="s">
        <v>267</v>
      </c>
      <c r="C912" s="52" t="s">
        <v>361</v>
      </c>
      <c r="D912" s="52" t="s">
        <v>366</v>
      </c>
      <c r="E912" s="52">
        <v>2</v>
      </c>
      <c r="F912">
        <v>12</v>
      </c>
      <c r="G912">
        <v>400</v>
      </c>
      <c r="H912">
        <v>20</v>
      </c>
      <c r="I912" s="52">
        <v>46.9</v>
      </c>
      <c r="J912" s="52">
        <v>11.2</v>
      </c>
      <c r="K912" s="52">
        <v>11</v>
      </c>
      <c r="L912" s="52">
        <v>46.9</v>
      </c>
      <c r="M912">
        <v>120</v>
      </c>
    </row>
    <row r="913" spans="1:13" hidden="1" x14ac:dyDescent="0.25">
      <c r="A913" t="s">
        <v>344</v>
      </c>
      <c r="B913" s="52" t="s">
        <v>267</v>
      </c>
      <c r="C913" s="52" t="s">
        <v>362</v>
      </c>
      <c r="D913" s="52" t="s">
        <v>367</v>
      </c>
      <c r="E913" s="52">
        <v>1</v>
      </c>
      <c r="F913">
        <v>8</v>
      </c>
      <c r="G913">
        <v>80</v>
      </c>
      <c r="H913">
        <v>12</v>
      </c>
      <c r="I913" s="52">
        <v>22.6</v>
      </c>
      <c r="J913" s="52">
        <v>10.9</v>
      </c>
      <c r="K913" s="52">
        <v>16.5</v>
      </c>
      <c r="L913" s="52">
        <v>23.3</v>
      </c>
      <c r="M913">
        <v>50</v>
      </c>
    </row>
    <row r="914" spans="1:13" hidden="1" x14ac:dyDescent="0.25">
      <c r="A914" t="s">
        <v>344</v>
      </c>
      <c r="B914" s="52" t="s">
        <v>267</v>
      </c>
      <c r="C914" s="52" t="s">
        <v>362</v>
      </c>
      <c r="D914" s="52" t="s">
        <v>367</v>
      </c>
      <c r="E914" s="52">
        <v>1</v>
      </c>
      <c r="F914">
        <v>8</v>
      </c>
      <c r="G914">
        <v>100</v>
      </c>
      <c r="H914">
        <v>12</v>
      </c>
      <c r="I914" s="52">
        <v>22.6</v>
      </c>
      <c r="J914" s="52">
        <v>10.9</v>
      </c>
      <c r="K914" s="52">
        <v>16.5</v>
      </c>
      <c r="L914" s="52">
        <v>23.3</v>
      </c>
      <c r="M914">
        <v>60</v>
      </c>
    </row>
    <row r="915" spans="1:13" hidden="1" x14ac:dyDescent="0.25">
      <c r="A915" t="s">
        <v>344</v>
      </c>
      <c r="B915" s="52" t="s">
        <v>267</v>
      </c>
      <c r="C915" s="52" t="s">
        <v>362</v>
      </c>
      <c r="D915" s="52" t="s">
        <v>367</v>
      </c>
      <c r="E915" s="52">
        <v>1</v>
      </c>
      <c r="F915">
        <v>8</v>
      </c>
      <c r="G915">
        <v>120</v>
      </c>
      <c r="H915">
        <v>12</v>
      </c>
      <c r="I915" s="52">
        <v>22.6</v>
      </c>
      <c r="J915" s="52">
        <v>10.9</v>
      </c>
      <c r="K915" s="52">
        <v>16.5</v>
      </c>
      <c r="L915" s="52">
        <v>23.3</v>
      </c>
      <c r="M915">
        <v>80</v>
      </c>
    </row>
    <row r="916" spans="1:13" hidden="1" x14ac:dyDescent="0.25">
      <c r="A916" t="s">
        <v>344</v>
      </c>
      <c r="B916" s="52" t="s">
        <v>267</v>
      </c>
      <c r="C916" s="52" t="s">
        <v>362</v>
      </c>
      <c r="D916" s="52" t="s">
        <v>367</v>
      </c>
      <c r="E916" s="52">
        <v>1</v>
      </c>
      <c r="F916">
        <v>8</v>
      </c>
      <c r="G916">
        <v>140</v>
      </c>
      <c r="H916">
        <v>12</v>
      </c>
      <c r="I916" s="52">
        <v>22.6</v>
      </c>
      <c r="J916" s="52">
        <v>10.9</v>
      </c>
      <c r="K916" s="52">
        <v>16.5</v>
      </c>
      <c r="L916" s="52">
        <v>23.3</v>
      </c>
      <c r="M916">
        <v>80</v>
      </c>
    </row>
    <row r="917" spans="1:13" hidden="1" x14ac:dyDescent="0.25">
      <c r="A917" t="s">
        <v>344</v>
      </c>
      <c r="B917" s="52" t="s">
        <v>267</v>
      </c>
      <c r="C917" s="52" t="s">
        <v>362</v>
      </c>
      <c r="D917" s="52" t="s">
        <v>367</v>
      </c>
      <c r="E917" s="52">
        <v>1</v>
      </c>
      <c r="F917">
        <v>8</v>
      </c>
      <c r="G917">
        <v>160</v>
      </c>
      <c r="H917">
        <v>12</v>
      </c>
      <c r="I917" s="52">
        <v>22.6</v>
      </c>
      <c r="J917" s="52">
        <v>10.9</v>
      </c>
      <c r="K917" s="52">
        <v>16.5</v>
      </c>
      <c r="L917" s="52">
        <v>23.3</v>
      </c>
      <c r="M917">
        <v>80</v>
      </c>
    </row>
    <row r="918" spans="1:13" hidden="1" x14ac:dyDescent="0.25">
      <c r="A918" t="s">
        <v>344</v>
      </c>
      <c r="B918" s="52" t="s">
        <v>267</v>
      </c>
      <c r="C918" s="52" t="s">
        <v>362</v>
      </c>
      <c r="D918" s="52" t="s">
        <v>367</v>
      </c>
      <c r="E918" s="52">
        <v>1</v>
      </c>
      <c r="F918">
        <v>8</v>
      </c>
      <c r="G918">
        <v>180</v>
      </c>
      <c r="H918">
        <v>12</v>
      </c>
      <c r="I918" s="52">
        <v>22.6</v>
      </c>
      <c r="J918" s="52">
        <v>10.9</v>
      </c>
      <c r="K918" s="52">
        <v>16.5</v>
      </c>
      <c r="L918" s="52">
        <v>23.3</v>
      </c>
      <c r="M918">
        <v>100</v>
      </c>
    </row>
    <row r="919" spans="1:13" hidden="1" x14ac:dyDescent="0.25">
      <c r="A919" t="s">
        <v>344</v>
      </c>
      <c r="B919" s="52" t="s">
        <v>267</v>
      </c>
      <c r="C919" s="52" t="s">
        <v>362</v>
      </c>
      <c r="D919" s="52" t="s">
        <v>367</v>
      </c>
      <c r="E919" s="52">
        <v>1</v>
      </c>
      <c r="F919">
        <v>8</v>
      </c>
      <c r="G919">
        <v>200</v>
      </c>
      <c r="H919">
        <v>12</v>
      </c>
      <c r="I919" s="52">
        <v>22.6</v>
      </c>
      <c r="J919" s="52">
        <v>10.9</v>
      </c>
      <c r="K919" s="52">
        <v>16.5</v>
      </c>
      <c r="L919" s="52">
        <v>23.3</v>
      </c>
      <c r="M919">
        <v>100</v>
      </c>
    </row>
    <row r="920" spans="1:13" hidden="1" x14ac:dyDescent="0.25">
      <c r="A920" t="s">
        <v>344</v>
      </c>
      <c r="B920" s="52" t="s">
        <v>267</v>
      </c>
      <c r="C920" s="52" t="s">
        <v>362</v>
      </c>
      <c r="D920" s="52" t="s">
        <v>367</v>
      </c>
      <c r="E920" s="52">
        <v>1</v>
      </c>
      <c r="F920">
        <v>10</v>
      </c>
      <c r="G920">
        <v>80</v>
      </c>
      <c r="H920">
        <v>15</v>
      </c>
      <c r="I920" s="52">
        <v>33.6</v>
      </c>
      <c r="J920" s="52">
        <v>11</v>
      </c>
      <c r="K920" s="52">
        <v>16.7</v>
      </c>
      <c r="L920" s="52">
        <v>35</v>
      </c>
      <c r="M920">
        <v>50</v>
      </c>
    </row>
    <row r="921" spans="1:13" hidden="1" x14ac:dyDescent="0.25">
      <c r="A921" t="s">
        <v>344</v>
      </c>
      <c r="B921" s="52" t="s">
        <v>267</v>
      </c>
      <c r="C921" s="52" t="s">
        <v>362</v>
      </c>
      <c r="D921" s="52" t="s">
        <v>367</v>
      </c>
      <c r="E921" s="52">
        <v>1</v>
      </c>
      <c r="F921">
        <v>10</v>
      </c>
      <c r="G921">
        <v>100</v>
      </c>
      <c r="H921">
        <v>15</v>
      </c>
      <c r="I921" s="52">
        <v>33.6</v>
      </c>
      <c r="J921" s="52">
        <v>11</v>
      </c>
      <c r="K921" s="52">
        <v>16.7</v>
      </c>
      <c r="L921" s="52">
        <v>35</v>
      </c>
      <c r="M921">
        <v>60</v>
      </c>
    </row>
    <row r="922" spans="1:13" hidden="1" x14ac:dyDescent="0.25">
      <c r="A922" t="s">
        <v>344</v>
      </c>
      <c r="B922" s="52" t="s">
        <v>267</v>
      </c>
      <c r="C922" s="52" t="s">
        <v>362</v>
      </c>
      <c r="D922" s="52" t="s">
        <v>367</v>
      </c>
      <c r="E922" s="52">
        <v>1</v>
      </c>
      <c r="F922">
        <v>10</v>
      </c>
      <c r="G922">
        <v>120</v>
      </c>
      <c r="H922">
        <v>15</v>
      </c>
      <c r="I922" s="52">
        <v>33.6</v>
      </c>
      <c r="J922" s="52">
        <v>11</v>
      </c>
      <c r="K922" s="52">
        <v>16.7</v>
      </c>
      <c r="L922" s="52">
        <v>35</v>
      </c>
      <c r="M922">
        <v>80</v>
      </c>
    </row>
    <row r="923" spans="1:13" hidden="1" x14ac:dyDescent="0.25">
      <c r="A923" t="s">
        <v>344</v>
      </c>
      <c r="B923" s="52" t="s">
        <v>267</v>
      </c>
      <c r="C923" s="52" t="s">
        <v>362</v>
      </c>
      <c r="D923" s="52" t="s">
        <v>367</v>
      </c>
      <c r="E923" s="52">
        <v>1</v>
      </c>
      <c r="F923">
        <v>10</v>
      </c>
      <c r="G923">
        <v>140</v>
      </c>
      <c r="H923">
        <v>15</v>
      </c>
      <c r="I923" s="52">
        <v>33.6</v>
      </c>
      <c r="J923" s="52">
        <v>11</v>
      </c>
      <c r="K923" s="52">
        <v>16.7</v>
      </c>
      <c r="L923" s="52">
        <v>35</v>
      </c>
      <c r="M923">
        <v>80</v>
      </c>
    </row>
    <row r="924" spans="1:13" hidden="1" x14ac:dyDescent="0.25">
      <c r="A924" t="s">
        <v>344</v>
      </c>
      <c r="B924" s="52" t="s">
        <v>267</v>
      </c>
      <c r="C924" s="52" t="s">
        <v>362</v>
      </c>
      <c r="D924" s="52" t="s">
        <v>367</v>
      </c>
      <c r="E924" s="52">
        <v>1</v>
      </c>
      <c r="F924">
        <v>10</v>
      </c>
      <c r="G924">
        <v>160</v>
      </c>
      <c r="H924">
        <v>15</v>
      </c>
      <c r="I924" s="52">
        <v>33.6</v>
      </c>
      <c r="J924" s="52">
        <v>11</v>
      </c>
      <c r="K924" s="52">
        <v>16.7</v>
      </c>
      <c r="L924" s="52">
        <v>35</v>
      </c>
      <c r="M924">
        <v>80</v>
      </c>
    </row>
    <row r="925" spans="1:13" hidden="1" x14ac:dyDescent="0.25">
      <c r="A925" t="s">
        <v>344</v>
      </c>
      <c r="B925" s="52" t="s">
        <v>267</v>
      </c>
      <c r="C925" s="52" t="s">
        <v>362</v>
      </c>
      <c r="D925" s="52" t="s">
        <v>367</v>
      </c>
      <c r="E925" s="52">
        <v>1</v>
      </c>
      <c r="F925">
        <v>10</v>
      </c>
      <c r="G925">
        <v>180</v>
      </c>
      <c r="H925">
        <v>15</v>
      </c>
      <c r="I925" s="52">
        <v>33.6</v>
      </c>
      <c r="J925" s="52">
        <v>11</v>
      </c>
      <c r="K925" s="52">
        <v>16.7</v>
      </c>
      <c r="L925" s="52">
        <v>35</v>
      </c>
      <c r="M925">
        <v>100</v>
      </c>
    </row>
    <row r="926" spans="1:13" hidden="1" x14ac:dyDescent="0.25">
      <c r="A926" t="s">
        <v>344</v>
      </c>
      <c r="B926" s="52" t="s">
        <v>267</v>
      </c>
      <c r="C926" s="52" t="s">
        <v>362</v>
      </c>
      <c r="D926" s="52" t="s">
        <v>367</v>
      </c>
      <c r="E926" s="52">
        <v>1</v>
      </c>
      <c r="F926">
        <v>10</v>
      </c>
      <c r="G926">
        <v>200</v>
      </c>
      <c r="H926">
        <v>15</v>
      </c>
      <c r="I926" s="52">
        <v>33.6</v>
      </c>
      <c r="J926" s="52">
        <v>11</v>
      </c>
      <c r="K926" s="52">
        <v>16.7</v>
      </c>
      <c r="L926" s="52">
        <v>35</v>
      </c>
      <c r="M926">
        <v>100</v>
      </c>
    </row>
    <row r="927" spans="1:13" hidden="1" x14ac:dyDescent="0.25">
      <c r="A927" t="s">
        <v>344</v>
      </c>
      <c r="B927" s="52" t="s">
        <v>267</v>
      </c>
      <c r="C927" s="52" t="s">
        <v>363</v>
      </c>
      <c r="D927" s="52" t="s">
        <v>368</v>
      </c>
      <c r="E927" s="52">
        <v>1</v>
      </c>
      <c r="F927">
        <v>12</v>
      </c>
      <c r="G927">
        <v>60</v>
      </c>
      <c r="H927">
        <v>17</v>
      </c>
      <c r="I927" s="52">
        <v>48.5</v>
      </c>
      <c r="J927" s="52">
        <v>11.2</v>
      </c>
      <c r="K927" s="52">
        <v>17.100000000000001</v>
      </c>
      <c r="L927" s="52">
        <v>45</v>
      </c>
      <c r="M927">
        <v>48</v>
      </c>
    </row>
    <row r="928" spans="1:13" hidden="1" x14ac:dyDescent="0.25">
      <c r="A928" t="s">
        <v>344</v>
      </c>
      <c r="B928" s="52" t="s">
        <v>267</v>
      </c>
      <c r="C928" s="52" t="s">
        <v>363</v>
      </c>
      <c r="D928" s="52" t="s">
        <v>368</v>
      </c>
      <c r="E928" s="52">
        <v>1</v>
      </c>
      <c r="F928">
        <v>12</v>
      </c>
      <c r="G928">
        <v>80</v>
      </c>
      <c r="H928">
        <v>17</v>
      </c>
      <c r="I928" s="52">
        <v>48.5</v>
      </c>
      <c r="J928" s="52">
        <v>11.2</v>
      </c>
      <c r="K928" s="52">
        <v>17.100000000000001</v>
      </c>
      <c r="L928" s="52">
        <v>45</v>
      </c>
      <c r="M928">
        <v>68</v>
      </c>
    </row>
    <row r="929" spans="1:14" hidden="1" x14ac:dyDescent="0.25">
      <c r="A929" t="s">
        <v>344</v>
      </c>
      <c r="B929" s="52" t="s">
        <v>267</v>
      </c>
      <c r="C929" s="52" t="s">
        <v>363</v>
      </c>
      <c r="D929" s="52" t="s">
        <v>368</v>
      </c>
      <c r="E929" s="52">
        <v>1</v>
      </c>
      <c r="F929">
        <v>12</v>
      </c>
      <c r="G929">
        <v>120</v>
      </c>
      <c r="H929">
        <v>17</v>
      </c>
      <c r="I929" s="52">
        <v>48.5</v>
      </c>
      <c r="J929" s="52">
        <v>11.2</v>
      </c>
      <c r="K929" s="52">
        <v>17.100000000000001</v>
      </c>
      <c r="L929" s="52">
        <v>45</v>
      </c>
      <c r="M929">
        <v>100</v>
      </c>
    </row>
    <row r="930" spans="1:14" hidden="1" x14ac:dyDescent="0.25">
      <c r="A930" t="s">
        <v>344</v>
      </c>
      <c r="B930" s="52" t="s">
        <v>267</v>
      </c>
      <c r="C930" s="52" t="s">
        <v>363</v>
      </c>
      <c r="D930" s="52" t="s">
        <v>368</v>
      </c>
      <c r="E930" s="52">
        <v>1</v>
      </c>
      <c r="F930">
        <v>12</v>
      </c>
      <c r="G930">
        <v>140</v>
      </c>
      <c r="H930">
        <v>17</v>
      </c>
      <c r="I930" s="52">
        <v>48.5</v>
      </c>
      <c r="J930" s="52">
        <v>11.2</v>
      </c>
      <c r="K930" s="52">
        <v>17.100000000000001</v>
      </c>
      <c r="L930" s="52">
        <v>45</v>
      </c>
      <c r="M930">
        <v>125</v>
      </c>
    </row>
    <row r="931" spans="1:14" hidden="1" x14ac:dyDescent="0.25">
      <c r="A931" t="s">
        <v>344</v>
      </c>
      <c r="B931" s="52" t="s">
        <v>267</v>
      </c>
      <c r="C931" s="52" t="s">
        <v>363</v>
      </c>
      <c r="D931" s="52" t="s">
        <v>368</v>
      </c>
      <c r="E931" s="52">
        <v>1</v>
      </c>
      <c r="F931">
        <v>12</v>
      </c>
      <c r="G931">
        <v>160</v>
      </c>
      <c r="H931">
        <v>17</v>
      </c>
      <c r="I931" s="52">
        <v>48.5</v>
      </c>
      <c r="J931" s="52">
        <v>11.2</v>
      </c>
      <c r="K931" s="52">
        <v>17.100000000000001</v>
      </c>
      <c r="L931" s="52">
        <v>45</v>
      </c>
      <c r="M931">
        <v>144</v>
      </c>
    </row>
    <row r="932" spans="1:14" hidden="1" x14ac:dyDescent="0.25">
      <c r="A932" t="s">
        <v>344</v>
      </c>
      <c r="B932" s="52" t="s">
        <v>267</v>
      </c>
      <c r="C932" s="52" t="s">
        <v>363</v>
      </c>
      <c r="D932" s="52" t="s">
        <v>368</v>
      </c>
      <c r="E932" s="52">
        <v>1</v>
      </c>
      <c r="F932">
        <v>12</v>
      </c>
      <c r="G932">
        <v>180</v>
      </c>
      <c r="H932">
        <v>17</v>
      </c>
      <c r="I932" s="52">
        <v>48.5</v>
      </c>
      <c r="J932" s="52">
        <v>11.2</v>
      </c>
      <c r="K932" s="52">
        <v>17.100000000000001</v>
      </c>
      <c r="L932" s="52">
        <v>45</v>
      </c>
      <c r="M932">
        <v>165</v>
      </c>
    </row>
    <row r="933" spans="1:14" hidden="1" x14ac:dyDescent="0.25">
      <c r="A933" t="s">
        <v>344</v>
      </c>
      <c r="B933" s="52" t="s">
        <v>267</v>
      </c>
      <c r="C933" s="52" t="s">
        <v>363</v>
      </c>
      <c r="D933" s="52" t="s">
        <v>368</v>
      </c>
      <c r="E933" s="52">
        <v>1</v>
      </c>
      <c r="F933">
        <v>12</v>
      </c>
      <c r="G933">
        <v>220</v>
      </c>
      <c r="H933">
        <v>17</v>
      </c>
      <c r="I933" s="52">
        <v>48.5</v>
      </c>
      <c r="J933" s="52">
        <v>11.2</v>
      </c>
      <c r="K933" s="52">
        <v>17.100000000000001</v>
      </c>
      <c r="L933" s="52">
        <v>45</v>
      </c>
      <c r="M933">
        <v>205</v>
      </c>
    </row>
    <row r="934" spans="1:14" hidden="1" x14ac:dyDescent="0.25">
      <c r="A934" t="s">
        <v>344</v>
      </c>
      <c r="B934" s="52" t="s">
        <v>267</v>
      </c>
      <c r="C934" s="52" t="s">
        <v>292</v>
      </c>
      <c r="D934" s="52" t="s">
        <v>369</v>
      </c>
      <c r="E934" s="52">
        <v>3</v>
      </c>
      <c r="F934">
        <v>6.5</v>
      </c>
      <c r="G934">
        <v>65</v>
      </c>
      <c r="H934">
        <v>8</v>
      </c>
      <c r="I934" s="52">
        <v>13</v>
      </c>
      <c r="J934" s="52">
        <v>15.7</v>
      </c>
      <c r="K934" s="52">
        <v>0</v>
      </c>
      <c r="L934" s="52">
        <v>14.8</v>
      </c>
      <c r="M934">
        <v>22</v>
      </c>
      <c r="N934">
        <v>22</v>
      </c>
    </row>
    <row r="935" spans="1:14" hidden="1" x14ac:dyDescent="0.25">
      <c r="A935" t="s">
        <v>344</v>
      </c>
      <c r="B935" s="52" t="s">
        <v>267</v>
      </c>
      <c r="C935" s="52" t="s">
        <v>292</v>
      </c>
      <c r="D935" s="52" t="s">
        <v>369</v>
      </c>
      <c r="E935" s="52">
        <v>3</v>
      </c>
      <c r="F935">
        <v>6.5</v>
      </c>
      <c r="G935">
        <v>90</v>
      </c>
      <c r="H935">
        <v>8</v>
      </c>
      <c r="I935" s="52">
        <v>13</v>
      </c>
      <c r="J935" s="52">
        <v>15.7</v>
      </c>
      <c r="K935" s="52">
        <v>0</v>
      </c>
      <c r="L935" s="52">
        <v>14.8</v>
      </c>
      <c r="M935">
        <v>38</v>
      </c>
      <c r="N935">
        <v>38</v>
      </c>
    </row>
    <row r="936" spans="1:14" hidden="1" x14ac:dyDescent="0.25">
      <c r="A936" t="s">
        <v>344</v>
      </c>
      <c r="B936" s="52" t="s">
        <v>267</v>
      </c>
      <c r="C936" s="52" t="s">
        <v>292</v>
      </c>
      <c r="D936" s="52" t="s">
        <v>369</v>
      </c>
      <c r="E936" s="52">
        <v>3</v>
      </c>
      <c r="F936">
        <v>6.5</v>
      </c>
      <c r="G936">
        <v>130</v>
      </c>
      <c r="H936">
        <v>8</v>
      </c>
      <c r="I936" s="52">
        <v>13</v>
      </c>
      <c r="J936" s="52">
        <v>15.7</v>
      </c>
      <c r="K936" s="52">
        <v>0</v>
      </c>
      <c r="L936" s="52">
        <v>14.8</v>
      </c>
      <c r="M936">
        <v>38</v>
      </c>
      <c r="N936">
        <v>38</v>
      </c>
    </row>
    <row r="937" spans="1:14" hidden="1" x14ac:dyDescent="0.25">
      <c r="A937" t="s">
        <v>344</v>
      </c>
      <c r="B937" s="52" t="s">
        <v>267</v>
      </c>
      <c r="C937" s="52" t="s">
        <v>292</v>
      </c>
      <c r="D937" s="52" t="s">
        <v>369</v>
      </c>
      <c r="E937" s="52">
        <v>3</v>
      </c>
      <c r="F937">
        <v>6.5</v>
      </c>
      <c r="G937">
        <v>160</v>
      </c>
      <c r="H937">
        <v>8</v>
      </c>
      <c r="I937" s="52">
        <v>13</v>
      </c>
      <c r="J937" s="52">
        <v>15.7</v>
      </c>
      <c r="K937" s="52">
        <v>0</v>
      </c>
      <c r="L937" s="52">
        <v>14.8</v>
      </c>
      <c r="M937">
        <v>60</v>
      </c>
      <c r="N937">
        <v>60</v>
      </c>
    </row>
    <row r="938" spans="1:14" hidden="1" x14ac:dyDescent="0.25">
      <c r="A938" t="s">
        <v>344</v>
      </c>
      <c r="B938" s="52" t="s">
        <v>267</v>
      </c>
      <c r="C938" s="52" t="s">
        <v>292</v>
      </c>
      <c r="D938" s="52" t="s">
        <v>369</v>
      </c>
      <c r="E938" s="52">
        <v>3</v>
      </c>
      <c r="F938">
        <v>6.5</v>
      </c>
      <c r="G938">
        <v>190</v>
      </c>
      <c r="H938">
        <v>8</v>
      </c>
      <c r="I938" s="52">
        <v>13</v>
      </c>
      <c r="J938" s="52">
        <v>15.7</v>
      </c>
      <c r="K938" s="52">
        <v>0</v>
      </c>
      <c r="L938" s="52">
        <v>14.8</v>
      </c>
      <c r="M938">
        <v>80</v>
      </c>
      <c r="N938">
        <v>80</v>
      </c>
    </row>
    <row r="939" spans="1:14" hidden="1" x14ac:dyDescent="0.25">
      <c r="A939" t="s">
        <v>344</v>
      </c>
      <c r="B939" s="52" t="s">
        <v>267</v>
      </c>
      <c r="C939" s="52" t="s">
        <v>292</v>
      </c>
      <c r="D939" s="52" t="s">
        <v>369</v>
      </c>
      <c r="E939" s="52">
        <v>3</v>
      </c>
      <c r="F939">
        <v>6.5</v>
      </c>
      <c r="G939">
        <v>220</v>
      </c>
      <c r="H939">
        <v>8</v>
      </c>
      <c r="I939" s="52">
        <v>13</v>
      </c>
      <c r="J939" s="52">
        <v>15.7</v>
      </c>
      <c r="K939" s="52">
        <v>0</v>
      </c>
      <c r="L939" s="52">
        <v>14.8</v>
      </c>
      <c r="M939">
        <v>95</v>
      </c>
      <c r="N939">
        <v>95</v>
      </c>
    </row>
    <row r="940" spans="1:14" hidden="1" x14ac:dyDescent="0.25">
      <c r="A940" t="s">
        <v>344</v>
      </c>
      <c r="B940" s="52" t="s">
        <v>267</v>
      </c>
      <c r="C940" s="52" t="s">
        <v>292</v>
      </c>
      <c r="D940" s="52" t="s">
        <v>369</v>
      </c>
      <c r="E940" s="52">
        <v>3</v>
      </c>
      <c r="F940">
        <v>8.1999999999999993</v>
      </c>
      <c r="G940">
        <v>90</v>
      </c>
      <c r="H940">
        <v>10</v>
      </c>
      <c r="I940" s="52">
        <v>24.5</v>
      </c>
      <c r="J940" s="52">
        <v>13.1</v>
      </c>
      <c r="K940" s="52">
        <v>0</v>
      </c>
      <c r="L940" s="52">
        <v>23.2</v>
      </c>
      <c r="M940">
        <v>38</v>
      </c>
      <c r="N940">
        <v>38</v>
      </c>
    </row>
    <row r="941" spans="1:14" hidden="1" x14ac:dyDescent="0.25">
      <c r="A941" t="s">
        <v>344</v>
      </c>
      <c r="B941" s="52" t="s">
        <v>267</v>
      </c>
      <c r="C941" s="52" t="s">
        <v>292</v>
      </c>
      <c r="D941" s="52" t="s">
        <v>369</v>
      </c>
      <c r="E941" s="52">
        <v>3</v>
      </c>
      <c r="F941">
        <v>8.1999999999999993</v>
      </c>
      <c r="G941">
        <v>130</v>
      </c>
      <c r="H941">
        <v>10</v>
      </c>
      <c r="I941" s="52">
        <v>24.5</v>
      </c>
      <c r="J941" s="52">
        <v>13.1</v>
      </c>
      <c r="K941" s="52">
        <v>0</v>
      </c>
      <c r="L941" s="52">
        <v>23.2</v>
      </c>
      <c r="M941">
        <v>38</v>
      </c>
      <c r="N941">
        <v>38</v>
      </c>
    </row>
    <row r="942" spans="1:14" hidden="1" x14ac:dyDescent="0.25">
      <c r="A942" t="s">
        <v>344</v>
      </c>
      <c r="B942" s="52" t="s">
        <v>267</v>
      </c>
      <c r="C942" s="52" t="s">
        <v>292</v>
      </c>
      <c r="D942" s="52" t="s">
        <v>369</v>
      </c>
      <c r="E942" s="52">
        <v>3</v>
      </c>
      <c r="F942">
        <v>8.1999999999999993</v>
      </c>
      <c r="G942">
        <v>160</v>
      </c>
      <c r="H942">
        <v>10</v>
      </c>
      <c r="I942" s="52">
        <v>24.5</v>
      </c>
      <c r="J942" s="52">
        <v>13.1</v>
      </c>
      <c r="K942" s="52">
        <v>0</v>
      </c>
      <c r="L942" s="52">
        <v>23.2</v>
      </c>
      <c r="M942">
        <v>60</v>
      </c>
      <c r="N942">
        <v>60</v>
      </c>
    </row>
    <row r="943" spans="1:14" hidden="1" x14ac:dyDescent="0.25">
      <c r="A943" t="s">
        <v>344</v>
      </c>
      <c r="B943" s="52" t="s">
        <v>267</v>
      </c>
      <c r="C943" s="52" t="s">
        <v>292</v>
      </c>
      <c r="D943" s="52" t="s">
        <v>369</v>
      </c>
      <c r="E943" s="52">
        <v>3</v>
      </c>
      <c r="F943">
        <v>8.1999999999999993</v>
      </c>
      <c r="G943">
        <v>190</v>
      </c>
      <c r="H943">
        <v>10</v>
      </c>
      <c r="I943" s="52">
        <v>24.5</v>
      </c>
      <c r="J943" s="52">
        <v>13.1</v>
      </c>
      <c r="K943" s="52">
        <v>0</v>
      </c>
      <c r="L943" s="52">
        <v>23.2</v>
      </c>
      <c r="M943">
        <v>80</v>
      </c>
      <c r="N943">
        <v>80</v>
      </c>
    </row>
    <row r="944" spans="1:14" hidden="1" x14ac:dyDescent="0.25">
      <c r="A944" t="s">
        <v>344</v>
      </c>
      <c r="B944" s="52" t="s">
        <v>267</v>
      </c>
      <c r="C944" s="52" t="s">
        <v>292</v>
      </c>
      <c r="D944" s="52" t="s">
        <v>369</v>
      </c>
      <c r="E944" s="52">
        <v>3</v>
      </c>
      <c r="F944">
        <v>8.1999999999999993</v>
      </c>
      <c r="G944">
        <v>220</v>
      </c>
      <c r="H944">
        <v>10</v>
      </c>
      <c r="I944" s="52">
        <v>24.5</v>
      </c>
      <c r="J944" s="52">
        <v>13.1</v>
      </c>
      <c r="K944" s="52">
        <v>0</v>
      </c>
      <c r="L944" s="52">
        <v>23.2</v>
      </c>
      <c r="M944">
        <v>95</v>
      </c>
      <c r="N944">
        <v>95</v>
      </c>
    </row>
    <row r="945" spans="1:14" hidden="1" x14ac:dyDescent="0.25">
      <c r="A945" t="s">
        <v>344</v>
      </c>
      <c r="B945" s="52" t="s">
        <v>267</v>
      </c>
      <c r="C945" s="52" t="s">
        <v>292</v>
      </c>
      <c r="D945" s="52" t="s">
        <v>369</v>
      </c>
      <c r="E945" s="52">
        <v>3</v>
      </c>
      <c r="F945">
        <v>8.1999999999999993</v>
      </c>
      <c r="G945">
        <v>245</v>
      </c>
      <c r="H945">
        <v>10</v>
      </c>
      <c r="I945" s="52">
        <v>24.5</v>
      </c>
      <c r="J945" s="52">
        <v>13.1</v>
      </c>
      <c r="K945" s="52">
        <v>0</v>
      </c>
      <c r="L945" s="52">
        <v>23.2</v>
      </c>
      <c r="M945">
        <v>107</v>
      </c>
      <c r="N945">
        <v>107</v>
      </c>
    </row>
    <row r="946" spans="1:14" hidden="1" x14ac:dyDescent="0.25">
      <c r="A946" t="s">
        <v>344</v>
      </c>
      <c r="B946" s="52" t="s">
        <v>267</v>
      </c>
      <c r="C946" s="52" t="s">
        <v>292</v>
      </c>
      <c r="D946" s="52" t="s">
        <v>369</v>
      </c>
      <c r="E946" s="52">
        <v>3</v>
      </c>
      <c r="F946">
        <v>8.1999999999999993</v>
      </c>
      <c r="G946">
        <v>275</v>
      </c>
      <c r="H946">
        <v>10</v>
      </c>
      <c r="I946" s="52">
        <v>24.5</v>
      </c>
      <c r="J946" s="52">
        <v>13.1</v>
      </c>
      <c r="K946" s="52">
        <v>0</v>
      </c>
      <c r="L946" s="52">
        <v>23.2</v>
      </c>
      <c r="M946">
        <v>107</v>
      </c>
      <c r="N946">
        <v>107</v>
      </c>
    </row>
    <row r="947" spans="1:14" hidden="1" x14ac:dyDescent="0.25">
      <c r="A947" t="s">
        <v>344</v>
      </c>
      <c r="B947" s="52" t="s">
        <v>267</v>
      </c>
      <c r="C947" s="52" t="s">
        <v>292</v>
      </c>
      <c r="D947" s="52" t="s">
        <v>369</v>
      </c>
      <c r="E947" s="52">
        <v>3</v>
      </c>
      <c r="F947">
        <v>8.1999999999999993</v>
      </c>
      <c r="G947">
        <v>300</v>
      </c>
      <c r="H947">
        <v>10</v>
      </c>
      <c r="I947" s="52">
        <v>24.5</v>
      </c>
      <c r="J947" s="52">
        <v>13.1</v>
      </c>
      <c r="K947" s="52">
        <v>0</v>
      </c>
      <c r="L947" s="52">
        <v>23.2</v>
      </c>
      <c r="M947">
        <v>135</v>
      </c>
      <c r="N947">
        <v>135</v>
      </c>
    </row>
    <row r="948" spans="1:14" hidden="1" x14ac:dyDescent="0.25">
      <c r="A948" t="s">
        <v>344</v>
      </c>
      <c r="B948" s="52" t="s">
        <v>267</v>
      </c>
      <c r="C948" s="52" t="s">
        <v>292</v>
      </c>
      <c r="D948" s="52" t="s">
        <v>369</v>
      </c>
      <c r="E948" s="52">
        <v>3</v>
      </c>
      <c r="F948">
        <v>8.1999999999999993</v>
      </c>
      <c r="G948">
        <v>330</v>
      </c>
      <c r="H948">
        <v>10</v>
      </c>
      <c r="I948" s="52">
        <v>24.5</v>
      </c>
      <c r="J948" s="52">
        <v>13.1</v>
      </c>
      <c r="K948" s="52">
        <v>0</v>
      </c>
      <c r="L948" s="52">
        <v>23.2</v>
      </c>
      <c r="M948">
        <v>135</v>
      </c>
      <c r="N948">
        <v>135</v>
      </c>
    </row>
    <row r="949" spans="1:14" hidden="1" x14ac:dyDescent="0.25">
      <c r="A949" t="s">
        <v>344</v>
      </c>
      <c r="B949" s="52" t="s">
        <v>267</v>
      </c>
      <c r="C949" s="52" t="s">
        <v>364</v>
      </c>
      <c r="D949" s="52" t="s">
        <v>371</v>
      </c>
      <c r="E949" s="52">
        <v>3</v>
      </c>
      <c r="F949">
        <v>6</v>
      </c>
      <c r="G949">
        <v>50</v>
      </c>
      <c r="H949">
        <v>12.5</v>
      </c>
      <c r="I949" s="52">
        <v>9.9</v>
      </c>
      <c r="J949" s="52">
        <v>9.1999999999999993</v>
      </c>
      <c r="K949" s="52">
        <v>14.9</v>
      </c>
      <c r="L949" s="52">
        <v>9.5</v>
      </c>
      <c r="M949">
        <v>40</v>
      </c>
    </row>
    <row r="950" spans="1:14" hidden="1" x14ac:dyDescent="0.25">
      <c r="A950" t="s">
        <v>344</v>
      </c>
      <c r="B950" s="52" t="s">
        <v>267</v>
      </c>
      <c r="C950" s="52" t="s">
        <v>364</v>
      </c>
      <c r="D950" s="52" t="s">
        <v>372</v>
      </c>
      <c r="E950" s="52">
        <v>3</v>
      </c>
      <c r="F950">
        <v>6</v>
      </c>
      <c r="G950">
        <v>70</v>
      </c>
      <c r="H950">
        <v>12.5</v>
      </c>
      <c r="I950" s="52">
        <v>9.9</v>
      </c>
      <c r="J950" s="52">
        <v>9.1999999999999993</v>
      </c>
      <c r="K950" s="52">
        <v>14.9</v>
      </c>
      <c r="L950" s="52">
        <v>9.5</v>
      </c>
      <c r="M950">
        <v>40</v>
      </c>
    </row>
    <row r="951" spans="1:14" hidden="1" x14ac:dyDescent="0.25">
      <c r="A951" t="s">
        <v>344</v>
      </c>
      <c r="B951" s="52" t="s">
        <v>267</v>
      </c>
      <c r="C951" s="52" t="s">
        <v>364</v>
      </c>
      <c r="D951" s="52" t="s">
        <v>373</v>
      </c>
      <c r="E951" s="52">
        <v>3</v>
      </c>
      <c r="F951">
        <v>6</v>
      </c>
      <c r="G951">
        <v>90</v>
      </c>
      <c r="H951">
        <v>12.5</v>
      </c>
      <c r="I951" s="52">
        <v>9.9</v>
      </c>
      <c r="J951" s="52">
        <v>9.1999999999999993</v>
      </c>
      <c r="K951" s="52">
        <v>14.9</v>
      </c>
      <c r="L951" s="52">
        <v>9.5</v>
      </c>
      <c r="M951">
        <v>50</v>
      </c>
    </row>
    <row r="952" spans="1:14" hidden="1" x14ac:dyDescent="0.25">
      <c r="A952" t="s">
        <v>344</v>
      </c>
      <c r="B952" s="52" t="s">
        <v>267</v>
      </c>
      <c r="C952" s="52" t="s">
        <v>364</v>
      </c>
      <c r="D952" s="52" t="s">
        <v>370</v>
      </c>
      <c r="E952" s="52">
        <v>3</v>
      </c>
      <c r="F952">
        <v>6</v>
      </c>
      <c r="G952">
        <v>120</v>
      </c>
      <c r="H952">
        <v>12.5</v>
      </c>
      <c r="I952" s="52">
        <v>9.9</v>
      </c>
      <c r="J952" s="52">
        <v>9.1999999999999993</v>
      </c>
      <c r="K952" s="52">
        <v>14.9</v>
      </c>
      <c r="L952" s="52">
        <v>9.5</v>
      </c>
      <c r="M952">
        <v>75</v>
      </c>
    </row>
    <row r="953" spans="1:14" hidden="1" x14ac:dyDescent="0.25">
      <c r="A953" t="s">
        <v>344</v>
      </c>
      <c r="B953" s="52" t="s">
        <v>267</v>
      </c>
      <c r="C953" s="52" t="s">
        <v>364</v>
      </c>
      <c r="D953" s="52" t="s">
        <v>370</v>
      </c>
      <c r="E953" s="52">
        <v>3</v>
      </c>
      <c r="F953">
        <v>6</v>
      </c>
      <c r="G953">
        <v>140</v>
      </c>
      <c r="H953">
        <v>12.5</v>
      </c>
      <c r="I953" s="52">
        <v>9.9</v>
      </c>
      <c r="J953" s="52">
        <v>9.1999999999999993</v>
      </c>
      <c r="K953" s="52">
        <v>14.9</v>
      </c>
      <c r="L953" s="52">
        <v>9.5</v>
      </c>
      <c r="M953">
        <v>75</v>
      </c>
    </row>
    <row r="954" spans="1:14" hidden="1" x14ac:dyDescent="0.25">
      <c r="A954" t="s">
        <v>344</v>
      </c>
      <c r="B954" s="52" t="s">
        <v>267</v>
      </c>
      <c r="C954" s="52" t="s">
        <v>364</v>
      </c>
      <c r="D954" s="52" t="s">
        <v>370</v>
      </c>
      <c r="E954" s="52">
        <v>3</v>
      </c>
      <c r="F954">
        <v>8</v>
      </c>
      <c r="G954">
        <v>70</v>
      </c>
      <c r="H954">
        <v>15</v>
      </c>
      <c r="I954" s="52">
        <v>21.7</v>
      </c>
      <c r="J954" s="52">
        <v>10.6</v>
      </c>
      <c r="K954" s="52">
        <v>10.8</v>
      </c>
      <c r="L954" s="52">
        <v>19</v>
      </c>
      <c r="M954">
        <v>50</v>
      </c>
    </row>
    <row r="955" spans="1:14" hidden="1" x14ac:dyDescent="0.25">
      <c r="A955" t="s">
        <v>344</v>
      </c>
      <c r="B955" s="52" t="s">
        <v>267</v>
      </c>
      <c r="C955" s="52" t="s">
        <v>364</v>
      </c>
      <c r="D955" s="52" t="s">
        <v>370</v>
      </c>
      <c r="E955" s="52">
        <v>3</v>
      </c>
      <c r="F955">
        <v>8</v>
      </c>
      <c r="G955">
        <v>90</v>
      </c>
      <c r="H955">
        <v>15</v>
      </c>
      <c r="I955" s="52">
        <v>21.7</v>
      </c>
      <c r="J955" s="52">
        <v>10.6</v>
      </c>
      <c r="K955" s="52">
        <v>10.8</v>
      </c>
      <c r="L955" s="52">
        <v>19</v>
      </c>
      <c r="M955">
        <v>50</v>
      </c>
    </row>
    <row r="956" spans="1:14" hidden="1" x14ac:dyDescent="0.25">
      <c r="A956" t="s">
        <v>344</v>
      </c>
      <c r="B956" s="52" t="s">
        <v>267</v>
      </c>
      <c r="C956" s="52" t="s">
        <v>364</v>
      </c>
      <c r="D956" s="52" t="s">
        <v>370</v>
      </c>
      <c r="E956" s="52">
        <v>3</v>
      </c>
      <c r="F956">
        <v>8</v>
      </c>
      <c r="G956">
        <v>120</v>
      </c>
      <c r="H956">
        <v>15</v>
      </c>
      <c r="I956" s="52">
        <v>21.7</v>
      </c>
      <c r="J956" s="52">
        <v>10.6</v>
      </c>
      <c r="K956" s="52">
        <v>10.8</v>
      </c>
      <c r="L956" s="52">
        <v>19</v>
      </c>
      <c r="M956">
        <v>50</v>
      </c>
    </row>
    <row r="957" spans="1:14" hidden="1" x14ac:dyDescent="0.25">
      <c r="A957" t="s">
        <v>344</v>
      </c>
      <c r="B957" s="52" t="s">
        <v>267</v>
      </c>
      <c r="C957" s="52" t="s">
        <v>364</v>
      </c>
      <c r="D957" s="52" t="s">
        <v>370</v>
      </c>
      <c r="E957" s="52">
        <v>3</v>
      </c>
      <c r="F957">
        <v>8</v>
      </c>
      <c r="G957">
        <v>160</v>
      </c>
      <c r="H957">
        <v>15</v>
      </c>
      <c r="I957" s="52">
        <v>21.7</v>
      </c>
      <c r="J957" s="52">
        <v>10.6</v>
      </c>
      <c r="K957" s="52">
        <v>10.8</v>
      </c>
      <c r="L957" s="52">
        <v>19</v>
      </c>
      <c r="M957">
        <v>50</v>
      </c>
    </row>
    <row r="958" spans="1:14" hidden="1" x14ac:dyDescent="0.25">
      <c r="A958" t="s">
        <v>344</v>
      </c>
      <c r="B958" s="52" t="s">
        <v>267</v>
      </c>
      <c r="C958" s="52" t="s">
        <v>364</v>
      </c>
      <c r="D958" s="52" t="s">
        <v>370</v>
      </c>
      <c r="E958" s="52">
        <v>3</v>
      </c>
      <c r="F958">
        <v>8</v>
      </c>
      <c r="G958">
        <v>200</v>
      </c>
      <c r="H958">
        <v>15</v>
      </c>
      <c r="I958" s="52">
        <v>21.7</v>
      </c>
      <c r="J958" s="52">
        <v>10.6</v>
      </c>
      <c r="K958" s="52">
        <v>10.8</v>
      </c>
      <c r="L958" s="52">
        <v>19</v>
      </c>
      <c r="M958">
        <v>50</v>
      </c>
    </row>
    <row r="959" spans="1:14" hidden="1" x14ac:dyDescent="0.25">
      <c r="A959" t="s">
        <v>344</v>
      </c>
      <c r="B959" s="52" t="s">
        <v>267</v>
      </c>
      <c r="C959" s="52" t="s">
        <v>364</v>
      </c>
      <c r="D959" s="52" t="s">
        <v>370</v>
      </c>
      <c r="E959" s="52">
        <v>3</v>
      </c>
      <c r="F959">
        <v>8</v>
      </c>
      <c r="G959">
        <v>240</v>
      </c>
      <c r="H959">
        <v>15</v>
      </c>
      <c r="I959" s="52">
        <v>21.7</v>
      </c>
      <c r="J959" s="52">
        <v>10.6</v>
      </c>
      <c r="K959" s="52">
        <v>10.8</v>
      </c>
      <c r="L959" s="52">
        <v>19</v>
      </c>
      <c r="M959">
        <v>50</v>
      </c>
    </row>
    <row r="960" spans="1:14" hidden="1" x14ac:dyDescent="0.25">
      <c r="A960" t="s">
        <v>344</v>
      </c>
      <c r="B960" s="52" t="s">
        <v>267</v>
      </c>
      <c r="C960" s="52" t="s">
        <v>364</v>
      </c>
      <c r="D960" s="52" t="s">
        <v>370</v>
      </c>
      <c r="E960" s="52">
        <v>3</v>
      </c>
      <c r="F960">
        <v>10</v>
      </c>
      <c r="G960">
        <v>80</v>
      </c>
      <c r="H960">
        <v>18</v>
      </c>
      <c r="I960" s="52">
        <v>33.5</v>
      </c>
      <c r="J960" s="52">
        <v>9.1</v>
      </c>
      <c r="K960" s="52">
        <v>13.7</v>
      </c>
      <c r="L960" s="52">
        <v>25</v>
      </c>
      <c r="M960">
        <v>60</v>
      </c>
    </row>
    <row r="961" spans="1:13" hidden="1" x14ac:dyDescent="0.25">
      <c r="A961" t="s">
        <v>344</v>
      </c>
      <c r="B961" s="52" t="s">
        <v>267</v>
      </c>
      <c r="C961" s="52" t="s">
        <v>364</v>
      </c>
      <c r="D961" s="52" t="s">
        <v>370</v>
      </c>
      <c r="E961" s="52">
        <v>3</v>
      </c>
      <c r="F961">
        <v>10</v>
      </c>
      <c r="G961">
        <v>100</v>
      </c>
      <c r="H961">
        <v>18</v>
      </c>
      <c r="I961" s="52">
        <v>33.5</v>
      </c>
      <c r="J961" s="52">
        <v>9.1</v>
      </c>
      <c r="K961" s="52">
        <v>13.7</v>
      </c>
      <c r="L961" s="52">
        <v>25</v>
      </c>
      <c r="M961">
        <v>60</v>
      </c>
    </row>
    <row r="962" spans="1:13" hidden="1" x14ac:dyDescent="0.25">
      <c r="A962" t="s">
        <v>344</v>
      </c>
      <c r="B962" s="52" t="s">
        <v>267</v>
      </c>
      <c r="C962" s="52" t="s">
        <v>364</v>
      </c>
      <c r="D962" s="52" t="s">
        <v>370</v>
      </c>
      <c r="E962" s="52">
        <v>3</v>
      </c>
      <c r="F962">
        <v>10</v>
      </c>
      <c r="G962">
        <v>120</v>
      </c>
      <c r="H962">
        <v>18</v>
      </c>
      <c r="I962" s="52">
        <v>33.5</v>
      </c>
      <c r="J962" s="52">
        <v>9.1</v>
      </c>
      <c r="K962" s="52">
        <v>13.7</v>
      </c>
      <c r="L962" s="52">
        <v>25</v>
      </c>
      <c r="M962">
        <v>60</v>
      </c>
    </row>
    <row r="963" spans="1:13" hidden="1" x14ac:dyDescent="0.25">
      <c r="A963" t="s">
        <v>344</v>
      </c>
      <c r="B963" s="52" t="s">
        <v>267</v>
      </c>
      <c r="C963" s="52" t="s">
        <v>364</v>
      </c>
      <c r="D963" s="52" t="s">
        <v>370</v>
      </c>
      <c r="E963" s="52">
        <v>3</v>
      </c>
      <c r="F963">
        <v>10</v>
      </c>
      <c r="G963">
        <v>160</v>
      </c>
      <c r="H963">
        <v>18</v>
      </c>
      <c r="I963" s="52">
        <v>33.5</v>
      </c>
      <c r="J963" s="52">
        <v>9.1</v>
      </c>
      <c r="K963" s="52">
        <v>13.7</v>
      </c>
      <c r="L963" s="52">
        <v>25</v>
      </c>
      <c r="M963">
        <v>60</v>
      </c>
    </row>
    <row r="964" spans="1:13" hidden="1" x14ac:dyDescent="0.25">
      <c r="A964" t="s">
        <v>344</v>
      </c>
      <c r="B964" s="52" t="s">
        <v>267</v>
      </c>
      <c r="C964" s="52" t="s">
        <v>364</v>
      </c>
      <c r="D964" s="52" t="s">
        <v>370</v>
      </c>
      <c r="E964" s="52">
        <v>3</v>
      </c>
      <c r="F964">
        <v>10</v>
      </c>
      <c r="G964">
        <v>200</v>
      </c>
      <c r="H964">
        <v>18</v>
      </c>
      <c r="I964" s="52">
        <v>33.5</v>
      </c>
      <c r="J964" s="52">
        <v>9.1</v>
      </c>
      <c r="K964" s="52">
        <v>13.7</v>
      </c>
      <c r="L964" s="52">
        <v>25</v>
      </c>
      <c r="M964">
        <v>60</v>
      </c>
    </row>
    <row r="965" spans="1:13" hidden="1" x14ac:dyDescent="0.25">
      <c r="A965" t="s">
        <v>344</v>
      </c>
      <c r="B965" s="52" t="s">
        <v>267</v>
      </c>
      <c r="C965" s="52" t="s">
        <v>364</v>
      </c>
      <c r="D965" s="52" t="s">
        <v>370</v>
      </c>
      <c r="E965" s="52">
        <v>3</v>
      </c>
      <c r="F965">
        <v>10</v>
      </c>
      <c r="G965">
        <v>240</v>
      </c>
      <c r="H965">
        <v>18</v>
      </c>
      <c r="I965" s="52">
        <v>33.5</v>
      </c>
      <c r="J965" s="52">
        <v>9.1</v>
      </c>
      <c r="K965" s="52">
        <v>13.7</v>
      </c>
      <c r="L965" s="52">
        <v>25</v>
      </c>
      <c r="M965">
        <v>60</v>
      </c>
    </row>
    <row r="966" spans="1:13" hidden="1" x14ac:dyDescent="0.25">
      <c r="A966" t="s">
        <v>344</v>
      </c>
      <c r="B966" s="52" t="s">
        <v>267</v>
      </c>
      <c r="C966" s="52" t="s">
        <v>289</v>
      </c>
      <c r="D966" s="52" t="s">
        <v>290</v>
      </c>
      <c r="E966" s="52">
        <v>3</v>
      </c>
      <c r="F966">
        <v>6.5</v>
      </c>
      <c r="G966">
        <v>45</v>
      </c>
      <c r="H966">
        <v>14</v>
      </c>
      <c r="I966" s="52">
        <v>12.6</v>
      </c>
      <c r="J966" s="52">
        <v>14.4</v>
      </c>
      <c r="K966" s="52">
        <v>25</v>
      </c>
      <c r="L966" s="52">
        <v>16.3</v>
      </c>
      <c r="M966">
        <v>24</v>
      </c>
    </row>
    <row r="967" spans="1:13" hidden="1" x14ac:dyDescent="0.25">
      <c r="A967" t="s">
        <v>344</v>
      </c>
      <c r="B967" s="52" t="s">
        <v>267</v>
      </c>
      <c r="C967" s="52" t="s">
        <v>289</v>
      </c>
      <c r="D967" s="52" t="s">
        <v>290</v>
      </c>
      <c r="E967" s="52">
        <v>3</v>
      </c>
      <c r="F967">
        <v>6.5</v>
      </c>
      <c r="G967">
        <v>75</v>
      </c>
      <c r="H967">
        <v>14</v>
      </c>
      <c r="I967" s="52">
        <v>12.6</v>
      </c>
      <c r="J967" s="52">
        <v>14.4</v>
      </c>
      <c r="K967" s="52">
        <v>25</v>
      </c>
      <c r="L967" s="52">
        <v>16.3</v>
      </c>
      <c r="M967">
        <v>45</v>
      </c>
    </row>
    <row r="968" spans="1:13" hidden="1" x14ac:dyDescent="0.25">
      <c r="A968" t="s">
        <v>344</v>
      </c>
      <c r="B968" s="52" t="s">
        <v>267</v>
      </c>
      <c r="C968" s="52" t="s">
        <v>289</v>
      </c>
      <c r="D968" s="52" t="s">
        <v>290</v>
      </c>
      <c r="E968" s="52">
        <v>3</v>
      </c>
      <c r="F968">
        <v>6.5</v>
      </c>
      <c r="G968">
        <v>90</v>
      </c>
      <c r="H968">
        <v>14</v>
      </c>
      <c r="I968" s="52">
        <v>12.6</v>
      </c>
      <c r="J968" s="52">
        <v>14.4</v>
      </c>
      <c r="K968" s="52">
        <v>25</v>
      </c>
      <c r="L968" s="52">
        <v>16.3</v>
      </c>
      <c r="M968">
        <v>60</v>
      </c>
    </row>
    <row r="969" spans="1:13" hidden="1" x14ac:dyDescent="0.25">
      <c r="A969" t="s">
        <v>344</v>
      </c>
      <c r="B969" s="52" t="s">
        <v>267</v>
      </c>
      <c r="C969" s="52" t="s">
        <v>289</v>
      </c>
      <c r="D969" s="52" t="s">
        <v>290</v>
      </c>
      <c r="E969" s="52">
        <v>3</v>
      </c>
      <c r="F969">
        <v>6.5</v>
      </c>
      <c r="G969">
        <v>110</v>
      </c>
      <c r="H969">
        <v>14</v>
      </c>
      <c r="I969" s="52">
        <v>12.6</v>
      </c>
      <c r="J969" s="52">
        <v>14.4</v>
      </c>
      <c r="K969" s="52">
        <v>25</v>
      </c>
      <c r="L969" s="52">
        <v>16.3</v>
      </c>
      <c r="M969">
        <v>60</v>
      </c>
    </row>
    <row r="970" spans="1:13" hidden="1" x14ac:dyDescent="0.25">
      <c r="A970" t="s">
        <v>344</v>
      </c>
      <c r="B970" s="52" t="s">
        <v>267</v>
      </c>
      <c r="C970" s="52" t="s">
        <v>289</v>
      </c>
      <c r="D970" s="52" t="s">
        <v>290</v>
      </c>
      <c r="E970" s="52">
        <v>3</v>
      </c>
      <c r="F970">
        <v>6.5</v>
      </c>
      <c r="G970">
        <v>120</v>
      </c>
      <c r="H970">
        <v>14</v>
      </c>
      <c r="I970" s="52">
        <v>12.6</v>
      </c>
      <c r="J970" s="52">
        <v>14.4</v>
      </c>
      <c r="K970" s="52">
        <v>25</v>
      </c>
      <c r="L970" s="52">
        <v>16.3</v>
      </c>
      <c r="M970">
        <v>60</v>
      </c>
    </row>
    <row r="971" spans="1:13" hidden="1" x14ac:dyDescent="0.25">
      <c r="A971" t="s">
        <v>344</v>
      </c>
      <c r="B971" s="52" t="s">
        <v>267</v>
      </c>
      <c r="C971" s="52" t="s">
        <v>289</v>
      </c>
      <c r="D971" s="52" t="s">
        <v>290</v>
      </c>
      <c r="E971" s="52">
        <v>3</v>
      </c>
      <c r="F971">
        <v>6.5</v>
      </c>
      <c r="G971">
        <v>140</v>
      </c>
      <c r="H971">
        <v>14</v>
      </c>
      <c r="I971" s="52">
        <v>12.6</v>
      </c>
      <c r="J971" s="52">
        <v>14.4</v>
      </c>
      <c r="K971" s="52">
        <v>25</v>
      </c>
      <c r="L971" s="52">
        <v>16.3</v>
      </c>
      <c r="M971">
        <v>60</v>
      </c>
    </row>
    <row r="972" spans="1:13" hidden="1" x14ac:dyDescent="0.25">
      <c r="A972" t="s">
        <v>344</v>
      </c>
      <c r="B972" s="52" t="s">
        <v>267</v>
      </c>
      <c r="C972" s="52" t="s">
        <v>289</v>
      </c>
      <c r="D972" s="52" t="s">
        <v>290</v>
      </c>
      <c r="E972" s="52">
        <v>3</v>
      </c>
      <c r="F972">
        <v>8</v>
      </c>
      <c r="G972">
        <v>45</v>
      </c>
      <c r="H972">
        <v>18</v>
      </c>
      <c r="I972" s="52">
        <v>14.1</v>
      </c>
      <c r="J972" s="52">
        <v>10.7</v>
      </c>
      <c r="K972" s="52">
        <v>25.2</v>
      </c>
      <c r="L972" s="52">
        <v>21.1</v>
      </c>
      <c r="M972">
        <v>24</v>
      </c>
    </row>
    <row r="973" spans="1:13" hidden="1" x14ac:dyDescent="0.25">
      <c r="A973" t="s">
        <v>344</v>
      </c>
      <c r="B973" s="52" t="s">
        <v>267</v>
      </c>
      <c r="C973" s="52" t="s">
        <v>289</v>
      </c>
      <c r="D973" s="52" t="s">
        <v>290</v>
      </c>
      <c r="E973" s="52">
        <v>3</v>
      </c>
      <c r="F973">
        <v>8</v>
      </c>
      <c r="G973">
        <v>55</v>
      </c>
      <c r="H973">
        <v>18</v>
      </c>
      <c r="I973" s="52">
        <v>14.1</v>
      </c>
      <c r="J973" s="52">
        <v>10.7</v>
      </c>
      <c r="K973" s="52">
        <v>25.2</v>
      </c>
      <c r="L973" s="52">
        <v>21.1</v>
      </c>
      <c r="M973">
        <v>30</v>
      </c>
    </row>
    <row r="974" spans="1:13" hidden="1" x14ac:dyDescent="0.25">
      <c r="A974" t="s">
        <v>344</v>
      </c>
      <c r="B974" s="52" t="s">
        <v>267</v>
      </c>
      <c r="C974" s="52" t="s">
        <v>289</v>
      </c>
      <c r="D974" s="52" t="s">
        <v>290</v>
      </c>
      <c r="E974" s="52">
        <v>3</v>
      </c>
      <c r="F974">
        <v>8</v>
      </c>
      <c r="G974">
        <v>100</v>
      </c>
      <c r="H974">
        <v>18</v>
      </c>
      <c r="I974" s="52">
        <v>14.1</v>
      </c>
      <c r="J974" s="52">
        <v>10.7</v>
      </c>
      <c r="K974" s="52">
        <v>25.2</v>
      </c>
      <c r="L974" s="52">
        <v>21.1</v>
      </c>
      <c r="M974">
        <v>60</v>
      </c>
    </row>
    <row r="975" spans="1:13" hidden="1" x14ac:dyDescent="0.25">
      <c r="A975" t="s">
        <v>344</v>
      </c>
      <c r="B975" s="52" t="s">
        <v>267</v>
      </c>
      <c r="C975" s="52" t="s">
        <v>289</v>
      </c>
      <c r="D975" s="52" t="s">
        <v>290</v>
      </c>
      <c r="E975" s="52">
        <v>3</v>
      </c>
      <c r="F975">
        <v>8</v>
      </c>
      <c r="G975">
        <v>130</v>
      </c>
      <c r="H975">
        <v>18</v>
      </c>
      <c r="I975" s="52">
        <v>14.1</v>
      </c>
      <c r="J975" s="52">
        <v>10.7</v>
      </c>
      <c r="K975" s="52">
        <v>25.2</v>
      </c>
      <c r="L975" s="52">
        <v>21.1</v>
      </c>
      <c r="M975">
        <v>60</v>
      </c>
    </row>
    <row r="976" spans="1:13" hidden="1" x14ac:dyDescent="0.25">
      <c r="A976" t="s">
        <v>344</v>
      </c>
      <c r="B976" s="52" t="s">
        <v>267</v>
      </c>
      <c r="C976" s="52" t="s">
        <v>289</v>
      </c>
      <c r="D976" s="52" t="s">
        <v>290</v>
      </c>
      <c r="E976" s="52">
        <v>3</v>
      </c>
      <c r="F976">
        <v>10</v>
      </c>
      <c r="G976">
        <v>90</v>
      </c>
      <c r="H976">
        <v>22</v>
      </c>
      <c r="I976" s="52">
        <v>27.3</v>
      </c>
      <c r="J976" s="52">
        <v>8.5</v>
      </c>
      <c r="K976" s="52">
        <v>22</v>
      </c>
      <c r="L976" s="52">
        <v>30.5</v>
      </c>
      <c r="M976">
        <v>55</v>
      </c>
    </row>
    <row r="977" spans="1:13" hidden="1" x14ac:dyDescent="0.25">
      <c r="A977" t="s">
        <v>344</v>
      </c>
      <c r="B977" s="52" t="s">
        <v>267</v>
      </c>
      <c r="C977" s="52" t="s">
        <v>289</v>
      </c>
      <c r="D977" s="52" t="s">
        <v>290</v>
      </c>
      <c r="E977" s="52">
        <v>3</v>
      </c>
      <c r="F977">
        <v>10</v>
      </c>
      <c r="G977">
        <v>120</v>
      </c>
      <c r="H977">
        <v>22</v>
      </c>
      <c r="I977" s="52">
        <v>27.3</v>
      </c>
      <c r="J977" s="52">
        <v>8.5</v>
      </c>
      <c r="K977" s="52">
        <v>22</v>
      </c>
      <c r="L977" s="52">
        <v>30.5</v>
      </c>
      <c r="M977">
        <v>60</v>
      </c>
    </row>
    <row r="978" spans="1:13" hidden="1" x14ac:dyDescent="0.25">
      <c r="A978" t="s">
        <v>344</v>
      </c>
      <c r="B978" s="52" t="s">
        <v>267</v>
      </c>
      <c r="C978" s="52" t="s">
        <v>289</v>
      </c>
      <c r="D978" s="52" t="s">
        <v>290</v>
      </c>
      <c r="E978" s="52">
        <v>3</v>
      </c>
      <c r="F978">
        <v>10</v>
      </c>
      <c r="G978">
        <v>150</v>
      </c>
      <c r="H978">
        <v>22</v>
      </c>
      <c r="I978" s="52">
        <v>27.3</v>
      </c>
      <c r="J978" s="52">
        <v>8.5</v>
      </c>
      <c r="K978" s="52">
        <v>22</v>
      </c>
      <c r="L978" s="52">
        <v>30.5</v>
      </c>
      <c r="M978">
        <v>60</v>
      </c>
    </row>
    <row r="979" spans="1:13" hidden="1" x14ac:dyDescent="0.25">
      <c r="A979" t="s">
        <v>344</v>
      </c>
      <c r="B979" s="52" t="s">
        <v>267</v>
      </c>
      <c r="C979" s="52" t="s">
        <v>274</v>
      </c>
      <c r="D979" s="52" t="s">
        <v>268</v>
      </c>
      <c r="E979" s="52">
        <v>3</v>
      </c>
      <c r="F979">
        <v>5</v>
      </c>
      <c r="G979">
        <v>50</v>
      </c>
      <c r="H979">
        <v>10</v>
      </c>
      <c r="I979" s="52">
        <v>2.6</v>
      </c>
      <c r="J979" s="52">
        <v>14.7</v>
      </c>
      <c r="K979" s="52">
        <v>21.6</v>
      </c>
      <c r="L979" s="52">
        <v>3.9</v>
      </c>
      <c r="M979">
        <v>30</v>
      </c>
    </row>
    <row r="980" spans="1:13" hidden="1" x14ac:dyDescent="0.25">
      <c r="A980" t="s">
        <v>344</v>
      </c>
      <c r="B980" s="52" t="s">
        <v>267</v>
      </c>
      <c r="C980" s="52" t="s">
        <v>274</v>
      </c>
      <c r="D980" s="52" t="s">
        <v>268</v>
      </c>
      <c r="E980" s="52">
        <v>3</v>
      </c>
      <c r="F980">
        <v>5</v>
      </c>
      <c r="G980">
        <v>60</v>
      </c>
      <c r="H980">
        <v>10</v>
      </c>
      <c r="I980" s="52">
        <v>2.6</v>
      </c>
      <c r="J980" s="52">
        <v>14.7</v>
      </c>
      <c r="K980" s="52">
        <v>21.6</v>
      </c>
      <c r="L980" s="52">
        <v>3.9</v>
      </c>
      <c r="M980">
        <v>36</v>
      </c>
    </row>
    <row r="981" spans="1:13" hidden="1" x14ac:dyDescent="0.25">
      <c r="A981" t="s">
        <v>344</v>
      </c>
      <c r="B981" s="52" t="s">
        <v>267</v>
      </c>
      <c r="C981" s="52" t="s">
        <v>274</v>
      </c>
      <c r="D981" s="52" t="s">
        <v>268</v>
      </c>
      <c r="E981" s="52">
        <v>3</v>
      </c>
      <c r="F981">
        <v>5</v>
      </c>
      <c r="G981">
        <v>70</v>
      </c>
      <c r="H981">
        <v>10</v>
      </c>
      <c r="I981" s="52">
        <v>2.6</v>
      </c>
      <c r="J981" s="52">
        <v>14.7</v>
      </c>
      <c r="K981" s="52">
        <v>21.6</v>
      </c>
      <c r="L981" s="52">
        <v>3.9</v>
      </c>
      <c r="M981">
        <v>42</v>
      </c>
    </row>
    <row r="982" spans="1:13" hidden="1" x14ac:dyDescent="0.25">
      <c r="A982" t="s">
        <v>344</v>
      </c>
      <c r="B982" s="52" t="s">
        <v>267</v>
      </c>
      <c r="C982" s="52" t="s">
        <v>274</v>
      </c>
      <c r="D982" s="52" t="s">
        <v>268</v>
      </c>
      <c r="E982" s="52">
        <v>3</v>
      </c>
      <c r="F982">
        <v>5</v>
      </c>
      <c r="G982">
        <v>80</v>
      </c>
      <c r="H982">
        <v>10</v>
      </c>
      <c r="I982" s="52">
        <v>2.6</v>
      </c>
      <c r="J982" s="52">
        <v>14.7</v>
      </c>
      <c r="K982" s="52">
        <v>21.6</v>
      </c>
      <c r="L982" s="52">
        <v>3.9</v>
      </c>
      <c r="M982">
        <v>50</v>
      </c>
    </row>
    <row r="983" spans="1:13" hidden="1" x14ac:dyDescent="0.25">
      <c r="A983" t="s">
        <v>344</v>
      </c>
      <c r="B983" s="52" t="s">
        <v>267</v>
      </c>
      <c r="C983" s="52" t="s">
        <v>274</v>
      </c>
      <c r="D983" s="52" t="s">
        <v>268</v>
      </c>
      <c r="E983" s="52">
        <v>3</v>
      </c>
      <c r="F983">
        <v>5</v>
      </c>
      <c r="G983">
        <v>90</v>
      </c>
      <c r="H983">
        <v>10</v>
      </c>
      <c r="I983" s="52">
        <v>2.6</v>
      </c>
      <c r="J983" s="52">
        <v>14.7</v>
      </c>
      <c r="K983" s="52">
        <v>21.6</v>
      </c>
      <c r="L983" s="52">
        <v>3.9</v>
      </c>
      <c r="M983">
        <v>42</v>
      </c>
    </row>
    <row r="984" spans="1:13" hidden="1" x14ac:dyDescent="0.25">
      <c r="A984" t="s">
        <v>344</v>
      </c>
      <c r="B984" s="52" t="s">
        <v>267</v>
      </c>
      <c r="C984" s="52" t="s">
        <v>274</v>
      </c>
      <c r="D984" s="52" t="s">
        <v>268</v>
      </c>
      <c r="E984" s="52">
        <v>3</v>
      </c>
      <c r="F984">
        <v>6</v>
      </c>
      <c r="G984">
        <v>60</v>
      </c>
      <c r="H984">
        <v>12</v>
      </c>
      <c r="I984" s="52">
        <v>3.6</v>
      </c>
      <c r="J984" s="52">
        <v>14.1</v>
      </c>
      <c r="K984" s="52">
        <v>20.7</v>
      </c>
      <c r="L984" s="52">
        <v>5.2</v>
      </c>
      <c r="M984">
        <v>36</v>
      </c>
    </row>
    <row r="985" spans="1:13" hidden="1" x14ac:dyDescent="0.25">
      <c r="A985" t="s">
        <v>344</v>
      </c>
      <c r="B985" s="52" t="s">
        <v>267</v>
      </c>
      <c r="C985" s="52" t="s">
        <v>274</v>
      </c>
      <c r="D985" s="52" t="s">
        <v>268</v>
      </c>
      <c r="E985" s="52">
        <v>3</v>
      </c>
      <c r="F985">
        <v>6</v>
      </c>
      <c r="G985">
        <v>70</v>
      </c>
      <c r="H985">
        <v>12</v>
      </c>
      <c r="I985" s="52">
        <v>3.6</v>
      </c>
      <c r="J985" s="52">
        <v>14.1</v>
      </c>
      <c r="K985" s="52">
        <v>20.7</v>
      </c>
      <c r="L985" s="52">
        <v>5.2</v>
      </c>
      <c r="M985">
        <v>42</v>
      </c>
    </row>
    <row r="986" spans="1:13" hidden="1" x14ac:dyDescent="0.25">
      <c r="A986" t="s">
        <v>344</v>
      </c>
      <c r="B986" s="52" t="s">
        <v>267</v>
      </c>
      <c r="C986" s="52" t="s">
        <v>274</v>
      </c>
      <c r="D986" s="52" t="s">
        <v>268</v>
      </c>
      <c r="E986" s="52">
        <v>3</v>
      </c>
      <c r="F986">
        <v>6</v>
      </c>
      <c r="G986">
        <v>80</v>
      </c>
      <c r="H986">
        <v>12</v>
      </c>
      <c r="I986" s="52">
        <v>3.6</v>
      </c>
      <c r="J986" s="52">
        <v>14.1</v>
      </c>
      <c r="K986" s="52">
        <v>20.7</v>
      </c>
      <c r="L986" s="52">
        <v>5.2</v>
      </c>
      <c r="M986">
        <v>42</v>
      </c>
    </row>
    <row r="987" spans="1:13" hidden="1" x14ac:dyDescent="0.25">
      <c r="A987" t="s">
        <v>344</v>
      </c>
      <c r="B987" s="52" t="s">
        <v>267</v>
      </c>
      <c r="C987" s="52" t="s">
        <v>274</v>
      </c>
      <c r="D987" s="52" t="s">
        <v>268</v>
      </c>
      <c r="E987" s="52">
        <v>3</v>
      </c>
      <c r="F987">
        <v>6</v>
      </c>
      <c r="G987">
        <v>90</v>
      </c>
      <c r="H987">
        <v>12</v>
      </c>
      <c r="I987" s="52">
        <v>3.6</v>
      </c>
      <c r="J987" s="52">
        <v>14.1</v>
      </c>
      <c r="K987" s="52">
        <v>20.7</v>
      </c>
      <c r="L987" s="52">
        <v>5.2</v>
      </c>
      <c r="M987">
        <v>42</v>
      </c>
    </row>
    <row r="988" spans="1:13" hidden="1" x14ac:dyDescent="0.25">
      <c r="A988" t="s">
        <v>344</v>
      </c>
      <c r="B988" s="52" t="s">
        <v>267</v>
      </c>
      <c r="C988" s="52" t="s">
        <v>274</v>
      </c>
      <c r="D988" s="52" t="s">
        <v>268</v>
      </c>
      <c r="E988" s="52">
        <v>3</v>
      </c>
      <c r="F988">
        <v>6</v>
      </c>
      <c r="G988">
        <v>100</v>
      </c>
      <c r="H988">
        <v>12</v>
      </c>
      <c r="I988" s="52">
        <v>3.6</v>
      </c>
      <c r="J988" s="52">
        <v>14.1</v>
      </c>
      <c r="K988" s="52">
        <v>20.7</v>
      </c>
      <c r="L988" s="52">
        <v>5.2</v>
      </c>
      <c r="M988">
        <v>52</v>
      </c>
    </row>
    <row r="989" spans="1:13" hidden="1" x14ac:dyDescent="0.25">
      <c r="A989" t="s">
        <v>344</v>
      </c>
      <c r="B989" s="52" t="s">
        <v>267</v>
      </c>
      <c r="C989" s="52" t="s">
        <v>274</v>
      </c>
      <c r="D989" s="52" t="s">
        <v>268</v>
      </c>
      <c r="E989" s="52">
        <v>3</v>
      </c>
      <c r="F989">
        <v>6</v>
      </c>
      <c r="G989">
        <v>120</v>
      </c>
      <c r="H989">
        <v>12</v>
      </c>
      <c r="I989" s="52">
        <v>3.6</v>
      </c>
      <c r="J989" s="52">
        <v>14.1</v>
      </c>
      <c r="K989" s="52">
        <v>20.7</v>
      </c>
      <c r="L989" s="52">
        <v>5.2</v>
      </c>
      <c r="M989">
        <v>72</v>
      </c>
    </row>
    <row r="990" spans="1:13" hidden="1" x14ac:dyDescent="0.25">
      <c r="A990" t="s">
        <v>344</v>
      </c>
      <c r="B990" s="52" t="s">
        <v>267</v>
      </c>
      <c r="C990" s="52" t="s">
        <v>274</v>
      </c>
      <c r="D990" s="52" t="s">
        <v>268</v>
      </c>
      <c r="E990" s="52">
        <v>3</v>
      </c>
      <c r="F990">
        <v>6</v>
      </c>
      <c r="G990">
        <v>140</v>
      </c>
      <c r="H990">
        <v>12</v>
      </c>
      <c r="I990" s="52">
        <v>3.6</v>
      </c>
      <c r="J990" s="52">
        <v>14.1</v>
      </c>
      <c r="K990" s="52">
        <v>20.7</v>
      </c>
      <c r="L990" s="52">
        <v>5.2</v>
      </c>
      <c r="M990">
        <v>72</v>
      </c>
    </row>
    <row r="991" spans="1:13" hidden="1" x14ac:dyDescent="0.25">
      <c r="A991" t="s">
        <v>344</v>
      </c>
      <c r="B991" s="52" t="s">
        <v>267</v>
      </c>
      <c r="C991" s="52" t="s">
        <v>273</v>
      </c>
      <c r="D991" s="52" t="s">
        <v>269</v>
      </c>
      <c r="E991" s="52">
        <v>3</v>
      </c>
      <c r="F991">
        <v>4</v>
      </c>
      <c r="G991">
        <v>20</v>
      </c>
      <c r="H991">
        <v>8</v>
      </c>
      <c r="I991" s="52">
        <v>2</v>
      </c>
      <c r="J991" s="52">
        <v>16.600000000000001</v>
      </c>
      <c r="K991" s="52">
        <v>30.1</v>
      </c>
      <c r="L991" s="52">
        <v>3.2</v>
      </c>
      <c r="M991">
        <v>16</v>
      </c>
    </row>
    <row r="992" spans="1:13" hidden="1" x14ac:dyDescent="0.25">
      <c r="A992" t="s">
        <v>344</v>
      </c>
      <c r="B992" s="52" t="s">
        <v>267</v>
      </c>
      <c r="C992" s="52" t="s">
        <v>273</v>
      </c>
      <c r="D992" s="52" t="s">
        <v>269</v>
      </c>
      <c r="E992" s="52">
        <v>3</v>
      </c>
      <c r="F992">
        <v>4</v>
      </c>
      <c r="G992">
        <v>30</v>
      </c>
      <c r="H992">
        <v>8</v>
      </c>
      <c r="I992" s="52">
        <v>2</v>
      </c>
      <c r="J992" s="52">
        <v>16.600000000000001</v>
      </c>
      <c r="K992" s="52">
        <v>30.1</v>
      </c>
      <c r="L992" s="52">
        <v>3.2</v>
      </c>
      <c r="M992">
        <v>18</v>
      </c>
    </row>
    <row r="993" spans="1:13" hidden="1" x14ac:dyDescent="0.25">
      <c r="A993" t="s">
        <v>344</v>
      </c>
      <c r="B993" s="52" t="s">
        <v>267</v>
      </c>
      <c r="C993" s="52" t="s">
        <v>273</v>
      </c>
      <c r="D993" s="52" t="s">
        <v>269</v>
      </c>
      <c r="E993" s="52">
        <v>3</v>
      </c>
      <c r="F993">
        <v>4</v>
      </c>
      <c r="G993">
        <v>40</v>
      </c>
      <c r="H993">
        <v>8</v>
      </c>
      <c r="I993" s="52">
        <v>2</v>
      </c>
      <c r="J993" s="52">
        <v>16.600000000000001</v>
      </c>
      <c r="K993" s="52">
        <v>30.1</v>
      </c>
      <c r="L993" s="52">
        <v>3.2</v>
      </c>
      <c r="M993">
        <v>24</v>
      </c>
    </row>
    <row r="994" spans="1:13" hidden="1" x14ac:dyDescent="0.25">
      <c r="A994" t="s">
        <v>344</v>
      </c>
      <c r="B994" s="52" t="s">
        <v>267</v>
      </c>
      <c r="C994" s="52" t="s">
        <v>273</v>
      </c>
      <c r="D994" s="52" t="s">
        <v>269</v>
      </c>
      <c r="E994" s="52">
        <v>3</v>
      </c>
      <c r="F994">
        <v>4</v>
      </c>
      <c r="G994">
        <v>50</v>
      </c>
      <c r="H994">
        <v>8</v>
      </c>
      <c r="I994" s="52">
        <v>2</v>
      </c>
      <c r="J994" s="52">
        <v>16.600000000000001</v>
      </c>
      <c r="K994" s="52">
        <v>30.1</v>
      </c>
      <c r="L994" s="52">
        <v>3.2</v>
      </c>
      <c r="M994">
        <v>30</v>
      </c>
    </row>
    <row r="995" spans="1:13" hidden="1" x14ac:dyDescent="0.25">
      <c r="A995" t="s">
        <v>344</v>
      </c>
      <c r="B995" s="52" t="s">
        <v>267</v>
      </c>
      <c r="C995" s="52" t="s">
        <v>273</v>
      </c>
      <c r="D995" s="52" t="s">
        <v>269</v>
      </c>
      <c r="E995" s="52">
        <v>3</v>
      </c>
      <c r="F995">
        <v>4.5</v>
      </c>
      <c r="G995">
        <v>30</v>
      </c>
      <c r="H995">
        <v>9</v>
      </c>
      <c r="I995" s="52">
        <v>2.7</v>
      </c>
      <c r="J995" s="52">
        <v>16.5</v>
      </c>
      <c r="K995" s="52">
        <v>29.2</v>
      </c>
      <c r="L995" s="52">
        <v>3.9</v>
      </c>
      <c r="M995">
        <v>18</v>
      </c>
    </row>
    <row r="996" spans="1:13" hidden="1" x14ac:dyDescent="0.25">
      <c r="A996" t="s">
        <v>344</v>
      </c>
      <c r="B996" s="52" t="s">
        <v>267</v>
      </c>
      <c r="C996" s="52" t="s">
        <v>273</v>
      </c>
      <c r="D996" s="52" t="s">
        <v>269</v>
      </c>
      <c r="E996" s="52">
        <v>3</v>
      </c>
      <c r="F996">
        <v>4.5</v>
      </c>
      <c r="G996">
        <v>40</v>
      </c>
      <c r="H996">
        <v>9</v>
      </c>
      <c r="I996" s="52">
        <v>2.7</v>
      </c>
      <c r="J996" s="52">
        <v>16.5</v>
      </c>
      <c r="K996" s="52">
        <v>29.2</v>
      </c>
      <c r="L996" s="52">
        <v>3.9</v>
      </c>
      <c r="M996">
        <v>24</v>
      </c>
    </row>
    <row r="997" spans="1:13" hidden="1" x14ac:dyDescent="0.25">
      <c r="A997" t="s">
        <v>344</v>
      </c>
      <c r="B997" s="52" t="s">
        <v>267</v>
      </c>
      <c r="C997" s="52" t="s">
        <v>273</v>
      </c>
      <c r="D997" s="52" t="s">
        <v>269</v>
      </c>
      <c r="E997" s="52">
        <v>3</v>
      </c>
      <c r="F997">
        <v>4.5</v>
      </c>
      <c r="G997">
        <v>50</v>
      </c>
      <c r="H997">
        <v>9</v>
      </c>
      <c r="I997" s="52">
        <v>2.7</v>
      </c>
      <c r="J997" s="52">
        <v>16.5</v>
      </c>
      <c r="K997" s="52">
        <v>29.2</v>
      </c>
      <c r="L997" s="52">
        <v>3.9</v>
      </c>
      <c r="M997">
        <v>30</v>
      </c>
    </row>
    <row r="998" spans="1:13" hidden="1" x14ac:dyDescent="0.25">
      <c r="A998" t="s">
        <v>344</v>
      </c>
      <c r="B998" s="52" t="s">
        <v>267</v>
      </c>
      <c r="C998" s="52" t="s">
        <v>273</v>
      </c>
      <c r="D998" s="52" t="s">
        <v>269</v>
      </c>
      <c r="E998" s="52">
        <v>3</v>
      </c>
      <c r="F998">
        <v>5</v>
      </c>
      <c r="G998">
        <v>40</v>
      </c>
      <c r="H998">
        <v>10</v>
      </c>
      <c r="I998" s="52">
        <v>3.3</v>
      </c>
      <c r="J998" s="52">
        <v>15.6</v>
      </c>
      <c r="K998" s="52">
        <v>28.2</v>
      </c>
      <c r="L998" s="52">
        <v>5</v>
      </c>
      <c r="M998">
        <v>24</v>
      </c>
    </row>
    <row r="999" spans="1:13" hidden="1" x14ac:dyDescent="0.25">
      <c r="A999" t="s">
        <v>344</v>
      </c>
      <c r="B999" s="52" t="s">
        <v>267</v>
      </c>
      <c r="C999" s="52" t="s">
        <v>273</v>
      </c>
      <c r="D999" s="52" t="s">
        <v>269</v>
      </c>
      <c r="E999" s="52">
        <v>3</v>
      </c>
      <c r="F999">
        <v>5</v>
      </c>
      <c r="G999">
        <v>50</v>
      </c>
      <c r="H999">
        <v>10</v>
      </c>
      <c r="I999" s="52">
        <v>3.3</v>
      </c>
      <c r="J999" s="52">
        <v>15.6</v>
      </c>
      <c r="K999" s="52">
        <v>28.2</v>
      </c>
      <c r="L999" s="52">
        <v>5</v>
      </c>
      <c r="M999">
        <v>30</v>
      </c>
    </row>
    <row r="1000" spans="1:13" hidden="1" x14ac:dyDescent="0.25">
      <c r="A1000" t="s">
        <v>344</v>
      </c>
      <c r="B1000" s="52" t="s">
        <v>267</v>
      </c>
      <c r="C1000" s="52" t="s">
        <v>273</v>
      </c>
      <c r="D1000" s="52" t="s">
        <v>269</v>
      </c>
      <c r="E1000" s="52">
        <v>3</v>
      </c>
      <c r="F1000">
        <v>5</v>
      </c>
      <c r="G1000">
        <v>60</v>
      </c>
      <c r="H1000">
        <v>10</v>
      </c>
      <c r="I1000" s="52">
        <v>3.3</v>
      </c>
      <c r="J1000" s="52">
        <v>15.6</v>
      </c>
      <c r="K1000" s="52">
        <v>28.2</v>
      </c>
      <c r="L1000" s="52">
        <v>5</v>
      </c>
      <c r="M1000">
        <v>36</v>
      </c>
    </row>
    <row r="1001" spans="1:13" hidden="1" x14ac:dyDescent="0.25">
      <c r="A1001" t="s">
        <v>344</v>
      </c>
      <c r="B1001" s="52" t="s">
        <v>267</v>
      </c>
      <c r="C1001" s="52" t="s">
        <v>273</v>
      </c>
      <c r="D1001" s="52" t="s">
        <v>269</v>
      </c>
      <c r="E1001" s="52">
        <v>3</v>
      </c>
      <c r="F1001">
        <v>5</v>
      </c>
      <c r="G1001">
        <v>70</v>
      </c>
      <c r="H1001">
        <v>10</v>
      </c>
      <c r="I1001" s="52">
        <v>3.3</v>
      </c>
      <c r="J1001" s="52">
        <v>15.6</v>
      </c>
      <c r="K1001" s="52">
        <v>28.2</v>
      </c>
      <c r="L1001" s="52">
        <v>5</v>
      </c>
      <c r="M1001">
        <v>42</v>
      </c>
    </row>
    <row r="1002" spans="1:13" hidden="1" x14ac:dyDescent="0.25">
      <c r="A1002" t="s">
        <v>344</v>
      </c>
      <c r="B1002" s="52" t="s">
        <v>267</v>
      </c>
      <c r="C1002" s="52" t="s">
        <v>273</v>
      </c>
      <c r="D1002" s="52" t="s">
        <v>269</v>
      </c>
      <c r="E1002" s="52">
        <v>3</v>
      </c>
      <c r="F1002">
        <v>5</v>
      </c>
      <c r="G1002">
        <v>80</v>
      </c>
      <c r="H1002">
        <v>10</v>
      </c>
      <c r="I1002" s="52">
        <v>3.3</v>
      </c>
      <c r="J1002" s="52">
        <v>15.6</v>
      </c>
      <c r="K1002" s="52">
        <v>28.2</v>
      </c>
      <c r="L1002" s="52">
        <v>5</v>
      </c>
      <c r="M1002">
        <v>50</v>
      </c>
    </row>
    <row r="1003" spans="1:13" hidden="1" x14ac:dyDescent="0.25">
      <c r="A1003" t="s">
        <v>344</v>
      </c>
      <c r="B1003" s="52" t="s">
        <v>267</v>
      </c>
      <c r="C1003" s="52" t="s">
        <v>273</v>
      </c>
      <c r="D1003" s="52" t="s">
        <v>269</v>
      </c>
      <c r="E1003" s="52">
        <v>3</v>
      </c>
      <c r="F1003">
        <v>5</v>
      </c>
      <c r="G1003">
        <v>100</v>
      </c>
      <c r="H1003">
        <v>10</v>
      </c>
      <c r="I1003" s="52">
        <v>3.3</v>
      </c>
      <c r="J1003" s="52">
        <v>15.6</v>
      </c>
      <c r="K1003" s="52">
        <v>28.2</v>
      </c>
      <c r="L1003" s="52">
        <v>5</v>
      </c>
      <c r="M1003">
        <v>52</v>
      </c>
    </row>
    <row r="1004" spans="1:13" hidden="1" x14ac:dyDescent="0.25">
      <c r="A1004" t="s">
        <v>344</v>
      </c>
      <c r="B1004" s="52" t="s">
        <v>267</v>
      </c>
      <c r="C1004" s="52" t="s">
        <v>273</v>
      </c>
      <c r="D1004" s="52" t="s">
        <v>269</v>
      </c>
      <c r="E1004" s="52">
        <v>3</v>
      </c>
      <c r="F1004">
        <v>6</v>
      </c>
      <c r="G1004">
        <v>60</v>
      </c>
      <c r="H1004">
        <v>12</v>
      </c>
      <c r="I1004" s="52">
        <v>5.8</v>
      </c>
      <c r="J1004" s="52">
        <v>15.4</v>
      </c>
      <c r="K1004" s="52">
        <v>27.1</v>
      </c>
      <c r="L1004" s="52">
        <v>7</v>
      </c>
      <c r="M1004">
        <v>36</v>
      </c>
    </row>
    <row r="1005" spans="1:13" hidden="1" x14ac:dyDescent="0.25">
      <c r="A1005" t="s">
        <v>344</v>
      </c>
      <c r="B1005" s="52" t="s">
        <v>267</v>
      </c>
      <c r="C1005" s="52" t="s">
        <v>273</v>
      </c>
      <c r="D1005" s="52" t="s">
        <v>269</v>
      </c>
      <c r="E1005" s="52">
        <v>3</v>
      </c>
      <c r="F1005">
        <v>6</v>
      </c>
      <c r="G1005">
        <v>80</v>
      </c>
      <c r="H1005">
        <v>12</v>
      </c>
      <c r="I1005" s="52">
        <v>5.8</v>
      </c>
      <c r="J1005" s="52">
        <v>15.4</v>
      </c>
      <c r="K1005" s="52">
        <v>27.1</v>
      </c>
      <c r="L1005" s="52">
        <v>7</v>
      </c>
      <c r="M1005">
        <v>42</v>
      </c>
    </row>
    <row r="1006" spans="1:13" hidden="1" x14ac:dyDescent="0.25">
      <c r="A1006" t="s">
        <v>344</v>
      </c>
      <c r="B1006" s="52" t="s">
        <v>267</v>
      </c>
      <c r="C1006" s="52" t="s">
        <v>273</v>
      </c>
      <c r="D1006" s="52" t="s">
        <v>269</v>
      </c>
      <c r="E1006" s="52">
        <v>3</v>
      </c>
      <c r="F1006">
        <v>6</v>
      </c>
      <c r="G1006">
        <v>100</v>
      </c>
      <c r="H1006">
        <v>12</v>
      </c>
      <c r="I1006" s="52">
        <v>5.8</v>
      </c>
      <c r="J1006" s="52">
        <v>15.4</v>
      </c>
      <c r="K1006" s="52">
        <v>27.1</v>
      </c>
      <c r="L1006" s="52">
        <v>7</v>
      </c>
      <c r="M1006">
        <v>52</v>
      </c>
    </row>
    <row r="1007" spans="1:13" hidden="1" x14ac:dyDescent="0.25">
      <c r="A1007" t="s">
        <v>344</v>
      </c>
      <c r="B1007" s="52" t="s">
        <v>267</v>
      </c>
      <c r="C1007" s="52" t="s">
        <v>275</v>
      </c>
      <c r="D1007" s="52" t="s">
        <v>269</v>
      </c>
      <c r="E1007" s="52">
        <v>1</v>
      </c>
      <c r="F1007">
        <v>3</v>
      </c>
      <c r="G1007">
        <v>12</v>
      </c>
      <c r="H1007">
        <v>6</v>
      </c>
      <c r="I1007" s="52">
        <v>1.2</v>
      </c>
      <c r="J1007" s="52">
        <v>13.2</v>
      </c>
      <c r="K1007" s="52">
        <v>35.200000000000003</v>
      </c>
      <c r="L1007" s="52">
        <v>3.2</v>
      </c>
      <c r="M1007">
        <v>9</v>
      </c>
    </row>
    <row r="1008" spans="1:13" hidden="1" x14ac:dyDescent="0.25">
      <c r="A1008" t="s">
        <v>344</v>
      </c>
      <c r="B1008" s="52" t="s">
        <v>267</v>
      </c>
      <c r="C1008" s="52" t="s">
        <v>275</v>
      </c>
      <c r="D1008" s="52" t="s">
        <v>269</v>
      </c>
      <c r="E1008" s="52">
        <v>1</v>
      </c>
      <c r="F1008">
        <v>3</v>
      </c>
      <c r="G1008">
        <v>16</v>
      </c>
      <c r="H1008">
        <v>6</v>
      </c>
      <c r="I1008" s="52">
        <v>1.2</v>
      </c>
      <c r="J1008" s="52">
        <v>13.2</v>
      </c>
      <c r="K1008" s="52">
        <v>35.200000000000003</v>
      </c>
      <c r="L1008" s="52">
        <v>3.2</v>
      </c>
      <c r="M1008">
        <v>13</v>
      </c>
    </row>
    <row r="1009" spans="1:13" hidden="1" x14ac:dyDescent="0.25">
      <c r="A1009" t="s">
        <v>344</v>
      </c>
      <c r="B1009" s="52" t="s">
        <v>267</v>
      </c>
      <c r="C1009" s="52" t="s">
        <v>275</v>
      </c>
      <c r="D1009" s="52" t="s">
        <v>269</v>
      </c>
      <c r="E1009" s="52">
        <v>1</v>
      </c>
      <c r="F1009">
        <v>3</v>
      </c>
      <c r="G1009">
        <v>20</v>
      </c>
      <c r="H1009">
        <v>6</v>
      </c>
      <c r="I1009" s="52">
        <v>1.2</v>
      </c>
      <c r="J1009" s="52">
        <v>13.2</v>
      </c>
      <c r="K1009" s="52">
        <v>35.200000000000003</v>
      </c>
      <c r="L1009" s="52">
        <v>3.2</v>
      </c>
      <c r="M1009">
        <v>20</v>
      </c>
    </row>
    <row r="1010" spans="1:13" hidden="1" x14ac:dyDescent="0.25">
      <c r="A1010" t="s">
        <v>344</v>
      </c>
      <c r="B1010" s="52" t="s">
        <v>267</v>
      </c>
      <c r="C1010" s="52" t="s">
        <v>275</v>
      </c>
      <c r="D1010" s="52" t="s">
        <v>269</v>
      </c>
      <c r="E1010" s="52">
        <v>1</v>
      </c>
      <c r="F1010">
        <v>3.5</v>
      </c>
      <c r="G1010">
        <v>16</v>
      </c>
      <c r="H1010">
        <v>7</v>
      </c>
      <c r="I1010" s="52">
        <v>1.8</v>
      </c>
      <c r="J1010" s="52">
        <v>12.2</v>
      </c>
      <c r="K1010" s="52">
        <v>33.1</v>
      </c>
      <c r="L1010" s="52">
        <v>4.0999999999999996</v>
      </c>
      <c r="M1010">
        <v>16</v>
      </c>
    </row>
    <row r="1011" spans="1:13" hidden="1" x14ac:dyDescent="0.25">
      <c r="A1011" t="s">
        <v>344</v>
      </c>
      <c r="B1011" s="52" t="s">
        <v>267</v>
      </c>
      <c r="C1011" s="52" t="s">
        <v>275</v>
      </c>
      <c r="D1011" s="52" t="s">
        <v>269</v>
      </c>
      <c r="E1011" s="52">
        <v>1</v>
      </c>
      <c r="F1011">
        <v>3.5</v>
      </c>
      <c r="G1011">
        <v>20</v>
      </c>
      <c r="H1011">
        <v>7</v>
      </c>
      <c r="I1011" s="52">
        <v>1.8</v>
      </c>
      <c r="J1011" s="52">
        <v>12.2</v>
      </c>
      <c r="K1011" s="52">
        <v>33.1</v>
      </c>
      <c r="L1011" s="52">
        <v>4.0999999999999996</v>
      </c>
      <c r="M1011">
        <v>16</v>
      </c>
    </row>
    <row r="1012" spans="1:13" hidden="1" x14ac:dyDescent="0.25">
      <c r="A1012" t="s">
        <v>344</v>
      </c>
      <c r="B1012" s="52" t="s">
        <v>267</v>
      </c>
      <c r="C1012" s="52" t="s">
        <v>275</v>
      </c>
      <c r="D1012" s="52" t="s">
        <v>269</v>
      </c>
      <c r="E1012" s="52">
        <v>1</v>
      </c>
      <c r="F1012">
        <v>3.5</v>
      </c>
      <c r="G1012">
        <v>25</v>
      </c>
      <c r="H1012">
        <v>7</v>
      </c>
      <c r="I1012" s="52">
        <v>1.8</v>
      </c>
      <c r="J1012" s="52">
        <v>12.2</v>
      </c>
      <c r="K1012" s="52">
        <v>33.1</v>
      </c>
      <c r="L1012" s="52">
        <v>4.0999999999999996</v>
      </c>
      <c r="M1012">
        <v>18</v>
      </c>
    </row>
    <row r="1013" spans="1:13" hidden="1" x14ac:dyDescent="0.25">
      <c r="A1013" t="s">
        <v>344</v>
      </c>
      <c r="B1013" s="52" t="s">
        <v>267</v>
      </c>
      <c r="C1013" s="52" t="s">
        <v>275</v>
      </c>
      <c r="D1013" s="52" t="s">
        <v>269</v>
      </c>
      <c r="E1013" s="52">
        <v>1</v>
      </c>
      <c r="F1013">
        <v>3.5</v>
      </c>
      <c r="G1013">
        <v>30</v>
      </c>
      <c r="H1013">
        <v>7</v>
      </c>
      <c r="I1013" s="52">
        <v>1.8</v>
      </c>
      <c r="J1013" s="52">
        <v>12.2</v>
      </c>
      <c r="K1013" s="52">
        <v>33.1</v>
      </c>
      <c r="L1013" s="52">
        <v>4.0999999999999996</v>
      </c>
      <c r="M1013">
        <v>18</v>
      </c>
    </row>
    <row r="1014" spans="1:13" hidden="1" x14ac:dyDescent="0.25">
      <c r="A1014" t="s">
        <v>344</v>
      </c>
      <c r="B1014" s="52" t="s">
        <v>267</v>
      </c>
      <c r="C1014" s="52" t="s">
        <v>275</v>
      </c>
      <c r="D1014" s="52" t="s">
        <v>269</v>
      </c>
      <c r="E1014" s="52">
        <v>1</v>
      </c>
      <c r="F1014">
        <v>3.5</v>
      </c>
      <c r="G1014">
        <v>40</v>
      </c>
      <c r="H1014">
        <v>7</v>
      </c>
      <c r="I1014" s="52">
        <v>1.8</v>
      </c>
      <c r="J1014" s="52">
        <v>12.2</v>
      </c>
      <c r="K1014" s="52">
        <v>33.1</v>
      </c>
      <c r="L1014" s="52">
        <v>4.0999999999999996</v>
      </c>
      <c r="M1014">
        <v>24</v>
      </c>
    </row>
    <row r="1015" spans="1:13" hidden="1" x14ac:dyDescent="0.25">
      <c r="A1015" t="s">
        <v>344</v>
      </c>
      <c r="B1015" s="52" t="s">
        <v>267</v>
      </c>
      <c r="C1015" s="52" t="s">
        <v>275</v>
      </c>
      <c r="D1015" s="52" t="s">
        <v>269</v>
      </c>
      <c r="E1015" s="52">
        <v>2</v>
      </c>
      <c r="F1015">
        <v>4</v>
      </c>
      <c r="G1015">
        <v>12</v>
      </c>
      <c r="H1015">
        <v>8</v>
      </c>
      <c r="I1015" s="52">
        <v>2.7</v>
      </c>
      <c r="J1015" s="52">
        <v>17.100000000000001</v>
      </c>
      <c r="K1015" s="52">
        <v>30.1</v>
      </c>
      <c r="L1015" s="52">
        <v>4.7</v>
      </c>
      <c r="M1015">
        <v>8</v>
      </c>
    </row>
    <row r="1016" spans="1:13" hidden="1" x14ac:dyDescent="0.25">
      <c r="A1016" t="s">
        <v>344</v>
      </c>
      <c r="B1016" s="52" t="s">
        <v>267</v>
      </c>
      <c r="C1016" s="52" t="s">
        <v>275</v>
      </c>
      <c r="D1016" s="52" t="s">
        <v>269</v>
      </c>
      <c r="E1016" s="52">
        <v>2</v>
      </c>
      <c r="F1016">
        <v>4</v>
      </c>
      <c r="G1016">
        <v>16</v>
      </c>
      <c r="H1016">
        <v>8</v>
      </c>
      <c r="I1016" s="52">
        <v>2.7</v>
      </c>
      <c r="J1016" s="52">
        <v>17.100000000000001</v>
      </c>
      <c r="K1016" s="52">
        <v>30.1</v>
      </c>
      <c r="L1016" s="52">
        <v>4.7</v>
      </c>
      <c r="M1016">
        <v>12</v>
      </c>
    </row>
    <row r="1017" spans="1:13" hidden="1" x14ac:dyDescent="0.25">
      <c r="A1017" t="s">
        <v>344</v>
      </c>
      <c r="B1017" s="52" t="s">
        <v>267</v>
      </c>
      <c r="C1017" s="52" t="s">
        <v>275</v>
      </c>
      <c r="D1017" s="52" t="s">
        <v>269</v>
      </c>
      <c r="E1017" s="52">
        <v>2</v>
      </c>
      <c r="F1017">
        <v>4</v>
      </c>
      <c r="G1017">
        <v>20</v>
      </c>
      <c r="H1017">
        <v>8</v>
      </c>
      <c r="I1017" s="52">
        <v>2.7</v>
      </c>
      <c r="J1017" s="52">
        <v>17.100000000000001</v>
      </c>
      <c r="K1017" s="52">
        <v>30.1</v>
      </c>
      <c r="L1017" s="52">
        <v>4.7</v>
      </c>
      <c r="M1017">
        <v>16</v>
      </c>
    </row>
    <row r="1018" spans="1:13" hidden="1" x14ac:dyDescent="0.25">
      <c r="A1018" t="s">
        <v>344</v>
      </c>
      <c r="B1018" s="52" t="s">
        <v>267</v>
      </c>
      <c r="C1018" s="52" t="s">
        <v>275</v>
      </c>
      <c r="D1018" s="52" t="s">
        <v>269</v>
      </c>
      <c r="E1018" s="52">
        <v>2</v>
      </c>
      <c r="F1018">
        <v>4</v>
      </c>
      <c r="G1018">
        <v>25</v>
      </c>
      <c r="H1018">
        <v>8</v>
      </c>
      <c r="I1018" s="52">
        <v>2.7</v>
      </c>
      <c r="J1018" s="52">
        <v>17.100000000000001</v>
      </c>
      <c r="K1018" s="52">
        <v>30.1</v>
      </c>
      <c r="L1018" s="52">
        <v>4.7</v>
      </c>
      <c r="M1018">
        <v>18</v>
      </c>
    </row>
    <row r="1019" spans="1:13" hidden="1" x14ac:dyDescent="0.25">
      <c r="A1019" t="s">
        <v>344</v>
      </c>
      <c r="B1019" s="52" t="s">
        <v>267</v>
      </c>
      <c r="C1019" s="52" t="s">
        <v>275</v>
      </c>
      <c r="D1019" s="52" t="s">
        <v>269</v>
      </c>
      <c r="E1019" s="52">
        <v>2</v>
      </c>
      <c r="F1019">
        <v>4</v>
      </c>
      <c r="G1019">
        <v>30</v>
      </c>
      <c r="H1019">
        <v>8</v>
      </c>
      <c r="I1019" s="52">
        <v>2.7</v>
      </c>
      <c r="J1019" s="52">
        <v>17.100000000000001</v>
      </c>
      <c r="K1019" s="52">
        <v>30.1</v>
      </c>
      <c r="L1019" s="52">
        <v>4.7</v>
      </c>
      <c r="M1019">
        <v>18</v>
      </c>
    </row>
    <row r="1020" spans="1:13" hidden="1" x14ac:dyDescent="0.25">
      <c r="A1020" t="s">
        <v>344</v>
      </c>
      <c r="B1020" s="52" t="s">
        <v>267</v>
      </c>
      <c r="C1020" s="52" t="s">
        <v>275</v>
      </c>
      <c r="D1020" s="52" t="s">
        <v>269</v>
      </c>
      <c r="E1020" s="52">
        <v>2</v>
      </c>
      <c r="F1020">
        <v>4</v>
      </c>
      <c r="G1020">
        <v>35</v>
      </c>
      <c r="H1020">
        <v>8</v>
      </c>
      <c r="I1020" s="52">
        <v>2.7</v>
      </c>
      <c r="J1020" s="52">
        <v>17.100000000000001</v>
      </c>
      <c r="K1020" s="52">
        <v>30.1</v>
      </c>
      <c r="L1020" s="52">
        <v>4.7</v>
      </c>
      <c r="M1020">
        <v>24</v>
      </c>
    </row>
    <row r="1021" spans="1:13" hidden="1" x14ac:dyDescent="0.25">
      <c r="A1021" t="s">
        <v>344</v>
      </c>
      <c r="B1021" s="52" t="s">
        <v>267</v>
      </c>
      <c r="C1021" s="52" t="s">
        <v>275</v>
      </c>
      <c r="D1021" s="52" t="s">
        <v>269</v>
      </c>
      <c r="E1021" s="52">
        <v>2</v>
      </c>
      <c r="F1021">
        <v>4</v>
      </c>
      <c r="G1021">
        <v>40</v>
      </c>
      <c r="H1021">
        <v>8</v>
      </c>
      <c r="I1021" s="52">
        <v>2.7</v>
      </c>
      <c r="J1021" s="52">
        <v>17.100000000000001</v>
      </c>
      <c r="K1021" s="52">
        <v>30.1</v>
      </c>
      <c r="L1021" s="52">
        <v>4.7</v>
      </c>
      <c r="M1021">
        <v>24</v>
      </c>
    </row>
    <row r="1022" spans="1:13" hidden="1" x14ac:dyDescent="0.25">
      <c r="A1022" t="s">
        <v>344</v>
      </c>
      <c r="B1022" s="52" t="s">
        <v>267</v>
      </c>
      <c r="C1022" s="52" t="s">
        <v>275</v>
      </c>
      <c r="D1022" s="52" t="s">
        <v>269</v>
      </c>
      <c r="E1022" s="52">
        <v>2</v>
      </c>
      <c r="F1022">
        <v>4</v>
      </c>
      <c r="G1022">
        <v>45</v>
      </c>
      <c r="H1022">
        <v>8</v>
      </c>
      <c r="I1022" s="52">
        <v>2.7</v>
      </c>
      <c r="J1022" s="52">
        <v>17.100000000000001</v>
      </c>
      <c r="K1022" s="52">
        <v>30.1</v>
      </c>
      <c r="L1022" s="52">
        <v>4.7</v>
      </c>
      <c r="M1022">
        <v>30</v>
      </c>
    </row>
    <row r="1023" spans="1:13" hidden="1" x14ac:dyDescent="0.25">
      <c r="A1023" t="s">
        <v>344</v>
      </c>
      <c r="B1023" s="52" t="s">
        <v>267</v>
      </c>
      <c r="C1023" s="52" t="s">
        <v>275</v>
      </c>
      <c r="D1023" s="52" t="s">
        <v>269</v>
      </c>
      <c r="E1023" s="52">
        <v>2</v>
      </c>
      <c r="F1023">
        <v>4</v>
      </c>
      <c r="G1023">
        <v>50</v>
      </c>
      <c r="H1023">
        <v>8</v>
      </c>
      <c r="I1023" s="52">
        <v>2.7</v>
      </c>
      <c r="J1023" s="52">
        <v>17.100000000000001</v>
      </c>
      <c r="K1023" s="52">
        <v>30.1</v>
      </c>
      <c r="L1023" s="52">
        <v>4.7</v>
      </c>
      <c r="M1023">
        <v>30</v>
      </c>
    </row>
    <row r="1024" spans="1:13" hidden="1" x14ac:dyDescent="0.25">
      <c r="A1024" t="s">
        <v>344</v>
      </c>
      <c r="B1024" s="52" t="s">
        <v>267</v>
      </c>
      <c r="C1024" s="52" t="s">
        <v>275</v>
      </c>
      <c r="D1024" s="52" t="s">
        <v>269</v>
      </c>
      <c r="E1024" s="52">
        <v>2</v>
      </c>
      <c r="F1024">
        <v>4.5</v>
      </c>
      <c r="G1024">
        <v>20</v>
      </c>
      <c r="H1024">
        <v>9</v>
      </c>
      <c r="I1024" s="52">
        <v>4</v>
      </c>
      <c r="J1024" s="52">
        <v>16.8</v>
      </c>
      <c r="K1024" s="52">
        <v>29.2</v>
      </c>
      <c r="L1024" s="52">
        <v>5.8</v>
      </c>
      <c r="M1024">
        <v>20</v>
      </c>
    </row>
    <row r="1025" spans="1:13" hidden="1" x14ac:dyDescent="0.25">
      <c r="A1025" t="s">
        <v>344</v>
      </c>
      <c r="B1025" s="52" t="s">
        <v>267</v>
      </c>
      <c r="C1025" s="52" t="s">
        <v>275</v>
      </c>
      <c r="D1025" s="52" t="s">
        <v>269</v>
      </c>
      <c r="E1025" s="52">
        <v>2</v>
      </c>
      <c r="F1025">
        <v>4.5</v>
      </c>
      <c r="G1025">
        <v>25</v>
      </c>
      <c r="H1025">
        <v>9</v>
      </c>
      <c r="I1025" s="52">
        <v>4</v>
      </c>
      <c r="J1025" s="52">
        <v>16.8</v>
      </c>
      <c r="K1025" s="52">
        <v>29.2</v>
      </c>
      <c r="L1025" s="52">
        <v>5.8</v>
      </c>
      <c r="M1025">
        <v>18</v>
      </c>
    </row>
    <row r="1026" spans="1:13" hidden="1" x14ac:dyDescent="0.25">
      <c r="A1026" t="s">
        <v>344</v>
      </c>
      <c r="B1026" s="52" t="s">
        <v>267</v>
      </c>
      <c r="C1026" s="52" t="s">
        <v>275</v>
      </c>
      <c r="D1026" s="52" t="s">
        <v>269</v>
      </c>
      <c r="E1026" s="52">
        <v>2</v>
      </c>
      <c r="F1026">
        <v>4.5</v>
      </c>
      <c r="G1026">
        <v>30</v>
      </c>
      <c r="H1026">
        <v>9</v>
      </c>
      <c r="I1026" s="52">
        <v>4</v>
      </c>
      <c r="J1026" s="52">
        <v>16.8</v>
      </c>
      <c r="K1026" s="52">
        <v>29.2</v>
      </c>
      <c r="L1026" s="52">
        <v>5.8</v>
      </c>
      <c r="M1026">
        <v>18</v>
      </c>
    </row>
    <row r="1027" spans="1:13" hidden="1" x14ac:dyDescent="0.25">
      <c r="A1027" t="s">
        <v>344</v>
      </c>
      <c r="B1027" s="52" t="s">
        <v>267</v>
      </c>
      <c r="C1027" s="52" t="s">
        <v>275</v>
      </c>
      <c r="D1027" s="52" t="s">
        <v>269</v>
      </c>
      <c r="E1027" s="52">
        <v>2</v>
      </c>
      <c r="F1027">
        <v>4.5</v>
      </c>
      <c r="G1027">
        <v>35</v>
      </c>
      <c r="H1027">
        <v>9</v>
      </c>
      <c r="I1027" s="52">
        <v>4</v>
      </c>
      <c r="J1027" s="52">
        <v>16.8</v>
      </c>
      <c r="K1027" s="52">
        <v>29.2</v>
      </c>
      <c r="L1027" s="52">
        <v>5.8</v>
      </c>
      <c r="M1027">
        <v>24</v>
      </c>
    </row>
    <row r="1028" spans="1:13" hidden="1" x14ac:dyDescent="0.25">
      <c r="A1028" t="s">
        <v>344</v>
      </c>
      <c r="B1028" s="52" t="s">
        <v>267</v>
      </c>
      <c r="C1028" s="52" t="s">
        <v>275</v>
      </c>
      <c r="D1028" s="52" t="s">
        <v>269</v>
      </c>
      <c r="E1028" s="52">
        <v>2</v>
      </c>
      <c r="F1028">
        <v>4.5</v>
      </c>
      <c r="G1028">
        <v>40</v>
      </c>
      <c r="H1028">
        <v>9</v>
      </c>
      <c r="I1028" s="52">
        <v>4</v>
      </c>
      <c r="J1028" s="52">
        <v>16.8</v>
      </c>
      <c r="K1028" s="52">
        <v>29.2</v>
      </c>
      <c r="L1028" s="52">
        <v>5.8</v>
      </c>
      <c r="M1028">
        <v>24</v>
      </c>
    </row>
    <row r="1029" spans="1:13" hidden="1" x14ac:dyDescent="0.25">
      <c r="A1029" t="s">
        <v>344</v>
      </c>
      <c r="B1029" s="52" t="s">
        <v>267</v>
      </c>
      <c r="C1029" s="52" t="s">
        <v>275</v>
      </c>
      <c r="D1029" s="52" t="s">
        <v>269</v>
      </c>
      <c r="E1029" s="52">
        <v>2</v>
      </c>
      <c r="F1029">
        <v>4.5</v>
      </c>
      <c r="G1029">
        <v>50</v>
      </c>
      <c r="H1029">
        <v>9</v>
      </c>
      <c r="I1029" s="52">
        <v>4</v>
      </c>
      <c r="J1029" s="52">
        <v>16.8</v>
      </c>
      <c r="K1029" s="52">
        <v>29.2</v>
      </c>
      <c r="L1029" s="52">
        <v>5.8</v>
      </c>
      <c r="M1029">
        <v>30</v>
      </c>
    </row>
    <row r="1030" spans="1:13" hidden="1" x14ac:dyDescent="0.25">
      <c r="A1030" t="s">
        <v>344</v>
      </c>
      <c r="B1030" s="52" t="s">
        <v>267</v>
      </c>
      <c r="C1030" s="52" t="s">
        <v>275</v>
      </c>
      <c r="D1030" s="52" t="s">
        <v>269</v>
      </c>
      <c r="E1030" s="52">
        <v>2</v>
      </c>
      <c r="F1030">
        <v>5</v>
      </c>
      <c r="G1030">
        <v>25</v>
      </c>
      <c r="H1030">
        <v>10</v>
      </c>
      <c r="I1030" s="52">
        <v>5</v>
      </c>
      <c r="J1030" s="52">
        <v>16.5</v>
      </c>
      <c r="K1030" s="52">
        <v>28.2</v>
      </c>
      <c r="L1030" s="52">
        <v>7.8</v>
      </c>
      <c r="M1030">
        <v>18</v>
      </c>
    </row>
    <row r="1031" spans="1:13" hidden="1" x14ac:dyDescent="0.25">
      <c r="A1031" t="s">
        <v>344</v>
      </c>
      <c r="B1031" s="52" t="s">
        <v>267</v>
      </c>
      <c r="C1031" s="52" t="s">
        <v>275</v>
      </c>
      <c r="D1031" s="52" t="s">
        <v>269</v>
      </c>
      <c r="E1031" s="52">
        <v>2</v>
      </c>
      <c r="F1031">
        <v>5</v>
      </c>
      <c r="G1031">
        <v>30</v>
      </c>
      <c r="H1031">
        <v>10</v>
      </c>
      <c r="I1031" s="52">
        <v>5</v>
      </c>
      <c r="J1031" s="52">
        <v>16.5</v>
      </c>
      <c r="K1031" s="52">
        <v>28.2</v>
      </c>
      <c r="L1031" s="52">
        <v>7.8</v>
      </c>
      <c r="M1031">
        <v>18</v>
      </c>
    </row>
    <row r="1032" spans="1:13" hidden="1" x14ac:dyDescent="0.25">
      <c r="A1032" t="s">
        <v>344</v>
      </c>
      <c r="B1032" s="52" t="s">
        <v>267</v>
      </c>
      <c r="C1032" s="52" t="s">
        <v>275</v>
      </c>
      <c r="D1032" s="52" t="s">
        <v>269</v>
      </c>
      <c r="E1032" s="52">
        <v>2</v>
      </c>
      <c r="F1032">
        <v>5</v>
      </c>
      <c r="G1032">
        <v>35</v>
      </c>
      <c r="H1032">
        <v>10</v>
      </c>
      <c r="I1032" s="52">
        <v>5</v>
      </c>
      <c r="J1032" s="52">
        <v>16.5</v>
      </c>
      <c r="K1032" s="52">
        <v>28.2</v>
      </c>
      <c r="L1032" s="52">
        <v>7.8</v>
      </c>
      <c r="M1032">
        <v>24</v>
      </c>
    </row>
    <row r="1033" spans="1:13" hidden="1" x14ac:dyDescent="0.25">
      <c r="A1033" t="s">
        <v>344</v>
      </c>
      <c r="B1033" s="52" t="s">
        <v>267</v>
      </c>
      <c r="C1033" s="52" t="s">
        <v>275</v>
      </c>
      <c r="D1033" s="52" t="s">
        <v>269</v>
      </c>
      <c r="E1033" s="52">
        <v>2</v>
      </c>
      <c r="F1033">
        <v>5</v>
      </c>
      <c r="G1033">
        <v>40</v>
      </c>
      <c r="H1033">
        <v>10</v>
      </c>
      <c r="I1033" s="52">
        <v>5</v>
      </c>
      <c r="J1033" s="52">
        <v>16.5</v>
      </c>
      <c r="K1033" s="52">
        <v>28.2</v>
      </c>
      <c r="L1033" s="52">
        <v>7.8</v>
      </c>
      <c r="M1033">
        <v>24</v>
      </c>
    </row>
    <row r="1034" spans="1:13" hidden="1" x14ac:dyDescent="0.25">
      <c r="A1034" t="s">
        <v>344</v>
      </c>
      <c r="B1034" s="52" t="s">
        <v>267</v>
      </c>
      <c r="C1034" s="52" t="s">
        <v>275</v>
      </c>
      <c r="D1034" s="52" t="s">
        <v>269</v>
      </c>
      <c r="E1034" s="52">
        <v>2</v>
      </c>
      <c r="F1034">
        <v>5</v>
      </c>
      <c r="G1034">
        <v>50</v>
      </c>
      <c r="H1034">
        <v>10</v>
      </c>
      <c r="I1034" s="52">
        <v>5</v>
      </c>
      <c r="J1034" s="52">
        <v>16.5</v>
      </c>
      <c r="K1034" s="52">
        <v>28.2</v>
      </c>
      <c r="L1034" s="52">
        <v>7.8</v>
      </c>
      <c r="M1034">
        <v>30</v>
      </c>
    </row>
    <row r="1035" spans="1:13" hidden="1" x14ac:dyDescent="0.25">
      <c r="A1035" t="s">
        <v>344</v>
      </c>
      <c r="B1035" s="52" t="s">
        <v>267</v>
      </c>
      <c r="C1035" s="52" t="s">
        <v>275</v>
      </c>
      <c r="D1035" s="52" t="s">
        <v>269</v>
      </c>
      <c r="E1035" s="52">
        <v>2</v>
      </c>
      <c r="F1035">
        <v>5</v>
      </c>
      <c r="G1035">
        <v>60</v>
      </c>
      <c r="H1035">
        <v>10</v>
      </c>
      <c r="I1035" s="52">
        <v>5</v>
      </c>
      <c r="J1035" s="52">
        <v>16.5</v>
      </c>
      <c r="K1035" s="52">
        <v>28.2</v>
      </c>
      <c r="L1035" s="52">
        <v>7.8</v>
      </c>
      <c r="M1035">
        <v>36</v>
      </c>
    </row>
    <row r="1036" spans="1:13" hidden="1" x14ac:dyDescent="0.25">
      <c r="A1036" t="s">
        <v>344</v>
      </c>
      <c r="B1036" s="52" t="s">
        <v>267</v>
      </c>
      <c r="C1036" s="52" t="s">
        <v>275</v>
      </c>
      <c r="D1036" s="52" t="s">
        <v>269</v>
      </c>
      <c r="E1036" s="52">
        <v>2</v>
      </c>
      <c r="F1036">
        <v>5</v>
      </c>
      <c r="G1036">
        <v>70</v>
      </c>
      <c r="H1036">
        <v>10</v>
      </c>
      <c r="I1036" s="52">
        <v>5</v>
      </c>
      <c r="J1036" s="52">
        <v>16.5</v>
      </c>
      <c r="K1036" s="52">
        <v>28.2</v>
      </c>
      <c r="L1036" s="52">
        <v>7.8</v>
      </c>
      <c r="M1036">
        <v>42</v>
      </c>
    </row>
    <row r="1037" spans="1:13" hidden="1" x14ac:dyDescent="0.25">
      <c r="A1037" t="s">
        <v>344</v>
      </c>
      <c r="B1037" s="52" t="s">
        <v>267</v>
      </c>
      <c r="C1037" s="52" t="s">
        <v>275</v>
      </c>
      <c r="D1037" s="52" t="s">
        <v>269</v>
      </c>
      <c r="E1037" s="52">
        <v>2</v>
      </c>
      <c r="F1037">
        <v>5</v>
      </c>
      <c r="G1037">
        <v>80</v>
      </c>
      <c r="H1037">
        <v>10</v>
      </c>
      <c r="I1037" s="52">
        <v>5</v>
      </c>
      <c r="J1037" s="52">
        <v>16.5</v>
      </c>
      <c r="K1037" s="52">
        <v>28.2</v>
      </c>
      <c r="L1037" s="52">
        <v>7.8</v>
      </c>
      <c r="M1037">
        <v>50</v>
      </c>
    </row>
    <row r="1038" spans="1:13" hidden="1" x14ac:dyDescent="0.25">
      <c r="A1038" t="s">
        <v>344</v>
      </c>
      <c r="B1038" s="52" t="s">
        <v>267</v>
      </c>
      <c r="C1038" s="52" t="s">
        <v>275</v>
      </c>
      <c r="D1038" s="52" t="s">
        <v>269</v>
      </c>
      <c r="E1038" s="52">
        <v>2</v>
      </c>
      <c r="F1038">
        <v>5</v>
      </c>
      <c r="G1038">
        <v>90</v>
      </c>
      <c r="H1038">
        <v>10</v>
      </c>
      <c r="I1038" s="52">
        <v>5</v>
      </c>
      <c r="J1038" s="52">
        <v>16.5</v>
      </c>
      <c r="K1038" s="52">
        <v>28.2</v>
      </c>
      <c r="L1038" s="52">
        <v>7.8</v>
      </c>
      <c r="M1038">
        <v>42</v>
      </c>
    </row>
    <row r="1039" spans="1:13" hidden="1" x14ac:dyDescent="0.25">
      <c r="A1039" t="s">
        <v>344</v>
      </c>
      <c r="B1039" s="52" t="s">
        <v>267</v>
      </c>
      <c r="C1039" s="52" t="s">
        <v>275</v>
      </c>
      <c r="D1039" s="52" t="s">
        <v>269</v>
      </c>
      <c r="E1039" s="52">
        <v>2</v>
      </c>
      <c r="F1039">
        <v>5</v>
      </c>
      <c r="G1039">
        <v>100</v>
      </c>
      <c r="H1039">
        <v>10</v>
      </c>
      <c r="I1039" s="52">
        <v>5</v>
      </c>
      <c r="J1039" s="52">
        <v>16.5</v>
      </c>
      <c r="K1039" s="52">
        <v>28.2</v>
      </c>
      <c r="L1039" s="52">
        <v>7.8</v>
      </c>
      <c r="M1039">
        <v>52</v>
      </c>
    </row>
    <row r="1040" spans="1:13" hidden="1" x14ac:dyDescent="0.25">
      <c r="A1040" t="s">
        <v>344</v>
      </c>
      <c r="B1040" s="52" t="s">
        <v>267</v>
      </c>
      <c r="C1040" s="52" t="s">
        <v>275</v>
      </c>
      <c r="D1040" s="52" t="s">
        <v>269</v>
      </c>
      <c r="E1040" s="52">
        <v>2</v>
      </c>
      <c r="F1040">
        <v>6</v>
      </c>
      <c r="G1040">
        <v>16</v>
      </c>
      <c r="H1040">
        <v>12</v>
      </c>
      <c r="I1040" s="52">
        <v>8.5</v>
      </c>
      <c r="J1040" s="52">
        <v>15.6</v>
      </c>
      <c r="K1040" s="52">
        <v>27.1</v>
      </c>
      <c r="L1040" s="52">
        <v>11.5</v>
      </c>
      <c r="M1040">
        <v>16</v>
      </c>
    </row>
    <row r="1041" spans="1:13" hidden="1" x14ac:dyDescent="0.25">
      <c r="A1041" t="s">
        <v>344</v>
      </c>
      <c r="B1041" s="52" t="s">
        <v>267</v>
      </c>
      <c r="C1041" s="52" t="s">
        <v>275</v>
      </c>
      <c r="D1041" s="52" t="s">
        <v>269</v>
      </c>
      <c r="E1041" s="52">
        <v>2</v>
      </c>
      <c r="F1041">
        <v>6</v>
      </c>
      <c r="G1041">
        <v>40</v>
      </c>
      <c r="H1041">
        <v>12</v>
      </c>
      <c r="I1041" s="52">
        <v>8.5</v>
      </c>
      <c r="J1041" s="52">
        <v>15.6</v>
      </c>
      <c r="K1041" s="52">
        <v>27.1</v>
      </c>
      <c r="L1041" s="52">
        <v>11.5</v>
      </c>
      <c r="M1041">
        <v>24</v>
      </c>
    </row>
    <row r="1042" spans="1:13" hidden="1" x14ac:dyDescent="0.25">
      <c r="A1042" t="s">
        <v>344</v>
      </c>
      <c r="B1042" s="52" t="s">
        <v>267</v>
      </c>
      <c r="C1042" s="52" t="s">
        <v>275</v>
      </c>
      <c r="D1042" s="52" t="s">
        <v>269</v>
      </c>
      <c r="E1042" s="52">
        <v>2</v>
      </c>
      <c r="F1042">
        <v>6</v>
      </c>
      <c r="G1042">
        <v>50</v>
      </c>
      <c r="H1042">
        <v>12</v>
      </c>
      <c r="I1042" s="52">
        <v>8.5</v>
      </c>
      <c r="J1042" s="52">
        <v>15.6</v>
      </c>
      <c r="K1042" s="52">
        <v>27.1</v>
      </c>
      <c r="L1042" s="52">
        <v>11.5</v>
      </c>
      <c r="M1042">
        <v>30</v>
      </c>
    </row>
    <row r="1043" spans="1:13" hidden="1" x14ac:dyDescent="0.25">
      <c r="A1043" t="s">
        <v>344</v>
      </c>
      <c r="B1043" s="52" t="s">
        <v>267</v>
      </c>
      <c r="C1043" s="52" t="s">
        <v>275</v>
      </c>
      <c r="D1043" s="52" t="s">
        <v>269</v>
      </c>
      <c r="E1043" s="52">
        <v>2</v>
      </c>
      <c r="F1043">
        <v>6</v>
      </c>
      <c r="G1043">
        <v>60</v>
      </c>
      <c r="H1043">
        <v>12</v>
      </c>
      <c r="I1043" s="52">
        <v>8.5</v>
      </c>
      <c r="J1043" s="52">
        <v>15.6</v>
      </c>
      <c r="K1043" s="52">
        <v>27.1</v>
      </c>
      <c r="L1043" s="52">
        <v>11.5</v>
      </c>
      <c r="M1043">
        <v>36</v>
      </c>
    </row>
    <row r="1044" spans="1:13" hidden="1" x14ac:dyDescent="0.25">
      <c r="A1044" t="s">
        <v>344</v>
      </c>
      <c r="B1044" s="52" t="s">
        <v>267</v>
      </c>
      <c r="C1044" s="52" t="s">
        <v>275</v>
      </c>
      <c r="D1044" s="52" t="s">
        <v>269</v>
      </c>
      <c r="E1044" s="52">
        <v>2</v>
      </c>
      <c r="F1044">
        <v>6</v>
      </c>
      <c r="G1044">
        <v>70</v>
      </c>
      <c r="H1044">
        <v>12</v>
      </c>
      <c r="I1044" s="52">
        <v>8.5</v>
      </c>
      <c r="J1044" s="52">
        <v>15.6</v>
      </c>
      <c r="K1044" s="52">
        <v>27.1</v>
      </c>
      <c r="L1044" s="52">
        <v>11.5</v>
      </c>
      <c r="M1044">
        <v>42</v>
      </c>
    </row>
    <row r="1045" spans="1:13" hidden="1" x14ac:dyDescent="0.25">
      <c r="A1045" t="s">
        <v>344</v>
      </c>
      <c r="B1045" s="52" t="s">
        <v>267</v>
      </c>
      <c r="C1045" s="52" t="s">
        <v>275</v>
      </c>
      <c r="D1045" s="52" t="s">
        <v>269</v>
      </c>
      <c r="E1045" s="52">
        <v>2</v>
      </c>
      <c r="F1045">
        <v>6</v>
      </c>
      <c r="G1045">
        <v>80</v>
      </c>
      <c r="H1045">
        <v>12</v>
      </c>
      <c r="I1045" s="52">
        <v>8.5</v>
      </c>
      <c r="J1045" s="52">
        <v>15.6</v>
      </c>
      <c r="K1045" s="52">
        <v>27.1</v>
      </c>
      <c r="L1045" s="52">
        <v>11.5</v>
      </c>
      <c r="M1045">
        <v>42</v>
      </c>
    </row>
    <row r="1046" spans="1:13" hidden="1" x14ac:dyDescent="0.25">
      <c r="A1046" t="s">
        <v>344</v>
      </c>
      <c r="B1046" s="52" t="s">
        <v>267</v>
      </c>
      <c r="C1046" s="52" t="s">
        <v>275</v>
      </c>
      <c r="D1046" s="52" t="s">
        <v>269</v>
      </c>
      <c r="E1046" s="52">
        <v>2</v>
      </c>
      <c r="F1046">
        <v>6</v>
      </c>
      <c r="G1046">
        <v>90</v>
      </c>
      <c r="H1046">
        <v>12</v>
      </c>
      <c r="I1046" s="52">
        <v>8.5</v>
      </c>
      <c r="J1046" s="52">
        <v>15.6</v>
      </c>
      <c r="K1046" s="52">
        <v>27.1</v>
      </c>
      <c r="L1046" s="52">
        <v>11.5</v>
      </c>
      <c r="M1046">
        <v>42</v>
      </c>
    </row>
    <row r="1047" spans="1:13" hidden="1" x14ac:dyDescent="0.25">
      <c r="A1047" t="s">
        <v>344</v>
      </c>
      <c r="B1047" s="52" t="s">
        <v>267</v>
      </c>
      <c r="C1047" s="52" t="s">
        <v>275</v>
      </c>
      <c r="D1047" s="52" t="s">
        <v>269</v>
      </c>
      <c r="E1047" s="52">
        <v>2</v>
      </c>
      <c r="F1047">
        <v>6</v>
      </c>
      <c r="G1047">
        <v>100</v>
      </c>
      <c r="H1047">
        <v>12</v>
      </c>
      <c r="I1047" s="52">
        <v>8.5</v>
      </c>
      <c r="J1047" s="52">
        <v>15.6</v>
      </c>
      <c r="K1047" s="52">
        <v>27.1</v>
      </c>
      <c r="L1047" s="52">
        <v>11.5</v>
      </c>
      <c r="M1047">
        <v>52</v>
      </c>
    </row>
    <row r="1048" spans="1:13" hidden="1" x14ac:dyDescent="0.25">
      <c r="A1048" t="s">
        <v>344</v>
      </c>
      <c r="B1048" s="52" t="s">
        <v>267</v>
      </c>
      <c r="C1048" s="52" t="s">
        <v>272</v>
      </c>
      <c r="D1048" s="52" t="s">
        <v>268</v>
      </c>
      <c r="E1048" s="52">
        <v>3</v>
      </c>
      <c r="F1048">
        <v>3</v>
      </c>
      <c r="G1048">
        <v>16</v>
      </c>
      <c r="H1048">
        <v>6</v>
      </c>
      <c r="I1048" s="52"/>
      <c r="J1048" s="52"/>
      <c r="K1048" s="52"/>
      <c r="L1048" s="52"/>
      <c r="M1048">
        <v>13</v>
      </c>
    </row>
    <row r="1049" spans="1:13" hidden="1" x14ac:dyDescent="0.25">
      <c r="A1049" t="s">
        <v>344</v>
      </c>
      <c r="B1049" s="52" t="s">
        <v>267</v>
      </c>
      <c r="C1049" s="52" t="s">
        <v>272</v>
      </c>
      <c r="D1049" s="52" t="s">
        <v>268</v>
      </c>
      <c r="E1049" s="52">
        <v>3</v>
      </c>
      <c r="F1049">
        <v>3</v>
      </c>
      <c r="G1049">
        <v>20</v>
      </c>
      <c r="H1049">
        <v>6</v>
      </c>
      <c r="I1049" s="52"/>
      <c r="J1049" s="52"/>
      <c r="K1049" s="52"/>
      <c r="L1049" s="52"/>
      <c r="M1049">
        <v>17</v>
      </c>
    </row>
    <row r="1050" spans="1:13" hidden="1" x14ac:dyDescent="0.25">
      <c r="A1050" t="s">
        <v>344</v>
      </c>
      <c r="B1050" s="52" t="s">
        <v>267</v>
      </c>
      <c r="C1050" s="52" t="s">
        <v>272</v>
      </c>
      <c r="D1050" s="52" t="s">
        <v>268</v>
      </c>
      <c r="E1050" s="52">
        <v>3</v>
      </c>
      <c r="F1050">
        <v>3</v>
      </c>
      <c r="G1050">
        <v>30</v>
      </c>
      <c r="H1050">
        <v>6</v>
      </c>
      <c r="I1050" s="52"/>
      <c r="J1050" s="52"/>
      <c r="K1050" s="52"/>
      <c r="L1050" s="52"/>
      <c r="M1050">
        <v>18</v>
      </c>
    </row>
    <row r="1051" spans="1:13" hidden="1" x14ac:dyDescent="0.25">
      <c r="A1051" t="s">
        <v>344</v>
      </c>
      <c r="B1051" s="52" t="s">
        <v>267</v>
      </c>
      <c r="C1051" s="52" t="s">
        <v>272</v>
      </c>
      <c r="D1051" s="52" t="s">
        <v>268</v>
      </c>
      <c r="E1051" s="52">
        <v>3</v>
      </c>
      <c r="F1051">
        <v>3</v>
      </c>
      <c r="G1051">
        <v>40</v>
      </c>
      <c r="H1051">
        <v>6</v>
      </c>
      <c r="I1051" s="52"/>
      <c r="J1051" s="52"/>
      <c r="K1051" s="52"/>
      <c r="L1051" s="52"/>
      <c r="M1051">
        <v>24</v>
      </c>
    </row>
    <row r="1052" spans="1:13" hidden="1" x14ac:dyDescent="0.25">
      <c r="A1052" t="s">
        <v>344</v>
      </c>
      <c r="B1052" s="52" t="s">
        <v>267</v>
      </c>
      <c r="C1052" s="52" t="s">
        <v>272</v>
      </c>
      <c r="D1052" s="52" t="s">
        <v>268</v>
      </c>
      <c r="E1052" s="52">
        <v>3</v>
      </c>
      <c r="F1052">
        <v>3.5</v>
      </c>
      <c r="G1052">
        <v>20</v>
      </c>
      <c r="H1052">
        <v>7</v>
      </c>
      <c r="I1052" s="52">
        <v>1.3</v>
      </c>
      <c r="J1052" s="52">
        <v>15.4</v>
      </c>
      <c r="K1052" s="52">
        <v>25.8</v>
      </c>
      <c r="L1052" s="52">
        <v>2.4</v>
      </c>
      <c r="M1052">
        <v>16</v>
      </c>
    </row>
    <row r="1053" spans="1:13" hidden="1" x14ac:dyDescent="0.25">
      <c r="A1053" t="s">
        <v>344</v>
      </c>
      <c r="B1053" s="52" t="s">
        <v>267</v>
      </c>
      <c r="C1053" s="52" t="s">
        <v>272</v>
      </c>
      <c r="D1053" s="52" t="s">
        <v>268</v>
      </c>
      <c r="E1053" s="52">
        <v>3</v>
      </c>
      <c r="F1053">
        <v>3.5</v>
      </c>
      <c r="G1053">
        <v>30</v>
      </c>
      <c r="H1053">
        <v>7</v>
      </c>
      <c r="I1053" s="52">
        <v>1.3</v>
      </c>
      <c r="J1053" s="52">
        <v>15.4</v>
      </c>
      <c r="K1053" s="52">
        <v>25.8</v>
      </c>
      <c r="L1053" s="52">
        <v>2.4</v>
      </c>
      <c r="M1053">
        <v>18</v>
      </c>
    </row>
    <row r="1054" spans="1:13" hidden="1" x14ac:dyDescent="0.25">
      <c r="A1054" t="s">
        <v>344</v>
      </c>
      <c r="B1054" s="52" t="s">
        <v>267</v>
      </c>
      <c r="C1054" s="52" t="s">
        <v>272</v>
      </c>
      <c r="D1054" s="52" t="s">
        <v>268</v>
      </c>
      <c r="E1054" s="52">
        <v>3</v>
      </c>
      <c r="F1054">
        <v>3.5</v>
      </c>
      <c r="G1054">
        <v>40</v>
      </c>
      <c r="H1054">
        <v>7</v>
      </c>
      <c r="I1054" s="52">
        <v>1.3</v>
      </c>
      <c r="J1054" s="52">
        <v>15.4</v>
      </c>
      <c r="K1054" s="52">
        <v>25.8</v>
      </c>
      <c r="L1054" s="52">
        <v>2.4</v>
      </c>
      <c r="M1054">
        <v>24</v>
      </c>
    </row>
    <row r="1055" spans="1:13" hidden="1" x14ac:dyDescent="0.25">
      <c r="A1055" t="s">
        <v>344</v>
      </c>
      <c r="B1055" s="52" t="s">
        <v>267</v>
      </c>
      <c r="C1055" s="52" t="s">
        <v>272</v>
      </c>
      <c r="D1055" s="52" t="s">
        <v>268</v>
      </c>
      <c r="E1055" s="52">
        <v>3</v>
      </c>
      <c r="F1055">
        <v>4</v>
      </c>
      <c r="G1055">
        <v>20</v>
      </c>
      <c r="H1055">
        <v>8</v>
      </c>
      <c r="I1055" s="52">
        <v>2.4</v>
      </c>
      <c r="J1055" s="52">
        <v>16.7</v>
      </c>
      <c r="K1055" s="52">
        <v>25.3</v>
      </c>
      <c r="L1055" s="52">
        <v>3.4</v>
      </c>
      <c r="M1055">
        <v>16</v>
      </c>
    </row>
    <row r="1056" spans="1:13" hidden="1" x14ac:dyDescent="0.25">
      <c r="A1056" t="s">
        <v>344</v>
      </c>
      <c r="B1056" s="52" t="s">
        <v>267</v>
      </c>
      <c r="C1056" s="52" t="s">
        <v>272</v>
      </c>
      <c r="D1056" s="52" t="s">
        <v>268</v>
      </c>
      <c r="E1056" s="52">
        <v>3</v>
      </c>
      <c r="F1056">
        <v>4</v>
      </c>
      <c r="G1056">
        <v>30</v>
      </c>
      <c r="H1056">
        <v>8</v>
      </c>
      <c r="I1056" s="52">
        <v>2.4</v>
      </c>
      <c r="J1056" s="52">
        <v>16.7</v>
      </c>
      <c r="K1056" s="52">
        <v>25.3</v>
      </c>
      <c r="L1056" s="52">
        <v>3.4</v>
      </c>
      <c r="M1056">
        <v>18</v>
      </c>
    </row>
    <row r="1057" spans="1:13" hidden="1" x14ac:dyDescent="0.25">
      <c r="A1057" t="s">
        <v>344</v>
      </c>
      <c r="B1057" s="52" t="s">
        <v>267</v>
      </c>
      <c r="C1057" s="52" t="s">
        <v>272</v>
      </c>
      <c r="D1057" s="52" t="s">
        <v>268</v>
      </c>
      <c r="E1057" s="52">
        <v>3</v>
      </c>
      <c r="F1057">
        <v>4</v>
      </c>
      <c r="G1057">
        <v>40</v>
      </c>
      <c r="H1057">
        <v>8</v>
      </c>
      <c r="I1057" s="52">
        <v>2.4</v>
      </c>
      <c r="J1057" s="52">
        <v>16.7</v>
      </c>
      <c r="K1057" s="52">
        <v>25.3</v>
      </c>
      <c r="L1057" s="52">
        <v>3.4</v>
      </c>
      <c r="M1057">
        <v>24</v>
      </c>
    </row>
    <row r="1058" spans="1:13" hidden="1" x14ac:dyDescent="0.25">
      <c r="A1058" t="s">
        <v>344</v>
      </c>
      <c r="B1058" s="52" t="s">
        <v>267</v>
      </c>
      <c r="C1058" s="52" t="s">
        <v>272</v>
      </c>
      <c r="D1058" s="52" t="s">
        <v>268</v>
      </c>
      <c r="E1058" s="52">
        <v>3</v>
      </c>
      <c r="F1058">
        <v>4</v>
      </c>
      <c r="G1058">
        <v>45</v>
      </c>
      <c r="H1058">
        <v>8</v>
      </c>
      <c r="I1058" s="52">
        <v>2.4</v>
      </c>
      <c r="J1058" s="52">
        <v>16.7</v>
      </c>
      <c r="K1058" s="52">
        <v>25.3</v>
      </c>
      <c r="L1058" s="52">
        <v>3.4</v>
      </c>
      <c r="M1058">
        <v>30</v>
      </c>
    </row>
    <row r="1059" spans="1:13" hidden="1" x14ac:dyDescent="0.25">
      <c r="A1059" t="s">
        <v>344</v>
      </c>
      <c r="B1059" s="52" t="s">
        <v>267</v>
      </c>
      <c r="C1059" s="52" t="s">
        <v>272</v>
      </c>
      <c r="D1059" s="52" t="s">
        <v>268</v>
      </c>
      <c r="E1059" s="52">
        <v>3</v>
      </c>
      <c r="F1059">
        <v>4</v>
      </c>
      <c r="G1059">
        <v>50</v>
      </c>
      <c r="H1059">
        <v>8</v>
      </c>
      <c r="I1059" s="52">
        <v>2.4</v>
      </c>
      <c r="J1059" s="52">
        <v>16.7</v>
      </c>
      <c r="K1059" s="52">
        <v>25.3</v>
      </c>
      <c r="L1059" s="52">
        <v>3.4</v>
      </c>
      <c r="M1059">
        <v>30</v>
      </c>
    </row>
    <row r="1060" spans="1:13" hidden="1" x14ac:dyDescent="0.25">
      <c r="A1060" t="s">
        <v>344</v>
      </c>
      <c r="B1060" s="52" t="s">
        <v>267</v>
      </c>
      <c r="C1060" s="52" t="s">
        <v>272</v>
      </c>
      <c r="D1060" s="52" t="s">
        <v>268</v>
      </c>
      <c r="E1060" s="52">
        <v>3</v>
      </c>
      <c r="F1060">
        <v>4.5</v>
      </c>
      <c r="G1060">
        <v>30</v>
      </c>
      <c r="H1060">
        <v>9</v>
      </c>
      <c r="I1060" s="52"/>
      <c r="J1060" s="52"/>
      <c r="K1060" s="52"/>
      <c r="L1060" s="52"/>
      <c r="M1060">
        <v>18</v>
      </c>
    </row>
    <row r="1061" spans="1:13" hidden="1" x14ac:dyDescent="0.25">
      <c r="A1061" t="s">
        <v>344</v>
      </c>
      <c r="B1061" s="52" t="s">
        <v>267</v>
      </c>
      <c r="C1061" s="52" t="s">
        <v>272</v>
      </c>
      <c r="D1061" s="52" t="s">
        <v>268</v>
      </c>
      <c r="E1061" s="52">
        <v>3</v>
      </c>
      <c r="F1061">
        <v>4.5</v>
      </c>
      <c r="G1061">
        <v>40</v>
      </c>
      <c r="H1061">
        <v>9</v>
      </c>
      <c r="I1061" s="52"/>
      <c r="J1061" s="52"/>
      <c r="K1061" s="52"/>
      <c r="L1061" s="52"/>
      <c r="M1061">
        <v>24</v>
      </c>
    </row>
    <row r="1062" spans="1:13" hidden="1" x14ac:dyDescent="0.25">
      <c r="A1062" t="s">
        <v>344</v>
      </c>
      <c r="B1062" s="52" t="s">
        <v>267</v>
      </c>
      <c r="C1062" s="52" t="s">
        <v>272</v>
      </c>
      <c r="D1062" s="52" t="s">
        <v>268</v>
      </c>
      <c r="E1062" s="52">
        <v>3</v>
      </c>
      <c r="F1062">
        <v>4.5</v>
      </c>
      <c r="G1062">
        <v>50</v>
      </c>
      <c r="H1062">
        <v>9</v>
      </c>
      <c r="I1062" s="52"/>
      <c r="J1062" s="52"/>
      <c r="K1062" s="52"/>
      <c r="L1062" s="52"/>
      <c r="M1062">
        <v>30</v>
      </c>
    </row>
    <row r="1063" spans="1:13" hidden="1" x14ac:dyDescent="0.25">
      <c r="A1063" t="s">
        <v>344</v>
      </c>
      <c r="B1063" s="52" t="s">
        <v>267</v>
      </c>
      <c r="C1063" s="52" t="s">
        <v>272</v>
      </c>
      <c r="D1063" s="52" t="s">
        <v>268</v>
      </c>
      <c r="E1063" s="52">
        <v>3</v>
      </c>
      <c r="F1063">
        <v>4.5</v>
      </c>
      <c r="G1063">
        <v>60</v>
      </c>
      <c r="H1063">
        <v>9</v>
      </c>
      <c r="I1063" s="52"/>
      <c r="J1063" s="52"/>
      <c r="K1063" s="52"/>
      <c r="L1063" s="52"/>
      <c r="M1063">
        <v>36</v>
      </c>
    </row>
    <row r="1064" spans="1:13" hidden="1" x14ac:dyDescent="0.25">
      <c r="A1064" t="s">
        <v>344</v>
      </c>
      <c r="B1064" s="52" t="s">
        <v>267</v>
      </c>
      <c r="C1064" s="52" t="s">
        <v>272</v>
      </c>
      <c r="D1064" s="52" t="s">
        <v>268</v>
      </c>
      <c r="E1064" s="52">
        <v>3</v>
      </c>
      <c r="F1064">
        <v>4.5</v>
      </c>
      <c r="G1064">
        <v>70</v>
      </c>
      <c r="H1064">
        <v>9</v>
      </c>
      <c r="I1064" s="52"/>
      <c r="J1064" s="52"/>
      <c r="K1064" s="52"/>
      <c r="L1064" s="52"/>
      <c r="M1064">
        <v>42</v>
      </c>
    </row>
    <row r="1065" spans="1:13" hidden="1" x14ac:dyDescent="0.25">
      <c r="A1065" t="s">
        <v>344</v>
      </c>
      <c r="B1065" s="52" t="s">
        <v>267</v>
      </c>
      <c r="C1065" s="52" t="s">
        <v>272</v>
      </c>
      <c r="D1065" s="52" t="s">
        <v>268</v>
      </c>
      <c r="E1065" s="52">
        <v>3</v>
      </c>
      <c r="F1065">
        <v>5</v>
      </c>
      <c r="G1065">
        <v>40</v>
      </c>
      <c r="H1065">
        <v>10</v>
      </c>
      <c r="I1065" s="52">
        <v>3.3</v>
      </c>
      <c r="J1065" s="52">
        <v>15.6</v>
      </c>
      <c r="K1065" s="52">
        <v>23.5</v>
      </c>
      <c r="L1065" s="52">
        <v>4.8</v>
      </c>
      <c r="M1065">
        <v>24</v>
      </c>
    </row>
    <row r="1066" spans="1:13" hidden="1" x14ac:dyDescent="0.25">
      <c r="A1066" t="s">
        <v>344</v>
      </c>
      <c r="B1066" s="52" t="s">
        <v>267</v>
      </c>
      <c r="C1066" s="52" t="s">
        <v>272</v>
      </c>
      <c r="D1066" s="52" t="s">
        <v>268</v>
      </c>
      <c r="E1066" s="52">
        <v>3</v>
      </c>
      <c r="F1066">
        <v>5</v>
      </c>
      <c r="G1066">
        <v>50</v>
      </c>
      <c r="H1066">
        <v>10</v>
      </c>
      <c r="I1066" s="52">
        <v>3.3</v>
      </c>
      <c r="J1066" s="52">
        <v>15.6</v>
      </c>
      <c r="K1066" s="52">
        <v>23.5</v>
      </c>
      <c r="L1066" s="52">
        <v>4.8</v>
      </c>
      <c r="M1066">
        <v>30</v>
      </c>
    </row>
    <row r="1067" spans="1:13" hidden="1" x14ac:dyDescent="0.25">
      <c r="A1067" t="s">
        <v>344</v>
      </c>
      <c r="B1067" s="52" t="s">
        <v>267</v>
      </c>
      <c r="C1067" s="52" t="s">
        <v>272</v>
      </c>
      <c r="D1067" s="52" t="s">
        <v>268</v>
      </c>
      <c r="E1067" s="52">
        <v>3</v>
      </c>
      <c r="F1067">
        <v>5</v>
      </c>
      <c r="G1067">
        <v>60</v>
      </c>
      <c r="H1067">
        <v>10</v>
      </c>
      <c r="I1067" s="52">
        <v>3.3</v>
      </c>
      <c r="J1067" s="52">
        <v>15.6</v>
      </c>
      <c r="K1067" s="52">
        <v>23.5</v>
      </c>
      <c r="L1067" s="52">
        <v>4.8</v>
      </c>
      <c r="M1067">
        <v>36</v>
      </c>
    </row>
    <row r="1068" spans="1:13" hidden="1" x14ac:dyDescent="0.25">
      <c r="A1068" t="s">
        <v>344</v>
      </c>
      <c r="B1068" s="52" t="s">
        <v>267</v>
      </c>
      <c r="C1068" s="52" t="s">
        <v>272</v>
      </c>
      <c r="D1068" s="52" t="s">
        <v>268</v>
      </c>
      <c r="E1068" s="52">
        <v>3</v>
      </c>
      <c r="F1068">
        <v>5</v>
      </c>
      <c r="G1068">
        <v>70</v>
      </c>
      <c r="H1068">
        <v>10</v>
      </c>
      <c r="I1068" s="52">
        <v>3.3</v>
      </c>
      <c r="J1068" s="52">
        <v>15.6</v>
      </c>
      <c r="K1068" s="52">
        <v>23.5</v>
      </c>
      <c r="L1068" s="52">
        <v>4.8</v>
      </c>
      <c r="M1068">
        <v>42</v>
      </c>
    </row>
    <row r="1069" spans="1:13" hidden="1" x14ac:dyDescent="0.25">
      <c r="A1069" t="s">
        <v>344</v>
      </c>
      <c r="B1069" s="52" t="s">
        <v>267</v>
      </c>
      <c r="C1069" s="52" t="s">
        <v>272</v>
      </c>
      <c r="D1069" s="52" t="s">
        <v>268</v>
      </c>
      <c r="E1069" s="52">
        <v>3</v>
      </c>
      <c r="F1069">
        <v>5</v>
      </c>
      <c r="G1069">
        <v>80</v>
      </c>
      <c r="H1069">
        <v>10</v>
      </c>
      <c r="I1069" s="52">
        <v>3.3</v>
      </c>
      <c r="J1069" s="52">
        <v>15.6</v>
      </c>
      <c r="K1069" s="52">
        <v>23.5</v>
      </c>
      <c r="L1069" s="52">
        <v>4.8</v>
      </c>
      <c r="M1069">
        <v>50</v>
      </c>
    </row>
    <row r="1070" spans="1:13" hidden="1" x14ac:dyDescent="0.25">
      <c r="A1070" t="s">
        <v>344</v>
      </c>
      <c r="B1070" s="52" t="s">
        <v>267</v>
      </c>
      <c r="C1070" s="52" t="s">
        <v>272</v>
      </c>
      <c r="D1070" s="52" t="s">
        <v>268</v>
      </c>
      <c r="E1070" s="52">
        <v>3</v>
      </c>
      <c r="F1070">
        <v>5</v>
      </c>
      <c r="G1070">
        <v>90</v>
      </c>
      <c r="H1070">
        <v>10</v>
      </c>
      <c r="I1070" s="52">
        <v>3.3</v>
      </c>
      <c r="J1070" s="52">
        <v>15.6</v>
      </c>
      <c r="K1070" s="52">
        <v>23.5</v>
      </c>
      <c r="L1070" s="52">
        <v>4.8</v>
      </c>
      <c r="M1070">
        <v>42</v>
      </c>
    </row>
    <row r="1071" spans="1:13" hidden="1" x14ac:dyDescent="0.25">
      <c r="A1071" t="s">
        <v>344</v>
      </c>
      <c r="B1071" s="52" t="s">
        <v>267</v>
      </c>
      <c r="C1071" s="52" t="s">
        <v>272</v>
      </c>
      <c r="D1071" s="52" t="s">
        <v>268</v>
      </c>
      <c r="E1071" s="52">
        <v>3</v>
      </c>
      <c r="F1071">
        <v>5</v>
      </c>
      <c r="G1071">
        <v>100</v>
      </c>
      <c r="H1071">
        <v>10</v>
      </c>
      <c r="I1071" s="52">
        <v>3.3</v>
      </c>
      <c r="J1071" s="52">
        <v>15.6</v>
      </c>
      <c r="K1071" s="52">
        <v>23.5</v>
      </c>
      <c r="L1071" s="52">
        <v>4.8</v>
      </c>
      <c r="M1071">
        <v>52</v>
      </c>
    </row>
    <row r="1072" spans="1:13" hidden="1" x14ac:dyDescent="0.25">
      <c r="A1072" t="s">
        <v>344</v>
      </c>
      <c r="B1072" s="52" t="s">
        <v>267</v>
      </c>
      <c r="C1072" s="52" t="s">
        <v>272</v>
      </c>
      <c r="D1072" s="52" t="s">
        <v>268</v>
      </c>
      <c r="E1072" s="52">
        <v>3</v>
      </c>
      <c r="F1072">
        <v>6</v>
      </c>
      <c r="G1072">
        <v>50</v>
      </c>
      <c r="H1072">
        <v>12</v>
      </c>
      <c r="I1072" s="52">
        <v>6.2</v>
      </c>
      <c r="J1072" s="52">
        <v>15.7</v>
      </c>
      <c r="K1072" s="52">
        <v>22</v>
      </c>
      <c r="L1072" s="52">
        <v>6.9</v>
      </c>
      <c r="M1072">
        <v>30</v>
      </c>
    </row>
    <row r="1073" spans="1:13" hidden="1" x14ac:dyDescent="0.25">
      <c r="A1073" t="s">
        <v>344</v>
      </c>
      <c r="B1073" s="52" t="s">
        <v>267</v>
      </c>
      <c r="C1073" s="52" t="s">
        <v>272</v>
      </c>
      <c r="D1073" s="52" t="s">
        <v>268</v>
      </c>
      <c r="E1073" s="52">
        <v>3</v>
      </c>
      <c r="F1073">
        <v>6</v>
      </c>
      <c r="G1073">
        <v>60</v>
      </c>
      <c r="H1073">
        <v>12</v>
      </c>
      <c r="I1073" s="52">
        <v>6.2</v>
      </c>
      <c r="J1073" s="52">
        <v>15.7</v>
      </c>
      <c r="K1073" s="52">
        <v>22</v>
      </c>
      <c r="L1073" s="52">
        <v>6.9</v>
      </c>
      <c r="M1073">
        <v>36</v>
      </c>
    </row>
    <row r="1074" spans="1:13" hidden="1" x14ac:dyDescent="0.25">
      <c r="A1074" t="s">
        <v>344</v>
      </c>
      <c r="B1074" s="52" t="s">
        <v>267</v>
      </c>
      <c r="C1074" s="52" t="s">
        <v>272</v>
      </c>
      <c r="D1074" s="52" t="s">
        <v>268</v>
      </c>
      <c r="E1074" s="52">
        <v>3</v>
      </c>
      <c r="F1074">
        <v>6</v>
      </c>
      <c r="G1074">
        <v>70</v>
      </c>
      <c r="H1074">
        <v>12</v>
      </c>
      <c r="I1074" s="52">
        <v>6.2</v>
      </c>
      <c r="J1074" s="52">
        <v>15.7</v>
      </c>
      <c r="K1074" s="52">
        <v>22</v>
      </c>
      <c r="L1074" s="52">
        <v>6.9</v>
      </c>
      <c r="M1074">
        <v>42</v>
      </c>
    </row>
    <row r="1075" spans="1:13" hidden="1" x14ac:dyDescent="0.25">
      <c r="A1075" t="s">
        <v>344</v>
      </c>
      <c r="B1075" s="52" t="s">
        <v>267</v>
      </c>
      <c r="C1075" s="52" t="s">
        <v>272</v>
      </c>
      <c r="D1075" s="52" t="s">
        <v>268</v>
      </c>
      <c r="E1075" s="52">
        <v>3</v>
      </c>
      <c r="F1075">
        <v>6</v>
      </c>
      <c r="G1075">
        <v>80</v>
      </c>
      <c r="H1075">
        <v>12</v>
      </c>
      <c r="I1075" s="52">
        <v>6.2</v>
      </c>
      <c r="J1075" s="52">
        <v>15.7</v>
      </c>
      <c r="K1075" s="52">
        <v>22</v>
      </c>
      <c r="L1075" s="52">
        <v>6.9</v>
      </c>
      <c r="M1075">
        <v>42</v>
      </c>
    </row>
    <row r="1076" spans="1:13" hidden="1" x14ac:dyDescent="0.25">
      <c r="A1076" t="s">
        <v>344</v>
      </c>
      <c r="B1076" s="52" t="s">
        <v>267</v>
      </c>
      <c r="C1076" s="52" t="s">
        <v>272</v>
      </c>
      <c r="D1076" s="52" t="s">
        <v>268</v>
      </c>
      <c r="E1076" s="52">
        <v>3</v>
      </c>
      <c r="F1076">
        <v>6</v>
      </c>
      <c r="G1076">
        <v>90</v>
      </c>
      <c r="H1076">
        <v>12</v>
      </c>
      <c r="I1076" s="52">
        <v>6.2</v>
      </c>
      <c r="J1076" s="52">
        <v>15.7</v>
      </c>
      <c r="K1076" s="52">
        <v>22</v>
      </c>
      <c r="L1076" s="52">
        <v>6.9</v>
      </c>
      <c r="M1076">
        <v>42</v>
      </c>
    </row>
    <row r="1077" spans="1:13" hidden="1" x14ac:dyDescent="0.25">
      <c r="A1077" t="s">
        <v>344</v>
      </c>
      <c r="B1077" s="52" t="s">
        <v>267</v>
      </c>
      <c r="C1077" s="52" t="s">
        <v>272</v>
      </c>
      <c r="D1077" s="52" t="s">
        <v>268</v>
      </c>
      <c r="E1077" s="52">
        <v>3</v>
      </c>
      <c r="F1077">
        <v>6</v>
      </c>
      <c r="G1077">
        <v>100</v>
      </c>
      <c r="H1077">
        <v>12</v>
      </c>
      <c r="I1077" s="52">
        <v>6.2</v>
      </c>
      <c r="J1077" s="52">
        <v>15.7</v>
      </c>
      <c r="K1077" s="52">
        <v>22</v>
      </c>
      <c r="L1077" s="52">
        <v>6.9</v>
      </c>
      <c r="M1077">
        <v>52</v>
      </c>
    </row>
    <row r="1078" spans="1:13" hidden="1" x14ac:dyDescent="0.25">
      <c r="A1078" t="s">
        <v>344</v>
      </c>
      <c r="B1078" s="52" t="s">
        <v>267</v>
      </c>
      <c r="C1078" s="52" t="s">
        <v>272</v>
      </c>
      <c r="D1078" s="52" t="s">
        <v>268</v>
      </c>
      <c r="E1078" s="52">
        <v>3</v>
      </c>
      <c r="F1078">
        <v>6</v>
      </c>
      <c r="G1078">
        <v>120</v>
      </c>
      <c r="H1078">
        <v>12</v>
      </c>
      <c r="I1078" s="52">
        <v>6.2</v>
      </c>
      <c r="J1078" s="52">
        <v>15.7</v>
      </c>
      <c r="K1078" s="52">
        <v>22</v>
      </c>
      <c r="L1078" s="52">
        <v>6.9</v>
      </c>
      <c r="M1078">
        <v>72</v>
      </c>
    </row>
    <row r="1079" spans="1:13" hidden="1" x14ac:dyDescent="0.25">
      <c r="A1079" t="s">
        <v>344</v>
      </c>
      <c r="B1079" s="52" t="s">
        <v>267</v>
      </c>
      <c r="C1079" s="52" t="s">
        <v>272</v>
      </c>
      <c r="D1079" s="52" t="s">
        <v>268</v>
      </c>
      <c r="E1079" s="52">
        <v>3</v>
      </c>
      <c r="F1079">
        <v>6</v>
      </c>
      <c r="G1079">
        <v>130</v>
      </c>
      <c r="H1079">
        <v>12</v>
      </c>
      <c r="I1079" s="52">
        <v>6.2</v>
      </c>
      <c r="J1079" s="52">
        <v>15.7</v>
      </c>
      <c r="K1079" s="52">
        <v>22</v>
      </c>
      <c r="L1079" s="52">
        <v>6.9</v>
      </c>
      <c r="M1079">
        <v>72</v>
      </c>
    </row>
    <row r="1080" spans="1:13" hidden="1" x14ac:dyDescent="0.25">
      <c r="A1080" t="s">
        <v>344</v>
      </c>
      <c r="B1080" s="52" t="s">
        <v>267</v>
      </c>
      <c r="C1080" s="52" t="s">
        <v>272</v>
      </c>
      <c r="D1080" s="52" t="s">
        <v>268</v>
      </c>
      <c r="E1080" s="52">
        <v>3</v>
      </c>
      <c r="F1080">
        <v>6</v>
      </c>
      <c r="G1080">
        <v>140</v>
      </c>
      <c r="H1080">
        <v>12</v>
      </c>
      <c r="I1080" s="52">
        <v>6.2</v>
      </c>
      <c r="J1080" s="52">
        <v>15.7</v>
      </c>
      <c r="K1080" s="52">
        <v>22</v>
      </c>
      <c r="L1080" s="52">
        <v>6.9</v>
      </c>
      <c r="M1080">
        <v>72</v>
      </c>
    </row>
    <row r="1081" spans="1:13" hidden="1" x14ac:dyDescent="0.25">
      <c r="A1081" t="s">
        <v>344</v>
      </c>
      <c r="B1081" s="52" t="s">
        <v>267</v>
      </c>
      <c r="C1081" s="52" t="s">
        <v>271</v>
      </c>
      <c r="D1081" s="52" t="s">
        <v>270</v>
      </c>
      <c r="E1081" s="52">
        <v>2</v>
      </c>
      <c r="F1081">
        <v>3</v>
      </c>
      <c r="G1081">
        <v>10</v>
      </c>
      <c r="H1081">
        <v>6</v>
      </c>
      <c r="I1081" s="52">
        <v>1.7</v>
      </c>
      <c r="J1081" s="52">
        <v>16.3</v>
      </c>
      <c r="K1081" s="52">
        <v>23.5</v>
      </c>
      <c r="L1081" s="52">
        <v>3.1</v>
      </c>
      <c r="M1081">
        <v>10</v>
      </c>
    </row>
    <row r="1082" spans="1:13" hidden="1" x14ac:dyDescent="0.25">
      <c r="A1082" t="s">
        <v>344</v>
      </c>
      <c r="B1082" s="52" t="s">
        <v>267</v>
      </c>
      <c r="C1082" s="52" t="s">
        <v>271</v>
      </c>
      <c r="D1082" s="52" t="s">
        <v>270</v>
      </c>
      <c r="E1082" s="52">
        <v>2</v>
      </c>
      <c r="F1082">
        <v>3</v>
      </c>
      <c r="G1082">
        <v>12</v>
      </c>
      <c r="H1082">
        <v>6</v>
      </c>
      <c r="I1082" s="52">
        <v>1.7</v>
      </c>
      <c r="J1082" s="52">
        <v>16.3</v>
      </c>
      <c r="K1082" s="52">
        <v>23.5</v>
      </c>
      <c r="L1082" s="52">
        <v>3.1</v>
      </c>
      <c r="M1082">
        <v>12</v>
      </c>
    </row>
    <row r="1083" spans="1:13" hidden="1" x14ac:dyDescent="0.25">
      <c r="A1083" t="s">
        <v>344</v>
      </c>
      <c r="B1083" s="52" t="s">
        <v>267</v>
      </c>
      <c r="C1083" s="52" t="s">
        <v>271</v>
      </c>
      <c r="D1083" s="52" t="s">
        <v>270</v>
      </c>
      <c r="E1083" s="52">
        <v>2</v>
      </c>
      <c r="F1083">
        <v>3</v>
      </c>
      <c r="G1083">
        <v>16</v>
      </c>
      <c r="H1083">
        <v>6</v>
      </c>
      <c r="I1083" s="52">
        <v>1.7</v>
      </c>
      <c r="J1083" s="52">
        <v>16.3</v>
      </c>
      <c r="K1083" s="52">
        <v>23.5</v>
      </c>
      <c r="L1083" s="52">
        <v>3.1</v>
      </c>
      <c r="M1083">
        <v>16</v>
      </c>
    </row>
    <row r="1084" spans="1:13" hidden="1" x14ac:dyDescent="0.25">
      <c r="A1084" t="s">
        <v>344</v>
      </c>
      <c r="B1084" s="52" t="s">
        <v>267</v>
      </c>
      <c r="C1084" s="52" t="s">
        <v>271</v>
      </c>
      <c r="D1084" s="52" t="s">
        <v>270</v>
      </c>
      <c r="E1084" s="52">
        <v>2</v>
      </c>
      <c r="F1084">
        <v>3</v>
      </c>
      <c r="G1084">
        <v>20</v>
      </c>
      <c r="H1084">
        <v>6</v>
      </c>
      <c r="I1084" s="52">
        <v>1.7</v>
      </c>
      <c r="J1084" s="52">
        <v>16.3</v>
      </c>
      <c r="K1084" s="52">
        <v>23.5</v>
      </c>
      <c r="L1084" s="52">
        <v>3.1</v>
      </c>
      <c r="M1084">
        <v>20</v>
      </c>
    </row>
    <row r="1085" spans="1:13" hidden="1" x14ac:dyDescent="0.25">
      <c r="A1085" t="s">
        <v>344</v>
      </c>
      <c r="B1085" s="52" t="s">
        <v>267</v>
      </c>
      <c r="C1085" s="52" t="s">
        <v>271</v>
      </c>
      <c r="D1085" s="52" t="s">
        <v>270</v>
      </c>
      <c r="E1085" s="52">
        <v>2</v>
      </c>
      <c r="F1085">
        <v>3</v>
      </c>
      <c r="G1085">
        <v>25</v>
      </c>
      <c r="H1085">
        <v>6</v>
      </c>
      <c r="I1085" s="52">
        <v>1.7</v>
      </c>
      <c r="J1085" s="52">
        <v>16.3</v>
      </c>
      <c r="K1085" s="52">
        <v>23.5</v>
      </c>
      <c r="L1085" s="52">
        <v>3.1</v>
      </c>
      <c r="M1085">
        <v>25</v>
      </c>
    </row>
    <row r="1086" spans="1:13" hidden="1" x14ac:dyDescent="0.25">
      <c r="A1086" t="s">
        <v>344</v>
      </c>
      <c r="B1086" s="52" t="s">
        <v>267</v>
      </c>
      <c r="C1086" s="52" t="s">
        <v>271</v>
      </c>
      <c r="D1086" s="52" t="s">
        <v>270</v>
      </c>
      <c r="E1086" s="52">
        <v>2</v>
      </c>
      <c r="F1086">
        <v>3</v>
      </c>
      <c r="G1086">
        <v>30</v>
      </c>
      <c r="H1086">
        <v>6</v>
      </c>
      <c r="I1086" s="52">
        <v>1.7</v>
      </c>
      <c r="J1086" s="52">
        <v>16.3</v>
      </c>
      <c r="K1086" s="52">
        <v>23.5</v>
      </c>
      <c r="L1086" s="52">
        <v>3.1</v>
      </c>
      <c r="M1086">
        <v>30</v>
      </c>
    </row>
    <row r="1087" spans="1:13" hidden="1" x14ac:dyDescent="0.25">
      <c r="A1087" t="s">
        <v>344</v>
      </c>
      <c r="B1087" s="52" t="s">
        <v>267</v>
      </c>
      <c r="C1087" s="52" t="s">
        <v>271</v>
      </c>
      <c r="D1087" s="52" t="s">
        <v>270</v>
      </c>
      <c r="E1087" s="52">
        <v>2</v>
      </c>
      <c r="F1087">
        <v>3.5</v>
      </c>
      <c r="G1087">
        <v>12</v>
      </c>
      <c r="H1087">
        <v>7</v>
      </c>
      <c r="I1087" s="52">
        <v>2.2000000000000002</v>
      </c>
      <c r="J1087" s="52">
        <v>16</v>
      </c>
      <c r="K1087" s="52">
        <v>22.6</v>
      </c>
      <c r="L1087" s="52">
        <v>3.7</v>
      </c>
      <c r="M1087">
        <v>12</v>
      </c>
    </row>
    <row r="1088" spans="1:13" hidden="1" x14ac:dyDescent="0.25">
      <c r="A1088" t="s">
        <v>344</v>
      </c>
      <c r="B1088" s="52" t="s">
        <v>267</v>
      </c>
      <c r="C1088" s="52" t="s">
        <v>271</v>
      </c>
      <c r="D1088" s="52" t="s">
        <v>270</v>
      </c>
      <c r="E1088" s="52">
        <v>2</v>
      </c>
      <c r="F1088">
        <v>3.5</v>
      </c>
      <c r="G1088">
        <v>16</v>
      </c>
      <c r="H1088">
        <v>7</v>
      </c>
      <c r="I1088" s="52">
        <v>2.2000000000000002</v>
      </c>
      <c r="J1088" s="52">
        <v>16</v>
      </c>
      <c r="K1088" s="52">
        <v>22.6</v>
      </c>
      <c r="L1088" s="52">
        <v>3.7</v>
      </c>
      <c r="M1088">
        <v>16</v>
      </c>
    </row>
    <row r="1089" spans="1:13" hidden="1" x14ac:dyDescent="0.25">
      <c r="A1089" t="s">
        <v>344</v>
      </c>
      <c r="B1089" s="52" t="s">
        <v>267</v>
      </c>
      <c r="C1089" s="52" t="s">
        <v>271</v>
      </c>
      <c r="D1089" s="52" t="s">
        <v>270</v>
      </c>
      <c r="E1089" s="52">
        <v>2</v>
      </c>
      <c r="F1089">
        <v>3.5</v>
      </c>
      <c r="G1089">
        <v>20</v>
      </c>
      <c r="H1089">
        <v>7</v>
      </c>
      <c r="I1089" s="52">
        <v>2.2000000000000002</v>
      </c>
      <c r="J1089" s="52">
        <v>16</v>
      </c>
      <c r="K1089" s="52">
        <v>22.6</v>
      </c>
      <c r="L1089" s="52">
        <v>3.7</v>
      </c>
      <c r="M1089">
        <v>20</v>
      </c>
    </row>
    <row r="1090" spans="1:13" hidden="1" x14ac:dyDescent="0.25">
      <c r="A1090" t="s">
        <v>344</v>
      </c>
      <c r="B1090" s="52" t="s">
        <v>267</v>
      </c>
      <c r="C1090" s="52" t="s">
        <v>271</v>
      </c>
      <c r="D1090" s="52" t="s">
        <v>270</v>
      </c>
      <c r="E1090" s="52">
        <v>2</v>
      </c>
      <c r="F1090">
        <v>3.5</v>
      </c>
      <c r="G1090">
        <v>25</v>
      </c>
      <c r="H1090">
        <v>7</v>
      </c>
      <c r="I1090" s="52">
        <v>2.2000000000000002</v>
      </c>
      <c r="J1090" s="52">
        <v>16</v>
      </c>
      <c r="K1090" s="52">
        <v>22.6</v>
      </c>
      <c r="L1090" s="52">
        <v>3.7</v>
      </c>
      <c r="M1090">
        <v>25</v>
      </c>
    </row>
    <row r="1091" spans="1:13" hidden="1" x14ac:dyDescent="0.25">
      <c r="A1091" t="s">
        <v>344</v>
      </c>
      <c r="B1091" s="52" t="s">
        <v>267</v>
      </c>
      <c r="C1091" s="52" t="s">
        <v>271</v>
      </c>
      <c r="D1091" s="52" t="s">
        <v>270</v>
      </c>
      <c r="E1091" s="52">
        <v>2</v>
      </c>
      <c r="F1091">
        <v>3.5</v>
      </c>
      <c r="G1091">
        <v>30</v>
      </c>
      <c r="H1091">
        <v>7</v>
      </c>
      <c r="I1091" s="52">
        <v>2.2000000000000002</v>
      </c>
      <c r="J1091" s="52">
        <v>16</v>
      </c>
      <c r="K1091" s="52">
        <v>22.6</v>
      </c>
      <c r="L1091" s="52">
        <v>3.7</v>
      </c>
      <c r="M1091">
        <v>30</v>
      </c>
    </row>
    <row r="1092" spans="1:13" hidden="1" x14ac:dyDescent="0.25">
      <c r="A1092" t="s">
        <v>344</v>
      </c>
      <c r="B1092" s="52" t="s">
        <v>267</v>
      </c>
      <c r="C1092" s="52" t="s">
        <v>271</v>
      </c>
      <c r="D1092" s="52" t="s">
        <v>270</v>
      </c>
      <c r="E1092" s="52">
        <v>2</v>
      </c>
      <c r="F1092">
        <v>3.5</v>
      </c>
      <c r="G1092">
        <v>35</v>
      </c>
      <c r="H1092">
        <v>7</v>
      </c>
      <c r="I1092" s="52">
        <v>2.2000000000000002</v>
      </c>
      <c r="J1092" s="52">
        <v>16</v>
      </c>
      <c r="K1092" s="52">
        <v>22.6</v>
      </c>
      <c r="L1092" s="52">
        <v>3.7</v>
      </c>
      <c r="M1092">
        <v>35</v>
      </c>
    </row>
    <row r="1093" spans="1:13" hidden="1" x14ac:dyDescent="0.25">
      <c r="A1093" t="s">
        <v>344</v>
      </c>
      <c r="B1093" s="52" t="s">
        <v>267</v>
      </c>
      <c r="C1093" s="52" t="s">
        <v>271</v>
      </c>
      <c r="D1093" s="52" t="s">
        <v>270</v>
      </c>
      <c r="E1093" s="52">
        <v>2</v>
      </c>
      <c r="F1093">
        <v>4</v>
      </c>
      <c r="G1093">
        <v>12</v>
      </c>
      <c r="H1093">
        <v>8</v>
      </c>
      <c r="I1093" s="52">
        <v>3.3</v>
      </c>
      <c r="J1093" s="52">
        <v>16.600000000000001</v>
      </c>
      <c r="K1093" s="52">
        <v>20.9</v>
      </c>
      <c r="L1093" s="52">
        <v>4.7</v>
      </c>
      <c r="M1093">
        <v>12</v>
      </c>
    </row>
    <row r="1094" spans="1:13" hidden="1" x14ac:dyDescent="0.25">
      <c r="A1094" t="s">
        <v>344</v>
      </c>
      <c r="B1094" s="52" t="s">
        <v>267</v>
      </c>
      <c r="C1094" s="52" t="s">
        <v>271</v>
      </c>
      <c r="D1094" s="52" t="s">
        <v>270</v>
      </c>
      <c r="E1094" s="52">
        <v>2</v>
      </c>
      <c r="F1094">
        <v>4</v>
      </c>
      <c r="G1094">
        <v>16</v>
      </c>
      <c r="H1094">
        <v>8</v>
      </c>
      <c r="I1094" s="52">
        <v>3.3</v>
      </c>
      <c r="J1094" s="52">
        <v>16.600000000000001</v>
      </c>
      <c r="K1094" s="52">
        <v>20.9</v>
      </c>
      <c r="L1094" s="52">
        <v>4.7</v>
      </c>
      <c r="M1094">
        <v>16</v>
      </c>
    </row>
    <row r="1095" spans="1:13" hidden="1" x14ac:dyDescent="0.25">
      <c r="A1095" t="s">
        <v>344</v>
      </c>
      <c r="B1095" s="52" t="s">
        <v>267</v>
      </c>
      <c r="C1095" s="52" t="s">
        <v>271</v>
      </c>
      <c r="D1095" s="52" t="s">
        <v>270</v>
      </c>
      <c r="E1095" s="52">
        <v>2</v>
      </c>
      <c r="F1095">
        <v>4</v>
      </c>
      <c r="G1095">
        <v>20</v>
      </c>
      <c r="H1095">
        <v>8</v>
      </c>
      <c r="I1095" s="52">
        <v>3.3</v>
      </c>
      <c r="J1095" s="52">
        <v>16.600000000000001</v>
      </c>
      <c r="K1095" s="52">
        <v>20.9</v>
      </c>
      <c r="L1095" s="52">
        <v>4.7</v>
      </c>
      <c r="M1095">
        <v>20</v>
      </c>
    </row>
    <row r="1096" spans="1:13" hidden="1" x14ac:dyDescent="0.25">
      <c r="A1096" t="s">
        <v>344</v>
      </c>
      <c r="B1096" s="52" t="s">
        <v>267</v>
      </c>
      <c r="C1096" s="52" t="s">
        <v>271</v>
      </c>
      <c r="D1096" s="52" t="s">
        <v>270</v>
      </c>
      <c r="E1096" s="52">
        <v>2</v>
      </c>
      <c r="F1096">
        <v>4</v>
      </c>
      <c r="G1096">
        <v>25</v>
      </c>
      <c r="H1096">
        <v>8</v>
      </c>
      <c r="I1096" s="52">
        <v>3.3</v>
      </c>
      <c r="J1096" s="52">
        <v>16.600000000000001</v>
      </c>
      <c r="K1096" s="52">
        <v>20.9</v>
      </c>
      <c r="L1096" s="52">
        <v>4.7</v>
      </c>
      <c r="M1096">
        <v>25</v>
      </c>
    </row>
    <row r="1097" spans="1:13" hidden="1" x14ac:dyDescent="0.25">
      <c r="A1097" t="s">
        <v>344</v>
      </c>
      <c r="B1097" s="52" t="s">
        <v>267</v>
      </c>
      <c r="C1097" s="52" t="s">
        <v>271</v>
      </c>
      <c r="D1097" s="52" t="s">
        <v>270</v>
      </c>
      <c r="E1097" s="52">
        <v>2</v>
      </c>
      <c r="F1097">
        <v>4</v>
      </c>
      <c r="G1097">
        <v>30</v>
      </c>
      <c r="H1097">
        <v>8</v>
      </c>
      <c r="I1097" s="52">
        <v>3.3</v>
      </c>
      <c r="J1097" s="52">
        <v>16.600000000000001</v>
      </c>
      <c r="K1097" s="52">
        <v>20.9</v>
      </c>
      <c r="L1097" s="52">
        <v>4.7</v>
      </c>
      <c r="M1097">
        <v>30</v>
      </c>
    </row>
    <row r="1098" spans="1:13" hidden="1" x14ac:dyDescent="0.25">
      <c r="A1098" t="s">
        <v>344</v>
      </c>
      <c r="B1098" s="52" t="s">
        <v>267</v>
      </c>
      <c r="C1098" s="52" t="s">
        <v>271</v>
      </c>
      <c r="D1098" s="52" t="s">
        <v>270</v>
      </c>
      <c r="E1098" s="52">
        <v>2</v>
      </c>
      <c r="F1098">
        <v>4</v>
      </c>
      <c r="G1098">
        <v>35</v>
      </c>
      <c r="H1098">
        <v>8</v>
      </c>
      <c r="I1098" s="52">
        <v>3.3</v>
      </c>
      <c r="J1098" s="52">
        <v>16.600000000000001</v>
      </c>
      <c r="K1098" s="52">
        <v>20.9</v>
      </c>
      <c r="L1098" s="52">
        <v>4.7</v>
      </c>
      <c r="M1098">
        <v>35</v>
      </c>
    </row>
    <row r="1099" spans="1:13" hidden="1" x14ac:dyDescent="0.25">
      <c r="A1099" t="s">
        <v>344</v>
      </c>
      <c r="B1099" s="52" t="s">
        <v>267</v>
      </c>
      <c r="C1099" s="52" t="s">
        <v>271</v>
      </c>
      <c r="D1099" s="52" t="s">
        <v>270</v>
      </c>
      <c r="E1099" s="52">
        <v>2</v>
      </c>
      <c r="F1099">
        <v>4</v>
      </c>
      <c r="G1099">
        <v>40</v>
      </c>
      <c r="H1099">
        <v>8</v>
      </c>
      <c r="I1099" s="52">
        <v>3.3</v>
      </c>
      <c r="J1099" s="52">
        <v>16.600000000000001</v>
      </c>
      <c r="K1099" s="52">
        <v>20.9</v>
      </c>
      <c r="L1099" s="52">
        <v>4.7</v>
      </c>
      <c r="M1099">
        <v>40</v>
      </c>
    </row>
    <row r="1100" spans="1:13" hidden="1" x14ac:dyDescent="0.25">
      <c r="A1100" t="s">
        <v>344</v>
      </c>
      <c r="B1100" s="52" t="s">
        <v>267</v>
      </c>
      <c r="C1100" s="52" t="s">
        <v>271</v>
      </c>
      <c r="D1100" s="52" t="s">
        <v>270</v>
      </c>
      <c r="E1100" s="52">
        <v>2</v>
      </c>
      <c r="F1100">
        <v>4</v>
      </c>
      <c r="G1100">
        <v>45</v>
      </c>
      <c r="H1100">
        <v>8</v>
      </c>
      <c r="I1100" s="52">
        <v>3.3</v>
      </c>
      <c r="J1100" s="52">
        <v>16.600000000000001</v>
      </c>
      <c r="K1100" s="52">
        <v>20.9</v>
      </c>
      <c r="L1100" s="52">
        <v>4.7</v>
      </c>
      <c r="M1100">
        <v>45</v>
      </c>
    </row>
    <row r="1101" spans="1:13" hidden="1" x14ac:dyDescent="0.25">
      <c r="A1101" t="s">
        <v>344</v>
      </c>
      <c r="B1101" s="52" t="s">
        <v>267</v>
      </c>
      <c r="C1101" s="52" t="s">
        <v>271</v>
      </c>
      <c r="D1101" s="52" t="s">
        <v>270</v>
      </c>
      <c r="E1101" s="52">
        <v>2</v>
      </c>
      <c r="F1101">
        <v>4</v>
      </c>
      <c r="G1101">
        <v>50</v>
      </c>
      <c r="H1101">
        <v>8</v>
      </c>
      <c r="I1101" s="52">
        <v>3.3</v>
      </c>
      <c r="J1101" s="52">
        <v>16.600000000000001</v>
      </c>
      <c r="K1101" s="52">
        <v>20.9</v>
      </c>
      <c r="L1101" s="52">
        <v>4.7</v>
      </c>
      <c r="M1101">
        <v>50</v>
      </c>
    </row>
    <row r="1102" spans="1:13" hidden="1" x14ac:dyDescent="0.25">
      <c r="A1102" t="s">
        <v>344</v>
      </c>
      <c r="B1102" s="52" t="s">
        <v>267</v>
      </c>
      <c r="C1102" s="52" t="s">
        <v>271</v>
      </c>
      <c r="D1102" s="52" t="s">
        <v>270</v>
      </c>
      <c r="E1102" s="52">
        <v>2</v>
      </c>
      <c r="F1102">
        <v>4</v>
      </c>
      <c r="G1102">
        <v>60</v>
      </c>
      <c r="H1102">
        <v>8</v>
      </c>
      <c r="I1102" s="52">
        <v>3.3</v>
      </c>
      <c r="J1102" s="52">
        <v>16.600000000000001</v>
      </c>
      <c r="K1102" s="52">
        <v>20.9</v>
      </c>
      <c r="L1102" s="52">
        <v>4.7</v>
      </c>
      <c r="M1102">
        <v>60</v>
      </c>
    </row>
    <row r="1103" spans="1:13" hidden="1" x14ac:dyDescent="0.25">
      <c r="A1103" t="s">
        <v>344</v>
      </c>
      <c r="B1103" s="52" t="s">
        <v>267</v>
      </c>
      <c r="C1103" s="52" t="s">
        <v>271</v>
      </c>
      <c r="D1103" s="52" t="s">
        <v>270</v>
      </c>
      <c r="E1103" s="52">
        <v>2</v>
      </c>
      <c r="F1103">
        <v>4.5</v>
      </c>
      <c r="G1103">
        <v>20</v>
      </c>
      <c r="H1103">
        <v>9</v>
      </c>
      <c r="I1103" s="52">
        <v>4.3</v>
      </c>
      <c r="J1103" s="52">
        <v>15.2</v>
      </c>
      <c r="K1103" s="52">
        <v>20.9</v>
      </c>
      <c r="L1103" s="52">
        <v>5.9</v>
      </c>
      <c r="M1103">
        <v>20</v>
      </c>
    </row>
    <row r="1104" spans="1:13" hidden="1" x14ac:dyDescent="0.25">
      <c r="A1104" t="s">
        <v>344</v>
      </c>
      <c r="B1104" s="52" t="s">
        <v>267</v>
      </c>
      <c r="C1104" s="52" t="s">
        <v>271</v>
      </c>
      <c r="D1104" s="52" t="s">
        <v>270</v>
      </c>
      <c r="E1104" s="52">
        <v>2</v>
      </c>
      <c r="F1104">
        <v>4.5</v>
      </c>
      <c r="G1104">
        <v>30</v>
      </c>
      <c r="H1104">
        <v>9</v>
      </c>
      <c r="I1104" s="52">
        <v>4.3</v>
      </c>
      <c r="J1104" s="52">
        <v>15.2</v>
      </c>
      <c r="K1104" s="52">
        <v>20.9</v>
      </c>
      <c r="L1104" s="52">
        <v>5.9</v>
      </c>
      <c r="M1104">
        <v>30</v>
      </c>
    </row>
    <row r="1105" spans="1:13" hidden="1" x14ac:dyDescent="0.25">
      <c r="A1105" t="s">
        <v>344</v>
      </c>
      <c r="B1105" s="52" t="s">
        <v>267</v>
      </c>
      <c r="C1105" s="52" t="s">
        <v>271</v>
      </c>
      <c r="D1105" s="52" t="s">
        <v>270</v>
      </c>
      <c r="E1105" s="52">
        <v>2</v>
      </c>
      <c r="F1105">
        <v>4.5</v>
      </c>
      <c r="G1105">
        <v>35</v>
      </c>
      <c r="H1105">
        <v>9</v>
      </c>
      <c r="I1105" s="52">
        <v>4.3</v>
      </c>
      <c r="J1105" s="52">
        <v>15.2</v>
      </c>
      <c r="K1105" s="52">
        <v>20.9</v>
      </c>
      <c r="L1105" s="52">
        <v>5.9</v>
      </c>
      <c r="M1105">
        <v>35</v>
      </c>
    </row>
    <row r="1106" spans="1:13" hidden="1" x14ac:dyDescent="0.25">
      <c r="A1106" t="s">
        <v>344</v>
      </c>
      <c r="B1106" s="52" t="s">
        <v>267</v>
      </c>
      <c r="C1106" s="52" t="s">
        <v>271</v>
      </c>
      <c r="D1106" s="52" t="s">
        <v>270</v>
      </c>
      <c r="E1106" s="52">
        <v>2</v>
      </c>
      <c r="F1106">
        <v>4.5</v>
      </c>
      <c r="G1106">
        <v>40</v>
      </c>
      <c r="H1106">
        <v>9</v>
      </c>
      <c r="I1106" s="52">
        <v>4.3</v>
      </c>
      <c r="J1106" s="52">
        <v>15.2</v>
      </c>
      <c r="K1106" s="52">
        <v>20.9</v>
      </c>
      <c r="L1106" s="52">
        <v>5.9</v>
      </c>
      <c r="M1106">
        <v>40</v>
      </c>
    </row>
    <row r="1107" spans="1:13" hidden="1" x14ac:dyDescent="0.25">
      <c r="A1107" t="s">
        <v>344</v>
      </c>
      <c r="B1107" s="52" t="s">
        <v>267</v>
      </c>
      <c r="C1107" s="52" t="s">
        <v>271</v>
      </c>
      <c r="D1107" s="52" t="s">
        <v>270</v>
      </c>
      <c r="E1107" s="52">
        <v>2</v>
      </c>
      <c r="F1107">
        <v>4.5</v>
      </c>
      <c r="G1107">
        <v>45</v>
      </c>
      <c r="H1107">
        <v>9</v>
      </c>
      <c r="I1107" s="52">
        <v>4.3</v>
      </c>
      <c r="J1107" s="52">
        <v>15.2</v>
      </c>
      <c r="K1107" s="52">
        <v>20.9</v>
      </c>
      <c r="L1107" s="52">
        <v>5.9</v>
      </c>
      <c r="M1107">
        <v>45</v>
      </c>
    </row>
    <row r="1108" spans="1:13" hidden="1" x14ac:dyDescent="0.25">
      <c r="A1108" t="s">
        <v>344</v>
      </c>
      <c r="B1108" s="52" t="s">
        <v>267</v>
      </c>
      <c r="C1108" s="52" t="s">
        <v>271</v>
      </c>
      <c r="D1108" s="52" t="s">
        <v>270</v>
      </c>
      <c r="E1108" s="52">
        <v>2</v>
      </c>
      <c r="F1108">
        <v>4.5</v>
      </c>
      <c r="G1108">
        <v>50</v>
      </c>
      <c r="H1108">
        <v>9</v>
      </c>
      <c r="I1108" s="52">
        <v>4.3</v>
      </c>
      <c r="J1108" s="52">
        <v>15.2</v>
      </c>
      <c r="K1108" s="52">
        <v>20.9</v>
      </c>
      <c r="L1108" s="52">
        <v>5.9</v>
      </c>
      <c r="M1108">
        <v>50</v>
      </c>
    </row>
    <row r="1109" spans="1:13" hidden="1" x14ac:dyDescent="0.25">
      <c r="A1109" t="s">
        <v>344</v>
      </c>
      <c r="B1109" s="52" t="s">
        <v>267</v>
      </c>
      <c r="C1109" s="52" t="s">
        <v>271</v>
      </c>
      <c r="D1109" s="52" t="s">
        <v>270</v>
      </c>
      <c r="E1109" s="52">
        <v>2</v>
      </c>
      <c r="F1109">
        <v>4.5</v>
      </c>
      <c r="G1109">
        <v>60</v>
      </c>
      <c r="H1109">
        <v>9</v>
      </c>
      <c r="I1109" s="52">
        <v>4.3</v>
      </c>
      <c r="J1109" s="52">
        <v>15.2</v>
      </c>
      <c r="K1109" s="52">
        <v>20.9</v>
      </c>
      <c r="L1109" s="52">
        <v>5.9</v>
      </c>
      <c r="M1109">
        <v>60</v>
      </c>
    </row>
    <row r="1110" spans="1:13" hidden="1" x14ac:dyDescent="0.25">
      <c r="A1110" t="s">
        <v>344</v>
      </c>
      <c r="B1110" s="52" t="s">
        <v>267</v>
      </c>
      <c r="C1110" s="52" t="s">
        <v>271</v>
      </c>
      <c r="D1110" s="52" t="s">
        <v>270</v>
      </c>
      <c r="E1110" s="52">
        <v>2</v>
      </c>
      <c r="F1110">
        <v>5</v>
      </c>
      <c r="G1110">
        <v>16</v>
      </c>
      <c r="H1110">
        <v>10</v>
      </c>
      <c r="I1110" s="52">
        <v>6.3</v>
      </c>
      <c r="J1110" s="52">
        <v>15.8</v>
      </c>
      <c r="K1110" s="52">
        <v>20.6</v>
      </c>
      <c r="L1110" s="52">
        <v>7.3</v>
      </c>
      <c r="M1110">
        <v>16</v>
      </c>
    </row>
    <row r="1111" spans="1:13" hidden="1" x14ac:dyDescent="0.25">
      <c r="A1111" t="s">
        <v>344</v>
      </c>
      <c r="B1111" s="52" t="s">
        <v>267</v>
      </c>
      <c r="C1111" s="52" t="s">
        <v>271</v>
      </c>
      <c r="D1111" s="52" t="s">
        <v>270</v>
      </c>
      <c r="E1111" s="52">
        <v>2</v>
      </c>
      <c r="F1111">
        <v>5</v>
      </c>
      <c r="G1111">
        <v>20</v>
      </c>
      <c r="H1111">
        <v>10</v>
      </c>
      <c r="I1111" s="52">
        <v>6.3</v>
      </c>
      <c r="J1111" s="52">
        <v>15.8</v>
      </c>
      <c r="K1111" s="52">
        <v>20.6</v>
      </c>
      <c r="L1111" s="52">
        <v>7.3</v>
      </c>
      <c r="M1111">
        <v>20</v>
      </c>
    </row>
    <row r="1112" spans="1:13" hidden="1" x14ac:dyDescent="0.25">
      <c r="A1112" t="s">
        <v>344</v>
      </c>
      <c r="B1112" s="52" t="s">
        <v>267</v>
      </c>
      <c r="C1112" s="52" t="s">
        <v>271</v>
      </c>
      <c r="D1112" s="52" t="s">
        <v>270</v>
      </c>
      <c r="E1112" s="52">
        <v>2</v>
      </c>
      <c r="F1112">
        <v>5</v>
      </c>
      <c r="G1112">
        <v>25</v>
      </c>
      <c r="H1112">
        <v>10</v>
      </c>
      <c r="I1112" s="52">
        <v>6.3</v>
      </c>
      <c r="J1112" s="52">
        <v>15.8</v>
      </c>
      <c r="K1112" s="52">
        <v>20.6</v>
      </c>
      <c r="L1112" s="52">
        <v>7.3</v>
      </c>
      <c r="M1112">
        <v>25</v>
      </c>
    </row>
    <row r="1113" spans="1:13" hidden="1" x14ac:dyDescent="0.25">
      <c r="A1113" t="s">
        <v>344</v>
      </c>
      <c r="B1113" s="52" t="s">
        <v>267</v>
      </c>
      <c r="C1113" s="52" t="s">
        <v>271</v>
      </c>
      <c r="D1113" s="52" t="s">
        <v>270</v>
      </c>
      <c r="E1113" s="52">
        <v>2</v>
      </c>
      <c r="F1113">
        <v>5</v>
      </c>
      <c r="G1113">
        <v>30</v>
      </c>
      <c r="H1113">
        <v>10</v>
      </c>
      <c r="I1113" s="52">
        <v>6.3</v>
      </c>
      <c r="J1113" s="52">
        <v>15.8</v>
      </c>
      <c r="K1113" s="52">
        <v>20.6</v>
      </c>
      <c r="L1113" s="52">
        <v>7.3</v>
      </c>
      <c r="M1113">
        <v>30</v>
      </c>
    </row>
    <row r="1114" spans="1:13" hidden="1" x14ac:dyDescent="0.25">
      <c r="A1114" t="s">
        <v>344</v>
      </c>
      <c r="B1114" s="52" t="s">
        <v>267</v>
      </c>
      <c r="C1114" s="52" t="s">
        <v>271</v>
      </c>
      <c r="D1114" s="52" t="s">
        <v>270</v>
      </c>
      <c r="E1114" s="52">
        <v>2</v>
      </c>
      <c r="F1114">
        <v>5</v>
      </c>
      <c r="G1114">
        <v>35</v>
      </c>
      <c r="H1114">
        <v>10</v>
      </c>
      <c r="I1114" s="52">
        <v>6.3</v>
      </c>
      <c r="J1114" s="52">
        <v>15.8</v>
      </c>
      <c r="K1114" s="52">
        <v>20.6</v>
      </c>
      <c r="L1114" s="52">
        <v>7.3</v>
      </c>
      <c r="M1114">
        <v>35</v>
      </c>
    </row>
    <row r="1115" spans="1:13" hidden="1" x14ac:dyDescent="0.25">
      <c r="A1115" t="s">
        <v>344</v>
      </c>
      <c r="B1115" s="52" t="s">
        <v>267</v>
      </c>
      <c r="C1115" s="52" t="s">
        <v>271</v>
      </c>
      <c r="D1115" s="52" t="s">
        <v>270</v>
      </c>
      <c r="E1115" s="52">
        <v>2</v>
      </c>
      <c r="F1115">
        <v>5</v>
      </c>
      <c r="G1115">
        <v>40</v>
      </c>
      <c r="H1115">
        <v>10</v>
      </c>
      <c r="I1115" s="52">
        <v>6.3</v>
      </c>
      <c r="J1115" s="52">
        <v>15.8</v>
      </c>
      <c r="K1115" s="52">
        <v>20.6</v>
      </c>
      <c r="L1115" s="52">
        <v>7.3</v>
      </c>
      <c r="M1115">
        <v>40</v>
      </c>
    </row>
    <row r="1116" spans="1:13" hidden="1" x14ac:dyDescent="0.25">
      <c r="A1116" t="s">
        <v>344</v>
      </c>
      <c r="B1116" s="52" t="s">
        <v>267</v>
      </c>
      <c r="C1116" s="52" t="s">
        <v>271</v>
      </c>
      <c r="D1116" s="52" t="s">
        <v>270</v>
      </c>
      <c r="E1116" s="52">
        <v>2</v>
      </c>
      <c r="F1116">
        <v>5</v>
      </c>
      <c r="G1116">
        <v>45</v>
      </c>
      <c r="H1116">
        <v>10</v>
      </c>
      <c r="I1116" s="52">
        <v>6.3</v>
      </c>
      <c r="J1116" s="52">
        <v>15.8</v>
      </c>
      <c r="K1116" s="52">
        <v>20.6</v>
      </c>
      <c r="L1116" s="52">
        <v>7.3</v>
      </c>
      <c r="M1116">
        <v>45</v>
      </c>
    </row>
    <row r="1117" spans="1:13" hidden="1" x14ac:dyDescent="0.25">
      <c r="A1117" t="s">
        <v>344</v>
      </c>
      <c r="B1117" s="52" t="s">
        <v>267</v>
      </c>
      <c r="C1117" s="52" t="s">
        <v>271</v>
      </c>
      <c r="D1117" s="52" t="s">
        <v>270</v>
      </c>
      <c r="E1117" s="52">
        <v>2</v>
      </c>
      <c r="F1117">
        <v>5</v>
      </c>
      <c r="G1117">
        <v>50</v>
      </c>
      <c r="H1117">
        <v>10</v>
      </c>
      <c r="I1117" s="52">
        <v>6.3</v>
      </c>
      <c r="J1117" s="52">
        <v>15.8</v>
      </c>
      <c r="K1117" s="52">
        <v>20.6</v>
      </c>
      <c r="L1117" s="52">
        <v>7.3</v>
      </c>
      <c r="M1117">
        <v>50</v>
      </c>
    </row>
    <row r="1118" spans="1:13" hidden="1" x14ac:dyDescent="0.25">
      <c r="A1118" t="s">
        <v>344</v>
      </c>
      <c r="B1118" s="52" t="s">
        <v>267</v>
      </c>
      <c r="C1118" s="52" t="s">
        <v>271</v>
      </c>
      <c r="D1118" s="52" t="s">
        <v>270</v>
      </c>
      <c r="E1118" s="52">
        <v>2</v>
      </c>
      <c r="F1118">
        <v>5</v>
      </c>
      <c r="G1118">
        <v>60</v>
      </c>
      <c r="H1118">
        <v>10</v>
      </c>
      <c r="I1118" s="52">
        <v>6.3</v>
      </c>
      <c r="J1118" s="52">
        <v>15.8</v>
      </c>
      <c r="K1118" s="52">
        <v>20.6</v>
      </c>
      <c r="L1118" s="52">
        <v>7.3</v>
      </c>
      <c r="M1118">
        <v>60</v>
      </c>
    </row>
    <row r="1119" spans="1:13" hidden="1" x14ac:dyDescent="0.25">
      <c r="A1119" t="s">
        <v>344</v>
      </c>
      <c r="B1119" s="52" t="s">
        <v>267</v>
      </c>
      <c r="C1119" s="52" t="s">
        <v>271</v>
      </c>
      <c r="D1119" s="52" t="s">
        <v>270</v>
      </c>
      <c r="E1119" s="52">
        <v>2</v>
      </c>
      <c r="F1119">
        <v>5</v>
      </c>
      <c r="G1119">
        <v>70</v>
      </c>
      <c r="H1119">
        <v>10</v>
      </c>
      <c r="I1119" s="52">
        <v>6.3</v>
      </c>
      <c r="J1119" s="52">
        <v>15.8</v>
      </c>
      <c r="K1119" s="52">
        <v>20.6</v>
      </c>
      <c r="L1119" s="52">
        <v>7.3</v>
      </c>
      <c r="M1119">
        <v>70</v>
      </c>
    </row>
    <row r="1120" spans="1:13" hidden="1" x14ac:dyDescent="0.25">
      <c r="A1120" t="s">
        <v>344</v>
      </c>
      <c r="B1120" s="52" t="s">
        <v>267</v>
      </c>
      <c r="C1120" s="52" t="s">
        <v>271</v>
      </c>
      <c r="D1120" s="52" t="s">
        <v>270</v>
      </c>
      <c r="E1120" s="52">
        <v>2</v>
      </c>
      <c r="F1120">
        <v>5</v>
      </c>
      <c r="G1120">
        <v>80</v>
      </c>
      <c r="H1120">
        <v>10</v>
      </c>
      <c r="I1120" s="52">
        <v>6.3</v>
      </c>
      <c r="J1120" s="52">
        <v>15.8</v>
      </c>
      <c r="K1120" s="52">
        <v>20.6</v>
      </c>
      <c r="L1120" s="52">
        <v>7.3</v>
      </c>
      <c r="M1120">
        <v>80</v>
      </c>
    </row>
    <row r="1121" spans="1:13" hidden="1" x14ac:dyDescent="0.25">
      <c r="A1121" t="s">
        <v>344</v>
      </c>
      <c r="B1121" s="52" t="s">
        <v>267</v>
      </c>
      <c r="C1121" s="52" t="s">
        <v>271</v>
      </c>
      <c r="D1121" s="52" t="s">
        <v>270</v>
      </c>
      <c r="E1121" s="52">
        <v>2</v>
      </c>
      <c r="F1121">
        <v>5</v>
      </c>
      <c r="G1121">
        <v>90</v>
      </c>
      <c r="H1121">
        <v>10</v>
      </c>
      <c r="I1121" s="52">
        <v>6.3</v>
      </c>
      <c r="J1121" s="52">
        <v>15.8</v>
      </c>
      <c r="K1121" s="52">
        <v>20.6</v>
      </c>
      <c r="L1121" s="52">
        <v>7.3</v>
      </c>
      <c r="M1121">
        <v>90</v>
      </c>
    </row>
    <row r="1122" spans="1:13" hidden="1" x14ac:dyDescent="0.25">
      <c r="A1122" t="s">
        <v>344</v>
      </c>
      <c r="B1122" s="52" t="s">
        <v>267</v>
      </c>
      <c r="C1122" s="52" t="s">
        <v>271</v>
      </c>
      <c r="D1122" s="52" t="s">
        <v>270</v>
      </c>
      <c r="E1122" s="52">
        <v>2</v>
      </c>
      <c r="F1122">
        <v>6</v>
      </c>
      <c r="G1122">
        <v>30</v>
      </c>
      <c r="H1122">
        <v>12</v>
      </c>
      <c r="I1122" s="52">
        <v>10.8</v>
      </c>
      <c r="J1122" s="52">
        <v>14.4</v>
      </c>
      <c r="K1122" s="52">
        <v>19.8</v>
      </c>
      <c r="L1122" s="52">
        <v>11.1</v>
      </c>
      <c r="M1122">
        <v>30</v>
      </c>
    </row>
    <row r="1123" spans="1:13" hidden="1" x14ac:dyDescent="0.25">
      <c r="A1123" t="s">
        <v>344</v>
      </c>
      <c r="B1123" s="52" t="s">
        <v>267</v>
      </c>
      <c r="C1123" s="52" t="s">
        <v>271</v>
      </c>
      <c r="D1123" s="52" t="s">
        <v>270</v>
      </c>
      <c r="E1123" s="52">
        <v>2</v>
      </c>
      <c r="F1123">
        <v>6</v>
      </c>
      <c r="G1123">
        <v>35</v>
      </c>
      <c r="H1123">
        <v>12</v>
      </c>
      <c r="I1123" s="52">
        <v>10.8</v>
      </c>
      <c r="J1123" s="52">
        <v>14.4</v>
      </c>
      <c r="K1123" s="52">
        <v>19.8</v>
      </c>
      <c r="L1123" s="52">
        <v>11.1</v>
      </c>
      <c r="M1123">
        <v>35</v>
      </c>
    </row>
    <row r="1124" spans="1:13" hidden="1" x14ac:dyDescent="0.25">
      <c r="A1124" t="s">
        <v>344</v>
      </c>
      <c r="B1124" s="52" t="s">
        <v>267</v>
      </c>
      <c r="C1124" s="52" t="s">
        <v>271</v>
      </c>
      <c r="D1124" s="52" t="s">
        <v>270</v>
      </c>
      <c r="E1124" s="52">
        <v>2</v>
      </c>
      <c r="F1124">
        <v>6</v>
      </c>
      <c r="G1124">
        <v>40</v>
      </c>
      <c r="H1124">
        <v>12</v>
      </c>
      <c r="I1124" s="52">
        <v>10.8</v>
      </c>
      <c r="J1124" s="52">
        <v>14.4</v>
      </c>
      <c r="K1124" s="52">
        <v>19.8</v>
      </c>
      <c r="L1124" s="52">
        <v>11.1</v>
      </c>
      <c r="M1124">
        <v>40</v>
      </c>
    </row>
    <row r="1125" spans="1:13" hidden="1" x14ac:dyDescent="0.25">
      <c r="A1125" t="s">
        <v>344</v>
      </c>
      <c r="B1125" s="52" t="s">
        <v>267</v>
      </c>
      <c r="C1125" s="52" t="s">
        <v>271</v>
      </c>
      <c r="D1125" s="52" t="s">
        <v>270</v>
      </c>
      <c r="E1125" s="52">
        <v>2</v>
      </c>
      <c r="F1125">
        <v>6</v>
      </c>
      <c r="G1125">
        <v>45</v>
      </c>
      <c r="H1125">
        <v>12</v>
      </c>
      <c r="I1125" s="52">
        <v>10.8</v>
      </c>
      <c r="J1125" s="52">
        <v>14.4</v>
      </c>
      <c r="K1125" s="52">
        <v>19.8</v>
      </c>
      <c r="L1125" s="52">
        <v>11.1</v>
      </c>
      <c r="M1125">
        <v>45</v>
      </c>
    </row>
    <row r="1126" spans="1:13" hidden="1" x14ac:dyDescent="0.25">
      <c r="A1126" t="s">
        <v>344</v>
      </c>
      <c r="B1126" s="52" t="s">
        <v>267</v>
      </c>
      <c r="C1126" s="52" t="s">
        <v>271</v>
      </c>
      <c r="D1126" s="52" t="s">
        <v>270</v>
      </c>
      <c r="E1126" s="52">
        <v>2</v>
      </c>
      <c r="F1126">
        <v>6</v>
      </c>
      <c r="G1126">
        <v>50</v>
      </c>
      <c r="H1126">
        <v>12</v>
      </c>
      <c r="I1126" s="52">
        <v>10.8</v>
      </c>
      <c r="J1126" s="52">
        <v>14.4</v>
      </c>
      <c r="K1126" s="52">
        <v>19.8</v>
      </c>
      <c r="L1126" s="52">
        <v>11.1</v>
      </c>
      <c r="M1126">
        <v>50</v>
      </c>
    </row>
    <row r="1127" spans="1:13" hidden="1" x14ac:dyDescent="0.25">
      <c r="A1127" t="s">
        <v>344</v>
      </c>
      <c r="B1127" s="52" t="s">
        <v>267</v>
      </c>
      <c r="C1127" s="52" t="s">
        <v>271</v>
      </c>
      <c r="D1127" s="52" t="s">
        <v>270</v>
      </c>
      <c r="E1127" s="52">
        <v>2</v>
      </c>
      <c r="F1127">
        <v>6</v>
      </c>
      <c r="G1127">
        <v>60</v>
      </c>
      <c r="H1127">
        <v>12</v>
      </c>
      <c r="I1127" s="52">
        <v>10.8</v>
      </c>
      <c r="J1127" s="52">
        <v>14.4</v>
      </c>
      <c r="K1127" s="52">
        <v>19.8</v>
      </c>
      <c r="L1127" s="52">
        <v>11.1</v>
      </c>
      <c r="M1127">
        <v>60</v>
      </c>
    </row>
    <row r="1128" spans="1:13" hidden="1" x14ac:dyDescent="0.25">
      <c r="A1128" t="s">
        <v>344</v>
      </c>
      <c r="B1128" s="52" t="s">
        <v>267</v>
      </c>
      <c r="C1128" s="52" t="s">
        <v>271</v>
      </c>
      <c r="D1128" s="52" t="s">
        <v>270</v>
      </c>
      <c r="E1128" s="52">
        <v>2</v>
      </c>
      <c r="F1128">
        <v>6</v>
      </c>
      <c r="G1128">
        <v>70</v>
      </c>
      <c r="H1128">
        <v>12</v>
      </c>
      <c r="I1128" s="52">
        <v>10.8</v>
      </c>
      <c r="J1128" s="52">
        <v>14.4</v>
      </c>
      <c r="K1128" s="52">
        <v>19.8</v>
      </c>
      <c r="L1128" s="52">
        <v>11.1</v>
      </c>
      <c r="M1128">
        <v>70</v>
      </c>
    </row>
    <row r="1129" spans="1:13" hidden="1" x14ac:dyDescent="0.25">
      <c r="A1129" t="s">
        <v>344</v>
      </c>
      <c r="B1129" s="52" t="s">
        <v>267</v>
      </c>
      <c r="C1129" s="52" t="s">
        <v>271</v>
      </c>
      <c r="D1129" s="52" t="s">
        <v>270</v>
      </c>
      <c r="E1129" s="52">
        <v>2</v>
      </c>
      <c r="F1129">
        <v>6</v>
      </c>
      <c r="G1129">
        <v>80</v>
      </c>
      <c r="H1129">
        <v>12</v>
      </c>
      <c r="I1129" s="52">
        <v>10.8</v>
      </c>
      <c r="J1129" s="52">
        <v>14.4</v>
      </c>
      <c r="K1129" s="52">
        <v>19.8</v>
      </c>
      <c r="L1129" s="52">
        <v>11.1</v>
      </c>
      <c r="M1129">
        <v>80</v>
      </c>
    </row>
    <row r="1130" spans="1:13" hidden="1" x14ac:dyDescent="0.25">
      <c r="A1130" t="s">
        <v>344</v>
      </c>
      <c r="B1130" s="52" t="s">
        <v>267</v>
      </c>
      <c r="C1130" s="52" t="s">
        <v>271</v>
      </c>
      <c r="D1130" s="52" t="s">
        <v>270</v>
      </c>
      <c r="E1130" s="52">
        <v>2</v>
      </c>
      <c r="F1130">
        <v>6</v>
      </c>
      <c r="G1130">
        <v>90</v>
      </c>
      <c r="H1130">
        <v>12</v>
      </c>
      <c r="I1130" s="52">
        <v>10.8</v>
      </c>
      <c r="J1130" s="52">
        <v>14.4</v>
      </c>
      <c r="K1130" s="52">
        <v>19.8</v>
      </c>
      <c r="L1130" s="52">
        <v>11.1</v>
      </c>
      <c r="M1130">
        <v>90</v>
      </c>
    </row>
    <row r="1131" spans="1:13" hidden="1" x14ac:dyDescent="0.25">
      <c r="A1131" t="s">
        <v>344</v>
      </c>
      <c r="B1131" s="52" t="s">
        <v>267</v>
      </c>
      <c r="C1131" s="52" t="s">
        <v>276</v>
      </c>
      <c r="D1131" s="52" t="s">
        <v>277</v>
      </c>
      <c r="E1131" s="52">
        <v>3</v>
      </c>
      <c r="F1131">
        <v>4</v>
      </c>
      <c r="G1131">
        <v>30</v>
      </c>
      <c r="H1131">
        <v>8</v>
      </c>
      <c r="I1131" s="52">
        <v>2.2000000000000002</v>
      </c>
      <c r="J1131" s="52">
        <v>13.6</v>
      </c>
      <c r="K1131" s="52">
        <v>25.5</v>
      </c>
      <c r="L1131" s="52">
        <v>4.8</v>
      </c>
      <c r="M1131">
        <v>18</v>
      </c>
    </row>
    <row r="1132" spans="1:13" hidden="1" x14ac:dyDescent="0.25">
      <c r="A1132" t="s">
        <v>344</v>
      </c>
      <c r="B1132" s="52" t="s">
        <v>267</v>
      </c>
      <c r="C1132" s="52" t="s">
        <v>276</v>
      </c>
      <c r="D1132" s="52" t="s">
        <v>277</v>
      </c>
      <c r="E1132" s="52">
        <v>3</v>
      </c>
      <c r="F1132">
        <v>4</v>
      </c>
      <c r="G1132">
        <v>40</v>
      </c>
      <c r="H1132">
        <v>8</v>
      </c>
      <c r="I1132" s="52">
        <v>2.2000000000000002</v>
      </c>
      <c r="J1132" s="52">
        <v>13.6</v>
      </c>
      <c r="K1132" s="52">
        <v>25.5</v>
      </c>
      <c r="L1132" s="52">
        <v>4.8</v>
      </c>
      <c r="M1132">
        <v>24</v>
      </c>
    </row>
    <row r="1133" spans="1:13" hidden="1" x14ac:dyDescent="0.25">
      <c r="A1133" t="s">
        <v>344</v>
      </c>
      <c r="B1133" s="52" t="s">
        <v>267</v>
      </c>
      <c r="C1133" s="52" t="s">
        <v>276</v>
      </c>
      <c r="D1133" s="52" t="s">
        <v>277</v>
      </c>
      <c r="E1133" s="52">
        <v>3</v>
      </c>
      <c r="F1133">
        <v>4</v>
      </c>
      <c r="G1133">
        <v>50</v>
      </c>
      <c r="H1133">
        <v>8</v>
      </c>
      <c r="I1133" s="52">
        <v>2.2000000000000002</v>
      </c>
      <c r="J1133" s="52">
        <v>13.6</v>
      </c>
      <c r="K1133" s="52">
        <v>25.5</v>
      </c>
      <c r="L1133" s="52">
        <v>4.8</v>
      </c>
      <c r="M1133">
        <v>30</v>
      </c>
    </row>
    <row r="1134" spans="1:13" hidden="1" x14ac:dyDescent="0.25">
      <c r="A1134" t="s">
        <v>344</v>
      </c>
      <c r="B1134" s="52" t="s">
        <v>267</v>
      </c>
      <c r="C1134" s="52" t="s">
        <v>276</v>
      </c>
      <c r="D1134" s="52" t="s">
        <v>277</v>
      </c>
      <c r="E1134" s="52">
        <v>3</v>
      </c>
      <c r="F1134">
        <v>4.5</v>
      </c>
      <c r="G1134">
        <v>40</v>
      </c>
      <c r="H1134">
        <v>9</v>
      </c>
      <c r="I1134" s="52">
        <v>3.4</v>
      </c>
      <c r="J1134" s="52">
        <v>13</v>
      </c>
      <c r="K1134" s="52">
        <v>24.5</v>
      </c>
      <c r="L1134" s="52">
        <v>6.3</v>
      </c>
      <c r="M1134">
        <v>30</v>
      </c>
    </row>
    <row r="1135" spans="1:13" hidden="1" x14ac:dyDescent="0.25">
      <c r="A1135" t="s">
        <v>344</v>
      </c>
      <c r="B1135" s="52" t="s">
        <v>267</v>
      </c>
      <c r="C1135" s="52" t="s">
        <v>276</v>
      </c>
      <c r="D1135" s="52" t="s">
        <v>277</v>
      </c>
      <c r="E1135" s="52">
        <v>3</v>
      </c>
      <c r="F1135">
        <v>4.5</v>
      </c>
      <c r="G1135">
        <v>50</v>
      </c>
      <c r="H1135">
        <v>9</v>
      </c>
      <c r="I1135" s="52">
        <v>3.4</v>
      </c>
      <c r="J1135" s="52">
        <v>13</v>
      </c>
      <c r="K1135" s="52">
        <v>24.5</v>
      </c>
      <c r="L1135" s="52">
        <v>6.3</v>
      </c>
      <c r="M1135">
        <v>30</v>
      </c>
    </row>
    <row r="1136" spans="1:13" hidden="1" x14ac:dyDescent="0.25">
      <c r="A1136" t="s">
        <v>344</v>
      </c>
      <c r="B1136" s="52" t="s">
        <v>267</v>
      </c>
      <c r="C1136" s="52" t="s">
        <v>276</v>
      </c>
      <c r="D1136" s="52" t="s">
        <v>277</v>
      </c>
      <c r="E1136" s="52">
        <v>3</v>
      </c>
      <c r="F1136">
        <v>4.5</v>
      </c>
      <c r="G1136">
        <v>60</v>
      </c>
      <c r="H1136">
        <v>9</v>
      </c>
      <c r="I1136" s="52">
        <v>3.4</v>
      </c>
      <c r="J1136" s="52">
        <v>13</v>
      </c>
      <c r="K1136" s="52">
        <v>24.5</v>
      </c>
      <c r="L1136" s="52">
        <v>6.3</v>
      </c>
      <c r="M1136">
        <v>36</v>
      </c>
    </row>
    <row r="1137" spans="1:13" hidden="1" x14ac:dyDescent="0.25">
      <c r="A1137" t="s">
        <v>344</v>
      </c>
      <c r="B1137" s="52" t="s">
        <v>267</v>
      </c>
      <c r="C1137" s="52" t="s">
        <v>276</v>
      </c>
      <c r="D1137" s="52" t="s">
        <v>277</v>
      </c>
      <c r="E1137" s="52">
        <v>3</v>
      </c>
      <c r="F1137">
        <v>4.5</v>
      </c>
      <c r="G1137">
        <v>70</v>
      </c>
      <c r="H1137">
        <v>9</v>
      </c>
      <c r="I1137" s="52">
        <v>3.4</v>
      </c>
      <c r="J1137" s="52">
        <v>13</v>
      </c>
      <c r="K1137" s="52">
        <v>24.5</v>
      </c>
      <c r="L1137" s="52">
        <v>6.3</v>
      </c>
      <c r="M1137">
        <v>42</v>
      </c>
    </row>
    <row r="1138" spans="1:13" hidden="1" x14ac:dyDescent="0.25">
      <c r="A1138" t="s">
        <v>344</v>
      </c>
      <c r="B1138" s="52" t="s">
        <v>267</v>
      </c>
      <c r="C1138" s="52" t="s">
        <v>276</v>
      </c>
      <c r="D1138" s="52" t="s">
        <v>277</v>
      </c>
      <c r="E1138" s="52">
        <v>3</v>
      </c>
      <c r="F1138">
        <v>5</v>
      </c>
      <c r="G1138">
        <v>40</v>
      </c>
      <c r="H1138">
        <v>10</v>
      </c>
      <c r="I1138" s="52">
        <v>5</v>
      </c>
      <c r="J1138" s="52">
        <v>16.5</v>
      </c>
      <c r="K1138" s="52">
        <v>22.4</v>
      </c>
      <c r="L1138" s="52">
        <v>7.8</v>
      </c>
      <c r="M1138">
        <v>30</v>
      </c>
    </row>
    <row r="1139" spans="1:13" hidden="1" x14ac:dyDescent="0.25">
      <c r="A1139" t="s">
        <v>344</v>
      </c>
      <c r="B1139" s="52" t="s">
        <v>267</v>
      </c>
      <c r="C1139" s="52" t="s">
        <v>276</v>
      </c>
      <c r="D1139" s="52" t="s">
        <v>277</v>
      </c>
      <c r="E1139" s="52">
        <v>3</v>
      </c>
      <c r="F1139">
        <v>5</v>
      </c>
      <c r="G1139">
        <v>50</v>
      </c>
      <c r="H1139">
        <v>10</v>
      </c>
      <c r="I1139" s="52">
        <v>5</v>
      </c>
      <c r="J1139" s="52">
        <v>16.5</v>
      </c>
      <c r="K1139" s="52">
        <v>22.4</v>
      </c>
      <c r="L1139" s="52">
        <v>7.8</v>
      </c>
      <c r="M1139">
        <v>30</v>
      </c>
    </row>
    <row r="1140" spans="1:13" hidden="1" x14ac:dyDescent="0.25">
      <c r="A1140" t="s">
        <v>344</v>
      </c>
      <c r="B1140" s="52" t="s">
        <v>267</v>
      </c>
      <c r="C1140" s="52" t="s">
        <v>276</v>
      </c>
      <c r="D1140" s="52" t="s">
        <v>277</v>
      </c>
      <c r="E1140" s="52">
        <v>3</v>
      </c>
      <c r="F1140">
        <v>5</v>
      </c>
      <c r="G1140">
        <v>60</v>
      </c>
      <c r="H1140">
        <v>10</v>
      </c>
      <c r="I1140" s="52">
        <v>5</v>
      </c>
      <c r="J1140" s="52">
        <v>16.5</v>
      </c>
      <c r="K1140" s="52">
        <v>22.4</v>
      </c>
      <c r="L1140" s="52">
        <v>7.8</v>
      </c>
      <c r="M1140">
        <v>36</v>
      </c>
    </row>
    <row r="1141" spans="1:13" hidden="1" x14ac:dyDescent="0.25">
      <c r="A1141" t="s">
        <v>344</v>
      </c>
      <c r="B1141" s="52" t="s">
        <v>267</v>
      </c>
      <c r="C1141" s="52" t="s">
        <v>276</v>
      </c>
      <c r="D1141" s="52" t="s">
        <v>277</v>
      </c>
      <c r="E1141" s="52">
        <v>3</v>
      </c>
      <c r="F1141">
        <v>5</v>
      </c>
      <c r="G1141">
        <v>70</v>
      </c>
      <c r="H1141">
        <v>10</v>
      </c>
      <c r="I1141" s="52">
        <v>5</v>
      </c>
      <c r="J1141" s="52">
        <v>16.5</v>
      </c>
      <c r="K1141" s="52">
        <v>22.4</v>
      </c>
      <c r="L1141" s="52">
        <v>7.8</v>
      </c>
      <c r="M1141">
        <v>42</v>
      </c>
    </row>
    <row r="1142" spans="1:13" hidden="1" x14ac:dyDescent="0.25">
      <c r="A1142" t="s">
        <v>344</v>
      </c>
      <c r="B1142" s="52" t="s">
        <v>267</v>
      </c>
      <c r="C1142" s="52" t="s">
        <v>276</v>
      </c>
      <c r="D1142" s="52" t="s">
        <v>277</v>
      </c>
      <c r="E1142" s="52">
        <v>3</v>
      </c>
      <c r="F1142">
        <v>5</v>
      </c>
      <c r="G1142">
        <v>80</v>
      </c>
      <c r="H1142">
        <v>10</v>
      </c>
      <c r="I1142" s="52">
        <v>5</v>
      </c>
      <c r="J1142" s="52">
        <v>16.5</v>
      </c>
      <c r="K1142" s="52">
        <v>22.4</v>
      </c>
      <c r="L1142" s="52">
        <v>7.8</v>
      </c>
      <c r="M1142">
        <v>50</v>
      </c>
    </row>
    <row r="1143" spans="1:13" hidden="1" x14ac:dyDescent="0.25">
      <c r="A1143" t="s">
        <v>344</v>
      </c>
      <c r="B1143" s="52" t="s">
        <v>267</v>
      </c>
      <c r="C1143" s="52" t="s">
        <v>276</v>
      </c>
      <c r="D1143" s="52" t="s">
        <v>277</v>
      </c>
      <c r="E1143" s="52">
        <v>3</v>
      </c>
      <c r="F1143">
        <v>5</v>
      </c>
      <c r="G1143">
        <v>90</v>
      </c>
      <c r="H1143">
        <v>10</v>
      </c>
      <c r="I1143" s="52">
        <v>5</v>
      </c>
      <c r="J1143" s="52">
        <v>16.5</v>
      </c>
      <c r="K1143" s="52">
        <v>22.4</v>
      </c>
      <c r="L1143" s="52">
        <v>7.8</v>
      </c>
      <c r="M1143">
        <v>42</v>
      </c>
    </row>
    <row r="1144" spans="1:13" hidden="1" x14ac:dyDescent="0.25">
      <c r="A1144" t="s">
        <v>344</v>
      </c>
      <c r="B1144" s="52" t="s">
        <v>267</v>
      </c>
      <c r="C1144" s="52" t="s">
        <v>276</v>
      </c>
      <c r="D1144" s="52" t="s">
        <v>277</v>
      </c>
      <c r="E1144" s="52">
        <v>3</v>
      </c>
      <c r="F1144">
        <v>5</v>
      </c>
      <c r="G1144">
        <v>100</v>
      </c>
      <c r="H1144">
        <v>10</v>
      </c>
      <c r="I1144" s="52">
        <v>5</v>
      </c>
      <c r="J1144" s="52">
        <v>16.5</v>
      </c>
      <c r="K1144" s="52">
        <v>22.4</v>
      </c>
      <c r="L1144" s="52">
        <v>7.8</v>
      </c>
      <c r="M1144">
        <v>52</v>
      </c>
    </row>
    <row r="1145" spans="1:13" hidden="1" x14ac:dyDescent="0.25">
      <c r="A1145" t="s">
        <v>344</v>
      </c>
      <c r="B1145" s="52" t="s">
        <v>267</v>
      </c>
      <c r="C1145" s="52" t="s">
        <v>276</v>
      </c>
      <c r="D1145" s="52" t="s">
        <v>277</v>
      </c>
      <c r="E1145" s="52">
        <v>3</v>
      </c>
      <c r="F1145">
        <v>5</v>
      </c>
      <c r="G1145">
        <v>120</v>
      </c>
      <c r="H1145">
        <v>10</v>
      </c>
      <c r="I1145" s="52">
        <v>5</v>
      </c>
      <c r="J1145" s="52">
        <v>16.5</v>
      </c>
      <c r="K1145" s="52">
        <v>22.4</v>
      </c>
      <c r="L1145" s="52">
        <v>7.8</v>
      </c>
      <c r="M1145">
        <v>62</v>
      </c>
    </row>
    <row r="1146" spans="1:13" hidden="1" x14ac:dyDescent="0.25">
      <c r="A1146" t="s">
        <v>344</v>
      </c>
      <c r="B1146" s="52" t="s">
        <v>267</v>
      </c>
      <c r="C1146" s="52" t="s">
        <v>276</v>
      </c>
      <c r="D1146" s="52" t="s">
        <v>277</v>
      </c>
      <c r="E1146" s="52">
        <v>3</v>
      </c>
      <c r="F1146">
        <v>6</v>
      </c>
      <c r="G1146">
        <v>60</v>
      </c>
      <c r="H1146">
        <v>12</v>
      </c>
      <c r="I1146" s="52">
        <v>8.5</v>
      </c>
      <c r="J1146" s="52">
        <v>15.6</v>
      </c>
      <c r="K1146" s="52">
        <v>22</v>
      </c>
      <c r="L1146" s="52">
        <v>11.5</v>
      </c>
      <c r="M1146">
        <v>36</v>
      </c>
    </row>
    <row r="1147" spans="1:13" hidden="1" x14ac:dyDescent="0.25">
      <c r="A1147" t="s">
        <v>344</v>
      </c>
      <c r="B1147" s="52" t="s">
        <v>267</v>
      </c>
      <c r="C1147" s="52" t="s">
        <v>276</v>
      </c>
      <c r="D1147" s="52" t="s">
        <v>277</v>
      </c>
      <c r="E1147" s="52">
        <v>3</v>
      </c>
      <c r="F1147">
        <v>6</v>
      </c>
      <c r="G1147">
        <v>70</v>
      </c>
      <c r="H1147">
        <v>12</v>
      </c>
      <c r="I1147" s="52">
        <v>8.5</v>
      </c>
      <c r="J1147" s="52">
        <v>15.6</v>
      </c>
      <c r="K1147" s="52">
        <v>22</v>
      </c>
      <c r="L1147" s="52">
        <v>11.5</v>
      </c>
      <c r="M1147">
        <v>42</v>
      </c>
    </row>
    <row r="1148" spans="1:13" hidden="1" x14ac:dyDescent="0.25">
      <c r="A1148" t="s">
        <v>344</v>
      </c>
      <c r="B1148" s="52" t="s">
        <v>267</v>
      </c>
      <c r="C1148" s="52" t="s">
        <v>276</v>
      </c>
      <c r="D1148" s="52" t="s">
        <v>277</v>
      </c>
      <c r="E1148" s="52">
        <v>3</v>
      </c>
      <c r="F1148">
        <v>6</v>
      </c>
      <c r="G1148">
        <v>80</v>
      </c>
      <c r="H1148">
        <v>12</v>
      </c>
      <c r="I1148" s="52">
        <v>8.5</v>
      </c>
      <c r="J1148" s="52">
        <v>15.6</v>
      </c>
      <c r="K1148" s="52">
        <v>22</v>
      </c>
      <c r="L1148" s="52">
        <v>11.5</v>
      </c>
      <c r="M1148">
        <v>42</v>
      </c>
    </row>
    <row r="1149" spans="1:13" hidden="1" x14ac:dyDescent="0.25">
      <c r="A1149" t="s">
        <v>344</v>
      </c>
      <c r="B1149" s="52" t="s">
        <v>267</v>
      </c>
      <c r="C1149" s="52" t="s">
        <v>276</v>
      </c>
      <c r="D1149" s="52" t="s">
        <v>277</v>
      </c>
      <c r="E1149" s="52">
        <v>3</v>
      </c>
      <c r="F1149">
        <v>6</v>
      </c>
      <c r="G1149">
        <v>90</v>
      </c>
      <c r="H1149">
        <v>12</v>
      </c>
      <c r="I1149" s="52">
        <v>8.5</v>
      </c>
      <c r="J1149" s="52">
        <v>15.6</v>
      </c>
      <c r="K1149" s="52">
        <v>22</v>
      </c>
      <c r="L1149" s="52">
        <v>11.5</v>
      </c>
      <c r="M1149">
        <v>42</v>
      </c>
    </row>
    <row r="1150" spans="1:13" hidden="1" x14ac:dyDescent="0.25">
      <c r="A1150" t="s">
        <v>344</v>
      </c>
      <c r="B1150" s="52" t="s">
        <v>267</v>
      </c>
      <c r="C1150" s="52" t="s">
        <v>276</v>
      </c>
      <c r="D1150" s="52" t="s">
        <v>277</v>
      </c>
      <c r="E1150" s="52">
        <v>3</v>
      </c>
      <c r="F1150">
        <v>6</v>
      </c>
      <c r="G1150">
        <v>100</v>
      </c>
      <c r="H1150">
        <v>12</v>
      </c>
      <c r="I1150" s="52">
        <v>8.5</v>
      </c>
      <c r="J1150" s="52">
        <v>15.6</v>
      </c>
      <c r="K1150" s="52">
        <v>22</v>
      </c>
      <c r="L1150" s="52">
        <v>11.5</v>
      </c>
      <c r="M1150">
        <v>52</v>
      </c>
    </row>
    <row r="1151" spans="1:13" hidden="1" x14ac:dyDescent="0.25">
      <c r="A1151" t="s">
        <v>344</v>
      </c>
      <c r="B1151" s="52" t="s">
        <v>267</v>
      </c>
      <c r="C1151" s="52" t="s">
        <v>276</v>
      </c>
      <c r="D1151" s="52" t="s">
        <v>277</v>
      </c>
      <c r="E1151" s="52">
        <v>3</v>
      </c>
      <c r="F1151">
        <v>6</v>
      </c>
      <c r="G1151">
        <v>110</v>
      </c>
      <c r="H1151">
        <v>12</v>
      </c>
      <c r="I1151" s="52">
        <v>8.5</v>
      </c>
      <c r="J1151" s="52">
        <v>15.6</v>
      </c>
      <c r="K1151" s="52">
        <v>22</v>
      </c>
      <c r="L1151" s="52">
        <v>11.5</v>
      </c>
      <c r="M1151">
        <v>62</v>
      </c>
    </row>
    <row r="1152" spans="1:13" hidden="1" x14ac:dyDescent="0.25">
      <c r="A1152" t="s">
        <v>344</v>
      </c>
      <c r="B1152" s="52" t="s">
        <v>267</v>
      </c>
      <c r="C1152" s="52" t="s">
        <v>276</v>
      </c>
      <c r="D1152" s="52" t="s">
        <v>277</v>
      </c>
      <c r="E1152" s="52">
        <v>3</v>
      </c>
      <c r="F1152">
        <v>6</v>
      </c>
      <c r="G1152">
        <v>120</v>
      </c>
      <c r="H1152">
        <v>12</v>
      </c>
      <c r="I1152" s="52">
        <v>8.5</v>
      </c>
      <c r="J1152" s="52">
        <v>15.6</v>
      </c>
      <c r="K1152" s="52">
        <v>22</v>
      </c>
      <c r="L1152" s="52">
        <v>11.5</v>
      </c>
      <c r="M1152">
        <v>72</v>
      </c>
    </row>
    <row r="1153" spans="1:13" hidden="1" x14ac:dyDescent="0.25">
      <c r="A1153" t="s">
        <v>344</v>
      </c>
      <c r="B1153" s="52" t="s">
        <v>267</v>
      </c>
      <c r="C1153" s="52" t="s">
        <v>276</v>
      </c>
      <c r="D1153" s="52" t="s">
        <v>277</v>
      </c>
      <c r="E1153" s="52">
        <v>3</v>
      </c>
      <c r="F1153">
        <v>6</v>
      </c>
      <c r="G1153">
        <v>140</v>
      </c>
      <c r="H1153">
        <v>12</v>
      </c>
      <c r="I1153" s="52">
        <v>8.5</v>
      </c>
      <c r="J1153" s="52">
        <v>15.6</v>
      </c>
      <c r="K1153" s="52">
        <v>22</v>
      </c>
      <c r="L1153" s="52">
        <v>11.5</v>
      </c>
      <c r="M1153">
        <v>72</v>
      </c>
    </row>
    <row r="1154" spans="1:13" hidden="1" x14ac:dyDescent="0.25">
      <c r="A1154" t="s">
        <v>344</v>
      </c>
      <c r="B1154" s="52" t="s">
        <v>267</v>
      </c>
      <c r="C1154" s="52" t="s">
        <v>276</v>
      </c>
      <c r="D1154" s="52" t="s">
        <v>277</v>
      </c>
      <c r="E1154" s="52">
        <v>3</v>
      </c>
      <c r="F1154">
        <v>6</v>
      </c>
      <c r="G1154">
        <v>160</v>
      </c>
      <c r="H1154">
        <v>12</v>
      </c>
      <c r="I1154" s="52">
        <v>8.5</v>
      </c>
      <c r="J1154" s="52">
        <v>15.6</v>
      </c>
      <c r="K1154" s="52">
        <v>22</v>
      </c>
      <c r="L1154" s="52">
        <v>11.5</v>
      </c>
      <c r="M1154">
        <v>72</v>
      </c>
    </row>
    <row r="1155" spans="1:13" hidden="1" x14ac:dyDescent="0.25">
      <c r="A1155" t="s">
        <v>344</v>
      </c>
      <c r="B1155" s="52" t="s">
        <v>267</v>
      </c>
      <c r="C1155" s="52" t="s">
        <v>276</v>
      </c>
      <c r="D1155" s="52" t="s">
        <v>277</v>
      </c>
      <c r="E1155" s="52">
        <v>3</v>
      </c>
      <c r="F1155">
        <v>6</v>
      </c>
      <c r="G1155">
        <v>180</v>
      </c>
      <c r="H1155">
        <v>12</v>
      </c>
      <c r="I1155" s="52">
        <v>8.5</v>
      </c>
      <c r="J1155" s="52">
        <v>15.6</v>
      </c>
      <c r="K1155" s="52">
        <v>22</v>
      </c>
      <c r="L1155" s="52">
        <v>11.5</v>
      </c>
      <c r="M1155">
        <v>72</v>
      </c>
    </row>
    <row r="1156" spans="1:13" hidden="1" x14ac:dyDescent="0.25">
      <c r="A1156" t="s">
        <v>344</v>
      </c>
      <c r="B1156" s="52" t="s">
        <v>267</v>
      </c>
      <c r="C1156" s="52" t="s">
        <v>276</v>
      </c>
      <c r="D1156" s="52" t="s">
        <v>277</v>
      </c>
      <c r="E1156" s="52">
        <v>3</v>
      </c>
      <c r="F1156">
        <v>6</v>
      </c>
      <c r="G1156">
        <v>220</v>
      </c>
      <c r="H1156">
        <v>12</v>
      </c>
      <c r="I1156" s="52">
        <v>8.5</v>
      </c>
      <c r="J1156" s="52">
        <v>15.6</v>
      </c>
      <c r="K1156" s="52">
        <v>22</v>
      </c>
      <c r="L1156" s="52">
        <v>11.5</v>
      </c>
      <c r="M1156">
        <v>72</v>
      </c>
    </row>
    <row r="1157" spans="1:13" hidden="1" x14ac:dyDescent="0.25">
      <c r="A1157" t="s">
        <v>344</v>
      </c>
      <c r="B1157" s="52" t="s">
        <v>267</v>
      </c>
      <c r="C1157" s="52" t="s">
        <v>278</v>
      </c>
      <c r="D1157" s="52" t="s">
        <v>279</v>
      </c>
      <c r="E1157" s="52">
        <v>1</v>
      </c>
      <c r="F1157">
        <v>3</v>
      </c>
      <c r="G1157">
        <v>12</v>
      </c>
      <c r="H1157">
        <v>6</v>
      </c>
      <c r="I1157" s="52">
        <v>1.2</v>
      </c>
      <c r="J1157" s="52">
        <v>13.2</v>
      </c>
      <c r="K1157" s="52">
        <v>27.7</v>
      </c>
      <c r="L1157" s="52">
        <v>3.2</v>
      </c>
      <c r="M1157">
        <v>9</v>
      </c>
    </row>
    <row r="1158" spans="1:13" hidden="1" x14ac:dyDescent="0.25">
      <c r="A1158" t="s">
        <v>344</v>
      </c>
      <c r="B1158" s="52" t="s">
        <v>267</v>
      </c>
      <c r="C1158" s="52" t="s">
        <v>278</v>
      </c>
      <c r="D1158" s="52" t="s">
        <v>279</v>
      </c>
      <c r="E1158" s="52">
        <v>1</v>
      </c>
      <c r="F1158">
        <v>3</v>
      </c>
      <c r="G1158">
        <v>16</v>
      </c>
      <c r="H1158">
        <v>6</v>
      </c>
      <c r="I1158" s="52">
        <v>1.2</v>
      </c>
      <c r="J1158" s="52">
        <v>13.2</v>
      </c>
      <c r="K1158" s="52">
        <v>27.7</v>
      </c>
      <c r="L1158" s="52">
        <v>3.2</v>
      </c>
      <c r="M1158">
        <v>13</v>
      </c>
    </row>
    <row r="1159" spans="1:13" hidden="1" x14ac:dyDescent="0.25">
      <c r="A1159" t="s">
        <v>344</v>
      </c>
      <c r="B1159" s="52" t="s">
        <v>267</v>
      </c>
      <c r="C1159" s="52" t="s">
        <v>278</v>
      </c>
      <c r="D1159" s="52" t="s">
        <v>279</v>
      </c>
      <c r="E1159" s="52">
        <v>1</v>
      </c>
      <c r="F1159">
        <v>3</v>
      </c>
      <c r="G1159">
        <v>20</v>
      </c>
      <c r="H1159">
        <v>6</v>
      </c>
      <c r="I1159" s="52">
        <v>1.2</v>
      </c>
      <c r="J1159" s="52">
        <v>13.2</v>
      </c>
      <c r="K1159" s="52">
        <v>27.7</v>
      </c>
      <c r="L1159" s="52">
        <v>3.2</v>
      </c>
      <c r="M1159">
        <v>17</v>
      </c>
    </row>
    <row r="1160" spans="1:13" hidden="1" x14ac:dyDescent="0.25">
      <c r="A1160" t="s">
        <v>344</v>
      </c>
      <c r="B1160" s="52" t="s">
        <v>267</v>
      </c>
      <c r="C1160" s="52" t="s">
        <v>278</v>
      </c>
      <c r="D1160" s="52" t="s">
        <v>279</v>
      </c>
      <c r="E1160" s="52">
        <v>1</v>
      </c>
      <c r="F1160">
        <v>3</v>
      </c>
      <c r="G1160">
        <v>25</v>
      </c>
      <c r="H1160">
        <v>6</v>
      </c>
      <c r="I1160" s="52">
        <v>1.2</v>
      </c>
      <c r="J1160" s="52">
        <v>13.2</v>
      </c>
      <c r="K1160" s="52">
        <v>27.7</v>
      </c>
      <c r="L1160" s="52">
        <v>3.2</v>
      </c>
      <c r="M1160">
        <v>18</v>
      </c>
    </row>
    <row r="1161" spans="1:13" hidden="1" x14ac:dyDescent="0.25">
      <c r="A1161" t="s">
        <v>344</v>
      </c>
      <c r="B1161" s="52" t="s">
        <v>267</v>
      </c>
      <c r="C1161" s="52" t="s">
        <v>278</v>
      </c>
      <c r="D1161" s="52" t="s">
        <v>279</v>
      </c>
      <c r="E1161" s="52">
        <v>1</v>
      </c>
      <c r="F1161">
        <v>3</v>
      </c>
      <c r="G1161">
        <v>30</v>
      </c>
      <c r="H1161">
        <v>6</v>
      </c>
      <c r="I1161" s="52">
        <v>1.2</v>
      </c>
      <c r="J1161" s="52">
        <v>13.2</v>
      </c>
      <c r="K1161" s="52">
        <v>27.7</v>
      </c>
      <c r="L1161" s="52">
        <v>3.2</v>
      </c>
      <c r="M1161">
        <v>18</v>
      </c>
    </row>
    <row r="1162" spans="1:13" hidden="1" x14ac:dyDescent="0.25">
      <c r="A1162" t="s">
        <v>344</v>
      </c>
      <c r="B1162" s="52" t="s">
        <v>267</v>
      </c>
      <c r="C1162" s="52" t="s">
        <v>278</v>
      </c>
      <c r="D1162" s="52" t="s">
        <v>279</v>
      </c>
      <c r="E1162" s="52">
        <v>1</v>
      </c>
      <c r="F1162">
        <v>3</v>
      </c>
      <c r="G1162">
        <v>35</v>
      </c>
      <c r="H1162">
        <v>6</v>
      </c>
      <c r="I1162" s="52">
        <v>1.2</v>
      </c>
      <c r="J1162" s="52">
        <v>13.2</v>
      </c>
      <c r="K1162" s="52">
        <v>27.7</v>
      </c>
      <c r="L1162" s="52">
        <v>3.2</v>
      </c>
      <c r="M1162">
        <v>24</v>
      </c>
    </row>
    <row r="1163" spans="1:13" hidden="1" x14ac:dyDescent="0.25">
      <c r="A1163" t="s">
        <v>344</v>
      </c>
      <c r="B1163" s="52" t="s">
        <v>267</v>
      </c>
      <c r="C1163" s="52" t="s">
        <v>278</v>
      </c>
      <c r="D1163" s="52" t="s">
        <v>279</v>
      </c>
      <c r="E1163" s="52">
        <v>1</v>
      </c>
      <c r="F1163">
        <v>3</v>
      </c>
      <c r="G1163">
        <v>40</v>
      </c>
      <c r="H1163">
        <v>6</v>
      </c>
      <c r="I1163" s="52">
        <v>1.2</v>
      </c>
      <c r="J1163" s="52">
        <v>13.2</v>
      </c>
      <c r="K1163" s="52">
        <v>27.7</v>
      </c>
      <c r="L1163" s="52">
        <v>3.2</v>
      </c>
      <c r="M1163">
        <v>24</v>
      </c>
    </row>
    <row r="1164" spans="1:13" hidden="1" x14ac:dyDescent="0.25">
      <c r="A1164" t="s">
        <v>344</v>
      </c>
      <c r="B1164" s="52" t="s">
        <v>267</v>
      </c>
      <c r="C1164" s="52" t="s">
        <v>278</v>
      </c>
      <c r="D1164" s="52" t="s">
        <v>279</v>
      </c>
      <c r="E1164" s="52">
        <v>1</v>
      </c>
      <c r="F1164">
        <v>3.5</v>
      </c>
      <c r="G1164">
        <v>16</v>
      </c>
      <c r="H1164">
        <v>7</v>
      </c>
      <c r="I1164" s="52">
        <v>1.8</v>
      </c>
      <c r="J1164" s="52">
        <v>12.2</v>
      </c>
      <c r="K1164" s="52">
        <v>26.5</v>
      </c>
      <c r="L1164" s="52">
        <v>4.0999999999999996</v>
      </c>
      <c r="M1164">
        <v>13</v>
      </c>
    </row>
    <row r="1165" spans="1:13" hidden="1" x14ac:dyDescent="0.25">
      <c r="A1165" t="s">
        <v>344</v>
      </c>
      <c r="B1165" s="52" t="s">
        <v>267</v>
      </c>
      <c r="C1165" s="52" t="s">
        <v>278</v>
      </c>
      <c r="D1165" s="52" t="s">
        <v>279</v>
      </c>
      <c r="E1165" s="52">
        <v>1</v>
      </c>
      <c r="F1165">
        <v>3.5</v>
      </c>
      <c r="G1165">
        <v>20</v>
      </c>
      <c r="H1165">
        <v>7</v>
      </c>
      <c r="I1165" s="52">
        <v>1.8</v>
      </c>
      <c r="J1165" s="52">
        <v>12.2</v>
      </c>
      <c r="K1165" s="52">
        <v>26.5</v>
      </c>
      <c r="L1165" s="52">
        <v>4.0999999999999996</v>
      </c>
      <c r="M1165">
        <v>16</v>
      </c>
    </row>
    <row r="1166" spans="1:13" hidden="1" x14ac:dyDescent="0.25">
      <c r="A1166" t="s">
        <v>344</v>
      </c>
      <c r="B1166" s="52" t="s">
        <v>267</v>
      </c>
      <c r="C1166" s="52" t="s">
        <v>278</v>
      </c>
      <c r="D1166" s="52" t="s">
        <v>279</v>
      </c>
      <c r="E1166" s="52">
        <v>1</v>
      </c>
      <c r="F1166">
        <v>3.5</v>
      </c>
      <c r="G1166">
        <v>25</v>
      </c>
      <c r="H1166">
        <v>7</v>
      </c>
      <c r="I1166" s="52">
        <v>1.8</v>
      </c>
      <c r="J1166" s="52">
        <v>12.2</v>
      </c>
      <c r="K1166" s="52">
        <v>26.5</v>
      </c>
      <c r="L1166" s="52">
        <v>4.0999999999999996</v>
      </c>
      <c r="M1166">
        <v>18</v>
      </c>
    </row>
    <row r="1167" spans="1:13" hidden="1" x14ac:dyDescent="0.25">
      <c r="A1167" t="s">
        <v>344</v>
      </c>
      <c r="B1167" s="52" t="s">
        <v>267</v>
      </c>
      <c r="C1167" s="52" t="s">
        <v>278</v>
      </c>
      <c r="D1167" s="52" t="s">
        <v>279</v>
      </c>
      <c r="E1167" s="52">
        <v>1</v>
      </c>
      <c r="F1167">
        <v>3.5</v>
      </c>
      <c r="G1167">
        <v>30</v>
      </c>
      <c r="H1167">
        <v>7</v>
      </c>
      <c r="I1167" s="52">
        <v>1.8</v>
      </c>
      <c r="J1167" s="52">
        <v>12.2</v>
      </c>
      <c r="K1167" s="52">
        <v>26.5</v>
      </c>
      <c r="L1167" s="52">
        <v>4.0999999999999996</v>
      </c>
      <c r="M1167">
        <v>18</v>
      </c>
    </row>
    <row r="1168" spans="1:13" hidden="1" x14ac:dyDescent="0.25">
      <c r="A1168" t="s">
        <v>344</v>
      </c>
      <c r="B1168" s="52" t="s">
        <v>267</v>
      </c>
      <c r="C1168" s="52" t="s">
        <v>278</v>
      </c>
      <c r="D1168" s="52" t="s">
        <v>279</v>
      </c>
      <c r="E1168" s="52">
        <v>1</v>
      </c>
      <c r="F1168">
        <v>3.5</v>
      </c>
      <c r="G1168">
        <v>35</v>
      </c>
      <c r="H1168">
        <v>7</v>
      </c>
      <c r="I1168" s="52">
        <v>1.8</v>
      </c>
      <c r="J1168" s="52">
        <v>12.2</v>
      </c>
      <c r="K1168" s="52">
        <v>26.5</v>
      </c>
      <c r="L1168" s="52">
        <v>4.0999999999999996</v>
      </c>
      <c r="M1168">
        <v>24</v>
      </c>
    </row>
    <row r="1169" spans="1:13" hidden="1" x14ac:dyDescent="0.25">
      <c r="A1169" t="s">
        <v>344</v>
      </c>
      <c r="B1169" s="52" t="s">
        <v>267</v>
      </c>
      <c r="C1169" s="52" t="s">
        <v>278</v>
      </c>
      <c r="D1169" s="52" t="s">
        <v>279</v>
      </c>
      <c r="E1169" s="52">
        <v>1</v>
      </c>
      <c r="F1169">
        <v>3.5</v>
      </c>
      <c r="G1169">
        <v>40</v>
      </c>
      <c r="H1169">
        <v>7</v>
      </c>
      <c r="I1169" s="52">
        <v>1.8</v>
      </c>
      <c r="J1169" s="52">
        <v>12.2</v>
      </c>
      <c r="K1169" s="52">
        <v>26.5</v>
      </c>
      <c r="L1169" s="52">
        <v>4.0999999999999996</v>
      </c>
      <c r="M1169">
        <v>24</v>
      </c>
    </row>
    <row r="1170" spans="1:13" hidden="1" x14ac:dyDescent="0.25">
      <c r="A1170" t="s">
        <v>344</v>
      </c>
      <c r="B1170" s="52" t="s">
        <v>267</v>
      </c>
      <c r="C1170" s="52" t="s">
        <v>278</v>
      </c>
      <c r="D1170" s="52" t="s">
        <v>279</v>
      </c>
      <c r="E1170" s="52">
        <v>1</v>
      </c>
      <c r="F1170">
        <v>3.5</v>
      </c>
      <c r="G1170">
        <v>50</v>
      </c>
      <c r="H1170">
        <v>7</v>
      </c>
      <c r="I1170" s="52">
        <v>1.8</v>
      </c>
      <c r="J1170" s="52">
        <v>12.2</v>
      </c>
      <c r="K1170" s="52">
        <v>26.5</v>
      </c>
      <c r="L1170" s="52">
        <v>4.0999999999999996</v>
      </c>
      <c r="M1170">
        <v>30</v>
      </c>
    </row>
    <row r="1171" spans="1:13" hidden="1" x14ac:dyDescent="0.25">
      <c r="A1171" t="s">
        <v>344</v>
      </c>
      <c r="B1171" s="52" t="s">
        <v>267</v>
      </c>
      <c r="C1171" s="52" t="s">
        <v>278</v>
      </c>
      <c r="D1171" s="52" t="s">
        <v>279</v>
      </c>
      <c r="E1171" s="52">
        <v>1</v>
      </c>
      <c r="F1171">
        <v>4</v>
      </c>
      <c r="G1171">
        <v>20</v>
      </c>
      <c r="H1171">
        <v>8</v>
      </c>
      <c r="I1171" s="52">
        <v>2.7</v>
      </c>
      <c r="J1171" s="52">
        <v>17.100000000000001</v>
      </c>
      <c r="K1171" s="52">
        <v>22.7</v>
      </c>
      <c r="L1171" s="52">
        <v>4.7</v>
      </c>
      <c r="M1171">
        <v>16</v>
      </c>
    </row>
    <row r="1172" spans="1:13" hidden="1" x14ac:dyDescent="0.25">
      <c r="A1172" t="s">
        <v>344</v>
      </c>
      <c r="B1172" s="52" t="s">
        <v>267</v>
      </c>
      <c r="C1172" s="52" t="s">
        <v>278</v>
      </c>
      <c r="D1172" s="52" t="s">
        <v>279</v>
      </c>
      <c r="E1172" s="52">
        <v>1</v>
      </c>
      <c r="F1172">
        <v>4</v>
      </c>
      <c r="G1172">
        <v>25</v>
      </c>
      <c r="H1172">
        <v>8</v>
      </c>
      <c r="I1172" s="52">
        <v>2.7</v>
      </c>
      <c r="J1172" s="52">
        <v>17.100000000000001</v>
      </c>
      <c r="K1172" s="52">
        <v>22.7</v>
      </c>
      <c r="L1172" s="52">
        <v>4.7</v>
      </c>
      <c r="M1172">
        <v>18</v>
      </c>
    </row>
    <row r="1173" spans="1:13" hidden="1" x14ac:dyDescent="0.25">
      <c r="A1173" t="s">
        <v>344</v>
      </c>
      <c r="B1173" s="52" t="s">
        <v>267</v>
      </c>
      <c r="C1173" s="52" t="s">
        <v>278</v>
      </c>
      <c r="D1173" s="52" t="s">
        <v>279</v>
      </c>
      <c r="E1173" s="52">
        <v>1</v>
      </c>
      <c r="F1173">
        <v>4</v>
      </c>
      <c r="G1173">
        <v>30</v>
      </c>
      <c r="H1173">
        <v>8</v>
      </c>
      <c r="I1173" s="52">
        <v>2.7</v>
      </c>
      <c r="J1173" s="52">
        <v>17.100000000000001</v>
      </c>
      <c r="K1173" s="52">
        <v>22.7</v>
      </c>
      <c r="L1173" s="52">
        <v>4.7</v>
      </c>
      <c r="M1173">
        <v>18</v>
      </c>
    </row>
    <row r="1174" spans="1:13" hidden="1" x14ac:dyDescent="0.25">
      <c r="A1174" t="s">
        <v>344</v>
      </c>
      <c r="B1174" s="52" t="s">
        <v>267</v>
      </c>
      <c r="C1174" s="52" t="s">
        <v>278</v>
      </c>
      <c r="D1174" s="52" t="s">
        <v>279</v>
      </c>
      <c r="E1174" s="52">
        <v>1</v>
      </c>
      <c r="F1174">
        <v>4</v>
      </c>
      <c r="G1174">
        <v>35</v>
      </c>
      <c r="H1174">
        <v>8</v>
      </c>
      <c r="I1174" s="52">
        <v>2.7</v>
      </c>
      <c r="J1174" s="52">
        <v>17.100000000000001</v>
      </c>
      <c r="K1174" s="52">
        <v>22.7</v>
      </c>
      <c r="L1174" s="52">
        <v>4.7</v>
      </c>
      <c r="M1174">
        <v>24</v>
      </c>
    </row>
    <row r="1175" spans="1:13" hidden="1" x14ac:dyDescent="0.25">
      <c r="A1175" t="s">
        <v>344</v>
      </c>
      <c r="B1175" s="52" t="s">
        <v>267</v>
      </c>
      <c r="C1175" s="52" t="s">
        <v>278</v>
      </c>
      <c r="D1175" s="52" t="s">
        <v>279</v>
      </c>
      <c r="E1175" s="52">
        <v>1</v>
      </c>
      <c r="F1175">
        <v>4</v>
      </c>
      <c r="G1175">
        <v>40</v>
      </c>
      <c r="H1175">
        <v>8</v>
      </c>
      <c r="I1175" s="52">
        <v>2.7</v>
      </c>
      <c r="J1175" s="52">
        <v>17.100000000000001</v>
      </c>
      <c r="K1175" s="52">
        <v>22.7</v>
      </c>
      <c r="L1175" s="52">
        <v>4.7</v>
      </c>
      <c r="M1175">
        <v>24</v>
      </c>
    </row>
    <row r="1176" spans="1:13" hidden="1" x14ac:dyDescent="0.25">
      <c r="A1176" t="s">
        <v>344</v>
      </c>
      <c r="B1176" s="52" t="s">
        <v>267</v>
      </c>
      <c r="C1176" s="52" t="s">
        <v>278</v>
      </c>
      <c r="D1176" s="52" t="s">
        <v>279</v>
      </c>
      <c r="E1176" s="52">
        <v>1</v>
      </c>
      <c r="F1176">
        <v>4</v>
      </c>
      <c r="G1176">
        <v>45</v>
      </c>
      <c r="H1176">
        <v>8</v>
      </c>
      <c r="I1176" s="52">
        <v>2.7</v>
      </c>
      <c r="J1176" s="52">
        <v>17.100000000000001</v>
      </c>
      <c r="K1176" s="52">
        <v>22.7</v>
      </c>
      <c r="L1176" s="52">
        <v>4.7</v>
      </c>
      <c r="M1176">
        <v>30</v>
      </c>
    </row>
    <row r="1177" spans="1:13" hidden="1" x14ac:dyDescent="0.25">
      <c r="A1177" t="s">
        <v>344</v>
      </c>
      <c r="B1177" s="52" t="s">
        <v>267</v>
      </c>
      <c r="C1177" s="52" t="s">
        <v>278</v>
      </c>
      <c r="D1177" s="52" t="s">
        <v>279</v>
      </c>
      <c r="E1177" s="52">
        <v>1</v>
      </c>
      <c r="F1177">
        <v>4</v>
      </c>
      <c r="G1177">
        <v>50</v>
      </c>
      <c r="H1177">
        <v>8</v>
      </c>
      <c r="I1177" s="52">
        <v>2.7</v>
      </c>
      <c r="J1177" s="52">
        <v>17.100000000000001</v>
      </c>
      <c r="K1177" s="52">
        <v>22.7</v>
      </c>
      <c r="L1177" s="52">
        <v>4.7</v>
      </c>
      <c r="M1177">
        <v>30</v>
      </c>
    </row>
    <row r="1178" spans="1:13" hidden="1" x14ac:dyDescent="0.25">
      <c r="A1178" t="s">
        <v>344</v>
      </c>
      <c r="B1178" s="52" t="s">
        <v>267</v>
      </c>
      <c r="C1178" s="52" t="s">
        <v>278</v>
      </c>
      <c r="D1178" s="52" t="s">
        <v>279</v>
      </c>
      <c r="E1178" s="52">
        <v>1</v>
      </c>
      <c r="F1178">
        <v>4</v>
      </c>
      <c r="G1178">
        <v>60</v>
      </c>
      <c r="H1178">
        <v>8</v>
      </c>
      <c r="I1178" s="52">
        <v>2.7</v>
      </c>
      <c r="J1178" s="52">
        <v>17.100000000000001</v>
      </c>
      <c r="K1178" s="52">
        <v>22.7</v>
      </c>
      <c r="L1178" s="52">
        <v>4.7</v>
      </c>
      <c r="M1178">
        <v>36</v>
      </c>
    </row>
    <row r="1179" spans="1:13" hidden="1" x14ac:dyDescent="0.25">
      <c r="A1179" t="s">
        <v>344</v>
      </c>
      <c r="B1179" s="52" t="s">
        <v>267</v>
      </c>
      <c r="C1179" s="52" t="s">
        <v>278</v>
      </c>
      <c r="D1179" s="52" t="s">
        <v>279</v>
      </c>
      <c r="E1179" s="52">
        <v>1</v>
      </c>
      <c r="F1179">
        <v>4.5</v>
      </c>
      <c r="G1179">
        <v>25</v>
      </c>
      <c r="H1179">
        <v>9</v>
      </c>
      <c r="I1179" s="52">
        <v>4</v>
      </c>
      <c r="J1179" s="52">
        <v>16.8</v>
      </c>
      <c r="K1179" s="52">
        <v>21.3</v>
      </c>
      <c r="L1179" s="52">
        <v>5.8</v>
      </c>
      <c r="M1179">
        <v>18</v>
      </c>
    </row>
    <row r="1180" spans="1:13" hidden="1" x14ac:dyDescent="0.25">
      <c r="A1180" t="s">
        <v>344</v>
      </c>
      <c r="B1180" s="52" t="s">
        <v>267</v>
      </c>
      <c r="C1180" s="52" t="s">
        <v>278</v>
      </c>
      <c r="D1180" s="52" t="s">
        <v>279</v>
      </c>
      <c r="E1180" s="52">
        <v>1</v>
      </c>
      <c r="F1180">
        <v>4.5</v>
      </c>
      <c r="G1180">
        <v>30</v>
      </c>
      <c r="H1180">
        <v>9</v>
      </c>
      <c r="I1180" s="52">
        <v>4</v>
      </c>
      <c r="J1180" s="52">
        <v>16.8</v>
      </c>
      <c r="K1180" s="52">
        <v>21.3</v>
      </c>
      <c r="L1180" s="52">
        <v>5.8</v>
      </c>
      <c r="M1180">
        <v>18</v>
      </c>
    </row>
    <row r="1181" spans="1:13" hidden="1" x14ac:dyDescent="0.25">
      <c r="A1181" t="s">
        <v>344</v>
      </c>
      <c r="B1181" s="52" t="s">
        <v>267</v>
      </c>
      <c r="C1181" s="52" t="s">
        <v>278</v>
      </c>
      <c r="D1181" s="52" t="s">
        <v>279</v>
      </c>
      <c r="E1181" s="52">
        <v>1</v>
      </c>
      <c r="F1181">
        <v>4.5</v>
      </c>
      <c r="G1181">
        <v>35</v>
      </c>
      <c r="H1181">
        <v>9</v>
      </c>
      <c r="I1181" s="52">
        <v>4</v>
      </c>
      <c r="J1181" s="52">
        <v>16.8</v>
      </c>
      <c r="K1181" s="52">
        <v>21.3</v>
      </c>
      <c r="L1181" s="52">
        <v>5.8</v>
      </c>
      <c r="M1181">
        <v>24</v>
      </c>
    </row>
    <row r="1182" spans="1:13" hidden="1" x14ac:dyDescent="0.25">
      <c r="A1182" t="s">
        <v>344</v>
      </c>
      <c r="B1182" s="52" t="s">
        <v>267</v>
      </c>
      <c r="C1182" s="52" t="s">
        <v>278</v>
      </c>
      <c r="D1182" s="52" t="s">
        <v>279</v>
      </c>
      <c r="E1182" s="52">
        <v>1</v>
      </c>
      <c r="F1182">
        <v>4.5</v>
      </c>
      <c r="G1182">
        <v>40</v>
      </c>
      <c r="H1182">
        <v>9</v>
      </c>
      <c r="I1182" s="52">
        <v>4</v>
      </c>
      <c r="J1182" s="52">
        <v>16.8</v>
      </c>
      <c r="K1182" s="52">
        <v>21.3</v>
      </c>
      <c r="L1182" s="52">
        <v>5.8</v>
      </c>
      <c r="M1182">
        <v>24</v>
      </c>
    </row>
    <row r="1183" spans="1:13" hidden="1" x14ac:dyDescent="0.25">
      <c r="A1183" t="s">
        <v>344</v>
      </c>
      <c r="B1183" s="52" t="s">
        <v>267</v>
      </c>
      <c r="C1183" s="52" t="s">
        <v>278</v>
      </c>
      <c r="D1183" s="52" t="s">
        <v>279</v>
      </c>
      <c r="E1183" s="52">
        <v>1</v>
      </c>
      <c r="F1183">
        <v>4.5</v>
      </c>
      <c r="G1183">
        <v>50</v>
      </c>
      <c r="H1183">
        <v>9</v>
      </c>
      <c r="I1183" s="52">
        <v>4</v>
      </c>
      <c r="J1183" s="52">
        <v>16.8</v>
      </c>
      <c r="K1183" s="52">
        <v>21.3</v>
      </c>
      <c r="L1183" s="52">
        <v>5.8</v>
      </c>
      <c r="M1183">
        <v>30</v>
      </c>
    </row>
    <row r="1184" spans="1:13" hidden="1" x14ac:dyDescent="0.25">
      <c r="A1184" t="s">
        <v>344</v>
      </c>
      <c r="B1184" s="52" t="s">
        <v>267</v>
      </c>
      <c r="C1184" s="52" t="s">
        <v>278</v>
      </c>
      <c r="D1184" s="52" t="s">
        <v>279</v>
      </c>
      <c r="E1184" s="52">
        <v>1</v>
      </c>
      <c r="F1184">
        <v>4.5</v>
      </c>
      <c r="G1184">
        <v>60</v>
      </c>
      <c r="H1184">
        <v>9</v>
      </c>
      <c r="I1184" s="52">
        <v>4</v>
      </c>
      <c r="J1184" s="52">
        <v>16.8</v>
      </c>
      <c r="K1184" s="52">
        <v>21.3</v>
      </c>
      <c r="L1184" s="52">
        <v>5.8</v>
      </c>
      <c r="M1184">
        <v>36</v>
      </c>
    </row>
    <row r="1185" spans="1:13" hidden="1" x14ac:dyDescent="0.25">
      <c r="A1185" t="s">
        <v>344</v>
      </c>
      <c r="B1185" s="52" t="s">
        <v>267</v>
      </c>
      <c r="C1185" s="52" t="s">
        <v>278</v>
      </c>
      <c r="D1185" s="52" t="s">
        <v>279</v>
      </c>
      <c r="E1185" s="52">
        <v>1</v>
      </c>
      <c r="F1185">
        <v>4.5</v>
      </c>
      <c r="G1185">
        <v>70</v>
      </c>
      <c r="H1185">
        <v>9</v>
      </c>
      <c r="I1185" s="52">
        <v>4</v>
      </c>
      <c r="J1185" s="52">
        <v>16.8</v>
      </c>
      <c r="K1185" s="52">
        <v>21.3</v>
      </c>
      <c r="L1185" s="52">
        <v>5.8</v>
      </c>
      <c r="M1185">
        <v>42</v>
      </c>
    </row>
    <row r="1186" spans="1:13" hidden="1" x14ac:dyDescent="0.25">
      <c r="A1186" t="s">
        <v>344</v>
      </c>
      <c r="B1186" s="52" t="s">
        <v>267</v>
      </c>
      <c r="C1186" s="52" t="s">
        <v>278</v>
      </c>
      <c r="D1186" s="52" t="s">
        <v>279</v>
      </c>
      <c r="E1186" s="52">
        <v>1</v>
      </c>
      <c r="F1186">
        <v>5</v>
      </c>
      <c r="G1186">
        <v>25</v>
      </c>
      <c r="H1186">
        <v>10</v>
      </c>
      <c r="I1186" s="52">
        <v>5</v>
      </c>
      <c r="J1186" s="52">
        <v>16.5</v>
      </c>
      <c r="K1186" s="52">
        <v>22.4</v>
      </c>
      <c r="L1186" s="52">
        <v>7.8</v>
      </c>
      <c r="M1186">
        <v>18</v>
      </c>
    </row>
    <row r="1187" spans="1:13" hidden="1" x14ac:dyDescent="0.25">
      <c r="A1187" t="s">
        <v>344</v>
      </c>
      <c r="B1187" s="52" t="s">
        <v>267</v>
      </c>
      <c r="C1187" s="52" t="s">
        <v>278</v>
      </c>
      <c r="D1187" s="52" t="s">
        <v>279</v>
      </c>
      <c r="E1187" s="52">
        <v>1</v>
      </c>
      <c r="F1187">
        <v>5</v>
      </c>
      <c r="G1187">
        <v>30</v>
      </c>
      <c r="H1187">
        <v>10</v>
      </c>
      <c r="I1187" s="52">
        <v>5</v>
      </c>
      <c r="J1187" s="52">
        <v>16.5</v>
      </c>
      <c r="K1187" s="52">
        <v>22.4</v>
      </c>
      <c r="L1187" s="52">
        <v>7.8</v>
      </c>
      <c r="M1187">
        <v>18</v>
      </c>
    </row>
    <row r="1188" spans="1:13" hidden="1" x14ac:dyDescent="0.25">
      <c r="A1188" t="s">
        <v>344</v>
      </c>
      <c r="B1188" s="52" t="s">
        <v>267</v>
      </c>
      <c r="C1188" s="52" t="s">
        <v>278</v>
      </c>
      <c r="D1188" s="52" t="s">
        <v>279</v>
      </c>
      <c r="E1188" s="52">
        <v>1</v>
      </c>
      <c r="F1188">
        <v>5</v>
      </c>
      <c r="G1188">
        <v>35</v>
      </c>
      <c r="H1188">
        <v>10</v>
      </c>
      <c r="I1188" s="52">
        <v>5</v>
      </c>
      <c r="J1188" s="52">
        <v>16.5</v>
      </c>
      <c r="K1188" s="52">
        <v>22.4</v>
      </c>
      <c r="L1188" s="52">
        <v>7.8</v>
      </c>
      <c r="M1188">
        <v>24</v>
      </c>
    </row>
    <row r="1189" spans="1:13" hidden="1" x14ac:dyDescent="0.25">
      <c r="A1189" t="s">
        <v>344</v>
      </c>
      <c r="B1189" s="52" t="s">
        <v>267</v>
      </c>
      <c r="C1189" s="52" t="s">
        <v>278</v>
      </c>
      <c r="D1189" s="52" t="s">
        <v>279</v>
      </c>
      <c r="E1189" s="52">
        <v>1</v>
      </c>
      <c r="F1189">
        <v>5</v>
      </c>
      <c r="G1189">
        <v>40</v>
      </c>
      <c r="H1189">
        <v>10</v>
      </c>
      <c r="I1189" s="52">
        <v>5</v>
      </c>
      <c r="J1189" s="52">
        <v>16.5</v>
      </c>
      <c r="K1189" s="52">
        <v>22.4</v>
      </c>
      <c r="L1189" s="52">
        <v>7.8</v>
      </c>
      <c r="M1189">
        <v>24</v>
      </c>
    </row>
    <row r="1190" spans="1:13" hidden="1" x14ac:dyDescent="0.25">
      <c r="A1190" t="s">
        <v>344</v>
      </c>
      <c r="B1190" s="52" t="s">
        <v>267</v>
      </c>
      <c r="C1190" s="52" t="s">
        <v>278</v>
      </c>
      <c r="D1190" s="52" t="s">
        <v>279</v>
      </c>
      <c r="E1190" s="52">
        <v>1</v>
      </c>
      <c r="F1190">
        <v>5</v>
      </c>
      <c r="G1190">
        <v>50</v>
      </c>
      <c r="H1190">
        <v>10</v>
      </c>
      <c r="I1190" s="52">
        <v>5</v>
      </c>
      <c r="J1190" s="52">
        <v>16.5</v>
      </c>
      <c r="K1190" s="52">
        <v>22.4</v>
      </c>
      <c r="L1190" s="52">
        <v>7.8</v>
      </c>
      <c r="M1190">
        <v>30</v>
      </c>
    </row>
    <row r="1191" spans="1:13" hidden="1" x14ac:dyDescent="0.25">
      <c r="A1191" t="s">
        <v>344</v>
      </c>
      <c r="B1191" s="52" t="s">
        <v>267</v>
      </c>
      <c r="C1191" s="52" t="s">
        <v>278</v>
      </c>
      <c r="D1191" s="52" t="s">
        <v>279</v>
      </c>
      <c r="E1191" s="52">
        <v>1</v>
      </c>
      <c r="F1191">
        <v>5</v>
      </c>
      <c r="G1191">
        <v>60</v>
      </c>
      <c r="H1191">
        <v>10</v>
      </c>
      <c r="I1191" s="52">
        <v>5</v>
      </c>
      <c r="J1191" s="52">
        <v>16.5</v>
      </c>
      <c r="K1191" s="52">
        <v>22.4</v>
      </c>
      <c r="L1191" s="52">
        <v>7.8</v>
      </c>
      <c r="M1191">
        <v>36</v>
      </c>
    </row>
    <row r="1192" spans="1:13" hidden="1" x14ac:dyDescent="0.25">
      <c r="A1192" t="s">
        <v>344</v>
      </c>
      <c r="B1192" s="52" t="s">
        <v>267</v>
      </c>
      <c r="C1192" s="52" t="s">
        <v>278</v>
      </c>
      <c r="D1192" s="52" t="s">
        <v>279</v>
      </c>
      <c r="E1192" s="52">
        <v>1</v>
      </c>
      <c r="F1192">
        <v>5</v>
      </c>
      <c r="G1192">
        <v>70</v>
      </c>
      <c r="H1192">
        <v>10</v>
      </c>
      <c r="I1192" s="52">
        <v>5</v>
      </c>
      <c r="J1192" s="52">
        <v>16.5</v>
      </c>
      <c r="K1192" s="52">
        <v>22.4</v>
      </c>
      <c r="L1192" s="52">
        <v>7.8</v>
      </c>
      <c r="M1192">
        <v>42</v>
      </c>
    </row>
    <row r="1193" spans="1:13" hidden="1" x14ac:dyDescent="0.25">
      <c r="A1193" t="s">
        <v>344</v>
      </c>
      <c r="B1193" s="52" t="s">
        <v>267</v>
      </c>
      <c r="C1193" s="52" t="s">
        <v>278</v>
      </c>
      <c r="D1193" s="52" t="s">
        <v>279</v>
      </c>
      <c r="E1193" s="52">
        <v>1</v>
      </c>
      <c r="F1193">
        <v>5</v>
      </c>
      <c r="G1193">
        <v>80</v>
      </c>
      <c r="H1193">
        <v>10</v>
      </c>
      <c r="I1193" s="52">
        <v>5</v>
      </c>
      <c r="J1193" s="52">
        <v>16.5</v>
      </c>
      <c r="K1193" s="52">
        <v>22.4</v>
      </c>
      <c r="L1193" s="52">
        <v>7.8</v>
      </c>
      <c r="M1193">
        <v>50</v>
      </c>
    </row>
    <row r="1194" spans="1:13" hidden="1" x14ac:dyDescent="0.25">
      <c r="A1194" t="s">
        <v>344</v>
      </c>
      <c r="B1194" s="52" t="s">
        <v>267</v>
      </c>
      <c r="C1194" s="52" t="s">
        <v>278</v>
      </c>
      <c r="D1194" s="52" t="s">
        <v>279</v>
      </c>
      <c r="E1194" s="52">
        <v>1</v>
      </c>
      <c r="F1194">
        <v>5</v>
      </c>
      <c r="G1194">
        <v>90</v>
      </c>
      <c r="H1194">
        <v>10</v>
      </c>
      <c r="I1194" s="52">
        <v>5</v>
      </c>
      <c r="J1194" s="52">
        <v>16.5</v>
      </c>
      <c r="K1194" s="52">
        <v>22.4</v>
      </c>
      <c r="L1194" s="52">
        <v>7.8</v>
      </c>
      <c r="M1194">
        <v>42</v>
      </c>
    </row>
    <row r="1195" spans="1:13" hidden="1" x14ac:dyDescent="0.25">
      <c r="A1195" t="s">
        <v>344</v>
      </c>
      <c r="B1195" s="52" t="s">
        <v>267</v>
      </c>
      <c r="C1195" s="52" t="s">
        <v>278</v>
      </c>
      <c r="D1195" s="52" t="s">
        <v>279</v>
      </c>
      <c r="E1195" s="52">
        <v>1</v>
      </c>
      <c r="F1195">
        <v>5</v>
      </c>
      <c r="G1195">
        <v>100</v>
      </c>
      <c r="H1195">
        <v>10</v>
      </c>
      <c r="I1195" s="52">
        <v>5</v>
      </c>
      <c r="J1195" s="52">
        <v>16.5</v>
      </c>
      <c r="K1195" s="52">
        <v>22.4</v>
      </c>
      <c r="L1195" s="52">
        <v>7.8</v>
      </c>
      <c r="M1195">
        <v>52</v>
      </c>
    </row>
    <row r="1196" spans="1:13" hidden="1" x14ac:dyDescent="0.25">
      <c r="A1196" t="s">
        <v>344</v>
      </c>
      <c r="B1196" s="52" t="s">
        <v>267</v>
      </c>
      <c r="C1196" s="52" t="s">
        <v>278</v>
      </c>
      <c r="D1196" s="52" t="s">
        <v>279</v>
      </c>
      <c r="E1196" s="52">
        <v>1</v>
      </c>
      <c r="F1196">
        <v>5</v>
      </c>
      <c r="G1196">
        <v>120</v>
      </c>
      <c r="H1196">
        <v>10</v>
      </c>
      <c r="I1196" s="52">
        <v>5</v>
      </c>
      <c r="J1196" s="52">
        <v>16.5</v>
      </c>
      <c r="K1196" s="52">
        <v>22.4</v>
      </c>
      <c r="L1196" s="52">
        <v>7.8</v>
      </c>
      <c r="M1196">
        <v>62</v>
      </c>
    </row>
    <row r="1197" spans="1:13" hidden="1" x14ac:dyDescent="0.25">
      <c r="A1197" t="s">
        <v>344</v>
      </c>
      <c r="B1197" s="52" t="s">
        <v>267</v>
      </c>
      <c r="C1197" s="52" t="s">
        <v>278</v>
      </c>
      <c r="D1197" s="52" t="s">
        <v>279</v>
      </c>
      <c r="E1197" s="52">
        <v>1</v>
      </c>
      <c r="F1197">
        <v>6</v>
      </c>
      <c r="G1197">
        <v>40</v>
      </c>
      <c r="H1197">
        <v>12</v>
      </c>
      <c r="I1197" s="52">
        <v>8.5</v>
      </c>
      <c r="J1197" s="52">
        <v>15.6</v>
      </c>
      <c r="K1197" s="52">
        <v>22</v>
      </c>
      <c r="L1197" s="52">
        <v>11.5</v>
      </c>
      <c r="M1197">
        <v>24</v>
      </c>
    </row>
    <row r="1198" spans="1:13" hidden="1" x14ac:dyDescent="0.25">
      <c r="A1198" t="s">
        <v>344</v>
      </c>
      <c r="B1198" s="52" t="s">
        <v>267</v>
      </c>
      <c r="C1198" s="52" t="s">
        <v>278</v>
      </c>
      <c r="D1198" s="52" t="s">
        <v>279</v>
      </c>
      <c r="E1198" s="52">
        <v>1</v>
      </c>
      <c r="F1198">
        <v>6</v>
      </c>
      <c r="G1198">
        <v>50</v>
      </c>
      <c r="H1198">
        <v>12</v>
      </c>
      <c r="I1198" s="52">
        <v>8.5</v>
      </c>
      <c r="J1198" s="52">
        <v>15.6</v>
      </c>
      <c r="K1198" s="52">
        <v>22</v>
      </c>
      <c r="L1198" s="52">
        <v>11.5</v>
      </c>
      <c r="M1198">
        <v>30</v>
      </c>
    </row>
    <row r="1199" spans="1:13" hidden="1" x14ac:dyDescent="0.25">
      <c r="A1199" t="s">
        <v>344</v>
      </c>
      <c r="B1199" s="52" t="s">
        <v>267</v>
      </c>
      <c r="C1199" s="52" t="s">
        <v>278</v>
      </c>
      <c r="D1199" s="52" t="s">
        <v>279</v>
      </c>
      <c r="E1199" s="52">
        <v>1</v>
      </c>
      <c r="F1199">
        <v>6</v>
      </c>
      <c r="G1199">
        <v>60</v>
      </c>
      <c r="H1199">
        <v>12</v>
      </c>
      <c r="I1199" s="52">
        <v>8.5</v>
      </c>
      <c r="J1199" s="52">
        <v>15.6</v>
      </c>
      <c r="K1199" s="52">
        <v>22</v>
      </c>
      <c r="L1199" s="52">
        <v>11.5</v>
      </c>
      <c r="M1199">
        <v>36</v>
      </c>
    </row>
    <row r="1200" spans="1:13" hidden="1" x14ac:dyDescent="0.25">
      <c r="A1200" t="s">
        <v>344</v>
      </c>
      <c r="B1200" s="52" t="s">
        <v>267</v>
      </c>
      <c r="C1200" s="52" t="s">
        <v>278</v>
      </c>
      <c r="D1200" s="52" t="s">
        <v>279</v>
      </c>
      <c r="E1200" s="52">
        <v>1</v>
      </c>
      <c r="F1200">
        <v>6</v>
      </c>
      <c r="G1200">
        <v>70</v>
      </c>
      <c r="H1200">
        <v>12</v>
      </c>
      <c r="I1200" s="52">
        <v>8.5</v>
      </c>
      <c r="J1200" s="52">
        <v>15.6</v>
      </c>
      <c r="K1200" s="52">
        <v>22</v>
      </c>
      <c r="L1200" s="52">
        <v>11.5</v>
      </c>
      <c r="M1200">
        <v>42</v>
      </c>
    </row>
    <row r="1201" spans="1:13" hidden="1" x14ac:dyDescent="0.25">
      <c r="A1201" t="s">
        <v>344</v>
      </c>
      <c r="B1201" s="52" t="s">
        <v>267</v>
      </c>
      <c r="C1201" s="52" t="s">
        <v>278</v>
      </c>
      <c r="D1201" s="52" t="s">
        <v>279</v>
      </c>
      <c r="E1201" s="52">
        <v>1</v>
      </c>
      <c r="F1201">
        <v>6</v>
      </c>
      <c r="G1201">
        <v>80</v>
      </c>
      <c r="H1201">
        <v>12</v>
      </c>
      <c r="I1201" s="52">
        <v>8.5</v>
      </c>
      <c r="J1201" s="52">
        <v>15.6</v>
      </c>
      <c r="K1201" s="52">
        <v>22</v>
      </c>
      <c r="L1201" s="52">
        <v>11.5</v>
      </c>
      <c r="M1201">
        <v>42</v>
      </c>
    </row>
    <row r="1202" spans="1:13" hidden="1" x14ac:dyDescent="0.25">
      <c r="A1202" t="s">
        <v>344</v>
      </c>
      <c r="B1202" s="52" t="s">
        <v>267</v>
      </c>
      <c r="C1202" s="52" t="s">
        <v>278</v>
      </c>
      <c r="D1202" s="52" t="s">
        <v>279</v>
      </c>
      <c r="E1202" s="52">
        <v>1</v>
      </c>
      <c r="F1202">
        <v>6</v>
      </c>
      <c r="G1202">
        <v>90</v>
      </c>
      <c r="H1202">
        <v>12</v>
      </c>
      <c r="I1202" s="52">
        <v>8.5</v>
      </c>
      <c r="J1202" s="52">
        <v>15.6</v>
      </c>
      <c r="K1202" s="52">
        <v>22</v>
      </c>
      <c r="L1202" s="52">
        <v>11.5</v>
      </c>
      <c r="M1202">
        <v>42</v>
      </c>
    </row>
    <row r="1203" spans="1:13" hidden="1" x14ac:dyDescent="0.25">
      <c r="A1203" t="s">
        <v>344</v>
      </c>
      <c r="B1203" s="52" t="s">
        <v>267</v>
      </c>
      <c r="C1203" s="52" t="s">
        <v>278</v>
      </c>
      <c r="D1203" s="52" t="s">
        <v>279</v>
      </c>
      <c r="E1203" s="52">
        <v>1</v>
      </c>
      <c r="F1203">
        <v>6</v>
      </c>
      <c r="G1203">
        <v>100</v>
      </c>
      <c r="H1203">
        <v>12</v>
      </c>
      <c r="I1203" s="52">
        <v>8.5</v>
      </c>
      <c r="J1203" s="52">
        <v>15.6</v>
      </c>
      <c r="K1203" s="52">
        <v>22</v>
      </c>
      <c r="L1203" s="52">
        <v>11.5</v>
      </c>
      <c r="M1203">
        <v>52</v>
      </c>
    </row>
    <row r="1204" spans="1:13" hidden="1" x14ac:dyDescent="0.25">
      <c r="A1204" t="s">
        <v>344</v>
      </c>
      <c r="B1204" s="52" t="s">
        <v>267</v>
      </c>
      <c r="C1204" s="52" t="s">
        <v>278</v>
      </c>
      <c r="D1204" s="52" t="s">
        <v>279</v>
      </c>
      <c r="E1204" s="52">
        <v>1</v>
      </c>
      <c r="F1204">
        <v>6</v>
      </c>
      <c r="G1204">
        <v>110</v>
      </c>
      <c r="H1204">
        <v>12</v>
      </c>
      <c r="I1204" s="52">
        <v>8.5</v>
      </c>
      <c r="J1204" s="52">
        <v>15.6</v>
      </c>
      <c r="K1204" s="52">
        <v>22</v>
      </c>
      <c r="L1204" s="52">
        <v>11.5</v>
      </c>
      <c r="M1204">
        <v>62</v>
      </c>
    </row>
    <row r="1205" spans="1:13" hidden="1" x14ac:dyDescent="0.25">
      <c r="A1205" t="s">
        <v>344</v>
      </c>
      <c r="B1205" s="52" t="s">
        <v>267</v>
      </c>
      <c r="C1205" s="52" t="s">
        <v>278</v>
      </c>
      <c r="D1205" s="52" t="s">
        <v>279</v>
      </c>
      <c r="E1205" s="52">
        <v>1</v>
      </c>
      <c r="F1205">
        <v>6</v>
      </c>
      <c r="G1205">
        <v>120</v>
      </c>
      <c r="H1205">
        <v>12</v>
      </c>
      <c r="I1205" s="52">
        <v>8.5</v>
      </c>
      <c r="J1205" s="52">
        <v>15.6</v>
      </c>
      <c r="K1205" s="52">
        <v>22</v>
      </c>
      <c r="L1205" s="52">
        <v>11.5</v>
      </c>
      <c r="M1205">
        <v>72</v>
      </c>
    </row>
    <row r="1206" spans="1:13" hidden="1" x14ac:dyDescent="0.25">
      <c r="A1206" t="s">
        <v>344</v>
      </c>
      <c r="B1206" s="52" t="s">
        <v>267</v>
      </c>
      <c r="C1206" s="52" t="s">
        <v>278</v>
      </c>
      <c r="D1206" s="52" t="s">
        <v>279</v>
      </c>
      <c r="E1206" s="52">
        <v>1</v>
      </c>
      <c r="F1206">
        <v>6</v>
      </c>
      <c r="G1206">
        <v>130</v>
      </c>
      <c r="H1206">
        <v>12</v>
      </c>
      <c r="I1206" s="52">
        <v>8.5</v>
      </c>
      <c r="J1206" s="52">
        <v>15.6</v>
      </c>
      <c r="K1206" s="52">
        <v>22</v>
      </c>
      <c r="L1206" s="52">
        <v>11.5</v>
      </c>
      <c r="M1206">
        <v>72</v>
      </c>
    </row>
    <row r="1207" spans="1:13" hidden="1" x14ac:dyDescent="0.25">
      <c r="A1207" t="s">
        <v>344</v>
      </c>
      <c r="B1207" s="52" t="s">
        <v>267</v>
      </c>
      <c r="C1207" s="52" t="s">
        <v>278</v>
      </c>
      <c r="D1207" s="52" t="s">
        <v>279</v>
      </c>
      <c r="E1207" s="52">
        <v>1</v>
      </c>
      <c r="F1207">
        <v>6</v>
      </c>
      <c r="G1207">
        <v>140</v>
      </c>
      <c r="H1207">
        <v>12</v>
      </c>
      <c r="I1207" s="52">
        <v>8.5</v>
      </c>
      <c r="J1207" s="52">
        <v>15.6</v>
      </c>
      <c r="K1207" s="52">
        <v>22</v>
      </c>
      <c r="L1207" s="52">
        <v>11.5</v>
      </c>
      <c r="M1207">
        <v>72</v>
      </c>
    </row>
    <row r="1208" spans="1:13" hidden="1" x14ac:dyDescent="0.25">
      <c r="A1208" t="s">
        <v>344</v>
      </c>
      <c r="B1208" s="52" t="s">
        <v>267</v>
      </c>
      <c r="C1208" s="52" t="s">
        <v>278</v>
      </c>
      <c r="D1208" s="52" t="s">
        <v>279</v>
      </c>
      <c r="E1208" s="52">
        <v>1</v>
      </c>
      <c r="F1208">
        <v>6</v>
      </c>
      <c r="G1208">
        <v>150</v>
      </c>
      <c r="H1208">
        <v>12</v>
      </c>
      <c r="I1208" s="52">
        <v>8.5</v>
      </c>
      <c r="J1208" s="52">
        <v>15.6</v>
      </c>
      <c r="K1208" s="52">
        <v>22</v>
      </c>
      <c r="L1208" s="52">
        <v>11.5</v>
      </c>
      <c r="M1208">
        <v>72</v>
      </c>
    </row>
    <row r="1209" spans="1:13" hidden="1" x14ac:dyDescent="0.25">
      <c r="A1209" t="s">
        <v>344</v>
      </c>
      <c r="B1209" s="52" t="s">
        <v>267</v>
      </c>
      <c r="C1209" s="52" t="s">
        <v>280</v>
      </c>
      <c r="D1209" s="52" t="s">
        <v>269</v>
      </c>
      <c r="E1209" s="52">
        <v>3</v>
      </c>
      <c r="F1209">
        <v>3</v>
      </c>
      <c r="G1209">
        <v>30</v>
      </c>
      <c r="H1209">
        <v>6</v>
      </c>
      <c r="I1209" s="52">
        <v>0.8</v>
      </c>
      <c r="J1209" s="52">
        <v>15.8</v>
      </c>
      <c r="K1209" s="52">
        <v>38.700000000000003</v>
      </c>
      <c r="L1209" s="52">
        <v>1.7</v>
      </c>
      <c r="M1209">
        <v>18</v>
      </c>
    </row>
    <row r="1210" spans="1:13" hidden="1" x14ac:dyDescent="0.25">
      <c r="A1210" t="s">
        <v>344</v>
      </c>
      <c r="B1210" s="52" t="s">
        <v>267</v>
      </c>
      <c r="C1210" s="52" t="s">
        <v>280</v>
      </c>
      <c r="D1210" s="52" t="s">
        <v>269</v>
      </c>
      <c r="E1210" s="52">
        <v>3</v>
      </c>
      <c r="F1210">
        <v>3.5</v>
      </c>
      <c r="G1210">
        <v>20</v>
      </c>
      <c r="H1210">
        <v>7</v>
      </c>
      <c r="I1210" s="52">
        <v>1.1000000000000001</v>
      </c>
      <c r="J1210" s="52">
        <v>16</v>
      </c>
      <c r="K1210" s="52">
        <v>41.7</v>
      </c>
      <c r="L1210" s="52">
        <v>2.2999999999999998</v>
      </c>
      <c r="M1210">
        <v>16</v>
      </c>
    </row>
    <row r="1211" spans="1:13" hidden="1" x14ac:dyDescent="0.25">
      <c r="A1211" t="s">
        <v>344</v>
      </c>
      <c r="B1211" s="52" t="s">
        <v>267</v>
      </c>
      <c r="C1211" s="52" t="s">
        <v>280</v>
      </c>
      <c r="D1211" s="52" t="s">
        <v>269</v>
      </c>
      <c r="E1211" s="52">
        <v>3</v>
      </c>
      <c r="F1211">
        <v>3.5</v>
      </c>
      <c r="G1211">
        <v>30</v>
      </c>
      <c r="H1211">
        <v>7</v>
      </c>
      <c r="I1211" s="52">
        <v>1.1000000000000001</v>
      </c>
      <c r="J1211" s="52">
        <v>16</v>
      </c>
      <c r="K1211" s="52">
        <v>41.7</v>
      </c>
      <c r="L1211" s="52">
        <v>2.2999999999999998</v>
      </c>
      <c r="M1211">
        <v>18</v>
      </c>
    </row>
    <row r="1212" spans="1:13" hidden="1" x14ac:dyDescent="0.25">
      <c r="A1212" t="s">
        <v>344</v>
      </c>
      <c r="B1212" s="52" t="s">
        <v>267</v>
      </c>
      <c r="C1212" s="52" t="s">
        <v>280</v>
      </c>
      <c r="D1212" s="52" t="s">
        <v>269</v>
      </c>
      <c r="E1212" s="52">
        <v>3</v>
      </c>
      <c r="F1212">
        <v>3.5</v>
      </c>
      <c r="G1212">
        <v>40</v>
      </c>
      <c r="H1212">
        <v>7</v>
      </c>
      <c r="I1212" s="52">
        <v>1.1000000000000001</v>
      </c>
      <c r="J1212" s="52">
        <v>16</v>
      </c>
      <c r="K1212" s="52">
        <v>41.7</v>
      </c>
      <c r="L1212" s="52">
        <v>2.2999999999999998</v>
      </c>
      <c r="M1212">
        <v>24</v>
      </c>
    </row>
    <row r="1213" spans="1:13" hidden="1" x14ac:dyDescent="0.25">
      <c r="A1213" t="s">
        <v>344</v>
      </c>
      <c r="B1213" s="52" t="s">
        <v>267</v>
      </c>
      <c r="C1213" s="52" t="s">
        <v>280</v>
      </c>
      <c r="D1213" s="52" t="s">
        <v>269</v>
      </c>
      <c r="E1213" s="52">
        <v>3</v>
      </c>
      <c r="F1213">
        <v>4</v>
      </c>
      <c r="G1213">
        <v>30</v>
      </c>
      <c r="H1213">
        <v>8</v>
      </c>
      <c r="I1213" s="52">
        <v>1.7</v>
      </c>
      <c r="J1213" s="52">
        <v>15.5</v>
      </c>
      <c r="K1213" s="52">
        <v>35.6</v>
      </c>
      <c r="L1213" s="52">
        <v>2.7</v>
      </c>
      <c r="M1213">
        <v>18</v>
      </c>
    </row>
    <row r="1214" spans="1:13" hidden="1" x14ac:dyDescent="0.25">
      <c r="A1214" t="s">
        <v>344</v>
      </c>
      <c r="B1214" s="52" t="s">
        <v>267</v>
      </c>
      <c r="C1214" s="52" t="s">
        <v>280</v>
      </c>
      <c r="D1214" s="52" t="s">
        <v>269</v>
      </c>
      <c r="E1214" s="52">
        <v>3</v>
      </c>
      <c r="F1214">
        <v>4</v>
      </c>
      <c r="G1214">
        <v>40</v>
      </c>
      <c r="H1214">
        <v>8</v>
      </c>
      <c r="I1214" s="52">
        <v>1.7</v>
      </c>
      <c r="J1214" s="52">
        <v>15.5</v>
      </c>
      <c r="K1214" s="52">
        <v>35.6</v>
      </c>
      <c r="L1214" s="52">
        <v>2.7</v>
      </c>
      <c r="M1214">
        <v>24</v>
      </c>
    </row>
    <row r="1215" spans="1:13" hidden="1" x14ac:dyDescent="0.25">
      <c r="A1215" t="s">
        <v>344</v>
      </c>
      <c r="B1215" s="52" t="s">
        <v>267</v>
      </c>
      <c r="C1215" s="52" t="s">
        <v>280</v>
      </c>
      <c r="D1215" s="52" t="s">
        <v>269</v>
      </c>
      <c r="E1215" s="52">
        <v>3</v>
      </c>
      <c r="F1215">
        <v>4</v>
      </c>
      <c r="G1215">
        <v>50</v>
      </c>
      <c r="H1215">
        <v>8</v>
      </c>
      <c r="I1215" s="52">
        <v>1.7</v>
      </c>
      <c r="J1215" s="52">
        <v>15.5</v>
      </c>
      <c r="K1215" s="52">
        <v>35.6</v>
      </c>
      <c r="L1215" s="52">
        <v>2.7</v>
      </c>
      <c r="M1215">
        <v>30</v>
      </c>
    </row>
    <row r="1216" spans="1:13" hidden="1" x14ac:dyDescent="0.25">
      <c r="A1216" t="s">
        <v>344</v>
      </c>
      <c r="B1216" s="52" t="s">
        <v>267</v>
      </c>
      <c r="C1216" s="52" t="s">
        <v>280</v>
      </c>
      <c r="D1216" s="52" t="s">
        <v>269</v>
      </c>
      <c r="E1216" s="52">
        <v>3</v>
      </c>
      <c r="F1216">
        <v>4.5</v>
      </c>
      <c r="G1216">
        <v>30</v>
      </c>
      <c r="H1216">
        <v>9</v>
      </c>
      <c r="I1216" s="52">
        <v>2.1</v>
      </c>
      <c r="J1216" s="52">
        <v>15.7</v>
      </c>
      <c r="K1216" s="52">
        <v>35</v>
      </c>
      <c r="L1216" s="52">
        <v>3.2</v>
      </c>
      <c r="M1216">
        <v>18</v>
      </c>
    </row>
    <row r="1217" spans="1:13" hidden="1" x14ac:dyDescent="0.25">
      <c r="A1217" t="s">
        <v>344</v>
      </c>
      <c r="B1217" s="52" t="s">
        <v>267</v>
      </c>
      <c r="C1217" s="52" t="s">
        <v>280</v>
      </c>
      <c r="D1217" s="52" t="s">
        <v>269</v>
      </c>
      <c r="E1217" s="52">
        <v>3</v>
      </c>
      <c r="F1217">
        <v>4.5</v>
      </c>
      <c r="G1217">
        <v>40</v>
      </c>
      <c r="H1217">
        <v>9</v>
      </c>
      <c r="I1217" s="52">
        <v>2.1</v>
      </c>
      <c r="J1217" s="52">
        <v>15.7</v>
      </c>
      <c r="K1217" s="52">
        <v>35</v>
      </c>
      <c r="L1217" s="52">
        <v>3.2</v>
      </c>
      <c r="M1217">
        <v>24</v>
      </c>
    </row>
    <row r="1218" spans="1:13" hidden="1" x14ac:dyDescent="0.25">
      <c r="A1218" t="s">
        <v>344</v>
      </c>
      <c r="B1218" s="52" t="s">
        <v>267</v>
      </c>
      <c r="C1218" s="52" t="s">
        <v>280</v>
      </c>
      <c r="D1218" s="52" t="s">
        <v>269</v>
      </c>
      <c r="E1218" s="52">
        <v>3</v>
      </c>
      <c r="F1218">
        <v>4.5</v>
      </c>
      <c r="G1218">
        <v>50</v>
      </c>
      <c r="H1218">
        <v>9</v>
      </c>
      <c r="I1218" s="52">
        <v>2.1</v>
      </c>
      <c r="J1218" s="52">
        <v>15.7</v>
      </c>
      <c r="K1218" s="52">
        <v>35</v>
      </c>
      <c r="L1218" s="52">
        <v>3.2</v>
      </c>
      <c r="M1218">
        <v>30</v>
      </c>
    </row>
    <row r="1219" spans="1:13" hidden="1" x14ac:dyDescent="0.25">
      <c r="A1219" t="s">
        <v>344</v>
      </c>
      <c r="B1219" s="52" t="s">
        <v>267</v>
      </c>
      <c r="C1219" s="52" t="s">
        <v>280</v>
      </c>
      <c r="D1219" s="52" t="s">
        <v>269</v>
      </c>
      <c r="E1219" s="52">
        <v>3</v>
      </c>
      <c r="F1219">
        <v>5</v>
      </c>
      <c r="G1219">
        <v>40</v>
      </c>
      <c r="H1219">
        <v>10</v>
      </c>
      <c r="I1219" s="52">
        <v>2</v>
      </c>
      <c r="J1219" s="52">
        <v>10.3</v>
      </c>
      <c r="K1219" s="52">
        <v>32.6</v>
      </c>
      <c r="L1219" s="52">
        <v>3.8</v>
      </c>
      <c r="M1219">
        <v>24</v>
      </c>
    </row>
    <row r="1220" spans="1:13" hidden="1" x14ac:dyDescent="0.25">
      <c r="A1220" t="s">
        <v>344</v>
      </c>
      <c r="B1220" s="52" t="s">
        <v>267</v>
      </c>
      <c r="C1220" s="52" t="s">
        <v>280</v>
      </c>
      <c r="D1220" s="52" t="s">
        <v>269</v>
      </c>
      <c r="E1220" s="52">
        <v>3</v>
      </c>
      <c r="F1220">
        <v>5</v>
      </c>
      <c r="G1220">
        <v>50</v>
      </c>
      <c r="H1220">
        <v>10</v>
      </c>
      <c r="I1220" s="52">
        <v>2</v>
      </c>
      <c r="J1220" s="52">
        <v>10.3</v>
      </c>
      <c r="K1220" s="52">
        <v>32.6</v>
      </c>
      <c r="L1220" s="52">
        <v>3.8</v>
      </c>
      <c r="M1220">
        <v>30</v>
      </c>
    </row>
    <row r="1221" spans="1:13" hidden="1" x14ac:dyDescent="0.25">
      <c r="A1221" t="s">
        <v>344</v>
      </c>
      <c r="B1221" s="52" t="s">
        <v>267</v>
      </c>
      <c r="C1221" s="52" t="s">
        <v>280</v>
      </c>
      <c r="D1221" s="52" t="s">
        <v>269</v>
      </c>
      <c r="E1221" s="52">
        <v>3</v>
      </c>
      <c r="F1221">
        <v>5</v>
      </c>
      <c r="G1221">
        <v>60</v>
      </c>
      <c r="H1221">
        <v>10</v>
      </c>
      <c r="I1221" s="52">
        <v>2</v>
      </c>
      <c r="J1221" s="52">
        <v>10.3</v>
      </c>
      <c r="K1221" s="52">
        <v>32.6</v>
      </c>
      <c r="L1221" s="52">
        <v>3.8</v>
      </c>
      <c r="M1221">
        <v>36</v>
      </c>
    </row>
    <row r="1222" spans="1:13" hidden="1" x14ac:dyDescent="0.25">
      <c r="A1222" t="s">
        <v>344</v>
      </c>
      <c r="B1222" s="52" t="s">
        <v>267</v>
      </c>
      <c r="C1222" s="52" t="s">
        <v>280</v>
      </c>
      <c r="D1222" s="52" t="s">
        <v>269</v>
      </c>
      <c r="E1222" s="52">
        <v>3</v>
      </c>
      <c r="F1222">
        <v>5</v>
      </c>
      <c r="G1222">
        <v>70</v>
      </c>
      <c r="H1222">
        <v>10</v>
      </c>
      <c r="I1222" s="52">
        <v>2</v>
      </c>
      <c r="J1222" s="52">
        <v>10.3</v>
      </c>
      <c r="K1222" s="52">
        <v>32.6</v>
      </c>
      <c r="L1222" s="52">
        <v>3.8</v>
      </c>
      <c r="M1222">
        <v>42</v>
      </c>
    </row>
    <row r="1223" spans="1:13" hidden="1" x14ac:dyDescent="0.25">
      <c r="A1223" t="s">
        <v>344</v>
      </c>
      <c r="B1223" s="52" t="s">
        <v>267</v>
      </c>
      <c r="C1223" s="52" t="s">
        <v>280</v>
      </c>
      <c r="D1223" s="52" t="s">
        <v>269</v>
      </c>
      <c r="E1223" s="52">
        <v>3</v>
      </c>
      <c r="F1223">
        <v>5</v>
      </c>
      <c r="G1223">
        <v>80</v>
      </c>
      <c r="H1223">
        <v>10</v>
      </c>
      <c r="I1223" s="52">
        <v>2</v>
      </c>
      <c r="J1223" s="52">
        <v>10.3</v>
      </c>
      <c r="K1223" s="52">
        <v>32.6</v>
      </c>
      <c r="L1223" s="52">
        <v>3.8</v>
      </c>
      <c r="M1223">
        <v>50</v>
      </c>
    </row>
    <row r="1224" spans="1:13" hidden="1" x14ac:dyDescent="0.25">
      <c r="A1224" t="s">
        <v>344</v>
      </c>
      <c r="B1224" s="52" t="s">
        <v>267</v>
      </c>
      <c r="C1224" s="52" t="s">
        <v>280</v>
      </c>
      <c r="D1224" s="52" t="s">
        <v>269</v>
      </c>
      <c r="E1224" s="52">
        <v>3</v>
      </c>
      <c r="F1224">
        <v>5</v>
      </c>
      <c r="G1224">
        <v>100</v>
      </c>
      <c r="H1224">
        <v>10</v>
      </c>
      <c r="I1224" s="52">
        <v>2</v>
      </c>
      <c r="J1224" s="52">
        <v>10.3</v>
      </c>
      <c r="K1224" s="52">
        <v>32.6</v>
      </c>
      <c r="L1224" s="52">
        <v>3.8</v>
      </c>
      <c r="M1224">
        <v>52</v>
      </c>
    </row>
    <row r="1225" spans="1:13" hidden="1" x14ac:dyDescent="0.25">
      <c r="A1225" t="s">
        <v>344</v>
      </c>
      <c r="B1225" s="52" t="s">
        <v>267</v>
      </c>
      <c r="C1225" s="52" t="s">
        <v>280</v>
      </c>
      <c r="D1225" s="52" t="s">
        <v>269</v>
      </c>
      <c r="E1225" s="52">
        <v>3</v>
      </c>
      <c r="F1225">
        <v>6</v>
      </c>
      <c r="G1225">
        <v>60</v>
      </c>
      <c r="H1225">
        <v>12</v>
      </c>
      <c r="I1225" s="52">
        <v>2.8</v>
      </c>
      <c r="J1225" s="52">
        <v>12.3</v>
      </c>
      <c r="K1225" s="52">
        <v>27.7</v>
      </c>
      <c r="L1225" s="52">
        <v>6.1</v>
      </c>
      <c r="M1225">
        <v>36</v>
      </c>
    </row>
    <row r="1226" spans="1:13" hidden="1" x14ac:dyDescent="0.25">
      <c r="A1226" t="s">
        <v>344</v>
      </c>
      <c r="B1226" s="52" t="s">
        <v>267</v>
      </c>
      <c r="C1226" s="52" t="s">
        <v>280</v>
      </c>
      <c r="D1226" s="52" t="s">
        <v>269</v>
      </c>
      <c r="E1226" s="52">
        <v>3</v>
      </c>
      <c r="F1226">
        <v>6</v>
      </c>
      <c r="G1226">
        <v>80</v>
      </c>
      <c r="H1226">
        <v>12</v>
      </c>
      <c r="I1226" s="52">
        <v>2.8</v>
      </c>
      <c r="J1226" s="52">
        <v>12.3</v>
      </c>
      <c r="K1226" s="52">
        <v>27.7</v>
      </c>
      <c r="L1226" s="52">
        <v>6.1</v>
      </c>
      <c r="M1226">
        <v>42</v>
      </c>
    </row>
    <row r="1227" spans="1:13" hidden="1" x14ac:dyDescent="0.25">
      <c r="A1227" t="s">
        <v>344</v>
      </c>
      <c r="B1227" s="52" t="s">
        <v>267</v>
      </c>
      <c r="C1227" s="52" t="s">
        <v>280</v>
      </c>
      <c r="D1227" s="52" t="s">
        <v>269</v>
      </c>
      <c r="E1227" s="52">
        <v>3</v>
      </c>
      <c r="F1227">
        <v>6</v>
      </c>
      <c r="G1227">
        <v>100</v>
      </c>
      <c r="H1227">
        <v>12</v>
      </c>
      <c r="I1227" s="52">
        <v>2.8</v>
      </c>
      <c r="J1227" s="52">
        <v>12.3</v>
      </c>
      <c r="K1227" s="52">
        <v>27.7</v>
      </c>
      <c r="L1227" s="52">
        <v>6.1</v>
      </c>
      <c r="M1227">
        <v>52</v>
      </c>
    </row>
    <row r="1228" spans="1:13" hidden="1" x14ac:dyDescent="0.25">
      <c r="A1228" t="s">
        <v>344</v>
      </c>
      <c r="B1228" s="52" t="s">
        <v>267</v>
      </c>
      <c r="C1228" s="52" t="s">
        <v>281</v>
      </c>
      <c r="D1228" s="52" t="s">
        <v>282</v>
      </c>
      <c r="E1228" s="52">
        <v>3</v>
      </c>
      <c r="F1228">
        <v>4</v>
      </c>
      <c r="G1228">
        <v>30</v>
      </c>
      <c r="H1228">
        <v>8</v>
      </c>
      <c r="I1228" s="52">
        <v>2.9</v>
      </c>
      <c r="J1228" s="52">
        <v>14.1</v>
      </c>
      <c r="K1228" s="52">
        <v>24.1</v>
      </c>
      <c r="L1228" s="52">
        <v>5.0999999999999996</v>
      </c>
      <c r="M1228">
        <v>18</v>
      </c>
    </row>
    <row r="1229" spans="1:13" hidden="1" x14ac:dyDescent="0.25">
      <c r="A1229" t="s">
        <v>344</v>
      </c>
      <c r="B1229" s="52" t="s">
        <v>267</v>
      </c>
      <c r="C1229" s="52" t="s">
        <v>281</v>
      </c>
      <c r="D1229" s="52" t="s">
        <v>282</v>
      </c>
      <c r="E1229" s="52">
        <v>3</v>
      </c>
      <c r="F1229">
        <v>4</v>
      </c>
      <c r="G1229">
        <v>40</v>
      </c>
      <c r="H1229">
        <v>8</v>
      </c>
      <c r="I1229" s="52">
        <v>2.9</v>
      </c>
      <c r="J1229" s="52">
        <v>14.1</v>
      </c>
      <c r="K1229" s="52">
        <v>24.1</v>
      </c>
      <c r="L1229" s="52">
        <v>5.0999999999999996</v>
      </c>
      <c r="M1229">
        <v>24</v>
      </c>
    </row>
    <row r="1230" spans="1:13" hidden="1" x14ac:dyDescent="0.25">
      <c r="A1230" t="s">
        <v>344</v>
      </c>
      <c r="B1230" s="52" t="s">
        <v>267</v>
      </c>
      <c r="C1230" s="52" t="s">
        <v>281</v>
      </c>
      <c r="D1230" s="52" t="s">
        <v>282</v>
      </c>
      <c r="E1230" s="52">
        <v>3</v>
      </c>
      <c r="F1230">
        <v>4</v>
      </c>
      <c r="G1230">
        <v>50</v>
      </c>
      <c r="H1230">
        <v>8</v>
      </c>
      <c r="I1230" s="52">
        <v>2.9</v>
      </c>
      <c r="J1230" s="52">
        <v>14.1</v>
      </c>
      <c r="K1230" s="52">
        <v>24.1</v>
      </c>
      <c r="L1230" s="52">
        <v>5.0999999999999996</v>
      </c>
      <c r="M1230">
        <v>30</v>
      </c>
    </row>
    <row r="1231" spans="1:13" hidden="1" x14ac:dyDescent="0.25">
      <c r="A1231" t="s">
        <v>344</v>
      </c>
      <c r="B1231" s="52" t="s">
        <v>267</v>
      </c>
      <c r="C1231" s="52" t="s">
        <v>281</v>
      </c>
      <c r="D1231" s="52" t="s">
        <v>282</v>
      </c>
      <c r="E1231" s="52">
        <v>3</v>
      </c>
      <c r="F1231">
        <v>4.5</v>
      </c>
      <c r="G1231">
        <v>40</v>
      </c>
      <c r="H1231">
        <v>9</v>
      </c>
      <c r="I1231" s="52">
        <v>3.2</v>
      </c>
      <c r="J1231" s="52">
        <v>16.2</v>
      </c>
      <c r="K1231" s="52">
        <v>27</v>
      </c>
      <c r="L1231" s="52">
        <v>6</v>
      </c>
      <c r="M1231">
        <v>24</v>
      </c>
    </row>
    <row r="1232" spans="1:13" hidden="1" x14ac:dyDescent="0.25">
      <c r="A1232" t="s">
        <v>344</v>
      </c>
      <c r="B1232" s="52" t="s">
        <v>267</v>
      </c>
      <c r="C1232" s="52" t="s">
        <v>281</v>
      </c>
      <c r="D1232" s="52" t="s">
        <v>282</v>
      </c>
      <c r="E1232" s="52">
        <v>3</v>
      </c>
      <c r="F1232">
        <v>5</v>
      </c>
      <c r="G1232">
        <v>40</v>
      </c>
      <c r="H1232">
        <v>10</v>
      </c>
      <c r="I1232" s="52">
        <v>3.7</v>
      </c>
      <c r="J1232" s="52">
        <v>17.3</v>
      </c>
      <c r="K1232" s="52">
        <v>21.8</v>
      </c>
      <c r="L1232" s="52">
        <v>7.3</v>
      </c>
      <c r="M1232">
        <v>24</v>
      </c>
    </row>
    <row r="1233" spans="1:13" hidden="1" x14ac:dyDescent="0.25">
      <c r="A1233" t="s">
        <v>344</v>
      </c>
      <c r="B1233" s="52" t="s">
        <v>267</v>
      </c>
      <c r="C1233" s="52" t="s">
        <v>281</v>
      </c>
      <c r="D1233" s="52" t="s">
        <v>282</v>
      </c>
      <c r="E1233" s="52">
        <v>3</v>
      </c>
      <c r="F1233">
        <v>5</v>
      </c>
      <c r="G1233">
        <v>50</v>
      </c>
      <c r="H1233">
        <v>10</v>
      </c>
      <c r="I1233" s="52">
        <v>3.7</v>
      </c>
      <c r="J1233" s="52">
        <v>17.3</v>
      </c>
      <c r="K1233" s="52">
        <v>21.8</v>
      </c>
      <c r="L1233" s="52">
        <v>7.3</v>
      </c>
      <c r="M1233">
        <v>30</v>
      </c>
    </row>
    <row r="1234" spans="1:13" hidden="1" x14ac:dyDescent="0.25">
      <c r="A1234" t="s">
        <v>344</v>
      </c>
      <c r="B1234" s="52" t="s">
        <v>267</v>
      </c>
      <c r="C1234" s="52" t="s">
        <v>281</v>
      </c>
      <c r="D1234" s="52" t="s">
        <v>282</v>
      </c>
      <c r="E1234" s="52">
        <v>3</v>
      </c>
      <c r="F1234">
        <v>5</v>
      </c>
      <c r="G1234">
        <v>60</v>
      </c>
      <c r="H1234">
        <v>10</v>
      </c>
      <c r="I1234" s="52">
        <v>3.7</v>
      </c>
      <c r="J1234" s="52">
        <v>17.3</v>
      </c>
      <c r="K1234" s="52">
        <v>21.8</v>
      </c>
      <c r="L1234" s="52">
        <v>7.3</v>
      </c>
      <c r="M1234">
        <v>36</v>
      </c>
    </row>
    <row r="1235" spans="1:13" hidden="1" x14ac:dyDescent="0.25">
      <c r="A1235" t="s">
        <v>344</v>
      </c>
      <c r="B1235" s="52" t="s">
        <v>267</v>
      </c>
      <c r="C1235" s="52" t="s">
        <v>281</v>
      </c>
      <c r="D1235" s="52" t="s">
        <v>282</v>
      </c>
      <c r="E1235" s="52">
        <v>3</v>
      </c>
      <c r="F1235">
        <v>5</v>
      </c>
      <c r="G1235">
        <v>70</v>
      </c>
      <c r="H1235">
        <v>10</v>
      </c>
      <c r="I1235" s="52">
        <v>3.7</v>
      </c>
      <c r="J1235" s="52">
        <v>17.3</v>
      </c>
      <c r="K1235" s="52">
        <v>21.8</v>
      </c>
      <c r="L1235" s="52">
        <v>7.3</v>
      </c>
      <c r="M1235">
        <v>42</v>
      </c>
    </row>
    <row r="1236" spans="1:13" hidden="1" x14ac:dyDescent="0.25">
      <c r="A1236" t="s">
        <v>344</v>
      </c>
      <c r="B1236" s="52" t="s">
        <v>267</v>
      </c>
      <c r="C1236" s="52" t="s">
        <v>281</v>
      </c>
      <c r="D1236" s="52" t="s">
        <v>282</v>
      </c>
      <c r="E1236" s="52">
        <v>3</v>
      </c>
      <c r="F1236">
        <v>5</v>
      </c>
      <c r="G1236">
        <v>80</v>
      </c>
      <c r="H1236">
        <v>10</v>
      </c>
      <c r="I1236" s="52">
        <v>3.7</v>
      </c>
      <c r="J1236" s="52">
        <v>17.3</v>
      </c>
      <c r="K1236" s="52">
        <v>21.8</v>
      </c>
      <c r="L1236" s="52">
        <v>7.3</v>
      </c>
      <c r="M1236">
        <v>50</v>
      </c>
    </row>
    <row r="1237" spans="1:13" hidden="1" x14ac:dyDescent="0.25">
      <c r="A1237" t="s">
        <v>344</v>
      </c>
      <c r="B1237" s="52" t="s">
        <v>267</v>
      </c>
      <c r="C1237" s="52" t="s">
        <v>281</v>
      </c>
      <c r="D1237" s="52" t="s">
        <v>282</v>
      </c>
      <c r="E1237" s="52">
        <v>3</v>
      </c>
      <c r="F1237">
        <v>5</v>
      </c>
      <c r="G1237">
        <v>90</v>
      </c>
      <c r="H1237">
        <v>10</v>
      </c>
      <c r="I1237" s="52">
        <v>3.7</v>
      </c>
      <c r="J1237" s="52">
        <v>17.3</v>
      </c>
      <c r="K1237" s="52">
        <v>21.8</v>
      </c>
      <c r="L1237" s="52">
        <v>7.3</v>
      </c>
      <c r="M1237">
        <v>42</v>
      </c>
    </row>
    <row r="1238" spans="1:13" hidden="1" x14ac:dyDescent="0.25">
      <c r="A1238" t="s">
        <v>344</v>
      </c>
      <c r="B1238" s="52" t="s">
        <v>267</v>
      </c>
      <c r="C1238" s="52" t="s">
        <v>281</v>
      </c>
      <c r="D1238" s="52" t="s">
        <v>282</v>
      </c>
      <c r="E1238" s="52">
        <v>3</v>
      </c>
      <c r="F1238">
        <v>5</v>
      </c>
      <c r="G1238">
        <v>100</v>
      </c>
      <c r="H1238">
        <v>10</v>
      </c>
      <c r="I1238" s="52">
        <v>3.7</v>
      </c>
      <c r="J1238" s="52">
        <v>17.3</v>
      </c>
      <c r="K1238" s="52">
        <v>21.8</v>
      </c>
      <c r="L1238" s="52">
        <v>7.3</v>
      </c>
      <c r="M1238">
        <v>52</v>
      </c>
    </row>
    <row r="1239" spans="1:13" hidden="1" x14ac:dyDescent="0.25">
      <c r="A1239" t="s">
        <v>344</v>
      </c>
      <c r="B1239" s="52" t="s">
        <v>267</v>
      </c>
      <c r="C1239" s="52" t="s">
        <v>281</v>
      </c>
      <c r="D1239" s="52" t="s">
        <v>282</v>
      </c>
      <c r="E1239" s="52">
        <v>3</v>
      </c>
      <c r="F1239">
        <v>5</v>
      </c>
      <c r="G1239">
        <v>120</v>
      </c>
      <c r="H1239">
        <v>10</v>
      </c>
      <c r="I1239" s="52">
        <v>3.7</v>
      </c>
      <c r="J1239" s="52">
        <v>17.3</v>
      </c>
      <c r="K1239" s="52">
        <v>21.8</v>
      </c>
      <c r="L1239" s="52">
        <v>7.3</v>
      </c>
      <c r="M1239">
        <v>72</v>
      </c>
    </row>
    <row r="1240" spans="1:13" hidden="1" x14ac:dyDescent="0.25">
      <c r="A1240" t="s">
        <v>344</v>
      </c>
      <c r="B1240" s="52" t="s">
        <v>267</v>
      </c>
      <c r="C1240" s="52" t="s">
        <v>281</v>
      </c>
      <c r="D1240" s="52" t="s">
        <v>282</v>
      </c>
      <c r="E1240" s="52">
        <v>3</v>
      </c>
      <c r="F1240">
        <v>6</v>
      </c>
      <c r="G1240">
        <v>60</v>
      </c>
      <c r="H1240">
        <v>12</v>
      </c>
      <c r="I1240" s="52">
        <v>8.1</v>
      </c>
      <c r="J1240" s="52">
        <v>13.9</v>
      </c>
      <c r="K1240" s="52">
        <v>22.9</v>
      </c>
      <c r="L1240" s="52">
        <v>10.9</v>
      </c>
      <c r="M1240">
        <v>36</v>
      </c>
    </row>
    <row r="1241" spans="1:13" hidden="1" x14ac:dyDescent="0.25">
      <c r="A1241" t="s">
        <v>344</v>
      </c>
      <c r="B1241" s="52" t="s">
        <v>267</v>
      </c>
      <c r="C1241" s="52" t="s">
        <v>281</v>
      </c>
      <c r="D1241" s="52" t="s">
        <v>282</v>
      </c>
      <c r="E1241" s="52">
        <v>3</v>
      </c>
      <c r="F1241">
        <v>6</v>
      </c>
      <c r="G1241">
        <v>70</v>
      </c>
      <c r="H1241">
        <v>12</v>
      </c>
      <c r="I1241" s="52">
        <v>8.1</v>
      </c>
      <c r="J1241" s="52">
        <v>13.9</v>
      </c>
      <c r="K1241" s="52">
        <v>22.9</v>
      </c>
      <c r="L1241" s="52">
        <v>10.9</v>
      </c>
      <c r="M1241">
        <v>42</v>
      </c>
    </row>
    <row r="1242" spans="1:13" hidden="1" x14ac:dyDescent="0.25">
      <c r="A1242" t="s">
        <v>344</v>
      </c>
      <c r="B1242" s="52" t="s">
        <v>267</v>
      </c>
      <c r="C1242" s="52" t="s">
        <v>281</v>
      </c>
      <c r="D1242" s="52" t="s">
        <v>282</v>
      </c>
      <c r="E1242" s="52">
        <v>3</v>
      </c>
      <c r="F1242">
        <v>6</v>
      </c>
      <c r="G1242">
        <v>80</v>
      </c>
      <c r="H1242">
        <v>12</v>
      </c>
      <c r="I1242" s="52">
        <v>8.1</v>
      </c>
      <c r="J1242" s="52">
        <v>13.9</v>
      </c>
      <c r="K1242" s="52">
        <v>22.9</v>
      </c>
      <c r="L1242" s="52">
        <v>10.9</v>
      </c>
      <c r="M1242">
        <v>42</v>
      </c>
    </row>
    <row r="1243" spans="1:13" hidden="1" x14ac:dyDescent="0.25">
      <c r="A1243" t="s">
        <v>344</v>
      </c>
      <c r="B1243" s="52" t="s">
        <v>267</v>
      </c>
      <c r="C1243" s="52" t="s">
        <v>281</v>
      </c>
      <c r="D1243" s="52" t="s">
        <v>282</v>
      </c>
      <c r="E1243" s="52">
        <v>3</v>
      </c>
      <c r="F1243">
        <v>6</v>
      </c>
      <c r="G1243">
        <v>90</v>
      </c>
      <c r="H1243">
        <v>12</v>
      </c>
      <c r="I1243" s="52">
        <v>8.1</v>
      </c>
      <c r="J1243" s="52">
        <v>13.9</v>
      </c>
      <c r="K1243" s="52">
        <v>22.9</v>
      </c>
      <c r="L1243" s="52">
        <v>10.9</v>
      </c>
      <c r="M1243">
        <v>42</v>
      </c>
    </row>
    <row r="1244" spans="1:13" hidden="1" x14ac:dyDescent="0.25">
      <c r="A1244" t="s">
        <v>344</v>
      </c>
      <c r="B1244" s="52" t="s">
        <v>267</v>
      </c>
      <c r="C1244" s="52" t="s">
        <v>281</v>
      </c>
      <c r="D1244" s="52" t="s">
        <v>282</v>
      </c>
      <c r="E1244" s="52">
        <v>3</v>
      </c>
      <c r="F1244">
        <v>6</v>
      </c>
      <c r="G1244">
        <v>110</v>
      </c>
      <c r="H1244">
        <v>12</v>
      </c>
      <c r="I1244" s="52">
        <v>8.1</v>
      </c>
      <c r="J1244" s="52">
        <v>13.9</v>
      </c>
      <c r="K1244" s="52">
        <v>22.9</v>
      </c>
      <c r="L1244" s="52">
        <v>10.9</v>
      </c>
      <c r="M1244">
        <v>60</v>
      </c>
    </row>
    <row r="1245" spans="1:13" hidden="1" x14ac:dyDescent="0.25">
      <c r="A1245" t="s">
        <v>344</v>
      </c>
      <c r="B1245" s="52" t="s">
        <v>267</v>
      </c>
      <c r="C1245" s="52" t="s">
        <v>281</v>
      </c>
      <c r="D1245" s="52" t="s">
        <v>282</v>
      </c>
      <c r="E1245" s="52">
        <v>3</v>
      </c>
      <c r="F1245">
        <v>6</v>
      </c>
      <c r="G1245">
        <v>120</v>
      </c>
      <c r="H1245">
        <v>12</v>
      </c>
      <c r="I1245" s="52">
        <v>8.1</v>
      </c>
      <c r="J1245" s="52">
        <v>13.9</v>
      </c>
      <c r="K1245" s="52">
        <v>22.9</v>
      </c>
      <c r="L1245" s="52">
        <v>10.9</v>
      </c>
      <c r="M1245">
        <v>72</v>
      </c>
    </row>
    <row r="1246" spans="1:13" hidden="1" x14ac:dyDescent="0.25">
      <c r="A1246" t="s">
        <v>344</v>
      </c>
      <c r="B1246" s="52" t="s">
        <v>267</v>
      </c>
      <c r="C1246" s="52" t="s">
        <v>281</v>
      </c>
      <c r="D1246" s="52" t="s">
        <v>282</v>
      </c>
      <c r="E1246" s="52">
        <v>3</v>
      </c>
      <c r="F1246">
        <v>6</v>
      </c>
      <c r="G1246">
        <v>140</v>
      </c>
      <c r="H1246">
        <v>12</v>
      </c>
      <c r="I1246" s="52">
        <v>8.1</v>
      </c>
      <c r="J1246" s="52">
        <v>13.9</v>
      </c>
      <c r="K1246" s="52">
        <v>22.9</v>
      </c>
      <c r="L1246" s="52">
        <v>10.9</v>
      </c>
      <c r="M1246">
        <v>72</v>
      </c>
    </row>
    <row r="1247" spans="1:13" hidden="1" x14ac:dyDescent="0.25">
      <c r="A1247" t="s">
        <v>344</v>
      </c>
      <c r="B1247" s="52" t="s">
        <v>267</v>
      </c>
      <c r="C1247" s="52" t="s">
        <v>281</v>
      </c>
      <c r="D1247" s="52" t="s">
        <v>282</v>
      </c>
      <c r="E1247" s="52">
        <v>3</v>
      </c>
      <c r="F1247">
        <v>8</v>
      </c>
      <c r="G1247">
        <v>50</v>
      </c>
      <c r="H1247">
        <v>15</v>
      </c>
      <c r="I1247" s="52">
        <v>14.1</v>
      </c>
      <c r="J1247" s="52">
        <v>10.7</v>
      </c>
      <c r="K1247" s="52">
        <v>18.3</v>
      </c>
      <c r="L1247" s="52">
        <v>21.1</v>
      </c>
      <c r="M1247">
        <v>40</v>
      </c>
    </row>
    <row r="1248" spans="1:13" hidden="1" x14ac:dyDescent="0.25">
      <c r="A1248" t="s">
        <v>344</v>
      </c>
      <c r="B1248" s="52" t="s">
        <v>267</v>
      </c>
      <c r="C1248" s="52" t="s">
        <v>281</v>
      </c>
      <c r="D1248" s="52" t="s">
        <v>282</v>
      </c>
      <c r="E1248" s="52">
        <v>3</v>
      </c>
      <c r="F1248">
        <v>8</v>
      </c>
      <c r="G1248">
        <v>75</v>
      </c>
      <c r="H1248">
        <v>15</v>
      </c>
      <c r="I1248" s="52">
        <v>14.1</v>
      </c>
      <c r="J1248" s="52">
        <v>10.7</v>
      </c>
      <c r="K1248" s="52">
        <v>18.3</v>
      </c>
      <c r="L1248" s="52">
        <v>21.1</v>
      </c>
      <c r="M1248">
        <v>50</v>
      </c>
    </row>
    <row r="1249" spans="1:13" hidden="1" x14ac:dyDescent="0.25">
      <c r="A1249" t="s">
        <v>344</v>
      </c>
      <c r="B1249" s="52" t="s">
        <v>267</v>
      </c>
      <c r="C1249" s="52" t="s">
        <v>281</v>
      </c>
      <c r="D1249" s="52" t="s">
        <v>282</v>
      </c>
      <c r="E1249" s="52">
        <v>3</v>
      </c>
      <c r="F1249">
        <v>8</v>
      </c>
      <c r="G1249">
        <v>100</v>
      </c>
      <c r="H1249">
        <v>15</v>
      </c>
      <c r="I1249" s="52">
        <v>14.1</v>
      </c>
      <c r="J1249" s="52">
        <v>10.7</v>
      </c>
      <c r="K1249" s="52">
        <v>18.3</v>
      </c>
      <c r="L1249" s="52">
        <v>21.1</v>
      </c>
      <c r="M1249">
        <v>60</v>
      </c>
    </row>
    <row r="1250" spans="1:13" hidden="1" x14ac:dyDescent="0.25">
      <c r="A1250" t="s">
        <v>344</v>
      </c>
      <c r="B1250" s="52" t="s">
        <v>267</v>
      </c>
      <c r="C1250" s="52" t="s">
        <v>281</v>
      </c>
      <c r="D1250" s="52" t="s">
        <v>282</v>
      </c>
      <c r="E1250" s="52">
        <v>3</v>
      </c>
      <c r="F1250">
        <v>8</v>
      </c>
      <c r="G1250">
        <v>130</v>
      </c>
      <c r="H1250">
        <v>15</v>
      </c>
      <c r="I1250" s="52">
        <v>14.1</v>
      </c>
      <c r="J1250" s="52">
        <v>10.7</v>
      </c>
      <c r="K1250" s="52">
        <v>18.3</v>
      </c>
      <c r="L1250" s="52">
        <v>21.1</v>
      </c>
      <c r="M1250">
        <v>80</v>
      </c>
    </row>
    <row r="1251" spans="1:13" hidden="1" x14ac:dyDescent="0.25">
      <c r="A1251" t="s">
        <v>344</v>
      </c>
      <c r="B1251" s="52" t="s">
        <v>267</v>
      </c>
      <c r="C1251" s="52" t="s">
        <v>281</v>
      </c>
      <c r="D1251" s="52" t="s">
        <v>282</v>
      </c>
      <c r="E1251" s="52">
        <v>3</v>
      </c>
      <c r="F1251">
        <v>8</v>
      </c>
      <c r="G1251">
        <v>150</v>
      </c>
      <c r="H1251">
        <v>15</v>
      </c>
      <c r="I1251" s="52">
        <v>14.1</v>
      </c>
      <c r="J1251" s="52">
        <v>10.7</v>
      </c>
      <c r="K1251" s="52">
        <v>18.3</v>
      </c>
      <c r="L1251" s="52">
        <v>21.1</v>
      </c>
      <c r="M1251">
        <v>80</v>
      </c>
    </row>
    <row r="1252" spans="1:13" hidden="1" x14ac:dyDescent="0.25">
      <c r="A1252" t="s">
        <v>344</v>
      </c>
      <c r="B1252" s="52" t="s">
        <v>267</v>
      </c>
      <c r="C1252" s="52" t="s">
        <v>281</v>
      </c>
      <c r="D1252" s="52" t="s">
        <v>282</v>
      </c>
      <c r="E1252" s="52">
        <v>3</v>
      </c>
      <c r="F1252">
        <v>8</v>
      </c>
      <c r="G1252">
        <v>170</v>
      </c>
      <c r="H1252">
        <v>15</v>
      </c>
      <c r="I1252" s="52">
        <v>14.1</v>
      </c>
      <c r="J1252" s="52">
        <v>10.7</v>
      </c>
      <c r="K1252" s="52">
        <v>18.3</v>
      </c>
      <c r="L1252" s="52">
        <v>21.1</v>
      </c>
      <c r="M1252">
        <v>80</v>
      </c>
    </row>
    <row r="1253" spans="1:13" hidden="1" x14ac:dyDescent="0.25">
      <c r="A1253" t="s">
        <v>344</v>
      </c>
      <c r="B1253" s="52" t="s">
        <v>267</v>
      </c>
      <c r="C1253" s="52" t="s">
        <v>281</v>
      </c>
      <c r="D1253" s="52" t="s">
        <v>282</v>
      </c>
      <c r="E1253" s="52">
        <v>3</v>
      </c>
      <c r="F1253">
        <v>8</v>
      </c>
      <c r="G1253">
        <v>200</v>
      </c>
      <c r="H1253">
        <v>15</v>
      </c>
      <c r="I1253" s="52">
        <v>14.1</v>
      </c>
      <c r="J1253" s="52">
        <v>10.7</v>
      </c>
      <c r="K1253" s="52">
        <v>18.3</v>
      </c>
      <c r="L1253" s="52">
        <v>21.1</v>
      </c>
      <c r="M1253">
        <v>80</v>
      </c>
    </row>
    <row r="1254" spans="1:13" hidden="1" x14ac:dyDescent="0.25">
      <c r="A1254" t="s">
        <v>344</v>
      </c>
      <c r="B1254" s="52" t="s">
        <v>267</v>
      </c>
      <c r="C1254" s="52" t="s">
        <v>281</v>
      </c>
      <c r="D1254" s="52" t="s">
        <v>282</v>
      </c>
      <c r="E1254" s="52">
        <v>3</v>
      </c>
      <c r="F1254">
        <v>8</v>
      </c>
      <c r="G1254">
        <v>240</v>
      </c>
      <c r="H1254">
        <v>15</v>
      </c>
      <c r="I1254" s="52">
        <v>14.1</v>
      </c>
      <c r="J1254" s="52">
        <v>10.7</v>
      </c>
      <c r="K1254" s="52">
        <v>18.3</v>
      </c>
      <c r="L1254" s="52">
        <v>21.1</v>
      </c>
      <c r="M1254">
        <v>80</v>
      </c>
    </row>
    <row r="1255" spans="1:13" hidden="1" x14ac:dyDescent="0.25">
      <c r="A1255" t="s">
        <v>344</v>
      </c>
      <c r="B1255" s="52" t="s">
        <v>267</v>
      </c>
      <c r="C1255" s="52" t="s">
        <v>281</v>
      </c>
      <c r="D1255" s="52" t="s">
        <v>282</v>
      </c>
      <c r="E1255" s="52">
        <v>3</v>
      </c>
      <c r="F1255">
        <v>8</v>
      </c>
      <c r="G1255">
        <v>300</v>
      </c>
      <c r="H1255">
        <v>15</v>
      </c>
      <c r="I1255" s="52">
        <v>14.1</v>
      </c>
      <c r="J1255" s="52">
        <v>10.7</v>
      </c>
      <c r="K1255" s="52">
        <v>18.3</v>
      </c>
      <c r="L1255" s="52">
        <v>21.1</v>
      </c>
      <c r="M1255">
        <v>80</v>
      </c>
    </row>
    <row r="1256" spans="1:13" hidden="1" x14ac:dyDescent="0.25">
      <c r="A1256" t="s">
        <v>344</v>
      </c>
      <c r="B1256" s="52" t="s">
        <v>267</v>
      </c>
      <c r="C1256" s="52" t="s">
        <v>283</v>
      </c>
      <c r="D1256" s="52" t="s">
        <v>284</v>
      </c>
      <c r="E1256" s="52">
        <v>3</v>
      </c>
      <c r="F1256">
        <v>3</v>
      </c>
      <c r="G1256">
        <v>16</v>
      </c>
      <c r="H1256">
        <v>6</v>
      </c>
      <c r="I1256" s="52">
        <v>0.8</v>
      </c>
      <c r="J1256" s="52">
        <v>15.8</v>
      </c>
      <c r="K1256" s="52">
        <v>29.4</v>
      </c>
      <c r="L1256" s="52">
        <v>1.7</v>
      </c>
      <c r="M1256">
        <v>13</v>
      </c>
    </row>
    <row r="1257" spans="1:13" hidden="1" x14ac:dyDescent="0.25">
      <c r="A1257" t="s">
        <v>344</v>
      </c>
      <c r="B1257" s="52" t="s">
        <v>267</v>
      </c>
      <c r="C1257" s="52" t="s">
        <v>283</v>
      </c>
      <c r="D1257" s="52" t="s">
        <v>284</v>
      </c>
      <c r="E1257" s="52">
        <v>3</v>
      </c>
      <c r="F1257">
        <v>3.5</v>
      </c>
      <c r="G1257">
        <v>40</v>
      </c>
      <c r="H1257">
        <v>7</v>
      </c>
      <c r="I1257" s="52">
        <v>1.1000000000000001</v>
      </c>
      <c r="J1257" s="52">
        <v>16</v>
      </c>
      <c r="K1257" s="52">
        <v>29.7</v>
      </c>
      <c r="L1257" s="52">
        <v>2.2999999999999998</v>
      </c>
      <c r="M1257">
        <v>24</v>
      </c>
    </row>
    <row r="1258" spans="1:13" hidden="1" x14ac:dyDescent="0.25">
      <c r="A1258" t="s">
        <v>344</v>
      </c>
      <c r="B1258" s="52" t="s">
        <v>267</v>
      </c>
      <c r="C1258" s="52" t="s">
        <v>283</v>
      </c>
      <c r="D1258" s="52" t="s">
        <v>284</v>
      </c>
      <c r="E1258" s="52">
        <v>3</v>
      </c>
      <c r="F1258">
        <v>4</v>
      </c>
      <c r="G1258">
        <v>30</v>
      </c>
      <c r="H1258">
        <v>8</v>
      </c>
      <c r="I1258" s="52">
        <v>1.7</v>
      </c>
      <c r="J1258" s="52">
        <v>15.5</v>
      </c>
      <c r="K1258" s="52">
        <v>29.6</v>
      </c>
      <c r="L1258" s="52">
        <v>2.7</v>
      </c>
      <c r="M1258">
        <v>18</v>
      </c>
    </row>
    <row r="1259" spans="1:13" hidden="1" x14ac:dyDescent="0.25">
      <c r="A1259" t="s">
        <v>344</v>
      </c>
      <c r="B1259" s="52" t="s">
        <v>267</v>
      </c>
      <c r="C1259" s="52" t="s">
        <v>283</v>
      </c>
      <c r="D1259" s="52" t="s">
        <v>284</v>
      </c>
      <c r="E1259" s="52">
        <v>3</v>
      </c>
      <c r="F1259">
        <v>4</v>
      </c>
      <c r="G1259">
        <v>40</v>
      </c>
      <c r="H1259">
        <v>8</v>
      </c>
      <c r="I1259" s="52">
        <v>1.7</v>
      </c>
      <c r="J1259" s="52">
        <v>15.5</v>
      </c>
      <c r="K1259" s="52">
        <v>29.6</v>
      </c>
      <c r="L1259" s="52">
        <v>2.7</v>
      </c>
      <c r="M1259">
        <v>24</v>
      </c>
    </row>
    <row r="1260" spans="1:13" hidden="1" x14ac:dyDescent="0.25">
      <c r="A1260" t="s">
        <v>344</v>
      </c>
      <c r="B1260" s="52" t="s">
        <v>267</v>
      </c>
      <c r="C1260" s="52" t="s">
        <v>283</v>
      </c>
      <c r="D1260" s="52" t="s">
        <v>284</v>
      </c>
      <c r="E1260" s="52">
        <v>3</v>
      </c>
      <c r="F1260">
        <v>4</v>
      </c>
      <c r="G1260">
        <v>50</v>
      </c>
      <c r="H1260">
        <v>8</v>
      </c>
      <c r="I1260" s="52">
        <v>1.7</v>
      </c>
      <c r="J1260" s="52">
        <v>15.5</v>
      </c>
      <c r="K1260" s="52">
        <v>29.6</v>
      </c>
      <c r="L1260" s="52">
        <v>2.7</v>
      </c>
      <c r="M1260">
        <v>30</v>
      </c>
    </row>
    <row r="1261" spans="1:13" hidden="1" x14ac:dyDescent="0.25">
      <c r="A1261" t="s">
        <v>344</v>
      </c>
      <c r="B1261" s="52" t="s">
        <v>267</v>
      </c>
      <c r="C1261" s="52" t="s">
        <v>283</v>
      </c>
      <c r="D1261" s="52" t="s">
        <v>284</v>
      </c>
      <c r="E1261" s="52">
        <v>3</v>
      </c>
      <c r="F1261">
        <v>4</v>
      </c>
      <c r="G1261">
        <v>60</v>
      </c>
      <c r="H1261">
        <v>8</v>
      </c>
      <c r="I1261" s="52">
        <v>1.7</v>
      </c>
      <c r="J1261" s="52">
        <v>15.5</v>
      </c>
      <c r="K1261" s="52">
        <v>29.6</v>
      </c>
      <c r="L1261" s="52">
        <v>2.7</v>
      </c>
      <c r="M1261">
        <v>36</v>
      </c>
    </row>
    <row r="1262" spans="1:13" hidden="1" x14ac:dyDescent="0.25">
      <c r="A1262" t="s">
        <v>344</v>
      </c>
      <c r="B1262" s="52" t="s">
        <v>267</v>
      </c>
      <c r="C1262" s="52" t="s">
        <v>283</v>
      </c>
      <c r="D1262" s="52" t="s">
        <v>284</v>
      </c>
      <c r="E1262" s="52">
        <v>3</v>
      </c>
      <c r="F1262">
        <v>5</v>
      </c>
      <c r="G1262">
        <v>60</v>
      </c>
      <c r="H1262">
        <v>10</v>
      </c>
      <c r="I1262" s="52">
        <v>2</v>
      </c>
      <c r="J1262" s="52">
        <v>10.3</v>
      </c>
      <c r="K1262" s="52">
        <v>27.4</v>
      </c>
      <c r="L1262" s="52">
        <v>3.8</v>
      </c>
      <c r="M1262">
        <v>36</v>
      </c>
    </row>
    <row r="1263" spans="1:13" hidden="1" x14ac:dyDescent="0.25">
      <c r="A1263" t="s">
        <v>344</v>
      </c>
      <c r="B1263" s="52" t="s">
        <v>267</v>
      </c>
      <c r="C1263" s="52" t="s">
        <v>283</v>
      </c>
      <c r="D1263" s="52" t="s">
        <v>284</v>
      </c>
      <c r="E1263" s="52">
        <v>3</v>
      </c>
      <c r="F1263">
        <v>5</v>
      </c>
      <c r="G1263">
        <v>70</v>
      </c>
      <c r="H1263">
        <v>10</v>
      </c>
      <c r="I1263" s="52">
        <v>2</v>
      </c>
      <c r="J1263" s="52">
        <v>10.3</v>
      </c>
      <c r="K1263" s="52">
        <v>27.4</v>
      </c>
      <c r="L1263" s="52">
        <v>3.8</v>
      </c>
      <c r="M1263">
        <v>42</v>
      </c>
    </row>
    <row r="1264" spans="1:13" hidden="1" x14ac:dyDescent="0.25">
      <c r="A1264" t="s">
        <v>344</v>
      </c>
      <c r="B1264" s="52" t="s">
        <v>267</v>
      </c>
      <c r="C1264" s="52" t="s">
        <v>283</v>
      </c>
      <c r="D1264" s="52" t="s">
        <v>284</v>
      </c>
      <c r="E1264" s="52">
        <v>3</v>
      </c>
      <c r="F1264">
        <v>5</v>
      </c>
      <c r="G1264">
        <v>80</v>
      </c>
      <c r="H1264">
        <v>10</v>
      </c>
      <c r="I1264" s="52">
        <v>2</v>
      </c>
      <c r="J1264" s="52">
        <v>10.3</v>
      </c>
      <c r="K1264" s="52">
        <v>27.4</v>
      </c>
      <c r="L1264" s="52">
        <v>3.8</v>
      </c>
      <c r="M1264">
        <v>50</v>
      </c>
    </row>
    <row r="1265" spans="1:13" hidden="1" x14ac:dyDescent="0.25">
      <c r="A1265" t="s">
        <v>344</v>
      </c>
      <c r="B1265" s="52" t="s">
        <v>267</v>
      </c>
      <c r="C1265" s="52" t="s">
        <v>283</v>
      </c>
      <c r="D1265" s="52" t="s">
        <v>284</v>
      </c>
      <c r="E1265" s="52">
        <v>3</v>
      </c>
      <c r="F1265">
        <v>5</v>
      </c>
      <c r="G1265">
        <v>90</v>
      </c>
      <c r="H1265">
        <v>10</v>
      </c>
      <c r="I1265" s="52">
        <v>2</v>
      </c>
      <c r="J1265" s="52">
        <v>10.3</v>
      </c>
      <c r="K1265" s="52">
        <v>27.4</v>
      </c>
      <c r="L1265" s="52">
        <v>3.8</v>
      </c>
      <c r="M1265">
        <v>42</v>
      </c>
    </row>
    <row r="1266" spans="1:13" hidden="1" x14ac:dyDescent="0.25">
      <c r="A1266" t="s">
        <v>344</v>
      </c>
      <c r="B1266" s="52" t="s">
        <v>267</v>
      </c>
      <c r="C1266" s="52" t="s">
        <v>283</v>
      </c>
      <c r="D1266" s="52" t="s">
        <v>284</v>
      </c>
      <c r="E1266" s="52">
        <v>3</v>
      </c>
      <c r="F1266">
        <v>5</v>
      </c>
      <c r="G1266">
        <v>100</v>
      </c>
      <c r="H1266">
        <v>10</v>
      </c>
      <c r="I1266" s="52">
        <v>2</v>
      </c>
      <c r="J1266" s="52">
        <v>10.3</v>
      </c>
      <c r="K1266" s="52">
        <v>27.4</v>
      </c>
      <c r="L1266" s="52">
        <v>3.8</v>
      </c>
      <c r="M1266">
        <v>52</v>
      </c>
    </row>
    <row r="1267" spans="1:13" hidden="1" x14ac:dyDescent="0.25">
      <c r="A1267" t="s">
        <v>344</v>
      </c>
      <c r="B1267" s="52" t="s">
        <v>267</v>
      </c>
      <c r="C1267" s="52" t="s">
        <v>283</v>
      </c>
      <c r="D1267" s="52" t="s">
        <v>284</v>
      </c>
      <c r="E1267" s="52">
        <v>3</v>
      </c>
      <c r="F1267">
        <v>6</v>
      </c>
      <c r="G1267">
        <v>50</v>
      </c>
      <c r="H1267">
        <v>12</v>
      </c>
      <c r="I1267" s="52">
        <v>2.8</v>
      </c>
      <c r="J1267" s="52">
        <v>12.3</v>
      </c>
      <c r="K1267" s="52">
        <v>17.8</v>
      </c>
      <c r="L1267" s="52">
        <v>6.1</v>
      </c>
      <c r="M1267">
        <v>30</v>
      </c>
    </row>
    <row r="1268" spans="1:13" hidden="1" x14ac:dyDescent="0.25">
      <c r="A1268" t="s">
        <v>344</v>
      </c>
      <c r="B1268" s="52" t="s">
        <v>267</v>
      </c>
      <c r="C1268" s="52" t="s">
        <v>283</v>
      </c>
      <c r="D1268" s="52" t="s">
        <v>284</v>
      </c>
      <c r="E1268" s="52">
        <v>3</v>
      </c>
      <c r="F1268">
        <v>6</v>
      </c>
      <c r="G1268">
        <v>60</v>
      </c>
      <c r="H1268">
        <v>12</v>
      </c>
      <c r="I1268" s="52">
        <v>2.8</v>
      </c>
      <c r="J1268" s="52">
        <v>12.3</v>
      </c>
      <c r="K1268" s="52">
        <v>17.8</v>
      </c>
      <c r="L1268" s="52">
        <v>6.1</v>
      </c>
      <c r="M1268">
        <v>36</v>
      </c>
    </row>
    <row r="1269" spans="1:13" hidden="1" x14ac:dyDescent="0.25">
      <c r="A1269" t="s">
        <v>344</v>
      </c>
      <c r="B1269" s="52" t="s">
        <v>267</v>
      </c>
      <c r="C1269" s="52" t="s">
        <v>283</v>
      </c>
      <c r="D1269" s="52" t="s">
        <v>284</v>
      </c>
      <c r="E1269" s="52">
        <v>3</v>
      </c>
      <c r="F1269">
        <v>6</v>
      </c>
      <c r="G1269">
        <v>75</v>
      </c>
      <c r="H1269">
        <v>12</v>
      </c>
      <c r="I1269" s="52">
        <v>2.8</v>
      </c>
      <c r="J1269" s="52">
        <v>12.3</v>
      </c>
      <c r="K1269" s="52">
        <v>17.8</v>
      </c>
      <c r="L1269" s="52">
        <v>6.1</v>
      </c>
      <c r="M1269">
        <v>42</v>
      </c>
    </row>
    <row r="1270" spans="1:13" hidden="1" x14ac:dyDescent="0.25">
      <c r="A1270" t="s">
        <v>344</v>
      </c>
      <c r="B1270" s="52" t="s">
        <v>267</v>
      </c>
      <c r="C1270" s="52" t="s">
        <v>283</v>
      </c>
      <c r="D1270" s="52" t="s">
        <v>284</v>
      </c>
      <c r="E1270" s="52">
        <v>3</v>
      </c>
      <c r="F1270">
        <v>6</v>
      </c>
      <c r="G1270">
        <v>80</v>
      </c>
      <c r="H1270">
        <v>12</v>
      </c>
      <c r="I1270" s="52">
        <v>2.8</v>
      </c>
      <c r="J1270" s="52">
        <v>12.3</v>
      </c>
      <c r="K1270" s="52">
        <v>17.8</v>
      </c>
      <c r="L1270" s="52">
        <v>6.1</v>
      </c>
      <c r="M1270">
        <v>42</v>
      </c>
    </row>
    <row r="1271" spans="1:13" hidden="1" x14ac:dyDescent="0.25">
      <c r="A1271" t="s">
        <v>344</v>
      </c>
      <c r="B1271" s="52" t="s">
        <v>267</v>
      </c>
      <c r="C1271" s="52" t="s">
        <v>283</v>
      </c>
      <c r="D1271" s="52" t="s">
        <v>284</v>
      </c>
      <c r="E1271" s="52">
        <v>3</v>
      </c>
      <c r="F1271">
        <v>6</v>
      </c>
      <c r="G1271">
        <v>100</v>
      </c>
      <c r="H1271">
        <v>12</v>
      </c>
      <c r="I1271" s="52">
        <v>2.8</v>
      </c>
      <c r="J1271" s="52">
        <v>12.3</v>
      </c>
      <c r="K1271" s="52">
        <v>17.8</v>
      </c>
      <c r="L1271" s="52">
        <v>6.1</v>
      </c>
      <c r="M1271">
        <v>52</v>
      </c>
    </row>
    <row r="1272" spans="1:13" hidden="1" x14ac:dyDescent="0.25">
      <c r="A1272" t="s">
        <v>344</v>
      </c>
      <c r="B1272" s="52" t="s">
        <v>267</v>
      </c>
      <c r="C1272" s="52" t="s">
        <v>283</v>
      </c>
      <c r="D1272" s="52" t="s">
        <v>284</v>
      </c>
      <c r="E1272" s="52">
        <v>3</v>
      </c>
      <c r="F1272">
        <v>6</v>
      </c>
      <c r="G1272">
        <v>110</v>
      </c>
      <c r="H1272">
        <v>12</v>
      </c>
      <c r="I1272" s="52">
        <v>2.8</v>
      </c>
      <c r="J1272" s="52">
        <v>12.3</v>
      </c>
      <c r="K1272" s="52">
        <v>17.8</v>
      </c>
      <c r="L1272" s="52">
        <v>6.1</v>
      </c>
      <c r="M1272">
        <v>72</v>
      </c>
    </row>
    <row r="1273" spans="1:13" hidden="1" x14ac:dyDescent="0.25">
      <c r="A1273" t="s">
        <v>344</v>
      </c>
      <c r="B1273" s="52" t="s">
        <v>267</v>
      </c>
      <c r="C1273" s="52" t="s">
        <v>283</v>
      </c>
      <c r="D1273" s="52" t="s">
        <v>284</v>
      </c>
      <c r="E1273" s="52">
        <v>3</v>
      </c>
      <c r="F1273">
        <v>6</v>
      </c>
      <c r="G1273">
        <v>130</v>
      </c>
      <c r="H1273">
        <v>12</v>
      </c>
      <c r="I1273" s="52">
        <v>2.8</v>
      </c>
      <c r="J1273" s="52">
        <v>12.3</v>
      </c>
      <c r="K1273" s="52">
        <v>17.8</v>
      </c>
      <c r="L1273" s="52">
        <v>6.1</v>
      </c>
      <c r="M1273">
        <v>72</v>
      </c>
    </row>
    <row r="1274" spans="1:13" hidden="1" x14ac:dyDescent="0.25">
      <c r="A1274" t="s">
        <v>344</v>
      </c>
      <c r="B1274" s="52" t="s">
        <v>267</v>
      </c>
      <c r="C1274" s="52" t="s">
        <v>283</v>
      </c>
      <c r="D1274" s="52" t="s">
        <v>284</v>
      </c>
      <c r="E1274" s="52">
        <v>3</v>
      </c>
      <c r="F1274">
        <v>6</v>
      </c>
      <c r="G1274">
        <v>140</v>
      </c>
      <c r="H1274">
        <v>12</v>
      </c>
      <c r="I1274" s="52">
        <v>2.8</v>
      </c>
      <c r="J1274" s="52">
        <v>12.3</v>
      </c>
      <c r="K1274" s="52">
        <v>17.8</v>
      </c>
      <c r="L1274" s="52">
        <v>6.1</v>
      </c>
      <c r="M1274">
        <v>72</v>
      </c>
    </row>
    <row r="1275" spans="1:13" hidden="1" x14ac:dyDescent="0.25">
      <c r="A1275" t="s">
        <v>344</v>
      </c>
      <c r="B1275" s="52" t="s">
        <v>267</v>
      </c>
      <c r="C1275" s="52" t="s">
        <v>285</v>
      </c>
      <c r="D1275" s="52" t="s">
        <v>286</v>
      </c>
      <c r="E1275" s="52">
        <v>3</v>
      </c>
      <c r="F1275">
        <v>5</v>
      </c>
      <c r="G1275">
        <v>50</v>
      </c>
      <c r="H1275">
        <v>10</v>
      </c>
      <c r="I1275" s="52">
        <v>2.6</v>
      </c>
      <c r="J1275" s="52">
        <v>15</v>
      </c>
      <c r="K1275" s="52">
        <v>17.600000000000001</v>
      </c>
      <c r="L1275" s="52">
        <v>3.8</v>
      </c>
      <c r="M1275">
        <v>30</v>
      </c>
    </row>
    <row r="1276" spans="1:13" hidden="1" x14ac:dyDescent="0.25">
      <c r="A1276" t="s">
        <v>344</v>
      </c>
      <c r="B1276" s="52" t="s">
        <v>267</v>
      </c>
      <c r="C1276" s="52" t="s">
        <v>285</v>
      </c>
      <c r="D1276" s="52" t="s">
        <v>286</v>
      </c>
      <c r="E1276" s="52">
        <v>3</v>
      </c>
      <c r="F1276">
        <v>5</v>
      </c>
      <c r="G1276">
        <v>60</v>
      </c>
      <c r="H1276">
        <v>10</v>
      </c>
      <c r="I1276" s="52">
        <v>2.6</v>
      </c>
      <c r="J1276" s="52">
        <v>15</v>
      </c>
      <c r="K1276" s="52">
        <v>17.600000000000001</v>
      </c>
      <c r="L1276" s="52">
        <v>3.8</v>
      </c>
      <c r="M1276">
        <v>36</v>
      </c>
    </row>
    <row r="1277" spans="1:13" hidden="1" x14ac:dyDescent="0.25">
      <c r="A1277" t="s">
        <v>344</v>
      </c>
      <c r="B1277" s="52" t="s">
        <v>267</v>
      </c>
      <c r="C1277" s="52" t="s">
        <v>285</v>
      </c>
      <c r="D1277" s="52" t="s">
        <v>286</v>
      </c>
      <c r="E1277" s="52">
        <v>3</v>
      </c>
      <c r="F1277">
        <v>5</v>
      </c>
      <c r="G1277">
        <v>70</v>
      </c>
      <c r="H1277">
        <v>10</v>
      </c>
      <c r="I1277" s="52">
        <v>2.6</v>
      </c>
      <c r="J1277" s="52">
        <v>15</v>
      </c>
      <c r="K1277" s="52">
        <v>17.600000000000001</v>
      </c>
      <c r="L1277" s="52">
        <v>3.8</v>
      </c>
      <c r="M1277">
        <v>42</v>
      </c>
    </row>
    <row r="1278" spans="1:13" hidden="1" x14ac:dyDescent="0.25">
      <c r="A1278" t="s">
        <v>344</v>
      </c>
      <c r="B1278" s="52" t="s">
        <v>267</v>
      </c>
      <c r="C1278" s="52" t="s">
        <v>285</v>
      </c>
      <c r="D1278" s="52" t="s">
        <v>286</v>
      </c>
      <c r="E1278" s="52">
        <v>3</v>
      </c>
      <c r="F1278">
        <v>5</v>
      </c>
      <c r="G1278">
        <v>80</v>
      </c>
      <c r="H1278">
        <v>10</v>
      </c>
      <c r="I1278" s="52">
        <v>2.6</v>
      </c>
      <c r="J1278" s="52">
        <v>15</v>
      </c>
      <c r="K1278" s="52">
        <v>17.600000000000001</v>
      </c>
      <c r="L1278" s="52">
        <v>3.8</v>
      </c>
      <c r="M1278">
        <v>50</v>
      </c>
    </row>
    <row r="1279" spans="1:13" hidden="1" x14ac:dyDescent="0.25">
      <c r="A1279" t="s">
        <v>344</v>
      </c>
      <c r="B1279" s="52" t="s">
        <v>267</v>
      </c>
      <c r="C1279" s="52" t="s">
        <v>285</v>
      </c>
      <c r="D1279" s="52" t="s">
        <v>286</v>
      </c>
      <c r="E1279" s="52">
        <v>3</v>
      </c>
      <c r="F1279">
        <v>5</v>
      </c>
      <c r="G1279">
        <v>90</v>
      </c>
      <c r="H1279">
        <v>10</v>
      </c>
      <c r="I1279" s="52">
        <v>2.6</v>
      </c>
      <c r="J1279" s="52">
        <v>15</v>
      </c>
      <c r="K1279" s="52">
        <v>17.600000000000001</v>
      </c>
      <c r="L1279" s="52">
        <v>3.8</v>
      </c>
      <c r="M1279">
        <v>42</v>
      </c>
    </row>
    <row r="1280" spans="1:13" hidden="1" x14ac:dyDescent="0.25">
      <c r="A1280" t="s">
        <v>344</v>
      </c>
      <c r="B1280" s="52" t="s">
        <v>267</v>
      </c>
      <c r="C1280" s="52" t="s">
        <v>285</v>
      </c>
      <c r="D1280" s="52" t="s">
        <v>286</v>
      </c>
      <c r="E1280" s="52">
        <v>3</v>
      </c>
      <c r="F1280">
        <v>6</v>
      </c>
      <c r="G1280">
        <v>60</v>
      </c>
      <c r="H1280">
        <v>12</v>
      </c>
      <c r="I1280" s="52">
        <v>6.4</v>
      </c>
      <c r="J1280" s="52">
        <v>14.2</v>
      </c>
      <c r="K1280" s="52">
        <v>18.899999999999999</v>
      </c>
      <c r="L1280" s="52">
        <v>5.8</v>
      </c>
      <c r="M1280">
        <v>36</v>
      </c>
    </row>
    <row r="1281" spans="1:13" hidden="1" x14ac:dyDescent="0.25">
      <c r="A1281" t="s">
        <v>344</v>
      </c>
      <c r="B1281" s="52" t="s">
        <v>267</v>
      </c>
      <c r="C1281" s="52" t="s">
        <v>285</v>
      </c>
      <c r="D1281" s="52" t="s">
        <v>286</v>
      </c>
      <c r="E1281" s="52">
        <v>3</v>
      </c>
      <c r="F1281">
        <v>6</v>
      </c>
      <c r="G1281">
        <v>70</v>
      </c>
      <c r="H1281">
        <v>12</v>
      </c>
      <c r="I1281" s="52">
        <v>6.4</v>
      </c>
      <c r="J1281" s="52">
        <v>14.2</v>
      </c>
      <c r="K1281" s="52">
        <v>18.899999999999999</v>
      </c>
      <c r="L1281" s="52">
        <v>5.8</v>
      </c>
      <c r="M1281">
        <v>42</v>
      </c>
    </row>
    <row r="1282" spans="1:13" hidden="1" x14ac:dyDescent="0.25">
      <c r="A1282" t="s">
        <v>344</v>
      </c>
      <c r="B1282" s="52" t="s">
        <v>267</v>
      </c>
      <c r="C1282" s="52" t="s">
        <v>285</v>
      </c>
      <c r="D1282" s="52" t="s">
        <v>286</v>
      </c>
      <c r="E1282" s="52">
        <v>3</v>
      </c>
      <c r="F1282">
        <v>6</v>
      </c>
      <c r="G1282">
        <v>110</v>
      </c>
      <c r="H1282">
        <v>12</v>
      </c>
      <c r="I1282" s="52">
        <v>6.4</v>
      </c>
      <c r="J1282" s="52">
        <v>14.2</v>
      </c>
      <c r="K1282" s="52">
        <v>18.899999999999999</v>
      </c>
      <c r="L1282" s="52">
        <v>5.8</v>
      </c>
      <c r="M1282">
        <v>72</v>
      </c>
    </row>
    <row r="1283" spans="1:13" hidden="1" x14ac:dyDescent="0.25">
      <c r="A1283" t="s">
        <v>344</v>
      </c>
      <c r="B1283" s="52" t="s">
        <v>267</v>
      </c>
      <c r="C1283" s="52" t="s">
        <v>287</v>
      </c>
      <c r="D1283" s="52" t="s">
        <v>288</v>
      </c>
      <c r="E1283" s="52">
        <v>2</v>
      </c>
      <c r="F1283">
        <v>3</v>
      </c>
      <c r="G1283">
        <v>12</v>
      </c>
      <c r="H1283">
        <v>6</v>
      </c>
      <c r="I1283" s="52">
        <v>1.7</v>
      </c>
      <c r="J1283" s="52">
        <v>16.3</v>
      </c>
      <c r="K1283" s="52">
        <v>20.100000000000001</v>
      </c>
      <c r="L1283" s="52">
        <v>3.1</v>
      </c>
      <c r="M1283">
        <v>12</v>
      </c>
    </row>
    <row r="1284" spans="1:13" hidden="1" x14ac:dyDescent="0.25">
      <c r="A1284" t="s">
        <v>344</v>
      </c>
      <c r="B1284" s="52" t="s">
        <v>267</v>
      </c>
      <c r="C1284" s="52" t="s">
        <v>287</v>
      </c>
      <c r="D1284" s="52" t="s">
        <v>288</v>
      </c>
      <c r="E1284" s="52">
        <v>2</v>
      </c>
      <c r="F1284">
        <v>3</v>
      </c>
      <c r="G1284">
        <v>16</v>
      </c>
      <c r="H1284">
        <v>6</v>
      </c>
      <c r="I1284" s="52">
        <v>1.7</v>
      </c>
      <c r="J1284" s="52">
        <v>16.3</v>
      </c>
      <c r="K1284" s="52">
        <v>20.100000000000001</v>
      </c>
      <c r="L1284" s="52">
        <v>3.1</v>
      </c>
      <c r="M1284">
        <v>16</v>
      </c>
    </row>
    <row r="1285" spans="1:13" hidden="1" x14ac:dyDescent="0.25">
      <c r="A1285" t="s">
        <v>344</v>
      </c>
      <c r="B1285" s="52" t="s">
        <v>267</v>
      </c>
      <c r="C1285" s="52" t="s">
        <v>287</v>
      </c>
      <c r="D1285" s="52" t="s">
        <v>288</v>
      </c>
      <c r="E1285" s="52">
        <v>2</v>
      </c>
      <c r="F1285">
        <v>3</v>
      </c>
      <c r="G1285">
        <v>20</v>
      </c>
      <c r="H1285">
        <v>6</v>
      </c>
      <c r="I1285" s="52">
        <v>1.7</v>
      </c>
      <c r="J1285" s="52">
        <v>16.3</v>
      </c>
      <c r="K1285" s="52">
        <v>20.100000000000001</v>
      </c>
      <c r="L1285" s="52">
        <v>3.1</v>
      </c>
      <c r="M1285">
        <v>20</v>
      </c>
    </row>
    <row r="1286" spans="1:13" hidden="1" x14ac:dyDescent="0.25">
      <c r="A1286" t="s">
        <v>344</v>
      </c>
      <c r="B1286" s="52" t="s">
        <v>267</v>
      </c>
      <c r="C1286" s="52" t="s">
        <v>287</v>
      </c>
      <c r="D1286" s="52" t="s">
        <v>288</v>
      </c>
      <c r="E1286" s="52">
        <v>2</v>
      </c>
      <c r="F1286">
        <v>3</v>
      </c>
      <c r="G1286">
        <v>25</v>
      </c>
      <c r="H1286">
        <v>6</v>
      </c>
      <c r="I1286" s="52">
        <v>1.7</v>
      </c>
      <c r="J1286" s="52">
        <v>16.3</v>
      </c>
      <c r="K1286" s="52">
        <v>20.100000000000001</v>
      </c>
      <c r="L1286" s="52">
        <v>3.1</v>
      </c>
      <c r="M1286">
        <v>25</v>
      </c>
    </row>
    <row r="1287" spans="1:13" hidden="1" x14ac:dyDescent="0.25">
      <c r="A1287" t="s">
        <v>344</v>
      </c>
      <c r="B1287" s="52" t="s">
        <v>267</v>
      </c>
      <c r="C1287" s="52" t="s">
        <v>287</v>
      </c>
      <c r="D1287" s="52" t="s">
        <v>288</v>
      </c>
      <c r="E1287" s="52">
        <v>2</v>
      </c>
      <c r="F1287">
        <v>3</v>
      </c>
      <c r="G1287">
        <v>30</v>
      </c>
      <c r="H1287">
        <v>6</v>
      </c>
      <c r="I1287" s="52">
        <v>1.7</v>
      </c>
      <c r="J1287" s="52">
        <v>16.3</v>
      </c>
      <c r="K1287" s="52">
        <v>20.100000000000001</v>
      </c>
      <c r="L1287" s="52">
        <v>3.1</v>
      </c>
      <c r="M1287">
        <v>30</v>
      </c>
    </row>
    <row r="1288" spans="1:13" hidden="1" x14ac:dyDescent="0.25">
      <c r="A1288" t="s">
        <v>344</v>
      </c>
      <c r="B1288" s="52" t="s">
        <v>267</v>
      </c>
      <c r="C1288" s="52" t="s">
        <v>287</v>
      </c>
      <c r="D1288" s="52" t="s">
        <v>288</v>
      </c>
      <c r="E1288" s="52">
        <v>2</v>
      </c>
      <c r="F1288">
        <v>3</v>
      </c>
      <c r="G1288">
        <v>35</v>
      </c>
      <c r="H1288">
        <v>6</v>
      </c>
      <c r="I1288" s="52">
        <v>1.7</v>
      </c>
      <c r="J1288" s="52">
        <v>16.3</v>
      </c>
      <c r="K1288" s="52">
        <v>20.100000000000001</v>
      </c>
      <c r="L1288" s="52">
        <v>3.1</v>
      </c>
      <c r="M1288">
        <v>35</v>
      </c>
    </row>
    <row r="1289" spans="1:13" hidden="1" x14ac:dyDescent="0.25">
      <c r="A1289" t="s">
        <v>344</v>
      </c>
      <c r="B1289" s="52" t="s">
        <v>267</v>
      </c>
      <c r="C1289" s="52" t="s">
        <v>287</v>
      </c>
      <c r="D1289" s="52" t="s">
        <v>288</v>
      </c>
      <c r="E1289" s="52">
        <v>2</v>
      </c>
      <c r="F1289">
        <v>3</v>
      </c>
      <c r="G1289">
        <v>40</v>
      </c>
      <c r="H1289">
        <v>6</v>
      </c>
      <c r="I1289" s="52">
        <v>1.7</v>
      </c>
      <c r="J1289" s="52">
        <v>16.3</v>
      </c>
      <c r="K1289" s="52">
        <v>20.100000000000001</v>
      </c>
      <c r="L1289" s="52">
        <v>3.1</v>
      </c>
      <c r="M1289">
        <v>40</v>
      </c>
    </row>
    <row r="1290" spans="1:13" hidden="1" x14ac:dyDescent="0.25">
      <c r="A1290" t="s">
        <v>344</v>
      </c>
      <c r="B1290" s="52" t="s">
        <v>267</v>
      </c>
      <c r="C1290" s="52" t="s">
        <v>287</v>
      </c>
      <c r="D1290" s="52" t="s">
        <v>288</v>
      </c>
      <c r="E1290" s="52">
        <v>2</v>
      </c>
      <c r="F1290">
        <v>3</v>
      </c>
      <c r="G1290">
        <v>45</v>
      </c>
      <c r="H1290">
        <v>6</v>
      </c>
      <c r="I1290" s="52">
        <v>1.7</v>
      </c>
      <c r="J1290" s="52">
        <v>16.3</v>
      </c>
      <c r="K1290" s="52">
        <v>20.100000000000001</v>
      </c>
      <c r="L1290" s="52">
        <v>3.1</v>
      </c>
      <c r="M1290">
        <v>45</v>
      </c>
    </row>
    <row r="1291" spans="1:13" hidden="1" x14ac:dyDescent="0.25">
      <c r="A1291" t="s">
        <v>344</v>
      </c>
      <c r="B1291" s="52" t="s">
        <v>267</v>
      </c>
      <c r="C1291" s="52" t="s">
        <v>287</v>
      </c>
      <c r="D1291" s="52" t="s">
        <v>288</v>
      </c>
      <c r="E1291" s="52">
        <v>2</v>
      </c>
      <c r="F1291">
        <v>3.5</v>
      </c>
      <c r="G1291">
        <v>20</v>
      </c>
      <c r="H1291">
        <v>7</v>
      </c>
      <c r="I1291" s="52">
        <v>2.2000000000000002</v>
      </c>
      <c r="J1291" s="52">
        <v>16</v>
      </c>
      <c r="K1291" s="52">
        <v>18.899999999999999</v>
      </c>
      <c r="L1291" s="52">
        <v>3.7</v>
      </c>
      <c r="M1291">
        <v>20</v>
      </c>
    </row>
    <row r="1292" spans="1:13" hidden="1" x14ac:dyDescent="0.25">
      <c r="A1292" t="s">
        <v>344</v>
      </c>
      <c r="B1292" s="52" t="s">
        <v>267</v>
      </c>
      <c r="C1292" s="52" t="s">
        <v>287</v>
      </c>
      <c r="D1292" s="52" t="s">
        <v>288</v>
      </c>
      <c r="E1292" s="52">
        <v>2</v>
      </c>
      <c r="F1292">
        <v>3.5</v>
      </c>
      <c r="G1292">
        <v>25</v>
      </c>
      <c r="H1292">
        <v>7</v>
      </c>
      <c r="I1292" s="52">
        <v>2.2000000000000002</v>
      </c>
      <c r="J1292" s="52">
        <v>16</v>
      </c>
      <c r="K1292" s="52">
        <v>18.899999999999999</v>
      </c>
      <c r="L1292" s="52">
        <v>3.7</v>
      </c>
      <c r="M1292">
        <v>25</v>
      </c>
    </row>
    <row r="1293" spans="1:13" hidden="1" x14ac:dyDescent="0.25">
      <c r="A1293" t="s">
        <v>344</v>
      </c>
      <c r="B1293" s="52" t="s">
        <v>267</v>
      </c>
      <c r="C1293" s="52" t="s">
        <v>287</v>
      </c>
      <c r="D1293" s="52" t="s">
        <v>288</v>
      </c>
      <c r="E1293" s="52">
        <v>2</v>
      </c>
      <c r="F1293">
        <v>3.5</v>
      </c>
      <c r="G1293">
        <v>30</v>
      </c>
      <c r="H1293">
        <v>7</v>
      </c>
      <c r="I1293" s="52">
        <v>2.2000000000000002</v>
      </c>
      <c r="J1293" s="52">
        <v>16</v>
      </c>
      <c r="K1293" s="52">
        <v>18.899999999999999</v>
      </c>
      <c r="L1293" s="52">
        <v>3.7</v>
      </c>
      <c r="M1293">
        <v>30</v>
      </c>
    </row>
    <row r="1294" spans="1:13" hidden="1" x14ac:dyDescent="0.25">
      <c r="A1294" t="s">
        <v>344</v>
      </c>
      <c r="B1294" s="52" t="s">
        <v>267</v>
      </c>
      <c r="C1294" s="52" t="s">
        <v>287</v>
      </c>
      <c r="D1294" s="52" t="s">
        <v>288</v>
      </c>
      <c r="E1294" s="52">
        <v>2</v>
      </c>
      <c r="F1294">
        <v>3.5</v>
      </c>
      <c r="G1294">
        <v>35</v>
      </c>
      <c r="H1294">
        <v>7</v>
      </c>
      <c r="I1294" s="52">
        <v>2.2000000000000002</v>
      </c>
      <c r="J1294" s="52">
        <v>16</v>
      </c>
      <c r="K1294" s="52">
        <v>18.899999999999999</v>
      </c>
      <c r="L1294" s="52">
        <v>3.7</v>
      </c>
      <c r="M1294">
        <v>35</v>
      </c>
    </row>
    <row r="1295" spans="1:13" hidden="1" x14ac:dyDescent="0.25">
      <c r="A1295" t="s">
        <v>344</v>
      </c>
      <c r="B1295" s="52" t="s">
        <v>267</v>
      </c>
      <c r="C1295" s="52" t="s">
        <v>287</v>
      </c>
      <c r="D1295" s="52" t="s">
        <v>288</v>
      </c>
      <c r="E1295" s="52">
        <v>2</v>
      </c>
      <c r="F1295">
        <v>3.5</v>
      </c>
      <c r="G1295">
        <v>40</v>
      </c>
      <c r="H1295">
        <v>7</v>
      </c>
      <c r="I1295" s="52">
        <v>2.2000000000000002</v>
      </c>
      <c r="J1295" s="52">
        <v>16</v>
      </c>
      <c r="K1295" s="52">
        <v>18.899999999999999</v>
      </c>
      <c r="L1295" s="52">
        <v>3.7</v>
      </c>
      <c r="M1295">
        <v>40</v>
      </c>
    </row>
    <row r="1296" spans="1:13" hidden="1" x14ac:dyDescent="0.25">
      <c r="A1296" t="s">
        <v>344</v>
      </c>
      <c r="B1296" s="52" t="s">
        <v>267</v>
      </c>
      <c r="C1296" s="52" t="s">
        <v>287</v>
      </c>
      <c r="D1296" s="52" t="s">
        <v>288</v>
      </c>
      <c r="E1296" s="52">
        <v>2</v>
      </c>
      <c r="F1296">
        <v>3.5</v>
      </c>
      <c r="G1296">
        <v>45</v>
      </c>
      <c r="H1296">
        <v>7</v>
      </c>
      <c r="I1296" s="52">
        <v>2.2000000000000002</v>
      </c>
      <c r="J1296" s="52">
        <v>16</v>
      </c>
      <c r="K1296" s="52">
        <v>18.899999999999999</v>
      </c>
      <c r="L1296" s="52">
        <v>3.7</v>
      </c>
      <c r="M1296">
        <v>45</v>
      </c>
    </row>
    <row r="1297" spans="1:13" hidden="1" x14ac:dyDescent="0.25">
      <c r="A1297" t="s">
        <v>344</v>
      </c>
      <c r="B1297" s="52" t="s">
        <v>267</v>
      </c>
      <c r="C1297" s="52" t="s">
        <v>287</v>
      </c>
      <c r="D1297" s="52" t="s">
        <v>288</v>
      </c>
      <c r="E1297" s="52">
        <v>2</v>
      </c>
      <c r="F1297">
        <v>3.5</v>
      </c>
      <c r="G1297">
        <v>50</v>
      </c>
      <c r="H1297">
        <v>7</v>
      </c>
      <c r="I1297" s="52">
        <v>2.2000000000000002</v>
      </c>
      <c r="J1297" s="52">
        <v>16</v>
      </c>
      <c r="K1297" s="52">
        <v>18.899999999999999</v>
      </c>
      <c r="L1297" s="52">
        <v>3.7</v>
      </c>
      <c r="M1297">
        <v>50</v>
      </c>
    </row>
    <row r="1298" spans="1:13" hidden="1" x14ac:dyDescent="0.25">
      <c r="A1298" t="s">
        <v>344</v>
      </c>
      <c r="B1298" s="52" t="s">
        <v>267</v>
      </c>
      <c r="C1298" s="52" t="s">
        <v>287</v>
      </c>
      <c r="D1298" s="52" t="s">
        <v>288</v>
      </c>
      <c r="E1298" s="52">
        <v>2</v>
      </c>
      <c r="F1298">
        <v>4</v>
      </c>
      <c r="G1298">
        <v>20</v>
      </c>
      <c r="H1298">
        <v>8</v>
      </c>
      <c r="I1298" s="52">
        <v>3.3</v>
      </c>
      <c r="J1298" s="52">
        <v>16.600000000000001</v>
      </c>
      <c r="K1298" s="52">
        <v>17.899999999999999</v>
      </c>
      <c r="L1298" s="52">
        <v>4.7</v>
      </c>
      <c r="M1298">
        <v>20</v>
      </c>
    </row>
    <row r="1299" spans="1:13" hidden="1" x14ac:dyDescent="0.25">
      <c r="A1299" t="s">
        <v>344</v>
      </c>
      <c r="B1299" s="52" t="s">
        <v>267</v>
      </c>
      <c r="C1299" s="52" t="s">
        <v>287</v>
      </c>
      <c r="D1299" s="52" t="s">
        <v>288</v>
      </c>
      <c r="E1299" s="52">
        <v>2</v>
      </c>
      <c r="F1299">
        <v>4</v>
      </c>
      <c r="G1299">
        <v>25</v>
      </c>
      <c r="H1299">
        <v>8</v>
      </c>
      <c r="I1299" s="52">
        <v>3.3</v>
      </c>
      <c r="J1299" s="52">
        <v>16.600000000000001</v>
      </c>
      <c r="K1299" s="52">
        <v>17.899999999999999</v>
      </c>
      <c r="L1299" s="52">
        <v>4.7</v>
      </c>
      <c r="M1299">
        <v>25</v>
      </c>
    </row>
    <row r="1300" spans="1:13" hidden="1" x14ac:dyDescent="0.25">
      <c r="A1300" t="s">
        <v>344</v>
      </c>
      <c r="B1300" s="52" t="s">
        <v>267</v>
      </c>
      <c r="C1300" s="52" t="s">
        <v>287</v>
      </c>
      <c r="D1300" s="52" t="s">
        <v>288</v>
      </c>
      <c r="E1300" s="52">
        <v>2</v>
      </c>
      <c r="F1300">
        <v>4</v>
      </c>
      <c r="G1300">
        <v>30</v>
      </c>
      <c r="H1300">
        <v>8</v>
      </c>
      <c r="I1300" s="52">
        <v>3.3</v>
      </c>
      <c r="J1300" s="52">
        <v>16.600000000000001</v>
      </c>
      <c r="K1300" s="52">
        <v>17.899999999999999</v>
      </c>
      <c r="L1300" s="52">
        <v>4.7</v>
      </c>
      <c r="M1300">
        <v>30</v>
      </c>
    </row>
    <row r="1301" spans="1:13" hidden="1" x14ac:dyDescent="0.25">
      <c r="A1301" t="s">
        <v>344</v>
      </c>
      <c r="B1301" s="52" t="s">
        <v>267</v>
      </c>
      <c r="C1301" s="52" t="s">
        <v>287</v>
      </c>
      <c r="D1301" s="52" t="s">
        <v>288</v>
      </c>
      <c r="E1301" s="52">
        <v>2</v>
      </c>
      <c r="F1301">
        <v>4</v>
      </c>
      <c r="G1301">
        <v>35</v>
      </c>
      <c r="H1301">
        <v>8</v>
      </c>
      <c r="I1301" s="52">
        <v>3.3</v>
      </c>
      <c r="J1301" s="52">
        <v>16.600000000000001</v>
      </c>
      <c r="K1301" s="52">
        <v>17.899999999999999</v>
      </c>
      <c r="L1301" s="52">
        <v>4.7</v>
      </c>
      <c r="M1301">
        <v>35</v>
      </c>
    </row>
    <row r="1302" spans="1:13" hidden="1" x14ac:dyDescent="0.25">
      <c r="A1302" t="s">
        <v>344</v>
      </c>
      <c r="B1302" s="52" t="s">
        <v>267</v>
      </c>
      <c r="C1302" s="52" t="s">
        <v>287</v>
      </c>
      <c r="D1302" s="52" t="s">
        <v>288</v>
      </c>
      <c r="E1302" s="52">
        <v>2</v>
      </c>
      <c r="F1302">
        <v>4</v>
      </c>
      <c r="G1302">
        <v>40</v>
      </c>
      <c r="H1302">
        <v>8</v>
      </c>
      <c r="I1302" s="52">
        <v>3.3</v>
      </c>
      <c r="J1302" s="52">
        <v>16.600000000000001</v>
      </c>
      <c r="K1302" s="52">
        <v>17.899999999999999</v>
      </c>
      <c r="L1302" s="52">
        <v>4.7</v>
      </c>
      <c r="M1302">
        <v>40</v>
      </c>
    </row>
    <row r="1303" spans="1:13" hidden="1" x14ac:dyDescent="0.25">
      <c r="A1303" t="s">
        <v>344</v>
      </c>
      <c r="B1303" s="52" t="s">
        <v>267</v>
      </c>
      <c r="C1303" s="52" t="s">
        <v>287</v>
      </c>
      <c r="D1303" s="52" t="s">
        <v>288</v>
      </c>
      <c r="E1303" s="52">
        <v>2</v>
      </c>
      <c r="F1303">
        <v>4</v>
      </c>
      <c r="G1303">
        <v>45</v>
      </c>
      <c r="H1303">
        <v>8</v>
      </c>
      <c r="I1303" s="52">
        <v>3.3</v>
      </c>
      <c r="J1303" s="52">
        <v>16.600000000000001</v>
      </c>
      <c r="K1303" s="52">
        <v>17.899999999999999</v>
      </c>
      <c r="L1303" s="52">
        <v>4.7</v>
      </c>
      <c r="M1303">
        <v>45</v>
      </c>
    </row>
    <row r="1304" spans="1:13" hidden="1" x14ac:dyDescent="0.25">
      <c r="A1304" t="s">
        <v>344</v>
      </c>
      <c r="B1304" s="52" t="s">
        <v>267</v>
      </c>
      <c r="C1304" s="52" t="s">
        <v>287</v>
      </c>
      <c r="D1304" s="52" t="s">
        <v>288</v>
      </c>
      <c r="E1304" s="52">
        <v>2</v>
      </c>
      <c r="F1304">
        <v>4</v>
      </c>
      <c r="G1304">
        <v>50</v>
      </c>
      <c r="H1304">
        <v>8</v>
      </c>
      <c r="I1304" s="52">
        <v>3.3</v>
      </c>
      <c r="J1304" s="52">
        <v>16.600000000000001</v>
      </c>
      <c r="K1304" s="52">
        <v>17.899999999999999</v>
      </c>
      <c r="L1304" s="52">
        <v>4.7</v>
      </c>
      <c r="M1304">
        <v>50</v>
      </c>
    </row>
    <row r="1305" spans="1:13" hidden="1" x14ac:dyDescent="0.25">
      <c r="A1305" t="s">
        <v>344</v>
      </c>
      <c r="B1305" s="52" t="s">
        <v>267</v>
      </c>
      <c r="C1305" s="52" t="s">
        <v>287</v>
      </c>
      <c r="D1305" s="52" t="s">
        <v>288</v>
      </c>
      <c r="E1305" s="52">
        <v>2</v>
      </c>
      <c r="F1305">
        <v>4</v>
      </c>
      <c r="G1305">
        <v>55</v>
      </c>
      <c r="H1305">
        <v>8</v>
      </c>
      <c r="I1305" s="52">
        <v>3.3</v>
      </c>
      <c r="J1305" s="52">
        <v>16.600000000000001</v>
      </c>
      <c r="K1305" s="52">
        <v>17.899999999999999</v>
      </c>
      <c r="L1305" s="52">
        <v>4.7</v>
      </c>
      <c r="M1305">
        <v>55</v>
      </c>
    </row>
    <row r="1306" spans="1:13" hidden="1" x14ac:dyDescent="0.25">
      <c r="A1306" t="s">
        <v>344</v>
      </c>
      <c r="B1306" s="52" t="s">
        <v>267</v>
      </c>
      <c r="C1306" s="52" t="s">
        <v>287</v>
      </c>
      <c r="D1306" s="52" t="s">
        <v>288</v>
      </c>
      <c r="E1306" s="52">
        <v>2</v>
      </c>
      <c r="F1306">
        <v>4</v>
      </c>
      <c r="G1306">
        <v>60</v>
      </c>
      <c r="H1306">
        <v>8</v>
      </c>
      <c r="I1306" s="52">
        <v>3.3</v>
      </c>
      <c r="J1306" s="52">
        <v>16.600000000000001</v>
      </c>
      <c r="K1306" s="52">
        <v>17.899999999999999</v>
      </c>
      <c r="L1306" s="52">
        <v>4.7</v>
      </c>
      <c r="M1306">
        <v>60</v>
      </c>
    </row>
    <row r="1307" spans="1:13" hidden="1" x14ac:dyDescent="0.25">
      <c r="A1307" t="s">
        <v>344</v>
      </c>
      <c r="B1307" s="52" t="s">
        <v>267</v>
      </c>
      <c r="C1307" s="52" t="s">
        <v>287</v>
      </c>
      <c r="D1307" s="52" t="s">
        <v>288</v>
      </c>
      <c r="E1307" s="52">
        <v>2</v>
      </c>
      <c r="F1307">
        <v>4</v>
      </c>
      <c r="G1307">
        <v>70</v>
      </c>
      <c r="H1307">
        <v>8</v>
      </c>
      <c r="I1307" s="52">
        <v>3.3</v>
      </c>
      <c r="J1307" s="52">
        <v>16.600000000000001</v>
      </c>
      <c r="K1307" s="52">
        <v>17.899999999999999</v>
      </c>
      <c r="L1307" s="52">
        <v>4.7</v>
      </c>
      <c r="M1307">
        <v>70</v>
      </c>
    </row>
    <row r="1308" spans="1:13" hidden="1" x14ac:dyDescent="0.25">
      <c r="A1308" t="s">
        <v>344</v>
      </c>
      <c r="B1308" s="52" t="s">
        <v>267</v>
      </c>
      <c r="C1308" s="52" t="s">
        <v>287</v>
      </c>
      <c r="D1308" s="52" t="s">
        <v>288</v>
      </c>
      <c r="E1308" s="52">
        <v>2</v>
      </c>
      <c r="F1308">
        <v>4.5</v>
      </c>
      <c r="G1308">
        <v>20</v>
      </c>
      <c r="H1308">
        <v>9</v>
      </c>
      <c r="I1308" s="52">
        <v>4.3</v>
      </c>
      <c r="J1308" s="52">
        <v>15.2</v>
      </c>
      <c r="K1308" s="52">
        <v>17.5</v>
      </c>
      <c r="L1308" s="52">
        <v>5.9</v>
      </c>
      <c r="M1308">
        <v>20</v>
      </c>
    </row>
    <row r="1309" spans="1:13" hidden="1" x14ac:dyDescent="0.25">
      <c r="A1309" t="s">
        <v>344</v>
      </c>
      <c r="B1309" s="52" t="s">
        <v>267</v>
      </c>
      <c r="C1309" s="52" t="s">
        <v>287</v>
      </c>
      <c r="D1309" s="52" t="s">
        <v>288</v>
      </c>
      <c r="E1309" s="52">
        <v>2</v>
      </c>
      <c r="F1309">
        <v>4.5</v>
      </c>
      <c r="G1309">
        <v>25</v>
      </c>
      <c r="H1309">
        <v>9</v>
      </c>
      <c r="I1309" s="52">
        <v>4.3</v>
      </c>
      <c r="J1309" s="52">
        <v>15.2</v>
      </c>
      <c r="K1309" s="52">
        <v>17.5</v>
      </c>
      <c r="L1309" s="52">
        <v>5.9</v>
      </c>
      <c r="M1309">
        <v>25</v>
      </c>
    </row>
    <row r="1310" spans="1:13" hidden="1" x14ac:dyDescent="0.25">
      <c r="A1310" t="s">
        <v>344</v>
      </c>
      <c r="B1310" s="52" t="s">
        <v>267</v>
      </c>
      <c r="C1310" s="52" t="s">
        <v>287</v>
      </c>
      <c r="D1310" s="52" t="s">
        <v>288</v>
      </c>
      <c r="E1310" s="52">
        <v>2</v>
      </c>
      <c r="F1310">
        <v>4.5</v>
      </c>
      <c r="G1310">
        <v>30</v>
      </c>
      <c r="H1310">
        <v>9</v>
      </c>
      <c r="I1310" s="52">
        <v>4.3</v>
      </c>
      <c r="J1310" s="52">
        <v>15.2</v>
      </c>
      <c r="K1310" s="52">
        <v>17.5</v>
      </c>
      <c r="L1310" s="52">
        <v>5.9</v>
      </c>
      <c r="M1310">
        <v>30</v>
      </c>
    </row>
    <row r="1311" spans="1:13" hidden="1" x14ac:dyDescent="0.25">
      <c r="A1311" t="s">
        <v>344</v>
      </c>
      <c r="B1311" s="52" t="s">
        <v>267</v>
      </c>
      <c r="C1311" s="52" t="s">
        <v>287</v>
      </c>
      <c r="D1311" s="52" t="s">
        <v>288</v>
      </c>
      <c r="E1311" s="52">
        <v>2</v>
      </c>
      <c r="F1311">
        <v>4.5</v>
      </c>
      <c r="G1311">
        <v>35</v>
      </c>
      <c r="H1311">
        <v>9</v>
      </c>
      <c r="I1311" s="52">
        <v>4.3</v>
      </c>
      <c r="J1311" s="52">
        <v>15.2</v>
      </c>
      <c r="K1311" s="52">
        <v>17.5</v>
      </c>
      <c r="L1311" s="52">
        <v>5.9</v>
      </c>
      <c r="M1311">
        <v>35</v>
      </c>
    </row>
    <row r="1312" spans="1:13" hidden="1" x14ac:dyDescent="0.25">
      <c r="A1312" t="s">
        <v>344</v>
      </c>
      <c r="B1312" s="52" t="s">
        <v>267</v>
      </c>
      <c r="C1312" s="52" t="s">
        <v>287</v>
      </c>
      <c r="D1312" s="52" t="s">
        <v>288</v>
      </c>
      <c r="E1312" s="52">
        <v>2</v>
      </c>
      <c r="F1312">
        <v>4.5</v>
      </c>
      <c r="G1312">
        <v>40</v>
      </c>
      <c r="H1312">
        <v>9</v>
      </c>
      <c r="I1312" s="52">
        <v>4.3</v>
      </c>
      <c r="J1312" s="52">
        <v>15.2</v>
      </c>
      <c r="K1312" s="52">
        <v>17.5</v>
      </c>
      <c r="L1312" s="52">
        <v>5.9</v>
      </c>
      <c r="M1312">
        <v>40</v>
      </c>
    </row>
    <row r="1313" spans="1:13" hidden="1" x14ac:dyDescent="0.25">
      <c r="A1313" t="s">
        <v>344</v>
      </c>
      <c r="B1313" s="52" t="s">
        <v>267</v>
      </c>
      <c r="C1313" s="52" t="s">
        <v>287</v>
      </c>
      <c r="D1313" s="52" t="s">
        <v>288</v>
      </c>
      <c r="E1313" s="52">
        <v>2</v>
      </c>
      <c r="F1313">
        <v>4.5</v>
      </c>
      <c r="G1313">
        <v>45</v>
      </c>
      <c r="H1313">
        <v>9</v>
      </c>
      <c r="I1313" s="52">
        <v>4.3</v>
      </c>
      <c r="J1313" s="52">
        <v>15.2</v>
      </c>
      <c r="K1313" s="52">
        <v>17.5</v>
      </c>
      <c r="L1313" s="52">
        <v>5.9</v>
      </c>
      <c r="M1313">
        <v>45</v>
      </c>
    </row>
    <row r="1314" spans="1:13" hidden="1" x14ac:dyDescent="0.25">
      <c r="A1314" t="s">
        <v>344</v>
      </c>
      <c r="B1314" s="52" t="s">
        <v>267</v>
      </c>
      <c r="C1314" s="52" t="s">
        <v>287</v>
      </c>
      <c r="D1314" s="52" t="s">
        <v>288</v>
      </c>
      <c r="E1314" s="52">
        <v>2</v>
      </c>
      <c r="F1314">
        <v>4.5</v>
      </c>
      <c r="G1314">
        <v>50</v>
      </c>
      <c r="H1314">
        <v>9</v>
      </c>
      <c r="I1314" s="52">
        <v>4.3</v>
      </c>
      <c r="J1314" s="52">
        <v>15.2</v>
      </c>
      <c r="K1314" s="52">
        <v>17.5</v>
      </c>
      <c r="L1314" s="52">
        <v>5.9</v>
      </c>
      <c r="M1314">
        <v>50</v>
      </c>
    </row>
    <row r="1315" spans="1:13" hidden="1" x14ac:dyDescent="0.25">
      <c r="A1315" t="s">
        <v>344</v>
      </c>
      <c r="B1315" s="52" t="s">
        <v>267</v>
      </c>
      <c r="C1315" s="52" t="s">
        <v>287</v>
      </c>
      <c r="D1315" s="52" t="s">
        <v>288</v>
      </c>
      <c r="E1315" s="52">
        <v>2</v>
      </c>
      <c r="F1315">
        <v>4.5</v>
      </c>
      <c r="G1315">
        <v>60</v>
      </c>
      <c r="H1315">
        <v>9</v>
      </c>
      <c r="I1315" s="52">
        <v>4.3</v>
      </c>
      <c r="J1315" s="52">
        <v>15.2</v>
      </c>
      <c r="K1315" s="52">
        <v>17.5</v>
      </c>
      <c r="L1315" s="52">
        <v>5.9</v>
      </c>
      <c r="M1315">
        <v>60</v>
      </c>
    </row>
    <row r="1316" spans="1:13" hidden="1" x14ac:dyDescent="0.25">
      <c r="A1316" t="s">
        <v>344</v>
      </c>
      <c r="B1316" s="52" t="s">
        <v>267</v>
      </c>
      <c r="C1316" s="52" t="s">
        <v>287</v>
      </c>
      <c r="D1316" s="52" t="s">
        <v>288</v>
      </c>
      <c r="E1316" s="52">
        <v>2</v>
      </c>
      <c r="F1316">
        <v>4.5</v>
      </c>
      <c r="G1316">
        <v>70</v>
      </c>
      <c r="H1316">
        <v>9</v>
      </c>
      <c r="I1316" s="52">
        <v>4.3</v>
      </c>
      <c r="J1316" s="52">
        <v>15.2</v>
      </c>
      <c r="K1316" s="52">
        <v>17.5</v>
      </c>
      <c r="L1316" s="52">
        <v>5.9</v>
      </c>
      <c r="M1316">
        <v>70</v>
      </c>
    </row>
    <row r="1317" spans="1:13" hidden="1" x14ac:dyDescent="0.25">
      <c r="A1317" t="s">
        <v>344</v>
      </c>
      <c r="B1317" s="52" t="s">
        <v>267</v>
      </c>
      <c r="C1317" s="52" t="s">
        <v>287</v>
      </c>
      <c r="D1317" s="52" t="s">
        <v>288</v>
      </c>
      <c r="E1317" s="52">
        <v>2</v>
      </c>
      <c r="F1317">
        <v>4.5</v>
      </c>
      <c r="G1317">
        <v>80</v>
      </c>
      <c r="H1317">
        <v>9</v>
      </c>
      <c r="I1317" s="52">
        <v>4.3</v>
      </c>
      <c r="J1317" s="52">
        <v>15.2</v>
      </c>
      <c r="K1317" s="52">
        <v>17.5</v>
      </c>
      <c r="L1317" s="52">
        <v>5.9</v>
      </c>
      <c r="M1317">
        <v>80</v>
      </c>
    </row>
    <row r="1318" spans="1:13" hidden="1" x14ac:dyDescent="0.25">
      <c r="A1318" t="s">
        <v>344</v>
      </c>
      <c r="B1318" s="52" t="s">
        <v>267</v>
      </c>
      <c r="C1318" s="52" t="s">
        <v>287</v>
      </c>
      <c r="D1318" s="52" t="s">
        <v>288</v>
      </c>
      <c r="E1318" s="52">
        <v>2</v>
      </c>
      <c r="F1318">
        <v>5</v>
      </c>
      <c r="G1318">
        <v>30</v>
      </c>
      <c r="H1318">
        <v>10</v>
      </c>
      <c r="I1318" s="52">
        <v>6.3</v>
      </c>
      <c r="J1318" s="52">
        <v>15.8</v>
      </c>
      <c r="K1318" s="52">
        <v>16.8</v>
      </c>
      <c r="L1318" s="52">
        <v>7.3</v>
      </c>
      <c r="M1318">
        <v>30</v>
      </c>
    </row>
    <row r="1319" spans="1:13" hidden="1" x14ac:dyDescent="0.25">
      <c r="A1319" t="s">
        <v>344</v>
      </c>
      <c r="B1319" s="52" t="s">
        <v>267</v>
      </c>
      <c r="C1319" s="52" t="s">
        <v>287</v>
      </c>
      <c r="D1319" s="52" t="s">
        <v>288</v>
      </c>
      <c r="E1319" s="52">
        <v>2</v>
      </c>
      <c r="F1319">
        <v>5</v>
      </c>
      <c r="G1319">
        <v>35</v>
      </c>
      <c r="H1319">
        <v>10</v>
      </c>
      <c r="I1319" s="52">
        <v>6.3</v>
      </c>
      <c r="J1319" s="52">
        <v>15.8</v>
      </c>
      <c r="K1319" s="52">
        <v>16.8</v>
      </c>
      <c r="L1319" s="52">
        <v>7.3</v>
      </c>
      <c r="M1319">
        <v>35</v>
      </c>
    </row>
    <row r="1320" spans="1:13" hidden="1" x14ac:dyDescent="0.25">
      <c r="A1320" t="s">
        <v>344</v>
      </c>
      <c r="B1320" s="52" t="s">
        <v>267</v>
      </c>
      <c r="C1320" s="52" t="s">
        <v>287</v>
      </c>
      <c r="D1320" s="52" t="s">
        <v>288</v>
      </c>
      <c r="E1320" s="52">
        <v>2</v>
      </c>
      <c r="F1320">
        <v>5</v>
      </c>
      <c r="G1320">
        <v>40</v>
      </c>
      <c r="H1320">
        <v>10</v>
      </c>
      <c r="I1320" s="52">
        <v>6.3</v>
      </c>
      <c r="J1320" s="52">
        <v>15.8</v>
      </c>
      <c r="K1320" s="52">
        <v>16.8</v>
      </c>
      <c r="L1320" s="52">
        <v>7.3</v>
      </c>
      <c r="M1320">
        <v>40</v>
      </c>
    </row>
    <row r="1321" spans="1:13" hidden="1" x14ac:dyDescent="0.25">
      <c r="A1321" t="s">
        <v>344</v>
      </c>
      <c r="B1321" s="52" t="s">
        <v>267</v>
      </c>
      <c r="C1321" s="52" t="s">
        <v>287</v>
      </c>
      <c r="D1321" s="52" t="s">
        <v>288</v>
      </c>
      <c r="E1321" s="52">
        <v>2</v>
      </c>
      <c r="F1321">
        <v>5</v>
      </c>
      <c r="G1321">
        <v>45</v>
      </c>
      <c r="H1321">
        <v>10</v>
      </c>
      <c r="I1321" s="52">
        <v>6.3</v>
      </c>
      <c r="J1321" s="52">
        <v>15.8</v>
      </c>
      <c r="K1321" s="52">
        <v>16.8</v>
      </c>
      <c r="L1321" s="52">
        <v>7.3</v>
      </c>
      <c r="M1321">
        <v>45</v>
      </c>
    </row>
    <row r="1322" spans="1:13" hidden="1" x14ac:dyDescent="0.25">
      <c r="A1322" t="s">
        <v>344</v>
      </c>
      <c r="B1322" s="52" t="s">
        <v>267</v>
      </c>
      <c r="C1322" s="52" t="s">
        <v>287</v>
      </c>
      <c r="D1322" s="52" t="s">
        <v>288</v>
      </c>
      <c r="E1322" s="52">
        <v>2</v>
      </c>
      <c r="F1322">
        <v>5</v>
      </c>
      <c r="G1322">
        <v>50</v>
      </c>
      <c r="H1322">
        <v>10</v>
      </c>
      <c r="I1322" s="52">
        <v>6.3</v>
      </c>
      <c r="J1322" s="52">
        <v>15.8</v>
      </c>
      <c r="K1322" s="52">
        <v>16.8</v>
      </c>
      <c r="L1322" s="52">
        <v>7.3</v>
      </c>
      <c r="M1322">
        <v>50</v>
      </c>
    </row>
    <row r="1323" spans="1:13" hidden="1" x14ac:dyDescent="0.25">
      <c r="A1323" t="s">
        <v>344</v>
      </c>
      <c r="B1323" s="52" t="s">
        <v>267</v>
      </c>
      <c r="C1323" s="52" t="s">
        <v>287</v>
      </c>
      <c r="D1323" s="52" t="s">
        <v>288</v>
      </c>
      <c r="E1323" s="52">
        <v>2</v>
      </c>
      <c r="F1323">
        <v>5</v>
      </c>
      <c r="G1323">
        <v>55</v>
      </c>
      <c r="H1323">
        <v>10</v>
      </c>
      <c r="I1323" s="52">
        <v>6.3</v>
      </c>
      <c r="J1323" s="52">
        <v>15.8</v>
      </c>
      <c r="K1323" s="52">
        <v>16.8</v>
      </c>
      <c r="L1323" s="52">
        <v>7.3</v>
      </c>
      <c r="M1323">
        <v>55</v>
      </c>
    </row>
    <row r="1324" spans="1:13" hidden="1" x14ac:dyDescent="0.25">
      <c r="A1324" t="s">
        <v>344</v>
      </c>
      <c r="B1324" s="52" t="s">
        <v>267</v>
      </c>
      <c r="C1324" s="52" t="s">
        <v>287</v>
      </c>
      <c r="D1324" s="52" t="s">
        <v>288</v>
      </c>
      <c r="E1324" s="52">
        <v>2</v>
      </c>
      <c r="F1324">
        <v>5</v>
      </c>
      <c r="G1324">
        <v>60</v>
      </c>
      <c r="H1324">
        <v>10</v>
      </c>
      <c r="I1324" s="52">
        <v>6.3</v>
      </c>
      <c r="J1324" s="52">
        <v>15.8</v>
      </c>
      <c r="K1324" s="52">
        <v>16.8</v>
      </c>
      <c r="L1324" s="52">
        <v>7.3</v>
      </c>
      <c r="M1324">
        <v>60</v>
      </c>
    </row>
    <row r="1325" spans="1:13" hidden="1" x14ac:dyDescent="0.25">
      <c r="A1325" t="s">
        <v>344</v>
      </c>
      <c r="B1325" s="52" t="s">
        <v>267</v>
      </c>
      <c r="C1325" s="52" t="s">
        <v>287</v>
      </c>
      <c r="D1325" s="52" t="s">
        <v>288</v>
      </c>
      <c r="E1325" s="52">
        <v>2</v>
      </c>
      <c r="F1325">
        <v>5</v>
      </c>
      <c r="G1325">
        <v>70</v>
      </c>
      <c r="H1325">
        <v>10</v>
      </c>
      <c r="I1325" s="52">
        <v>6.3</v>
      </c>
      <c r="J1325" s="52">
        <v>15.8</v>
      </c>
      <c r="K1325" s="52">
        <v>16.8</v>
      </c>
      <c r="L1325" s="52">
        <v>7.3</v>
      </c>
      <c r="M1325">
        <v>70</v>
      </c>
    </row>
    <row r="1326" spans="1:13" hidden="1" x14ac:dyDescent="0.25">
      <c r="A1326" t="s">
        <v>344</v>
      </c>
      <c r="B1326" s="52" t="s">
        <v>267</v>
      </c>
      <c r="C1326" s="52" t="s">
        <v>287</v>
      </c>
      <c r="D1326" s="52" t="s">
        <v>288</v>
      </c>
      <c r="E1326" s="52">
        <v>2</v>
      </c>
      <c r="F1326">
        <v>5</v>
      </c>
      <c r="G1326">
        <v>80</v>
      </c>
      <c r="H1326">
        <v>10</v>
      </c>
      <c r="I1326" s="52">
        <v>6.3</v>
      </c>
      <c r="J1326" s="52">
        <v>15.8</v>
      </c>
      <c r="K1326" s="52">
        <v>16.8</v>
      </c>
      <c r="L1326" s="52">
        <v>7.3</v>
      </c>
      <c r="M1326">
        <v>80</v>
      </c>
    </row>
    <row r="1327" spans="1:13" hidden="1" x14ac:dyDescent="0.25">
      <c r="A1327" t="s">
        <v>344</v>
      </c>
      <c r="B1327" s="52" t="s">
        <v>267</v>
      </c>
      <c r="C1327" s="52" t="s">
        <v>287</v>
      </c>
      <c r="D1327" s="52" t="s">
        <v>288</v>
      </c>
      <c r="E1327" s="52">
        <v>2</v>
      </c>
      <c r="F1327">
        <v>5</v>
      </c>
      <c r="G1327">
        <v>90</v>
      </c>
      <c r="H1327">
        <v>10</v>
      </c>
      <c r="I1327" s="52">
        <v>6.3</v>
      </c>
      <c r="J1327" s="52">
        <v>15.8</v>
      </c>
      <c r="K1327" s="52">
        <v>16.8</v>
      </c>
      <c r="L1327" s="52">
        <v>7.3</v>
      </c>
      <c r="M1327">
        <v>90</v>
      </c>
    </row>
    <row r="1328" spans="1:13" hidden="1" x14ac:dyDescent="0.25">
      <c r="A1328" t="s">
        <v>344</v>
      </c>
      <c r="B1328" s="52" t="s">
        <v>267</v>
      </c>
      <c r="C1328" s="52" t="s">
        <v>287</v>
      </c>
      <c r="D1328" s="52" t="s">
        <v>288</v>
      </c>
      <c r="E1328" s="52">
        <v>2</v>
      </c>
      <c r="F1328">
        <v>6</v>
      </c>
      <c r="G1328">
        <v>40</v>
      </c>
      <c r="H1328">
        <v>12</v>
      </c>
      <c r="I1328" s="52">
        <v>10.8</v>
      </c>
      <c r="J1328" s="52">
        <v>14.4</v>
      </c>
      <c r="K1328" s="52">
        <v>16.5</v>
      </c>
      <c r="L1328" s="52">
        <v>11.1</v>
      </c>
      <c r="M1328">
        <v>40</v>
      </c>
    </row>
    <row r="1329" spans="1:13" hidden="1" x14ac:dyDescent="0.25">
      <c r="A1329" t="s">
        <v>344</v>
      </c>
      <c r="B1329" s="52" t="s">
        <v>267</v>
      </c>
      <c r="C1329" s="52" t="s">
        <v>287</v>
      </c>
      <c r="D1329" s="52" t="s">
        <v>288</v>
      </c>
      <c r="E1329" s="52">
        <v>2</v>
      </c>
      <c r="F1329">
        <v>6</v>
      </c>
      <c r="G1329">
        <v>50</v>
      </c>
      <c r="H1329">
        <v>12</v>
      </c>
      <c r="I1329" s="52">
        <v>10.8</v>
      </c>
      <c r="J1329" s="52">
        <v>14.4</v>
      </c>
      <c r="K1329" s="52">
        <v>16.5</v>
      </c>
      <c r="L1329" s="52">
        <v>11.1</v>
      </c>
      <c r="M1329">
        <v>50</v>
      </c>
    </row>
    <row r="1330" spans="1:13" hidden="1" x14ac:dyDescent="0.25">
      <c r="A1330" t="s">
        <v>344</v>
      </c>
      <c r="B1330" s="52" t="s">
        <v>267</v>
      </c>
      <c r="C1330" s="52" t="s">
        <v>287</v>
      </c>
      <c r="D1330" s="52" t="s">
        <v>288</v>
      </c>
      <c r="E1330" s="52">
        <v>2</v>
      </c>
      <c r="F1330">
        <v>6</v>
      </c>
      <c r="G1330">
        <v>60</v>
      </c>
      <c r="H1330">
        <v>12</v>
      </c>
      <c r="I1330" s="52">
        <v>10.8</v>
      </c>
      <c r="J1330" s="52">
        <v>14.4</v>
      </c>
      <c r="K1330" s="52">
        <v>16.5</v>
      </c>
      <c r="L1330" s="52">
        <v>11.1</v>
      </c>
      <c r="M1330">
        <v>60</v>
      </c>
    </row>
    <row r="1331" spans="1:13" hidden="1" x14ac:dyDescent="0.25">
      <c r="A1331" t="s">
        <v>344</v>
      </c>
      <c r="B1331" s="52" t="s">
        <v>267</v>
      </c>
      <c r="C1331" s="52" t="s">
        <v>287</v>
      </c>
      <c r="D1331" s="52" t="s">
        <v>288</v>
      </c>
      <c r="E1331" s="52">
        <v>2</v>
      </c>
      <c r="F1331">
        <v>6</v>
      </c>
      <c r="G1331">
        <v>70</v>
      </c>
      <c r="H1331">
        <v>12</v>
      </c>
      <c r="I1331" s="52">
        <v>10.8</v>
      </c>
      <c r="J1331" s="52">
        <v>14.4</v>
      </c>
      <c r="K1331" s="52">
        <v>16.5</v>
      </c>
      <c r="L1331" s="52">
        <v>11.1</v>
      </c>
      <c r="M1331">
        <v>70</v>
      </c>
    </row>
    <row r="1332" spans="1:13" hidden="1" x14ac:dyDescent="0.25">
      <c r="A1332" t="s">
        <v>344</v>
      </c>
      <c r="B1332" s="52" t="s">
        <v>267</v>
      </c>
      <c r="C1332" s="52" t="s">
        <v>287</v>
      </c>
      <c r="D1332" s="52" t="s">
        <v>288</v>
      </c>
      <c r="E1332" s="52">
        <v>2</v>
      </c>
      <c r="F1332">
        <v>6</v>
      </c>
      <c r="G1332">
        <v>80</v>
      </c>
      <c r="H1332">
        <v>12</v>
      </c>
      <c r="I1332" s="52">
        <v>10.8</v>
      </c>
      <c r="J1332" s="52">
        <v>14.4</v>
      </c>
      <c r="K1332" s="52">
        <v>16.5</v>
      </c>
      <c r="L1332" s="52">
        <v>11.1</v>
      </c>
      <c r="M1332">
        <v>80</v>
      </c>
    </row>
    <row r="1333" spans="1:13" hidden="1" x14ac:dyDescent="0.25">
      <c r="A1333" t="s">
        <v>344</v>
      </c>
      <c r="B1333" s="52" t="s">
        <v>267</v>
      </c>
      <c r="C1333" s="52" t="s">
        <v>287</v>
      </c>
      <c r="D1333" s="52" t="s">
        <v>288</v>
      </c>
      <c r="E1333" s="52">
        <v>2</v>
      </c>
      <c r="F1333">
        <v>6</v>
      </c>
      <c r="G1333">
        <v>90</v>
      </c>
      <c r="H1333">
        <v>12</v>
      </c>
      <c r="I1333" s="52">
        <v>10.8</v>
      </c>
      <c r="J1333" s="52">
        <v>14.4</v>
      </c>
      <c r="K1333" s="52">
        <v>16.5</v>
      </c>
      <c r="L1333" s="52">
        <v>11.1</v>
      </c>
      <c r="M1333">
        <v>90</v>
      </c>
    </row>
    <row r="1334" spans="1:13" hidden="1" x14ac:dyDescent="0.25">
      <c r="A1334" t="s">
        <v>344</v>
      </c>
      <c r="B1334" s="52" t="s">
        <v>267</v>
      </c>
      <c r="C1334" s="52" t="s">
        <v>291</v>
      </c>
      <c r="D1334" s="52" t="s">
        <v>294</v>
      </c>
      <c r="E1334" s="52">
        <v>1</v>
      </c>
      <c r="F1334">
        <v>4</v>
      </c>
      <c r="G1334">
        <v>30</v>
      </c>
      <c r="H1334">
        <v>11</v>
      </c>
      <c r="I1334" s="52">
        <v>3.1</v>
      </c>
      <c r="J1334" s="52">
        <v>16.7</v>
      </c>
      <c r="K1334" s="52">
        <v>31.1</v>
      </c>
      <c r="L1334" s="52">
        <v>5.0999999999999996</v>
      </c>
      <c r="M1334">
        <v>18</v>
      </c>
    </row>
    <row r="1335" spans="1:13" hidden="1" x14ac:dyDescent="0.25">
      <c r="A1335" t="s">
        <v>344</v>
      </c>
      <c r="B1335" s="52" t="s">
        <v>267</v>
      </c>
      <c r="C1335" s="52" t="s">
        <v>291</v>
      </c>
      <c r="D1335" s="52" t="s">
        <v>294</v>
      </c>
      <c r="E1335" s="52">
        <v>1</v>
      </c>
      <c r="F1335">
        <v>6</v>
      </c>
      <c r="G1335">
        <v>50</v>
      </c>
      <c r="H1335">
        <v>15.3</v>
      </c>
      <c r="I1335" s="52">
        <v>9.5</v>
      </c>
      <c r="J1335" s="52">
        <v>11</v>
      </c>
      <c r="K1335" s="52">
        <v>8</v>
      </c>
      <c r="L1335" s="52">
        <v>9.5</v>
      </c>
      <c r="M1335">
        <v>40</v>
      </c>
    </row>
    <row r="1336" spans="1:13" hidden="1" x14ac:dyDescent="0.25">
      <c r="A1336" t="s">
        <v>344</v>
      </c>
      <c r="B1336" s="52" t="s">
        <v>267</v>
      </c>
      <c r="C1336" s="52" t="s">
        <v>291</v>
      </c>
      <c r="D1336" s="52" t="s">
        <v>294</v>
      </c>
      <c r="E1336" s="52">
        <v>1</v>
      </c>
      <c r="F1336">
        <v>6</v>
      </c>
      <c r="G1336">
        <v>60</v>
      </c>
      <c r="H1336">
        <v>15.3</v>
      </c>
      <c r="I1336" s="52">
        <v>9.5</v>
      </c>
      <c r="J1336" s="52">
        <v>11</v>
      </c>
      <c r="K1336" s="52">
        <v>8</v>
      </c>
      <c r="L1336" s="52">
        <v>9.5</v>
      </c>
      <c r="M1336">
        <v>40</v>
      </c>
    </row>
    <row r="1337" spans="1:13" hidden="1" x14ac:dyDescent="0.25">
      <c r="A1337" t="s">
        <v>344</v>
      </c>
      <c r="B1337" s="52" t="s">
        <v>267</v>
      </c>
      <c r="C1337" s="52" t="s">
        <v>291</v>
      </c>
      <c r="D1337" s="52" t="s">
        <v>294</v>
      </c>
      <c r="E1337" s="52">
        <v>1</v>
      </c>
      <c r="F1337">
        <v>6</v>
      </c>
      <c r="G1337">
        <v>80</v>
      </c>
      <c r="H1337">
        <v>15.3</v>
      </c>
      <c r="I1337" s="52">
        <v>9.5</v>
      </c>
      <c r="J1337" s="52">
        <v>11</v>
      </c>
      <c r="K1337" s="52">
        <v>8</v>
      </c>
      <c r="L1337" s="52">
        <v>9.5</v>
      </c>
      <c r="M1337">
        <v>40</v>
      </c>
    </row>
    <row r="1338" spans="1:13" hidden="1" x14ac:dyDescent="0.25">
      <c r="A1338" t="s">
        <v>344</v>
      </c>
      <c r="B1338" s="52" t="s">
        <v>267</v>
      </c>
      <c r="C1338" s="52" t="s">
        <v>291</v>
      </c>
      <c r="D1338" s="52" t="s">
        <v>294</v>
      </c>
      <c r="E1338" s="52">
        <v>1</v>
      </c>
      <c r="F1338">
        <v>6</v>
      </c>
      <c r="G1338">
        <v>90</v>
      </c>
      <c r="H1338">
        <v>15.3</v>
      </c>
      <c r="I1338" s="52">
        <v>9.5</v>
      </c>
      <c r="J1338" s="52">
        <v>11</v>
      </c>
      <c r="K1338" s="52">
        <v>8</v>
      </c>
      <c r="L1338" s="52">
        <v>9.5</v>
      </c>
      <c r="M1338">
        <v>50</v>
      </c>
    </row>
    <row r="1339" spans="1:13" hidden="1" x14ac:dyDescent="0.25">
      <c r="A1339" t="s">
        <v>344</v>
      </c>
      <c r="B1339" s="52" t="s">
        <v>267</v>
      </c>
      <c r="C1339" s="52" t="s">
        <v>291</v>
      </c>
      <c r="D1339" s="52" t="s">
        <v>294</v>
      </c>
      <c r="E1339" s="52">
        <v>1</v>
      </c>
      <c r="F1339">
        <v>6</v>
      </c>
      <c r="G1339">
        <v>100</v>
      </c>
      <c r="H1339">
        <v>15.3</v>
      </c>
      <c r="I1339" s="52">
        <v>9.5</v>
      </c>
      <c r="J1339" s="52">
        <v>11</v>
      </c>
      <c r="K1339" s="52">
        <v>8</v>
      </c>
      <c r="L1339" s="52">
        <v>9.5</v>
      </c>
      <c r="M1339">
        <v>50</v>
      </c>
    </row>
    <row r="1340" spans="1:13" hidden="1" x14ac:dyDescent="0.25">
      <c r="A1340" t="s">
        <v>344</v>
      </c>
      <c r="B1340" s="52" t="s">
        <v>267</v>
      </c>
      <c r="C1340" s="52" t="s">
        <v>291</v>
      </c>
      <c r="D1340" s="52" t="s">
        <v>294</v>
      </c>
      <c r="E1340" s="52">
        <v>1</v>
      </c>
      <c r="F1340">
        <v>6</v>
      </c>
      <c r="G1340">
        <v>120</v>
      </c>
      <c r="H1340">
        <v>15.3</v>
      </c>
      <c r="I1340" s="52">
        <v>9.5</v>
      </c>
      <c r="J1340" s="52">
        <v>11</v>
      </c>
      <c r="K1340" s="52">
        <v>8</v>
      </c>
      <c r="L1340" s="52">
        <v>9.5</v>
      </c>
      <c r="M1340">
        <v>75</v>
      </c>
    </row>
    <row r="1341" spans="1:13" hidden="1" x14ac:dyDescent="0.25">
      <c r="A1341" t="s">
        <v>344</v>
      </c>
      <c r="B1341" s="52" t="s">
        <v>267</v>
      </c>
      <c r="C1341" s="52" t="s">
        <v>291</v>
      </c>
      <c r="D1341" s="52" t="s">
        <v>294</v>
      </c>
      <c r="E1341" s="52">
        <v>1</v>
      </c>
      <c r="F1341">
        <v>6</v>
      </c>
      <c r="G1341">
        <v>140</v>
      </c>
      <c r="H1341">
        <v>15.3</v>
      </c>
      <c r="I1341" s="52">
        <v>9.5</v>
      </c>
      <c r="J1341" s="52">
        <v>11</v>
      </c>
      <c r="K1341" s="52">
        <v>8</v>
      </c>
      <c r="L1341" s="52">
        <v>9.5</v>
      </c>
      <c r="M1341">
        <v>75</v>
      </c>
    </row>
    <row r="1342" spans="1:13" hidden="1" x14ac:dyDescent="0.25">
      <c r="A1342" t="s">
        <v>344</v>
      </c>
      <c r="B1342" s="52" t="s">
        <v>267</v>
      </c>
      <c r="C1342" s="52" t="s">
        <v>291</v>
      </c>
      <c r="D1342" s="52" t="s">
        <v>294</v>
      </c>
      <c r="E1342" s="52">
        <v>1</v>
      </c>
      <c r="F1342">
        <v>8</v>
      </c>
      <c r="G1342">
        <v>70</v>
      </c>
      <c r="H1342">
        <v>22</v>
      </c>
      <c r="I1342" s="52">
        <v>20</v>
      </c>
      <c r="J1342" s="52">
        <v>11</v>
      </c>
      <c r="K1342" s="52">
        <v>8</v>
      </c>
      <c r="L1342" s="52">
        <v>19</v>
      </c>
      <c r="M1342">
        <v>40</v>
      </c>
    </row>
    <row r="1343" spans="1:13" hidden="1" x14ac:dyDescent="0.25">
      <c r="A1343" t="s">
        <v>344</v>
      </c>
      <c r="B1343" s="52" t="s">
        <v>267</v>
      </c>
      <c r="C1343" s="52" t="s">
        <v>291</v>
      </c>
      <c r="D1343" s="52" t="s">
        <v>294</v>
      </c>
      <c r="E1343" s="52">
        <v>1</v>
      </c>
      <c r="F1343">
        <v>8</v>
      </c>
      <c r="G1343">
        <v>80</v>
      </c>
      <c r="H1343">
        <v>22</v>
      </c>
      <c r="I1343" s="52">
        <v>20</v>
      </c>
      <c r="J1343" s="52">
        <v>11</v>
      </c>
      <c r="K1343" s="52">
        <v>8</v>
      </c>
      <c r="L1343" s="52">
        <v>19</v>
      </c>
      <c r="M1343">
        <v>40</v>
      </c>
    </row>
    <row r="1344" spans="1:13" hidden="1" x14ac:dyDescent="0.25">
      <c r="A1344" t="s">
        <v>344</v>
      </c>
      <c r="B1344" s="52" t="s">
        <v>267</v>
      </c>
      <c r="C1344" s="52" t="s">
        <v>291</v>
      </c>
      <c r="D1344" s="52" t="s">
        <v>294</v>
      </c>
      <c r="E1344" s="52">
        <v>1</v>
      </c>
      <c r="F1344">
        <v>8</v>
      </c>
      <c r="G1344">
        <v>90</v>
      </c>
      <c r="H1344">
        <v>22</v>
      </c>
      <c r="I1344" s="52">
        <v>20</v>
      </c>
      <c r="J1344" s="52">
        <v>11</v>
      </c>
      <c r="K1344" s="52">
        <v>8</v>
      </c>
      <c r="L1344" s="52">
        <v>19</v>
      </c>
      <c r="M1344">
        <v>50</v>
      </c>
    </row>
    <row r="1345" spans="1:13" hidden="1" x14ac:dyDescent="0.25">
      <c r="A1345" t="s">
        <v>344</v>
      </c>
      <c r="B1345" s="52" t="s">
        <v>267</v>
      </c>
      <c r="C1345" s="52" t="s">
        <v>291</v>
      </c>
      <c r="D1345" s="52" t="s">
        <v>294</v>
      </c>
      <c r="E1345" s="52">
        <v>1</v>
      </c>
      <c r="F1345">
        <v>8</v>
      </c>
      <c r="G1345">
        <v>100</v>
      </c>
      <c r="H1345">
        <v>22</v>
      </c>
      <c r="I1345" s="52">
        <v>20</v>
      </c>
      <c r="J1345" s="52">
        <v>11</v>
      </c>
      <c r="K1345" s="52">
        <v>8</v>
      </c>
      <c r="L1345" s="52">
        <v>19</v>
      </c>
      <c r="M1345">
        <v>80</v>
      </c>
    </row>
    <row r="1346" spans="1:13" hidden="1" x14ac:dyDescent="0.25">
      <c r="A1346" t="s">
        <v>344</v>
      </c>
      <c r="B1346" s="52" t="s">
        <v>267</v>
      </c>
      <c r="C1346" s="52" t="s">
        <v>291</v>
      </c>
      <c r="D1346" s="52" t="s">
        <v>294</v>
      </c>
      <c r="E1346" s="52">
        <v>1</v>
      </c>
      <c r="F1346">
        <v>8</v>
      </c>
      <c r="G1346">
        <v>120</v>
      </c>
      <c r="H1346">
        <v>22</v>
      </c>
      <c r="I1346" s="52">
        <v>20</v>
      </c>
      <c r="J1346" s="52">
        <v>11</v>
      </c>
      <c r="K1346" s="52">
        <v>8</v>
      </c>
      <c r="L1346" s="52">
        <v>19</v>
      </c>
      <c r="M1346">
        <v>80</v>
      </c>
    </row>
    <row r="1347" spans="1:13" hidden="1" x14ac:dyDescent="0.25">
      <c r="A1347" t="s">
        <v>344</v>
      </c>
      <c r="B1347" s="52" t="s">
        <v>267</v>
      </c>
      <c r="C1347" s="52" t="s">
        <v>291</v>
      </c>
      <c r="D1347" s="52" t="s">
        <v>294</v>
      </c>
      <c r="E1347" s="52">
        <v>1</v>
      </c>
      <c r="F1347">
        <v>8</v>
      </c>
      <c r="G1347">
        <v>140</v>
      </c>
      <c r="H1347">
        <v>22</v>
      </c>
      <c r="I1347" s="52">
        <v>20</v>
      </c>
      <c r="J1347" s="52">
        <v>11</v>
      </c>
      <c r="K1347" s="52">
        <v>8</v>
      </c>
      <c r="L1347" s="52">
        <v>19</v>
      </c>
      <c r="M1347">
        <v>80</v>
      </c>
    </row>
    <row r="1348" spans="1:13" hidden="1" x14ac:dyDescent="0.25">
      <c r="A1348" t="s">
        <v>344</v>
      </c>
      <c r="B1348" s="52" t="s">
        <v>267</v>
      </c>
      <c r="C1348" s="52" t="s">
        <v>291</v>
      </c>
      <c r="D1348" s="52" t="s">
        <v>294</v>
      </c>
      <c r="E1348" s="52">
        <v>1</v>
      </c>
      <c r="F1348">
        <v>8</v>
      </c>
      <c r="G1348">
        <v>160</v>
      </c>
      <c r="H1348">
        <v>22</v>
      </c>
      <c r="I1348" s="52">
        <v>20</v>
      </c>
      <c r="J1348" s="52">
        <v>11</v>
      </c>
      <c r="K1348" s="52">
        <v>8</v>
      </c>
      <c r="L1348" s="52">
        <v>19</v>
      </c>
      <c r="M1348">
        <v>80</v>
      </c>
    </row>
    <row r="1349" spans="1:13" hidden="1" x14ac:dyDescent="0.25">
      <c r="A1349" t="s">
        <v>344</v>
      </c>
      <c r="B1349" s="52" t="s">
        <v>267</v>
      </c>
      <c r="C1349" s="52" t="s">
        <v>291</v>
      </c>
      <c r="D1349" s="52" t="s">
        <v>294</v>
      </c>
      <c r="E1349" s="52">
        <v>1</v>
      </c>
      <c r="F1349">
        <v>8</v>
      </c>
      <c r="G1349">
        <v>180</v>
      </c>
      <c r="H1349">
        <v>22</v>
      </c>
      <c r="I1349" s="52">
        <v>20</v>
      </c>
      <c r="J1349" s="52">
        <v>11</v>
      </c>
      <c r="K1349" s="52">
        <v>8</v>
      </c>
      <c r="L1349" s="52">
        <v>19</v>
      </c>
      <c r="M1349">
        <v>80</v>
      </c>
    </row>
    <row r="1350" spans="1:13" hidden="1" x14ac:dyDescent="0.25">
      <c r="A1350" t="s">
        <v>344</v>
      </c>
      <c r="B1350" s="52" t="s">
        <v>267</v>
      </c>
      <c r="C1350" s="52" t="s">
        <v>291</v>
      </c>
      <c r="D1350" s="52" t="s">
        <v>294</v>
      </c>
      <c r="E1350" s="52">
        <v>1</v>
      </c>
      <c r="F1350">
        <v>8</v>
      </c>
      <c r="G1350">
        <v>200</v>
      </c>
      <c r="H1350">
        <v>22</v>
      </c>
      <c r="I1350" s="52">
        <v>20</v>
      </c>
      <c r="J1350" s="52">
        <v>11</v>
      </c>
      <c r="K1350" s="52">
        <v>8</v>
      </c>
      <c r="L1350" s="52">
        <v>19</v>
      </c>
      <c r="M1350">
        <v>100</v>
      </c>
    </row>
    <row r="1351" spans="1:13" hidden="1" x14ac:dyDescent="0.25">
      <c r="A1351" t="s">
        <v>344</v>
      </c>
      <c r="B1351" s="52" t="s">
        <v>267</v>
      </c>
      <c r="C1351" s="52" t="s">
        <v>291</v>
      </c>
      <c r="D1351" s="52" t="s">
        <v>294</v>
      </c>
      <c r="E1351" s="52">
        <v>1</v>
      </c>
      <c r="F1351">
        <v>8</v>
      </c>
      <c r="G1351">
        <v>240</v>
      </c>
      <c r="H1351">
        <v>22</v>
      </c>
      <c r="I1351" s="52">
        <v>20</v>
      </c>
      <c r="J1351" s="52">
        <v>11</v>
      </c>
      <c r="K1351" s="52">
        <v>8</v>
      </c>
      <c r="L1351" s="52">
        <v>19</v>
      </c>
      <c r="M1351">
        <v>100</v>
      </c>
    </row>
    <row r="1352" spans="1:13" hidden="1" x14ac:dyDescent="0.25">
      <c r="A1352" t="s">
        <v>344</v>
      </c>
      <c r="B1352" s="52" t="s">
        <v>267</v>
      </c>
      <c r="C1352" s="52" t="s">
        <v>291</v>
      </c>
      <c r="D1352" s="52" t="s">
        <v>294</v>
      </c>
      <c r="E1352" s="52">
        <v>1</v>
      </c>
      <c r="F1352">
        <v>8</v>
      </c>
      <c r="G1352">
        <v>280</v>
      </c>
      <c r="H1352">
        <v>22</v>
      </c>
      <c r="I1352" s="52">
        <v>20</v>
      </c>
      <c r="J1352" s="52">
        <v>11</v>
      </c>
      <c r="K1352" s="52">
        <v>8</v>
      </c>
      <c r="L1352" s="52">
        <v>19</v>
      </c>
      <c r="M1352">
        <v>100</v>
      </c>
    </row>
    <row r="1353" spans="1:13" hidden="1" x14ac:dyDescent="0.25">
      <c r="A1353" t="s">
        <v>344</v>
      </c>
      <c r="B1353" s="52" t="s">
        <v>267</v>
      </c>
      <c r="C1353" s="52" t="s">
        <v>291</v>
      </c>
      <c r="D1353" s="52" t="s">
        <v>294</v>
      </c>
      <c r="E1353" s="52">
        <v>1</v>
      </c>
      <c r="F1353">
        <v>8</v>
      </c>
      <c r="G1353">
        <v>320</v>
      </c>
      <c r="H1353">
        <v>22</v>
      </c>
      <c r="I1353" s="52">
        <v>20</v>
      </c>
      <c r="J1353" s="52">
        <v>11</v>
      </c>
      <c r="K1353" s="52">
        <v>8</v>
      </c>
      <c r="L1353" s="52">
        <v>19</v>
      </c>
      <c r="M1353">
        <v>100</v>
      </c>
    </row>
    <row r="1354" spans="1:13" hidden="1" x14ac:dyDescent="0.25">
      <c r="A1354" t="s">
        <v>344</v>
      </c>
      <c r="B1354" s="52" t="s">
        <v>267</v>
      </c>
      <c r="C1354" s="52" t="s">
        <v>291</v>
      </c>
      <c r="D1354" s="52" t="s">
        <v>294</v>
      </c>
      <c r="E1354" s="52">
        <v>1</v>
      </c>
      <c r="F1354">
        <v>10</v>
      </c>
      <c r="G1354">
        <v>80</v>
      </c>
      <c r="H1354">
        <v>25</v>
      </c>
      <c r="I1354" s="52">
        <v>36</v>
      </c>
      <c r="J1354" s="52">
        <v>10</v>
      </c>
      <c r="K1354" s="52">
        <v>8</v>
      </c>
      <c r="L1354" s="52">
        <v>25</v>
      </c>
      <c r="M1354">
        <v>40</v>
      </c>
    </row>
    <row r="1355" spans="1:13" hidden="1" x14ac:dyDescent="0.25">
      <c r="A1355" t="s">
        <v>344</v>
      </c>
      <c r="B1355" s="52" t="s">
        <v>267</v>
      </c>
      <c r="C1355" s="52" t="s">
        <v>291</v>
      </c>
      <c r="D1355" s="52" t="s">
        <v>294</v>
      </c>
      <c r="E1355" s="52">
        <v>1</v>
      </c>
      <c r="F1355">
        <v>10</v>
      </c>
      <c r="G1355">
        <v>100</v>
      </c>
      <c r="H1355">
        <v>25</v>
      </c>
      <c r="I1355" s="52">
        <v>36</v>
      </c>
      <c r="J1355" s="52">
        <v>10</v>
      </c>
      <c r="K1355" s="52">
        <v>8</v>
      </c>
      <c r="L1355" s="52">
        <v>25</v>
      </c>
      <c r="M1355">
        <v>60</v>
      </c>
    </row>
    <row r="1356" spans="1:13" hidden="1" x14ac:dyDescent="0.25">
      <c r="A1356" t="s">
        <v>344</v>
      </c>
      <c r="B1356" s="52" t="s">
        <v>267</v>
      </c>
      <c r="C1356" s="52" t="s">
        <v>291</v>
      </c>
      <c r="D1356" s="52" t="s">
        <v>294</v>
      </c>
      <c r="E1356" s="52">
        <v>1</v>
      </c>
      <c r="F1356">
        <v>10</v>
      </c>
      <c r="G1356">
        <v>120</v>
      </c>
      <c r="H1356">
        <v>25</v>
      </c>
      <c r="I1356" s="52">
        <v>36</v>
      </c>
      <c r="J1356" s="52">
        <v>10</v>
      </c>
      <c r="K1356" s="52">
        <v>8</v>
      </c>
      <c r="L1356" s="52">
        <v>25</v>
      </c>
      <c r="M1356">
        <v>80</v>
      </c>
    </row>
    <row r="1357" spans="1:13" hidden="1" x14ac:dyDescent="0.25">
      <c r="A1357" t="s">
        <v>344</v>
      </c>
      <c r="B1357" s="52" t="s">
        <v>267</v>
      </c>
      <c r="C1357" s="52" t="s">
        <v>291</v>
      </c>
      <c r="D1357" s="52" t="s">
        <v>294</v>
      </c>
      <c r="E1357" s="52">
        <v>1</v>
      </c>
      <c r="F1357">
        <v>10</v>
      </c>
      <c r="G1357">
        <v>140</v>
      </c>
      <c r="H1357">
        <v>25</v>
      </c>
      <c r="I1357" s="52">
        <v>36</v>
      </c>
      <c r="J1357" s="52">
        <v>10</v>
      </c>
      <c r="K1357" s="52">
        <v>8</v>
      </c>
      <c r="L1357" s="52">
        <v>25</v>
      </c>
      <c r="M1357">
        <v>80</v>
      </c>
    </row>
    <row r="1358" spans="1:13" hidden="1" x14ac:dyDescent="0.25">
      <c r="A1358" t="s">
        <v>344</v>
      </c>
      <c r="B1358" s="52" t="s">
        <v>267</v>
      </c>
      <c r="C1358" s="52" t="s">
        <v>291</v>
      </c>
      <c r="D1358" s="52" t="s">
        <v>294</v>
      </c>
      <c r="E1358" s="52">
        <v>1</v>
      </c>
      <c r="F1358">
        <v>10</v>
      </c>
      <c r="G1358">
        <v>160</v>
      </c>
      <c r="H1358">
        <v>25</v>
      </c>
      <c r="I1358" s="52">
        <v>36</v>
      </c>
      <c r="J1358" s="52">
        <v>10</v>
      </c>
      <c r="K1358" s="52">
        <v>8</v>
      </c>
      <c r="L1358" s="52">
        <v>25</v>
      </c>
      <c r="M1358">
        <v>80</v>
      </c>
    </row>
    <row r="1359" spans="1:13" hidden="1" x14ac:dyDescent="0.25">
      <c r="A1359" t="s">
        <v>344</v>
      </c>
      <c r="B1359" s="52" t="s">
        <v>267</v>
      </c>
      <c r="C1359" s="52" t="s">
        <v>291</v>
      </c>
      <c r="D1359" s="52" t="s">
        <v>294</v>
      </c>
      <c r="E1359" s="52">
        <v>1</v>
      </c>
      <c r="F1359">
        <v>10</v>
      </c>
      <c r="G1359">
        <v>180</v>
      </c>
      <c r="H1359">
        <v>25</v>
      </c>
      <c r="I1359" s="52">
        <v>36</v>
      </c>
      <c r="J1359" s="52">
        <v>10</v>
      </c>
      <c r="K1359" s="52">
        <v>8</v>
      </c>
      <c r="L1359" s="52">
        <v>25</v>
      </c>
      <c r="M1359">
        <v>80</v>
      </c>
    </row>
    <row r="1360" spans="1:13" hidden="1" x14ac:dyDescent="0.25">
      <c r="A1360" t="s">
        <v>344</v>
      </c>
      <c r="B1360" s="52" t="s">
        <v>267</v>
      </c>
      <c r="C1360" s="52" t="s">
        <v>291</v>
      </c>
      <c r="D1360" s="52" t="s">
        <v>294</v>
      </c>
      <c r="E1360" s="52">
        <v>1</v>
      </c>
      <c r="F1360">
        <v>10</v>
      </c>
      <c r="G1360">
        <v>200</v>
      </c>
      <c r="H1360">
        <v>25</v>
      </c>
      <c r="I1360" s="52">
        <v>36</v>
      </c>
      <c r="J1360" s="52">
        <v>10</v>
      </c>
      <c r="K1360" s="52">
        <v>8</v>
      </c>
      <c r="L1360" s="52">
        <v>25</v>
      </c>
      <c r="M1360">
        <v>100</v>
      </c>
    </row>
    <row r="1361" spans="1:13" hidden="1" x14ac:dyDescent="0.25">
      <c r="A1361" t="s">
        <v>344</v>
      </c>
      <c r="B1361" s="52" t="s">
        <v>267</v>
      </c>
      <c r="C1361" s="52" t="s">
        <v>291</v>
      </c>
      <c r="D1361" s="52" t="s">
        <v>294</v>
      </c>
      <c r="E1361" s="52">
        <v>1</v>
      </c>
      <c r="F1361">
        <v>10</v>
      </c>
      <c r="G1361">
        <v>240</v>
      </c>
      <c r="H1361">
        <v>25</v>
      </c>
      <c r="I1361" s="52">
        <v>36</v>
      </c>
      <c r="J1361" s="52">
        <v>10</v>
      </c>
      <c r="K1361" s="52">
        <v>8</v>
      </c>
      <c r="L1361" s="52">
        <v>25</v>
      </c>
      <c r="M1361">
        <v>100</v>
      </c>
    </row>
    <row r="1362" spans="1:13" hidden="1" x14ac:dyDescent="0.25">
      <c r="A1362" t="s">
        <v>344</v>
      </c>
      <c r="B1362" s="52" t="s">
        <v>267</v>
      </c>
      <c r="C1362" s="52" t="s">
        <v>295</v>
      </c>
      <c r="D1362" s="52" t="s">
        <v>293</v>
      </c>
      <c r="E1362" s="52">
        <v>3</v>
      </c>
      <c r="F1362">
        <v>6</v>
      </c>
      <c r="G1362">
        <v>40</v>
      </c>
      <c r="H1362">
        <v>15.3</v>
      </c>
      <c r="I1362" s="52">
        <v>9.5</v>
      </c>
      <c r="J1362" s="52">
        <v>11</v>
      </c>
      <c r="K1362" s="52">
        <v>8</v>
      </c>
      <c r="L1362" s="52">
        <v>9.5</v>
      </c>
      <c r="M1362">
        <v>35</v>
      </c>
    </row>
    <row r="1363" spans="1:13" hidden="1" x14ac:dyDescent="0.25">
      <c r="A1363" t="s">
        <v>344</v>
      </c>
      <c r="B1363" s="52" t="s">
        <v>267</v>
      </c>
      <c r="C1363" s="52" t="s">
        <v>295</v>
      </c>
      <c r="D1363" s="52" t="s">
        <v>293</v>
      </c>
      <c r="E1363" s="52">
        <v>3</v>
      </c>
      <c r="F1363">
        <v>6</v>
      </c>
      <c r="G1363">
        <v>50</v>
      </c>
      <c r="H1363">
        <v>15.3</v>
      </c>
      <c r="I1363" s="52">
        <v>9.5</v>
      </c>
      <c r="J1363" s="52">
        <v>11</v>
      </c>
      <c r="K1363" s="52">
        <v>8</v>
      </c>
      <c r="L1363" s="52">
        <v>9.5</v>
      </c>
      <c r="M1363">
        <v>40</v>
      </c>
    </row>
    <row r="1364" spans="1:13" hidden="1" x14ac:dyDescent="0.25">
      <c r="A1364" t="s">
        <v>344</v>
      </c>
      <c r="B1364" s="52" t="s">
        <v>267</v>
      </c>
      <c r="C1364" s="52" t="s">
        <v>295</v>
      </c>
      <c r="D1364" s="52" t="s">
        <v>293</v>
      </c>
      <c r="E1364" s="52">
        <v>3</v>
      </c>
      <c r="F1364">
        <v>6</v>
      </c>
      <c r="G1364">
        <v>60</v>
      </c>
      <c r="H1364">
        <v>15.3</v>
      </c>
      <c r="I1364" s="52">
        <v>9.5</v>
      </c>
      <c r="J1364" s="52">
        <v>11</v>
      </c>
      <c r="K1364" s="52">
        <v>8</v>
      </c>
      <c r="L1364" s="52">
        <v>9.5</v>
      </c>
      <c r="M1364">
        <v>40</v>
      </c>
    </row>
    <row r="1365" spans="1:13" hidden="1" x14ac:dyDescent="0.25">
      <c r="A1365" t="s">
        <v>344</v>
      </c>
      <c r="B1365" s="52" t="s">
        <v>267</v>
      </c>
      <c r="C1365" s="52" t="s">
        <v>295</v>
      </c>
      <c r="D1365" s="52" t="s">
        <v>293</v>
      </c>
      <c r="E1365" s="52">
        <v>3</v>
      </c>
      <c r="F1365">
        <v>6</v>
      </c>
      <c r="G1365">
        <v>70</v>
      </c>
      <c r="H1365">
        <v>15.3</v>
      </c>
      <c r="I1365" s="52">
        <v>9.5</v>
      </c>
      <c r="J1365" s="52">
        <v>11</v>
      </c>
      <c r="K1365" s="52">
        <v>8</v>
      </c>
      <c r="L1365" s="52">
        <v>9.5</v>
      </c>
      <c r="M1365">
        <v>40</v>
      </c>
    </row>
    <row r="1366" spans="1:13" hidden="1" x14ac:dyDescent="0.25">
      <c r="A1366" t="s">
        <v>344</v>
      </c>
      <c r="B1366" s="52" t="s">
        <v>267</v>
      </c>
      <c r="C1366" s="52" t="s">
        <v>295</v>
      </c>
      <c r="D1366" s="52" t="s">
        <v>293</v>
      </c>
      <c r="E1366" s="52">
        <v>3</v>
      </c>
      <c r="F1366">
        <v>6</v>
      </c>
      <c r="G1366">
        <v>80</v>
      </c>
      <c r="H1366">
        <v>15.3</v>
      </c>
      <c r="I1366" s="52">
        <v>9.5</v>
      </c>
      <c r="J1366" s="52">
        <v>11</v>
      </c>
      <c r="K1366" s="52">
        <v>8</v>
      </c>
      <c r="L1366" s="52">
        <v>9.5</v>
      </c>
      <c r="M1366">
        <v>40</v>
      </c>
    </row>
    <row r="1367" spans="1:13" hidden="1" x14ac:dyDescent="0.25">
      <c r="A1367" t="s">
        <v>344</v>
      </c>
      <c r="B1367" s="52" t="s">
        <v>267</v>
      </c>
      <c r="C1367" s="52" t="s">
        <v>295</v>
      </c>
      <c r="D1367" s="52" t="s">
        <v>293</v>
      </c>
      <c r="E1367" s="52">
        <v>3</v>
      </c>
      <c r="F1367">
        <v>6</v>
      </c>
      <c r="G1367">
        <v>90</v>
      </c>
      <c r="H1367">
        <v>15.3</v>
      </c>
      <c r="I1367" s="52">
        <v>9.5</v>
      </c>
      <c r="J1367" s="52">
        <v>11</v>
      </c>
      <c r="K1367" s="52">
        <v>8</v>
      </c>
      <c r="L1367" s="52">
        <v>9.5</v>
      </c>
      <c r="M1367">
        <v>50</v>
      </c>
    </row>
    <row r="1368" spans="1:13" hidden="1" x14ac:dyDescent="0.25">
      <c r="A1368" t="s">
        <v>344</v>
      </c>
      <c r="B1368" s="52" t="s">
        <v>267</v>
      </c>
      <c r="C1368" s="52" t="s">
        <v>295</v>
      </c>
      <c r="D1368" s="52" t="s">
        <v>293</v>
      </c>
      <c r="E1368" s="52">
        <v>3</v>
      </c>
      <c r="F1368">
        <v>6</v>
      </c>
      <c r="G1368">
        <v>100</v>
      </c>
      <c r="H1368">
        <v>15.3</v>
      </c>
      <c r="I1368" s="52">
        <v>9.5</v>
      </c>
      <c r="J1368" s="52">
        <v>11</v>
      </c>
      <c r="K1368" s="52">
        <v>8</v>
      </c>
      <c r="L1368" s="52">
        <v>9.5</v>
      </c>
      <c r="M1368">
        <v>50</v>
      </c>
    </row>
    <row r="1369" spans="1:13" hidden="1" x14ac:dyDescent="0.25">
      <c r="A1369" t="s">
        <v>344</v>
      </c>
      <c r="B1369" s="52" t="s">
        <v>267</v>
      </c>
      <c r="C1369" s="52" t="s">
        <v>295</v>
      </c>
      <c r="D1369" s="52" t="s">
        <v>293</v>
      </c>
      <c r="E1369" s="52">
        <v>3</v>
      </c>
      <c r="F1369">
        <v>6</v>
      </c>
      <c r="G1369">
        <v>120</v>
      </c>
      <c r="H1369">
        <v>15.3</v>
      </c>
      <c r="I1369" s="52">
        <v>9.5</v>
      </c>
      <c r="J1369" s="52">
        <v>11</v>
      </c>
      <c r="K1369" s="52">
        <v>8</v>
      </c>
      <c r="L1369" s="52">
        <v>9.5</v>
      </c>
      <c r="M1369">
        <v>75</v>
      </c>
    </row>
    <row r="1370" spans="1:13" hidden="1" x14ac:dyDescent="0.25">
      <c r="A1370" t="s">
        <v>344</v>
      </c>
      <c r="B1370" s="52" t="s">
        <v>267</v>
      </c>
      <c r="C1370" s="52" t="s">
        <v>295</v>
      </c>
      <c r="D1370" s="52" t="s">
        <v>293</v>
      </c>
      <c r="E1370" s="52">
        <v>3</v>
      </c>
      <c r="F1370">
        <v>6</v>
      </c>
      <c r="G1370">
        <v>140</v>
      </c>
      <c r="H1370">
        <v>15.3</v>
      </c>
      <c r="I1370" s="52">
        <v>9.5</v>
      </c>
      <c r="J1370" s="52">
        <v>11</v>
      </c>
      <c r="K1370" s="52">
        <v>8</v>
      </c>
      <c r="L1370" s="52">
        <v>9.5</v>
      </c>
      <c r="M1370">
        <v>75</v>
      </c>
    </row>
    <row r="1371" spans="1:13" hidden="1" x14ac:dyDescent="0.25">
      <c r="A1371" t="s">
        <v>344</v>
      </c>
      <c r="B1371" s="52" t="s">
        <v>267</v>
      </c>
      <c r="C1371" s="52" t="s">
        <v>295</v>
      </c>
      <c r="D1371" s="52" t="s">
        <v>293</v>
      </c>
      <c r="E1371" s="52">
        <v>3</v>
      </c>
      <c r="F1371">
        <v>6</v>
      </c>
      <c r="G1371">
        <v>180</v>
      </c>
      <c r="H1371">
        <v>15.3</v>
      </c>
      <c r="I1371" s="52">
        <v>9.5</v>
      </c>
      <c r="J1371" s="52">
        <v>11</v>
      </c>
      <c r="K1371" s="52">
        <v>8</v>
      </c>
      <c r="L1371" s="52">
        <v>9.5</v>
      </c>
      <c r="M1371">
        <v>75</v>
      </c>
    </row>
    <row r="1372" spans="1:13" hidden="1" x14ac:dyDescent="0.25">
      <c r="A1372" t="s">
        <v>344</v>
      </c>
      <c r="B1372" s="52" t="s">
        <v>267</v>
      </c>
      <c r="C1372" s="52" t="s">
        <v>295</v>
      </c>
      <c r="D1372" s="52" t="s">
        <v>293</v>
      </c>
      <c r="E1372" s="52">
        <v>3</v>
      </c>
      <c r="F1372">
        <v>6</v>
      </c>
      <c r="G1372">
        <v>200</v>
      </c>
      <c r="H1372">
        <v>15.3</v>
      </c>
      <c r="I1372" s="52">
        <v>9.5</v>
      </c>
      <c r="J1372" s="52">
        <v>11</v>
      </c>
      <c r="K1372" s="52">
        <v>8</v>
      </c>
      <c r="L1372" s="52">
        <v>9.5</v>
      </c>
      <c r="M1372">
        <v>75</v>
      </c>
    </row>
    <row r="1373" spans="1:13" hidden="1" x14ac:dyDescent="0.25">
      <c r="A1373" t="s">
        <v>344</v>
      </c>
      <c r="B1373" s="52" t="s">
        <v>267</v>
      </c>
      <c r="C1373" s="52" t="s">
        <v>295</v>
      </c>
      <c r="D1373" s="52" t="s">
        <v>293</v>
      </c>
      <c r="E1373" s="52">
        <v>3</v>
      </c>
      <c r="F1373">
        <v>6</v>
      </c>
      <c r="G1373">
        <v>220</v>
      </c>
      <c r="H1373">
        <v>15.3</v>
      </c>
      <c r="I1373" s="52">
        <v>9.5</v>
      </c>
      <c r="J1373" s="52">
        <v>11</v>
      </c>
      <c r="K1373" s="52">
        <v>8</v>
      </c>
      <c r="L1373" s="52">
        <v>9.5</v>
      </c>
      <c r="M1373">
        <v>75</v>
      </c>
    </row>
    <row r="1374" spans="1:13" hidden="1" x14ac:dyDescent="0.25">
      <c r="A1374" t="s">
        <v>344</v>
      </c>
      <c r="B1374" s="52" t="s">
        <v>267</v>
      </c>
      <c r="C1374" s="52" t="s">
        <v>295</v>
      </c>
      <c r="D1374" s="52" t="s">
        <v>293</v>
      </c>
      <c r="E1374" s="52">
        <v>3</v>
      </c>
      <c r="F1374">
        <v>8</v>
      </c>
      <c r="G1374">
        <v>40</v>
      </c>
      <c r="H1374">
        <v>22</v>
      </c>
      <c r="I1374" s="52">
        <v>20</v>
      </c>
      <c r="J1374" s="52">
        <v>11</v>
      </c>
      <c r="K1374" s="52">
        <v>8</v>
      </c>
      <c r="L1374" s="52">
        <v>19</v>
      </c>
      <c r="M1374">
        <v>35</v>
      </c>
    </row>
    <row r="1375" spans="1:13" hidden="1" x14ac:dyDescent="0.25">
      <c r="A1375" t="s">
        <v>344</v>
      </c>
      <c r="B1375" s="52" t="s">
        <v>267</v>
      </c>
      <c r="C1375" s="52" t="s">
        <v>295</v>
      </c>
      <c r="D1375" s="52" t="s">
        <v>293</v>
      </c>
      <c r="E1375" s="52">
        <v>3</v>
      </c>
      <c r="F1375">
        <v>8</v>
      </c>
      <c r="G1375">
        <v>50</v>
      </c>
      <c r="H1375">
        <v>22</v>
      </c>
      <c r="I1375" s="52">
        <v>20</v>
      </c>
      <c r="J1375" s="52">
        <v>11</v>
      </c>
      <c r="K1375" s="52">
        <v>8</v>
      </c>
      <c r="L1375" s="52">
        <v>19</v>
      </c>
      <c r="M1375">
        <v>40</v>
      </c>
    </row>
    <row r="1376" spans="1:13" hidden="1" x14ac:dyDescent="0.25">
      <c r="A1376" t="s">
        <v>344</v>
      </c>
      <c r="B1376" s="52" t="s">
        <v>267</v>
      </c>
      <c r="C1376" s="52" t="s">
        <v>295</v>
      </c>
      <c r="D1376" s="52" t="s">
        <v>293</v>
      </c>
      <c r="E1376" s="52">
        <v>3</v>
      </c>
      <c r="F1376">
        <v>8</v>
      </c>
      <c r="G1376">
        <v>60</v>
      </c>
      <c r="H1376">
        <v>22</v>
      </c>
      <c r="I1376" s="52">
        <v>20</v>
      </c>
      <c r="J1376" s="52">
        <v>11</v>
      </c>
      <c r="K1376" s="52">
        <v>8</v>
      </c>
      <c r="L1376" s="52">
        <v>19</v>
      </c>
      <c r="M1376">
        <v>40</v>
      </c>
    </row>
    <row r="1377" spans="1:13" hidden="1" x14ac:dyDescent="0.25">
      <c r="A1377" t="s">
        <v>344</v>
      </c>
      <c r="B1377" s="52" t="s">
        <v>267</v>
      </c>
      <c r="C1377" s="52" t="s">
        <v>295</v>
      </c>
      <c r="D1377" s="52" t="s">
        <v>293</v>
      </c>
      <c r="E1377" s="52">
        <v>3</v>
      </c>
      <c r="F1377">
        <v>8</v>
      </c>
      <c r="G1377">
        <v>70</v>
      </c>
      <c r="H1377">
        <v>22</v>
      </c>
      <c r="I1377" s="52">
        <v>20</v>
      </c>
      <c r="J1377" s="52">
        <v>11</v>
      </c>
      <c r="K1377" s="52">
        <v>8</v>
      </c>
      <c r="L1377" s="52">
        <v>19</v>
      </c>
      <c r="M1377">
        <v>40</v>
      </c>
    </row>
    <row r="1378" spans="1:13" hidden="1" x14ac:dyDescent="0.25">
      <c r="A1378" t="s">
        <v>344</v>
      </c>
      <c r="B1378" s="52" t="s">
        <v>267</v>
      </c>
      <c r="C1378" s="52" t="s">
        <v>295</v>
      </c>
      <c r="D1378" s="52" t="s">
        <v>293</v>
      </c>
      <c r="E1378" s="52">
        <v>3</v>
      </c>
      <c r="F1378">
        <v>8</v>
      </c>
      <c r="G1378">
        <v>80</v>
      </c>
      <c r="H1378">
        <v>22</v>
      </c>
      <c r="I1378" s="52">
        <v>20</v>
      </c>
      <c r="J1378" s="52">
        <v>11</v>
      </c>
      <c r="K1378" s="52">
        <v>8</v>
      </c>
      <c r="L1378" s="52">
        <v>19</v>
      </c>
      <c r="M1378">
        <v>40</v>
      </c>
    </row>
    <row r="1379" spans="1:13" hidden="1" x14ac:dyDescent="0.25">
      <c r="A1379" t="s">
        <v>344</v>
      </c>
      <c r="B1379" s="52" t="s">
        <v>267</v>
      </c>
      <c r="C1379" s="52" t="s">
        <v>295</v>
      </c>
      <c r="D1379" s="52" t="s">
        <v>293</v>
      </c>
      <c r="E1379" s="52">
        <v>3</v>
      </c>
      <c r="F1379">
        <v>8</v>
      </c>
      <c r="G1379">
        <v>90</v>
      </c>
      <c r="H1379">
        <v>22</v>
      </c>
      <c r="I1379" s="52">
        <v>20</v>
      </c>
      <c r="J1379" s="52">
        <v>11</v>
      </c>
      <c r="K1379" s="52">
        <v>8</v>
      </c>
      <c r="L1379" s="52">
        <v>19</v>
      </c>
      <c r="M1379">
        <v>50</v>
      </c>
    </row>
    <row r="1380" spans="1:13" hidden="1" x14ac:dyDescent="0.25">
      <c r="A1380" t="s">
        <v>344</v>
      </c>
      <c r="B1380" s="52" t="s">
        <v>267</v>
      </c>
      <c r="C1380" s="52" t="s">
        <v>295</v>
      </c>
      <c r="D1380" s="52" t="s">
        <v>293</v>
      </c>
      <c r="E1380" s="52">
        <v>3</v>
      </c>
      <c r="F1380">
        <v>8</v>
      </c>
      <c r="G1380">
        <v>100</v>
      </c>
      <c r="H1380">
        <v>22</v>
      </c>
      <c r="I1380" s="52">
        <v>20</v>
      </c>
      <c r="J1380" s="52">
        <v>11</v>
      </c>
      <c r="K1380" s="52">
        <v>8</v>
      </c>
      <c r="L1380" s="52">
        <v>19</v>
      </c>
      <c r="M1380">
        <v>60</v>
      </c>
    </row>
    <row r="1381" spans="1:13" hidden="1" x14ac:dyDescent="0.25">
      <c r="A1381" t="s">
        <v>344</v>
      </c>
      <c r="B1381" s="52" t="s">
        <v>267</v>
      </c>
      <c r="C1381" s="52" t="s">
        <v>295</v>
      </c>
      <c r="D1381" s="52" t="s">
        <v>293</v>
      </c>
      <c r="E1381" s="52">
        <v>3</v>
      </c>
      <c r="F1381">
        <v>8</v>
      </c>
      <c r="G1381">
        <v>120</v>
      </c>
      <c r="H1381">
        <v>22</v>
      </c>
      <c r="I1381" s="52">
        <v>20</v>
      </c>
      <c r="J1381" s="52">
        <v>11</v>
      </c>
      <c r="K1381" s="52">
        <v>8</v>
      </c>
      <c r="L1381" s="52">
        <v>19</v>
      </c>
      <c r="M1381">
        <v>80</v>
      </c>
    </row>
    <row r="1382" spans="1:13" hidden="1" x14ac:dyDescent="0.25">
      <c r="A1382" t="s">
        <v>344</v>
      </c>
      <c r="B1382" s="52" t="s">
        <v>267</v>
      </c>
      <c r="C1382" s="52" t="s">
        <v>295</v>
      </c>
      <c r="D1382" s="52" t="s">
        <v>293</v>
      </c>
      <c r="E1382" s="52">
        <v>3</v>
      </c>
      <c r="F1382">
        <v>8</v>
      </c>
      <c r="G1382">
        <v>140</v>
      </c>
      <c r="H1382">
        <v>22</v>
      </c>
      <c r="I1382" s="52">
        <v>20</v>
      </c>
      <c r="J1382" s="52">
        <v>11</v>
      </c>
      <c r="K1382" s="52">
        <v>8</v>
      </c>
      <c r="L1382" s="52">
        <v>19</v>
      </c>
      <c r="M1382">
        <v>80</v>
      </c>
    </row>
    <row r="1383" spans="1:13" hidden="1" x14ac:dyDescent="0.25">
      <c r="A1383" t="s">
        <v>344</v>
      </c>
      <c r="B1383" s="52" t="s">
        <v>267</v>
      </c>
      <c r="C1383" s="52" t="s">
        <v>295</v>
      </c>
      <c r="D1383" s="52" t="s">
        <v>293</v>
      </c>
      <c r="E1383" s="52">
        <v>3</v>
      </c>
      <c r="F1383">
        <v>8</v>
      </c>
      <c r="G1383">
        <v>180</v>
      </c>
      <c r="H1383">
        <v>22</v>
      </c>
      <c r="I1383" s="52">
        <v>20</v>
      </c>
      <c r="J1383" s="52">
        <v>11</v>
      </c>
      <c r="K1383" s="52">
        <v>8</v>
      </c>
      <c r="L1383" s="52">
        <v>19</v>
      </c>
      <c r="M1383">
        <v>80</v>
      </c>
    </row>
    <row r="1384" spans="1:13" hidden="1" x14ac:dyDescent="0.25">
      <c r="A1384" t="s">
        <v>344</v>
      </c>
      <c r="B1384" s="52" t="s">
        <v>267</v>
      </c>
      <c r="C1384" s="52" t="s">
        <v>295</v>
      </c>
      <c r="D1384" s="52" t="s">
        <v>293</v>
      </c>
      <c r="E1384" s="52">
        <v>3</v>
      </c>
      <c r="F1384">
        <v>8</v>
      </c>
      <c r="G1384">
        <v>200</v>
      </c>
      <c r="H1384">
        <v>22</v>
      </c>
      <c r="I1384" s="52">
        <v>20</v>
      </c>
      <c r="J1384" s="52">
        <v>11</v>
      </c>
      <c r="K1384" s="52">
        <v>8</v>
      </c>
      <c r="L1384" s="52">
        <v>19</v>
      </c>
      <c r="M1384">
        <v>100</v>
      </c>
    </row>
    <row r="1385" spans="1:13" hidden="1" x14ac:dyDescent="0.25">
      <c r="A1385" t="s">
        <v>344</v>
      </c>
      <c r="B1385" s="52" t="s">
        <v>267</v>
      </c>
      <c r="C1385" s="52" t="s">
        <v>295</v>
      </c>
      <c r="D1385" s="52" t="s">
        <v>293</v>
      </c>
      <c r="E1385" s="52">
        <v>3</v>
      </c>
      <c r="F1385">
        <v>8</v>
      </c>
      <c r="G1385">
        <v>220</v>
      </c>
      <c r="H1385">
        <v>22</v>
      </c>
      <c r="I1385" s="52">
        <v>20</v>
      </c>
      <c r="J1385" s="52">
        <v>11</v>
      </c>
      <c r="K1385" s="52">
        <v>8</v>
      </c>
      <c r="L1385" s="52">
        <v>19</v>
      </c>
      <c r="M1385">
        <v>100</v>
      </c>
    </row>
    <row r="1386" spans="1:13" hidden="1" x14ac:dyDescent="0.25">
      <c r="A1386" t="s">
        <v>344</v>
      </c>
      <c r="B1386" s="52" t="s">
        <v>267</v>
      </c>
      <c r="C1386" s="52" t="s">
        <v>295</v>
      </c>
      <c r="D1386" s="52" t="s">
        <v>293</v>
      </c>
      <c r="E1386" s="52">
        <v>3</v>
      </c>
      <c r="F1386">
        <v>8</v>
      </c>
      <c r="G1386">
        <v>240</v>
      </c>
      <c r="H1386">
        <v>22</v>
      </c>
      <c r="I1386" s="52">
        <v>20</v>
      </c>
      <c r="J1386" s="52">
        <v>11</v>
      </c>
      <c r="K1386" s="52">
        <v>8</v>
      </c>
      <c r="L1386" s="52">
        <v>19</v>
      </c>
      <c r="M1386">
        <v>100</v>
      </c>
    </row>
    <row r="1387" spans="1:13" hidden="1" x14ac:dyDescent="0.25">
      <c r="A1387" t="s">
        <v>344</v>
      </c>
      <c r="B1387" s="52" t="s">
        <v>267</v>
      </c>
      <c r="C1387" s="52" t="s">
        <v>295</v>
      </c>
      <c r="D1387" s="52" t="s">
        <v>293</v>
      </c>
      <c r="E1387" s="52">
        <v>3</v>
      </c>
      <c r="F1387">
        <v>8</v>
      </c>
      <c r="G1387">
        <v>280</v>
      </c>
      <c r="H1387">
        <v>22</v>
      </c>
      <c r="I1387" s="52">
        <v>20</v>
      </c>
      <c r="J1387" s="52">
        <v>11</v>
      </c>
      <c r="K1387" s="52">
        <v>8</v>
      </c>
      <c r="L1387" s="52">
        <v>19</v>
      </c>
      <c r="M1387">
        <v>100</v>
      </c>
    </row>
    <row r="1388" spans="1:13" hidden="1" x14ac:dyDescent="0.25">
      <c r="A1388" t="s">
        <v>344</v>
      </c>
      <c r="B1388" s="52" t="s">
        <v>267</v>
      </c>
      <c r="C1388" s="52" t="s">
        <v>295</v>
      </c>
      <c r="D1388" s="52" t="s">
        <v>293</v>
      </c>
      <c r="E1388" s="52">
        <v>3</v>
      </c>
      <c r="F1388">
        <v>8</v>
      </c>
      <c r="G1388">
        <v>300</v>
      </c>
      <c r="H1388">
        <v>22</v>
      </c>
      <c r="I1388" s="52">
        <v>20</v>
      </c>
      <c r="J1388" s="52">
        <v>11</v>
      </c>
      <c r="K1388" s="52">
        <v>8</v>
      </c>
      <c r="L1388" s="52">
        <v>19</v>
      </c>
      <c r="M1388">
        <v>100</v>
      </c>
    </row>
    <row r="1389" spans="1:13" hidden="1" x14ac:dyDescent="0.25">
      <c r="A1389" t="s">
        <v>344</v>
      </c>
      <c r="B1389" s="52" t="s">
        <v>267</v>
      </c>
      <c r="C1389" s="52" t="s">
        <v>295</v>
      </c>
      <c r="D1389" s="52" t="s">
        <v>293</v>
      </c>
      <c r="E1389" s="52">
        <v>3</v>
      </c>
      <c r="F1389">
        <v>8</v>
      </c>
      <c r="G1389">
        <v>320</v>
      </c>
      <c r="H1389">
        <v>22</v>
      </c>
      <c r="I1389" s="52">
        <v>20</v>
      </c>
      <c r="J1389" s="52">
        <v>11</v>
      </c>
      <c r="K1389" s="52">
        <v>8</v>
      </c>
      <c r="L1389" s="52">
        <v>19</v>
      </c>
      <c r="M1389">
        <v>100</v>
      </c>
    </row>
    <row r="1390" spans="1:13" hidden="1" x14ac:dyDescent="0.25">
      <c r="A1390" t="s">
        <v>344</v>
      </c>
      <c r="B1390" s="52" t="s">
        <v>267</v>
      </c>
      <c r="C1390" s="52" t="s">
        <v>295</v>
      </c>
      <c r="D1390" s="52" t="s">
        <v>293</v>
      </c>
      <c r="E1390" s="52">
        <v>3</v>
      </c>
      <c r="F1390">
        <v>10</v>
      </c>
      <c r="G1390">
        <v>40</v>
      </c>
      <c r="H1390">
        <v>25</v>
      </c>
      <c r="I1390" s="52">
        <v>36</v>
      </c>
      <c r="J1390" s="52">
        <v>10</v>
      </c>
      <c r="K1390" s="52">
        <v>8</v>
      </c>
      <c r="L1390" s="52">
        <v>25</v>
      </c>
      <c r="M1390">
        <v>35</v>
      </c>
    </row>
    <row r="1391" spans="1:13" hidden="1" x14ac:dyDescent="0.25">
      <c r="A1391" t="s">
        <v>344</v>
      </c>
      <c r="B1391" s="52" t="s">
        <v>267</v>
      </c>
      <c r="C1391" s="52" t="s">
        <v>295</v>
      </c>
      <c r="D1391" s="52" t="s">
        <v>293</v>
      </c>
      <c r="E1391" s="52">
        <v>3</v>
      </c>
      <c r="F1391">
        <v>10</v>
      </c>
      <c r="G1391">
        <v>50</v>
      </c>
      <c r="H1391">
        <v>25</v>
      </c>
      <c r="I1391" s="52">
        <v>36</v>
      </c>
      <c r="J1391" s="52">
        <v>10</v>
      </c>
      <c r="K1391" s="52">
        <v>8</v>
      </c>
      <c r="L1391" s="52">
        <v>25</v>
      </c>
      <c r="M1391">
        <v>40</v>
      </c>
    </row>
    <row r="1392" spans="1:13" hidden="1" x14ac:dyDescent="0.25">
      <c r="A1392" t="s">
        <v>344</v>
      </c>
      <c r="B1392" s="52" t="s">
        <v>267</v>
      </c>
      <c r="C1392" s="52" t="s">
        <v>295</v>
      </c>
      <c r="D1392" s="52" t="s">
        <v>293</v>
      </c>
      <c r="E1392" s="52">
        <v>3</v>
      </c>
      <c r="F1392">
        <v>10</v>
      </c>
      <c r="G1392">
        <v>60</v>
      </c>
      <c r="H1392">
        <v>25</v>
      </c>
      <c r="I1392" s="52">
        <v>36</v>
      </c>
      <c r="J1392" s="52">
        <v>10</v>
      </c>
      <c r="K1392" s="52">
        <v>8</v>
      </c>
      <c r="L1392" s="52">
        <v>25</v>
      </c>
      <c r="M1392">
        <v>40</v>
      </c>
    </row>
    <row r="1393" spans="1:13" hidden="1" x14ac:dyDescent="0.25">
      <c r="A1393" t="s">
        <v>344</v>
      </c>
      <c r="B1393" s="52" t="s">
        <v>267</v>
      </c>
      <c r="C1393" s="52" t="s">
        <v>295</v>
      </c>
      <c r="D1393" s="52" t="s">
        <v>293</v>
      </c>
      <c r="E1393" s="52">
        <v>3</v>
      </c>
      <c r="F1393">
        <v>10</v>
      </c>
      <c r="G1393">
        <v>70</v>
      </c>
      <c r="H1393">
        <v>25</v>
      </c>
      <c r="I1393" s="52">
        <v>36</v>
      </c>
      <c r="J1393" s="52">
        <v>10</v>
      </c>
      <c r="K1393" s="52">
        <v>8</v>
      </c>
      <c r="L1393" s="52">
        <v>25</v>
      </c>
      <c r="M1393">
        <v>40</v>
      </c>
    </row>
    <row r="1394" spans="1:13" hidden="1" x14ac:dyDescent="0.25">
      <c r="A1394" t="s">
        <v>344</v>
      </c>
      <c r="B1394" s="52" t="s">
        <v>267</v>
      </c>
      <c r="C1394" s="52" t="s">
        <v>295</v>
      </c>
      <c r="D1394" s="52" t="s">
        <v>293</v>
      </c>
      <c r="E1394" s="52">
        <v>3</v>
      </c>
      <c r="F1394">
        <v>10</v>
      </c>
      <c r="G1394">
        <v>80</v>
      </c>
      <c r="H1394">
        <v>25</v>
      </c>
      <c r="I1394" s="52">
        <v>36</v>
      </c>
      <c r="J1394" s="52">
        <v>10</v>
      </c>
      <c r="K1394" s="52">
        <v>8</v>
      </c>
      <c r="L1394" s="52">
        <v>25</v>
      </c>
      <c r="M1394">
        <v>40</v>
      </c>
    </row>
    <row r="1395" spans="1:13" hidden="1" x14ac:dyDescent="0.25">
      <c r="A1395" t="s">
        <v>344</v>
      </c>
      <c r="B1395" s="52" t="s">
        <v>267</v>
      </c>
      <c r="C1395" s="52" t="s">
        <v>295</v>
      </c>
      <c r="D1395" s="52" t="s">
        <v>293</v>
      </c>
      <c r="E1395" s="52">
        <v>3</v>
      </c>
      <c r="F1395">
        <v>10</v>
      </c>
      <c r="G1395">
        <v>100</v>
      </c>
      <c r="H1395">
        <v>25</v>
      </c>
      <c r="I1395" s="52">
        <v>36</v>
      </c>
      <c r="J1395" s="52">
        <v>10</v>
      </c>
      <c r="K1395" s="52">
        <v>8</v>
      </c>
      <c r="L1395" s="52">
        <v>25</v>
      </c>
      <c r="M1395">
        <v>60</v>
      </c>
    </row>
    <row r="1396" spans="1:13" hidden="1" x14ac:dyDescent="0.25">
      <c r="A1396" t="s">
        <v>344</v>
      </c>
      <c r="B1396" s="52" t="s">
        <v>267</v>
      </c>
      <c r="C1396" s="52" t="s">
        <v>295</v>
      </c>
      <c r="D1396" s="52" t="s">
        <v>293</v>
      </c>
      <c r="E1396" s="52">
        <v>3</v>
      </c>
      <c r="F1396">
        <v>10</v>
      </c>
      <c r="G1396">
        <v>120</v>
      </c>
      <c r="H1396">
        <v>25</v>
      </c>
      <c r="I1396" s="52">
        <v>36</v>
      </c>
      <c r="J1396" s="52">
        <v>10</v>
      </c>
      <c r="K1396" s="52">
        <v>8</v>
      </c>
      <c r="L1396" s="52">
        <v>25</v>
      </c>
      <c r="M1396">
        <v>80</v>
      </c>
    </row>
    <row r="1397" spans="1:13" hidden="1" x14ac:dyDescent="0.25">
      <c r="A1397" t="s">
        <v>344</v>
      </c>
      <c r="B1397" s="52" t="s">
        <v>267</v>
      </c>
      <c r="C1397" s="52" t="s">
        <v>295</v>
      </c>
      <c r="D1397" s="52" t="s">
        <v>293</v>
      </c>
      <c r="E1397" s="52">
        <v>3</v>
      </c>
      <c r="F1397">
        <v>10</v>
      </c>
      <c r="G1397">
        <v>140</v>
      </c>
      <c r="H1397">
        <v>25</v>
      </c>
      <c r="I1397" s="52">
        <v>36</v>
      </c>
      <c r="J1397" s="52">
        <v>10</v>
      </c>
      <c r="K1397" s="52">
        <v>8</v>
      </c>
      <c r="L1397" s="52">
        <v>25</v>
      </c>
      <c r="M1397">
        <v>80</v>
      </c>
    </row>
    <row r="1398" spans="1:13" hidden="1" x14ac:dyDescent="0.25">
      <c r="A1398" t="s">
        <v>344</v>
      </c>
      <c r="B1398" s="52" t="s">
        <v>267</v>
      </c>
      <c r="C1398" s="52" t="s">
        <v>295</v>
      </c>
      <c r="D1398" s="52" t="s">
        <v>293</v>
      </c>
      <c r="E1398" s="52">
        <v>3</v>
      </c>
      <c r="F1398">
        <v>10</v>
      </c>
      <c r="G1398">
        <v>160</v>
      </c>
      <c r="H1398">
        <v>25</v>
      </c>
      <c r="I1398" s="52">
        <v>36</v>
      </c>
      <c r="J1398" s="52">
        <v>10</v>
      </c>
      <c r="K1398" s="52">
        <v>8</v>
      </c>
      <c r="L1398" s="52">
        <v>25</v>
      </c>
      <c r="M1398">
        <v>80</v>
      </c>
    </row>
    <row r="1399" spans="1:13" hidden="1" x14ac:dyDescent="0.25">
      <c r="A1399" t="s">
        <v>344</v>
      </c>
      <c r="B1399" s="52" t="s">
        <v>267</v>
      </c>
      <c r="C1399" s="52" t="s">
        <v>295</v>
      </c>
      <c r="D1399" s="52" t="s">
        <v>293</v>
      </c>
      <c r="E1399" s="52">
        <v>3</v>
      </c>
      <c r="F1399">
        <v>10</v>
      </c>
      <c r="G1399">
        <v>180</v>
      </c>
      <c r="H1399">
        <v>25</v>
      </c>
      <c r="I1399" s="52">
        <v>36</v>
      </c>
      <c r="J1399" s="52">
        <v>10</v>
      </c>
      <c r="K1399" s="52">
        <v>8</v>
      </c>
      <c r="L1399" s="52">
        <v>25</v>
      </c>
      <c r="M1399">
        <v>80</v>
      </c>
    </row>
    <row r="1400" spans="1:13" hidden="1" x14ac:dyDescent="0.25">
      <c r="A1400" t="s">
        <v>344</v>
      </c>
      <c r="B1400" s="52" t="s">
        <v>267</v>
      </c>
      <c r="C1400" s="52" t="s">
        <v>295</v>
      </c>
      <c r="D1400" s="52" t="s">
        <v>293</v>
      </c>
      <c r="E1400" s="52">
        <v>3</v>
      </c>
      <c r="F1400">
        <v>10</v>
      </c>
      <c r="G1400">
        <v>200</v>
      </c>
      <c r="H1400">
        <v>25</v>
      </c>
      <c r="I1400" s="52">
        <v>36</v>
      </c>
      <c r="J1400" s="52">
        <v>10</v>
      </c>
      <c r="K1400" s="52">
        <v>8</v>
      </c>
      <c r="L1400" s="52">
        <v>25</v>
      </c>
      <c r="M1400">
        <v>100</v>
      </c>
    </row>
    <row r="1401" spans="1:13" hidden="1" x14ac:dyDescent="0.25">
      <c r="A1401" t="s">
        <v>344</v>
      </c>
      <c r="B1401" s="52" t="s">
        <v>267</v>
      </c>
      <c r="C1401" s="52" t="s">
        <v>295</v>
      </c>
      <c r="D1401" s="52" t="s">
        <v>293</v>
      </c>
      <c r="E1401" s="52">
        <v>3</v>
      </c>
      <c r="F1401">
        <v>10</v>
      </c>
      <c r="G1401">
        <v>220</v>
      </c>
      <c r="H1401">
        <v>25</v>
      </c>
      <c r="I1401" s="52">
        <v>36</v>
      </c>
      <c r="J1401" s="52">
        <v>10</v>
      </c>
      <c r="K1401" s="52">
        <v>8</v>
      </c>
      <c r="L1401" s="52">
        <v>25</v>
      </c>
      <c r="M1401">
        <v>100</v>
      </c>
    </row>
    <row r="1402" spans="1:13" hidden="1" x14ac:dyDescent="0.25">
      <c r="A1402" t="s">
        <v>344</v>
      </c>
      <c r="B1402" s="52" t="s">
        <v>267</v>
      </c>
      <c r="C1402" s="52" t="s">
        <v>295</v>
      </c>
      <c r="D1402" s="52" t="s">
        <v>293</v>
      </c>
      <c r="E1402" s="52">
        <v>3</v>
      </c>
      <c r="F1402">
        <v>10</v>
      </c>
      <c r="G1402">
        <v>240</v>
      </c>
      <c r="H1402">
        <v>25</v>
      </c>
      <c r="I1402" s="52">
        <v>36</v>
      </c>
      <c r="J1402" s="52">
        <v>10</v>
      </c>
      <c r="K1402" s="52">
        <v>8</v>
      </c>
      <c r="L1402" s="52">
        <v>25</v>
      </c>
      <c r="M1402">
        <v>100</v>
      </c>
    </row>
    <row r="1403" spans="1:13" hidden="1" x14ac:dyDescent="0.25">
      <c r="A1403" t="s">
        <v>344</v>
      </c>
      <c r="B1403" s="52" t="s">
        <v>267</v>
      </c>
      <c r="C1403" s="52" t="s">
        <v>296</v>
      </c>
      <c r="D1403" s="52" t="s">
        <v>297</v>
      </c>
      <c r="E1403" s="52">
        <v>3</v>
      </c>
      <c r="F1403">
        <v>6</v>
      </c>
      <c r="G1403">
        <v>70</v>
      </c>
      <c r="H1403">
        <v>14</v>
      </c>
      <c r="I1403" s="52">
        <v>5.2</v>
      </c>
      <c r="J1403" s="52">
        <v>15.9</v>
      </c>
      <c r="K1403" s="52">
        <v>24.7</v>
      </c>
      <c r="L1403" s="52">
        <v>5.7</v>
      </c>
      <c r="M1403">
        <v>40</v>
      </c>
    </row>
    <row r="1404" spans="1:13" hidden="1" x14ac:dyDescent="0.25">
      <c r="A1404" t="s">
        <v>344</v>
      </c>
      <c r="B1404" s="52" t="s">
        <v>267</v>
      </c>
      <c r="C1404" s="52" t="s">
        <v>296</v>
      </c>
      <c r="D1404" s="52" t="s">
        <v>297</v>
      </c>
      <c r="E1404" s="52">
        <v>3</v>
      </c>
      <c r="F1404">
        <v>6</v>
      </c>
      <c r="G1404">
        <v>90</v>
      </c>
      <c r="H1404">
        <v>14</v>
      </c>
      <c r="I1404" s="52">
        <v>5.2</v>
      </c>
      <c r="J1404" s="52">
        <v>15.9</v>
      </c>
      <c r="K1404" s="52">
        <v>24.7</v>
      </c>
      <c r="L1404" s="52">
        <v>5.7</v>
      </c>
      <c r="M1404">
        <v>50</v>
      </c>
    </row>
    <row r="1405" spans="1:13" hidden="1" x14ac:dyDescent="0.25">
      <c r="A1405" t="s">
        <v>344</v>
      </c>
      <c r="B1405" s="52" t="s">
        <v>267</v>
      </c>
      <c r="C1405" s="52" t="s">
        <v>296</v>
      </c>
      <c r="D1405" s="52" t="s">
        <v>297</v>
      </c>
      <c r="E1405" s="52">
        <v>3</v>
      </c>
      <c r="F1405">
        <v>6</v>
      </c>
      <c r="G1405">
        <v>120</v>
      </c>
      <c r="H1405">
        <v>14</v>
      </c>
      <c r="I1405" s="52">
        <v>5.2</v>
      </c>
      <c r="J1405" s="52">
        <v>15.9</v>
      </c>
      <c r="K1405" s="52">
        <v>24.7</v>
      </c>
      <c r="L1405" s="52">
        <v>5.7</v>
      </c>
      <c r="M1405">
        <v>75</v>
      </c>
    </row>
    <row r="1406" spans="1:13" hidden="1" x14ac:dyDescent="0.25">
      <c r="A1406" t="s">
        <v>344</v>
      </c>
      <c r="B1406" s="52" t="s">
        <v>267</v>
      </c>
      <c r="C1406" s="52" t="s">
        <v>296</v>
      </c>
      <c r="D1406" s="52" t="s">
        <v>297</v>
      </c>
      <c r="E1406" s="52">
        <v>3</v>
      </c>
      <c r="F1406">
        <v>8</v>
      </c>
      <c r="G1406">
        <v>40</v>
      </c>
      <c r="H1406">
        <v>17</v>
      </c>
      <c r="I1406" s="52">
        <v>10.199999999999999</v>
      </c>
      <c r="J1406" s="52">
        <v>15.4</v>
      </c>
      <c r="K1406" s="52">
        <v>22.5</v>
      </c>
      <c r="L1406" s="52">
        <v>11</v>
      </c>
      <c r="M1406">
        <v>35</v>
      </c>
    </row>
    <row r="1407" spans="1:13" hidden="1" x14ac:dyDescent="0.25">
      <c r="A1407" t="s">
        <v>344</v>
      </c>
      <c r="B1407" s="52" t="s">
        <v>267</v>
      </c>
      <c r="C1407" s="52" t="s">
        <v>296</v>
      </c>
      <c r="D1407" s="52" t="s">
        <v>297</v>
      </c>
      <c r="E1407" s="52">
        <v>3</v>
      </c>
      <c r="F1407">
        <v>8</v>
      </c>
      <c r="G1407">
        <v>70</v>
      </c>
      <c r="H1407">
        <v>17</v>
      </c>
      <c r="I1407" s="52">
        <v>10.199999999999999</v>
      </c>
      <c r="J1407" s="52">
        <v>15.4</v>
      </c>
      <c r="K1407" s="52">
        <v>22.5</v>
      </c>
      <c r="L1407" s="52">
        <v>11</v>
      </c>
      <c r="M1407">
        <v>40</v>
      </c>
    </row>
    <row r="1408" spans="1:13" hidden="1" x14ac:dyDescent="0.25">
      <c r="A1408" t="s">
        <v>344</v>
      </c>
      <c r="B1408" s="52" t="s">
        <v>267</v>
      </c>
      <c r="C1408" s="52" t="s">
        <v>296</v>
      </c>
      <c r="D1408" s="52" t="s">
        <v>297</v>
      </c>
      <c r="E1408" s="52">
        <v>3</v>
      </c>
      <c r="F1408">
        <v>8</v>
      </c>
      <c r="G1408">
        <v>90</v>
      </c>
      <c r="H1408">
        <v>17</v>
      </c>
      <c r="I1408" s="52">
        <v>10.199999999999999</v>
      </c>
      <c r="J1408" s="52">
        <v>15.4</v>
      </c>
      <c r="K1408" s="52">
        <v>22.5</v>
      </c>
      <c r="L1408" s="52">
        <v>11</v>
      </c>
      <c r="M1408">
        <v>50</v>
      </c>
    </row>
    <row r="1409" spans="1:15" hidden="1" x14ac:dyDescent="0.25">
      <c r="A1409" t="s">
        <v>344</v>
      </c>
      <c r="B1409" s="52" t="s">
        <v>267</v>
      </c>
      <c r="C1409" s="52" t="s">
        <v>296</v>
      </c>
      <c r="D1409" s="52" t="s">
        <v>297</v>
      </c>
      <c r="E1409" s="52">
        <v>3</v>
      </c>
      <c r="F1409">
        <v>8</v>
      </c>
      <c r="G1409">
        <v>120</v>
      </c>
      <c r="H1409">
        <v>17</v>
      </c>
      <c r="I1409" s="52">
        <v>10.199999999999999</v>
      </c>
      <c r="J1409" s="52">
        <v>15.4</v>
      </c>
      <c r="K1409" s="52">
        <v>22.5</v>
      </c>
      <c r="L1409" s="52">
        <v>11</v>
      </c>
      <c r="M1409">
        <v>80</v>
      </c>
    </row>
    <row r="1410" spans="1:15" hidden="1" x14ac:dyDescent="0.25">
      <c r="A1410" t="s">
        <v>344</v>
      </c>
      <c r="B1410" s="52" t="s">
        <v>267</v>
      </c>
      <c r="C1410" s="52" t="s">
        <v>296</v>
      </c>
      <c r="D1410" s="52" t="s">
        <v>297</v>
      </c>
      <c r="E1410" s="52">
        <v>3</v>
      </c>
      <c r="F1410">
        <v>8</v>
      </c>
      <c r="G1410">
        <v>150</v>
      </c>
      <c r="H1410">
        <v>17</v>
      </c>
      <c r="I1410" s="52">
        <v>10.199999999999999</v>
      </c>
      <c r="J1410" s="52">
        <v>15.4</v>
      </c>
      <c r="K1410" s="52">
        <v>22.5</v>
      </c>
      <c r="L1410" s="52">
        <v>11</v>
      </c>
      <c r="M1410">
        <v>80</v>
      </c>
    </row>
    <row r="1411" spans="1:15" hidden="1" x14ac:dyDescent="0.25">
      <c r="A1411" t="s">
        <v>344</v>
      </c>
      <c r="B1411" s="52" t="s">
        <v>267</v>
      </c>
      <c r="C1411" s="52" t="s">
        <v>296</v>
      </c>
      <c r="D1411" s="52" t="s">
        <v>297</v>
      </c>
      <c r="E1411" s="52">
        <v>3</v>
      </c>
      <c r="F1411">
        <v>10</v>
      </c>
      <c r="G1411">
        <v>40</v>
      </c>
      <c r="H1411">
        <v>22</v>
      </c>
      <c r="I1411" s="52">
        <v>17.3</v>
      </c>
      <c r="J1411" s="52">
        <v>14</v>
      </c>
      <c r="K1411" s="52">
        <v>22.5</v>
      </c>
      <c r="L1411" s="52">
        <v>16.100000000000001</v>
      </c>
      <c r="M1411">
        <v>35</v>
      </c>
    </row>
    <row r="1412" spans="1:15" hidden="1" x14ac:dyDescent="0.25">
      <c r="A1412" t="s">
        <v>344</v>
      </c>
      <c r="B1412" s="52" t="s">
        <v>267</v>
      </c>
      <c r="C1412" s="52" t="s">
        <v>296</v>
      </c>
      <c r="D1412" s="52" t="s">
        <v>297</v>
      </c>
      <c r="E1412" s="52">
        <v>3</v>
      </c>
      <c r="F1412">
        <v>10</v>
      </c>
      <c r="G1412">
        <v>70</v>
      </c>
      <c r="H1412">
        <v>22</v>
      </c>
      <c r="I1412" s="52">
        <v>17.3</v>
      </c>
      <c r="J1412" s="52">
        <v>14</v>
      </c>
      <c r="K1412" s="52">
        <v>22.5</v>
      </c>
      <c r="L1412" s="52">
        <v>16.100000000000001</v>
      </c>
      <c r="M1412">
        <v>40</v>
      </c>
    </row>
    <row r="1413" spans="1:15" hidden="1" x14ac:dyDescent="0.25">
      <c r="A1413" t="s">
        <v>344</v>
      </c>
      <c r="B1413" s="52" t="s">
        <v>267</v>
      </c>
      <c r="C1413" s="52" t="s">
        <v>296</v>
      </c>
      <c r="D1413" s="52" t="s">
        <v>297</v>
      </c>
      <c r="E1413" s="52">
        <v>3</v>
      </c>
      <c r="F1413">
        <v>10</v>
      </c>
      <c r="G1413">
        <v>90</v>
      </c>
      <c r="H1413">
        <v>22</v>
      </c>
      <c r="I1413" s="52">
        <v>17.3</v>
      </c>
      <c r="J1413" s="52">
        <v>14</v>
      </c>
      <c r="K1413" s="52">
        <v>22.5</v>
      </c>
      <c r="L1413" s="52">
        <v>16.100000000000001</v>
      </c>
      <c r="M1413">
        <v>50</v>
      </c>
    </row>
    <row r="1414" spans="1:15" hidden="1" x14ac:dyDescent="0.25">
      <c r="A1414" t="s">
        <v>344</v>
      </c>
      <c r="B1414" s="52" t="s">
        <v>267</v>
      </c>
      <c r="C1414" s="52" t="s">
        <v>296</v>
      </c>
      <c r="D1414" s="52" t="s">
        <v>297</v>
      </c>
      <c r="E1414" s="52">
        <v>3</v>
      </c>
      <c r="F1414">
        <v>10</v>
      </c>
      <c r="G1414">
        <v>120</v>
      </c>
      <c r="H1414">
        <v>22</v>
      </c>
      <c r="I1414" s="52">
        <v>17.3</v>
      </c>
      <c r="J1414" s="52">
        <v>14</v>
      </c>
      <c r="K1414" s="52">
        <v>22.5</v>
      </c>
      <c r="L1414" s="52">
        <v>16.100000000000001</v>
      </c>
      <c r="M1414">
        <v>80</v>
      </c>
    </row>
    <row r="1415" spans="1:15" hidden="1" x14ac:dyDescent="0.25">
      <c r="A1415" t="s">
        <v>344</v>
      </c>
      <c r="B1415" s="52" t="s">
        <v>267</v>
      </c>
      <c r="C1415" s="52" t="s">
        <v>296</v>
      </c>
      <c r="D1415" s="52" t="s">
        <v>297</v>
      </c>
      <c r="E1415" s="52">
        <v>3</v>
      </c>
      <c r="F1415">
        <v>10</v>
      </c>
      <c r="G1415">
        <v>150</v>
      </c>
      <c r="H1415">
        <v>22</v>
      </c>
      <c r="I1415" s="52">
        <v>17.3</v>
      </c>
      <c r="J1415" s="52">
        <v>14</v>
      </c>
      <c r="K1415" s="52">
        <v>22.5</v>
      </c>
      <c r="L1415" s="52">
        <v>16.100000000000001</v>
      </c>
      <c r="M1415">
        <v>80</v>
      </c>
    </row>
    <row r="1416" spans="1:15" hidden="1" x14ac:dyDescent="0.25">
      <c r="A1416" t="s">
        <v>344</v>
      </c>
      <c r="B1416" s="52" t="s">
        <v>267</v>
      </c>
      <c r="C1416" s="52" t="s">
        <v>298</v>
      </c>
      <c r="D1416" s="52"/>
      <c r="E1416" s="52">
        <v>2</v>
      </c>
      <c r="F1416">
        <v>5</v>
      </c>
      <c r="G1416">
        <v>40</v>
      </c>
      <c r="H1416">
        <v>8</v>
      </c>
      <c r="I1416" s="52">
        <v>4.8</v>
      </c>
      <c r="J1416" s="52">
        <v>15.2</v>
      </c>
      <c r="K1416" s="52">
        <v>26.9</v>
      </c>
      <c r="L1416" s="52">
        <v>7.3</v>
      </c>
      <c r="M1416">
        <v>40</v>
      </c>
    </row>
    <row r="1417" spans="1:15" hidden="1" x14ac:dyDescent="0.25">
      <c r="A1417" t="s">
        <v>344</v>
      </c>
      <c r="B1417" s="52" t="s">
        <v>267</v>
      </c>
      <c r="C1417" s="52" t="s">
        <v>299</v>
      </c>
      <c r="D1417" s="52"/>
      <c r="E1417" s="52">
        <v>3</v>
      </c>
      <c r="F1417">
        <v>5</v>
      </c>
      <c r="G1417">
        <v>35</v>
      </c>
      <c r="H1417">
        <v>8</v>
      </c>
      <c r="I1417" s="52">
        <v>4.8</v>
      </c>
      <c r="J1417" s="52">
        <v>15.2</v>
      </c>
      <c r="K1417" s="52">
        <v>26.9</v>
      </c>
      <c r="L1417" s="52">
        <v>7.3</v>
      </c>
      <c r="M1417">
        <v>35</v>
      </c>
    </row>
    <row r="1418" spans="1:15" hidden="1" x14ac:dyDescent="0.25">
      <c r="A1418" t="s">
        <v>344</v>
      </c>
      <c r="B1418" s="52" t="s">
        <v>267</v>
      </c>
      <c r="C1418" s="52" t="s">
        <v>299</v>
      </c>
      <c r="D1418" s="52"/>
      <c r="E1418" s="52">
        <v>3</v>
      </c>
      <c r="F1418">
        <v>5</v>
      </c>
      <c r="G1418">
        <v>40</v>
      </c>
      <c r="H1418">
        <v>8</v>
      </c>
      <c r="I1418" s="52">
        <v>4.8</v>
      </c>
      <c r="J1418" s="52">
        <v>15.2</v>
      </c>
      <c r="K1418" s="52">
        <v>26.9</v>
      </c>
      <c r="L1418" s="52">
        <v>7.3</v>
      </c>
      <c r="M1418">
        <v>40</v>
      </c>
    </row>
    <row r="1419" spans="1:15" hidden="1" x14ac:dyDescent="0.25">
      <c r="A1419" t="s">
        <v>344</v>
      </c>
      <c r="B1419" s="52" t="s">
        <v>354</v>
      </c>
      <c r="C1419" s="52" t="s">
        <v>355</v>
      </c>
      <c r="D1419" s="52" t="s">
        <v>358</v>
      </c>
      <c r="E1419" s="52">
        <v>3</v>
      </c>
      <c r="F1419">
        <v>6</v>
      </c>
      <c r="G1419">
        <v>25</v>
      </c>
      <c r="H1419">
        <v>10</v>
      </c>
      <c r="I1419" s="52">
        <v>4.8</v>
      </c>
      <c r="J1419" s="52">
        <v>15.3</v>
      </c>
      <c r="K1419" s="52"/>
      <c r="L1419" s="52">
        <v>7</v>
      </c>
      <c r="M1419" s="52">
        <v>15</v>
      </c>
      <c r="O1419" s="52">
        <v>400</v>
      </c>
    </row>
    <row r="1420" spans="1:15" hidden="1" x14ac:dyDescent="0.25">
      <c r="A1420" t="s">
        <v>344</v>
      </c>
      <c r="B1420" s="52" t="s">
        <v>354</v>
      </c>
      <c r="C1420" s="52" t="s">
        <v>355</v>
      </c>
      <c r="D1420" s="52" t="s">
        <v>358</v>
      </c>
      <c r="E1420" s="52">
        <v>3</v>
      </c>
      <c r="F1420">
        <v>6</v>
      </c>
      <c r="G1420">
        <v>30</v>
      </c>
      <c r="H1420">
        <v>10</v>
      </c>
      <c r="I1420" s="52">
        <v>4.8</v>
      </c>
      <c r="J1420" s="52">
        <v>15.3</v>
      </c>
      <c r="K1420" s="52"/>
      <c r="L1420" s="52">
        <v>7</v>
      </c>
      <c r="M1420" s="52">
        <v>18</v>
      </c>
      <c r="O1420" s="52">
        <v>400</v>
      </c>
    </row>
    <row r="1421" spans="1:15" hidden="1" x14ac:dyDescent="0.25">
      <c r="A1421" t="s">
        <v>344</v>
      </c>
      <c r="B1421" s="52" t="s">
        <v>354</v>
      </c>
      <c r="C1421" s="52" t="s">
        <v>355</v>
      </c>
      <c r="D1421" s="52" t="s">
        <v>358</v>
      </c>
      <c r="E1421" s="52">
        <v>3</v>
      </c>
      <c r="F1421">
        <v>6</v>
      </c>
      <c r="G1421">
        <v>40</v>
      </c>
      <c r="H1421">
        <v>10</v>
      </c>
      <c r="I1421" s="52">
        <v>4.8</v>
      </c>
      <c r="J1421" s="52">
        <v>15.3</v>
      </c>
      <c r="K1421" s="52"/>
      <c r="L1421" s="52">
        <v>7</v>
      </c>
      <c r="M1421" s="52">
        <v>24</v>
      </c>
      <c r="O1421" s="52">
        <v>400</v>
      </c>
    </row>
    <row r="1422" spans="1:15" hidden="1" x14ac:dyDescent="0.25">
      <c r="A1422" t="s">
        <v>344</v>
      </c>
      <c r="B1422" s="52" t="s">
        <v>354</v>
      </c>
      <c r="C1422" s="52" t="s">
        <v>355</v>
      </c>
      <c r="D1422" s="52" t="s">
        <v>358</v>
      </c>
      <c r="E1422" s="52">
        <v>3</v>
      </c>
      <c r="F1422">
        <v>6</v>
      </c>
      <c r="G1422">
        <v>50</v>
      </c>
      <c r="H1422">
        <v>10</v>
      </c>
      <c r="I1422" s="52">
        <v>4.8</v>
      </c>
      <c r="J1422" s="52">
        <v>15.3</v>
      </c>
      <c r="K1422" s="52"/>
      <c r="L1422" s="52">
        <v>7</v>
      </c>
      <c r="M1422" s="52">
        <v>30</v>
      </c>
      <c r="O1422" s="52">
        <v>400</v>
      </c>
    </row>
    <row r="1423" spans="1:15" hidden="1" x14ac:dyDescent="0.25">
      <c r="A1423" t="s">
        <v>344</v>
      </c>
      <c r="B1423" s="52" t="s">
        <v>354</v>
      </c>
      <c r="C1423" s="52" t="s">
        <v>355</v>
      </c>
      <c r="D1423" s="52" t="s">
        <v>358</v>
      </c>
      <c r="E1423" s="52">
        <v>3</v>
      </c>
      <c r="F1423">
        <v>6</v>
      </c>
      <c r="G1423">
        <v>60</v>
      </c>
      <c r="H1423">
        <v>10</v>
      </c>
      <c r="I1423" s="52">
        <v>4.8</v>
      </c>
      <c r="J1423" s="52">
        <v>15.3</v>
      </c>
      <c r="K1423" s="52"/>
      <c r="L1423" s="52">
        <v>7</v>
      </c>
      <c r="M1423" s="52">
        <v>36</v>
      </c>
      <c r="O1423" s="52">
        <v>400</v>
      </c>
    </row>
    <row r="1424" spans="1:15" hidden="1" x14ac:dyDescent="0.25">
      <c r="A1424" t="s">
        <v>344</v>
      </c>
      <c r="B1424" s="52" t="s">
        <v>354</v>
      </c>
      <c r="C1424" s="52" t="s">
        <v>355</v>
      </c>
      <c r="D1424" s="52" t="s">
        <v>358</v>
      </c>
      <c r="E1424" s="52">
        <v>3</v>
      </c>
      <c r="F1424">
        <v>6</v>
      </c>
      <c r="G1424">
        <v>70</v>
      </c>
      <c r="H1424">
        <v>10</v>
      </c>
      <c r="I1424" s="52">
        <v>4.8</v>
      </c>
      <c r="J1424" s="52">
        <v>15.3</v>
      </c>
      <c r="K1424" s="52"/>
      <c r="L1424" s="52">
        <v>7</v>
      </c>
      <c r="M1424" s="52">
        <v>42</v>
      </c>
      <c r="O1424" s="52">
        <v>400</v>
      </c>
    </row>
    <row r="1425" spans="1:15" hidden="1" x14ac:dyDescent="0.25">
      <c r="A1425" t="s">
        <v>344</v>
      </c>
      <c r="B1425" s="52" t="s">
        <v>354</v>
      </c>
      <c r="C1425" s="52" t="s">
        <v>355</v>
      </c>
      <c r="D1425" s="52" t="s">
        <v>358</v>
      </c>
      <c r="E1425" s="52">
        <v>3</v>
      </c>
      <c r="F1425">
        <v>6</v>
      </c>
      <c r="G1425">
        <v>80</v>
      </c>
      <c r="H1425">
        <v>10</v>
      </c>
      <c r="I1425" s="52">
        <v>4.8</v>
      </c>
      <c r="J1425" s="52">
        <v>15.3</v>
      </c>
      <c r="K1425" s="52"/>
      <c r="L1425" s="52">
        <v>7</v>
      </c>
      <c r="M1425" s="52">
        <v>48</v>
      </c>
      <c r="O1425" s="52">
        <v>400</v>
      </c>
    </row>
    <row r="1426" spans="1:15" hidden="1" x14ac:dyDescent="0.25">
      <c r="A1426" t="s">
        <v>344</v>
      </c>
      <c r="B1426" s="52" t="s">
        <v>354</v>
      </c>
      <c r="C1426" s="52" t="s">
        <v>355</v>
      </c>
      <c r="D1426" s="52" t="s">
        <v>358</v>
      </c>
      <c r="E1426" s="52">
        <v>3</v>
      </c>
      <c r="F1426">
        <v>6</v>
      </c>
      <c r="G1426">
        <v>90</v>
      </c>
      <c r="H1426">
        <v>10</v>
      </c>
      <c r="I1426" s="52">
        <v>4.8</v>
      </c>
      <c r="J1426" s="52">
        <v>15.3</v>
      </c>
      <c r="K1426" s="52"/>
      <c r="L1426" s="52">
        <v>7</v>
      </c>
      <c r="M1426" s="52">
        <v>54</v>
      </c>
      <c r="O1426" s="52">
        <v>400</v>
      </c>
    </row>
    <row r="1427" spans="1:15" hidden="1" x14ac:dyDescent="0.25">
      <c r="A1427" t="s">
        <v>344</v>
      </c>
      <c r="B1427" s="52" t="s">
        <v>354</v>
      </c>
      <c r="C1427" s="52" t="s">
        <v>355</v>
      </c>
      <c r="D1427" s="52" t="s">
        <v>358</v>
      </c>
      <c r="E1427" s="52">
        <v>3</v>
      </c>
      <c r="F1427">
        <v>6</v>
      </c>
      <c r="G1427">
        <v>100</v>
      </c>
      <c r="H1427">
        <v>10</v>
      </c>
      <c r="I1427" s="52">
        <v>4.8</v>
      </c>
      <c r="J1427" s="52">
        <v>15.3</v>
      </c>
      <c r="K1427" s="52"/>
      <c r="L1427" s="52">
        <v>7</v>
      </c>
      <c r="M1427" s="52">
        <v>60</v>
      </c>
      <c r="O1427" s="52">
        <v>400</v>
      </c>
    </row>
    <row r="1428" spans="1:15" hidden="1" x14ac:dyDescent="0.25">
      <c r="A1428" t="s">
        <v>344</v>
      </c>
      <c r="B1428" s="52" t="s">
        <v>354</v>
      </c>
      <c r="C1428" s="52" t="s">
        <v>355</v>
      </c>
      <c r="D1428" s="52" t="s">
        <v>358</v>
      </c>
      <c r="E1428" s="52">
        <v>3</v>
      </c>
      <c r="F1428">
        <v>8</v>
      </c>
      <c r="G1428">
        <v>30</v>
      </c>
      <c r="H1428">
        <v>13</v>
      </c>
      <c r="I1428" s="52">
        <v>10.1</v>
      </c>
      <c r="J1428" s="52">
        <v>12.4</v>
      </c>
      <c r="K1428" s="52"/>
      <c r="L1428" s="52">
        <v>11</v>
      </c>
      <c r="M1428" s="52">
        <v>18</v>
      </c>
      <c r="O1428" s="52">
        <v>400</v>
      </c>
    </row>
    <row r="1429" spans="1:15" hidden="1" x14ac:dyDescent="0.25">
      <c r="A1429" t="s">
        <v>344</v>
      </c>
      <c r="B1429" s="52" t="s">
        <v>354</v>
      </c>
      <c r="C1429" s="52" t="s">
        <v>355</v>
      </c>
      <c r="D1429" s="52" t="s">
        <v>358</v>
      </c>
      <c r="E1429" s="52">
        <v>3</v>
      </c>
      <c r="F1429">
        <v>8</v>
      </c>
      <c r="G1429">
        <v>40</v>
      </c>
      <c r="H1429">
        <v>13</v>
      </c>
      <c r="I1429" s="52">
        <v>10.1</v>
      </c>
      <c r="J1429" s="52">
        <v>12.4</v>
      </c>
      <c r="K1429" s="52"/>
      <c r="L1429" s="52">
        <v>11</v>
      </c>
      <c r="M1429" s="52">
        <v>24</v>
      </c>
      <c r="O1429" s="52">
        <v>400</v>
      </c>
    </row>
    <row r="1430" spans="1:15" hidden="1" x14ac:dyDescent="0.25">
      <c r="A1430" t="s">
        <v>344</v>
      </c>
      <c r="B1430" s="52" t="s">
        <v>354</v>
      </c>
      <c r="C1430" s="52" t="s">
        <v>355</v>
      </c>
      <c r="D1430" s="52" t="s">
        <v>358</v>
      </c>
      <c r="E1430" s="52">
        <v>3</v>
      </c>
      <c r="F1430">
        <v>8</v>
      </c>
      <c r="G1430">
        <v>50</v>
      </c>
      <c r="H1430">
        <v>13</v>
      </c>
      <c r="I1430" s="52">
        <v>10.1</v>
      </c>
      <c r="J1430" s="52">
        <v>12.4</v>
      </c>
      <c r="K1430" s="52"/>
      <c r="L1430" s="52">
        <v>11</v>
      </c>
      <c r="M1430" s="52">
        <v>30</v>
      </c>
      <c r="O1430" s="52">
        <v>400</v>
      </c>
    </row>
    <row r="1431" spans="1:15" hidden="1" x14ac:dyDescent="0.25">
      <c r="A1431" t="s">
        <v>344</v>
      </c>
      <c r="B1431" s="52" t="s">
        <v>354</v>
      </c>
      <c r="C1431" s="52" t="s">
        <v>355</v>
      </c>
      <c r="D1431" s="52" t="s">
        <v>358</v>
      </c>
      <c r="E1431" s="52">
        <v>3</v>
      </c>
      <c r="F1431">
        <v>8</v>
      </c>
      <c r="G1431">
        <v>60</v>
      </c>
      <c r="H1431">
        <v>13</v>
      </c>
      <c r="I1431" s="52">
        <v>10.1</v>
      </c>
      <c r="J1431" s="52">
        <v>12.4</v>
      </c>
      <c r="K1431" s="52"/>
      <c r="L1431" s="52">
        <v>11</v>
      </c>
      <c r="M1431" s="52">
        <v>36</v>
      </c>
      <c r="O1431" s="52">
        <v>400</v>
      </c>
    </row>
    <row r="1432" spans="1:15" hidden="1" x14ac:dyDescent="0.25">
      <c r="A1432" t="s">
        <v>344</v>
      </c>
      <c r="B1432" s="52" t="s">
        <v>354</v>
      </c>
      <c r="C1432" s="52" t="s">
        <v>355</v>
      </c>
      <c r="D1432" s="52" t="s">
        <v>358</v>
      </c>
      <c r="E1432" s="52">
        <v>3</v>
      </c>
      <c r="F1432">
        <v>8</v>
      </c>
      <c r="G1432">
        <v>70</v>
      </c>
      <c r="H1432">
        <v>13</v>
      </c>
      <c r="I1432" s="52">
        <v>10.1</v>
      </c>
      <c r="J1432" s="52">
        <v>12.4</v>
      </c>
      <c r="K1432" s="52"/>
      <c r="L1432" s="52">
        <v>11</v>
      </c>
      <c r="M1432" s="52">
        <v>42</v>
      </c>
      <c r="O1432" s="52">
        <v>400</v>
      </c>
    </row>
    <row r="1433" spans="1:15" hidden="1" x14ac:dyDescent="0.25">
      <c r="A1433" t="s">
        <v>344</v>
      </c>
      <c r="B1433" s="52" t="s">
        <v>354</v>
      </c>
      <c r="C1433" s="52" t="s">
        <v>355</v>
      </c>
      <c r="D1433" s="52" t="s">
        <v>358</v>
      </c>
      <c r="E1433" s="52">
        <v>3</v>
      </c>
      <c r="F1433">
        <v>8</v>
      </c>
      <c r="G1433">
        <v>80</v>
      </c>
      <c r="H1433">
        <v>13</v>
      </c>
      <c r="I1433" s="52">
        <v>10.1</v>
      </c>
      <c r="J1433" s="52">
        <v>12.4</v>
      </c>
      <c r="K1433" s="52"/>
      <c r="L1433" s="52">
        <v>11</v>
      </c>
      <c r="M1433" s="52">
        <v>48</v>
      </c>
      <c r="O1433" s="52">
        <v>400</v>
      </c>
    </row>
    <row r="1434" spans="1:15" hidden="1" x14ac:dyDescent="0.25">
      <c r="A1434" t="s">
        <v>344</v>
      </c>
      <c r="B1434" s="52" t="s">
        <v>354</v>
      </c>
      <c r="C1434" s="52" t="s">
        <v>355</v>
      </c>
      <c r="D1434" s="52" t="s">
        <v>358</v>
      </c>
      <c r="E1434" s="52">
        <v>3</v>
      </c>
      <c r="F1434">
        <v>8</v>
      </c>
      <c r="G1434">
        <v>90</v>
      </c>
      <c r="H1434">
        <v>13</v>
      </c>
      <c r="I1434" s="52">
        <v>10.1</v>
      </c>
      <c r="J1434" s="52">
        <v>12.4</v>
      </c>
      <c r="K1434" s="52"/>
      <c r="L1434" s="52">
        <v>11</v>
      </c>
      <c r="M1434" s="52">
        <v>54</v>
      </c>
      <c r="O1434" s="52">
        <v>400</v>
      </c>
    </row>
    <row r="1435" spans="1:15" hidden="1" x14ac:dyDescent="0.25">
      <c r="A1435" t="s">
        <v>344</v>
      </c>
      <c r="B1435" s="52" t="s">
        <v>354</v>
      </c>
      <c r="C1435" s="52" t="s">
        <v>355</v>
      </c>
      <c r="D1435" s="52" t="s">
        <v>358</v>
      </c>
      <c r="E1435" s="52">
        <v>3</v>
      </c>
      <c r="F1435">
        <v>8</v>
      </c>
      <c r="G1435">
        <v>100</v>
      </c>
      <c r="H1435">
        <v>13</v>
      </c>
      <c r="I1435" s="52">
        <v>10.1</v>
      </c>
      <c r="J1435" s="52">
        <v>12.4</v>
      </c>
      <c r="K1435" s="52"/>
      <c r="L1435" s="52">
        <v>11</v>
      </c>
      <c r="M1435" s="52">
        <v>60</v>
      </c>
      <c r="O1435" s="52">
        <v>400</v>
      </c>
    </row>
    <row r="1436" spans="1:15" hidden="1" x14ac:dyDescent="0.25">
      <c r="A1436" t="s">
        <v>344</v>
      </c>
      <c r="B1436" s="52" t="s">
        <v>354</v>
      </c>
      <c r="C1436" s="52" t="s">
        <v>355</v>
      </c>
      <c r="D1436" s="52" t="s">
        <v>358</v>
      </c>
      <c r="E1436" s="52">
        <v>3</v>
      </c>
      <c r="F1436">
        <v>8</v>
      </c>
      <c r="G1436">
        <v>120</v>
      </c>
      <c r="H1436">
        <v>13</v>
      </c>
      <c r="I1436" s="52">
        <v>10.1</v>
      </c>
      <c r="J1436" s="52">
        <v>12.4</v>
      </c>
      <c r="K1436" s="52"/>
      <c r="L1436" s="52">
        <v>11</v>
      </c>
      <c r="M1436" s="52">
        <v>72</v>
      </c>
      <c r="O1436" s="52">
        <v>400</v>
      </c>
    </row>
    <row r="1437" spans="1:15" hidden="1" x14ac:dyDescent="0.25">
      <c r="A1437" t="s">
        <v>344</v>
      </c>
      <c r="B1437" s="52" t="s">
        <v>354</v>
      </c>
      <c r="C1437" s="52" t="s">
        <v>355</v>
      </c>
      <c r="D1437" s="52" t="s">
        <v>358</v>
      </c>
      <c r="E1437" s="52">
        <v>3</v>
      </c>
      <c r="F1437">
        <v>8</v>
      </c>
      <c r="G1437">
        <v>140</v>
      </c>
      <c r="H1437">
        <v>13</v>
      </c>
      <c r="I1437" s="52">
        <v>10.1</v>
      </c>
      <c r="J1437" s="52">
        <v>12.4</v>
      </c>
      <c r="K1437" s="52"/>
      <c r="L1437" s="52">
        <v>11</v>
      </c>
      <c r="M1437" s="52">
        <v>84</v>
      </c>
      <c r="O1437" s="52">
        <v>400</v>
      </c>
    </row>
    <row r="1438" spans="1:15" hidden="1" x14ac:dyDescent="0.25">
      <c r="A1438" t="s">
        <v>344</v>
      </c>
      <c r="B1438" s="52" t="s">
        <v>354</v>
      </c>
      <c r="C1438" s="52" t="s">
        <v>355</v>
      </c>
      <c r="D1438" s="52" t="s">
        <v>358</v>
      </c>
      <c r="E1438" s="52">
        <v>3</v>
      </c>
      <c r="F1438">
        <v>8</v>
      </c>
      <c r="G1438">
        <v>160</v>
      </c>
      <c r="H1438">
        <v>13</v>
      </c>
      <c r="I1438" s="52">
        <v>10.1</v>
      </c>
      <c r="J1438" s="52">
        <v>12.4</v>
      </c>
      <c r="K1438" s="52"/>
      <c r="L1438" s="52">
        <v>11</v>
      </c>
      <c r="M1438" s="52">
        <v>96</v>
      </c>
      <c r="O1438" s="52">
        <v>400</v>
      </c>
    </row>
    <row r="1439" spans="1:15" hidden="1" x14ac:dyDescent="0.25">
      <c r="A1439" t="s">
        <v>344</v>
      </c>
      <c r="B1439" s="52" t="s">
        <v>354</v>
      </c>
      <c r="C1439" s="52" t="s">
        <v>355</v>
      </c>
      <c r="D1439" s="52" t="s">
        <v>358</v>
      </c>
      <c r="E1439" s="52">
        <v>3</v>
      </c>
      <c r="F1439">
        <v>8</v>
      </c>
      <c r="G1439">
        <v>180</v>
      </c>
      <c r="H1439">
        <v>13</v>
      </c>
      <c r="I1439" s="52">
        <v>10.1</v>
      </c>
      <c r="J1439" s="52">
        <v>12.4</v>
      </c>
      <c r="K1439" s="52"/>
      <c r="L1439" s="52">
        <v>11</v>
      </c>
      <c r="M1439" s="52">
        <v>108</v>
      </c>
      <c r="O1439" s="52">
        <v>400</v>
      </c>
    </row>
    <row r="1440" spans="1:15" hidden="1" x14ac:dyDescent="0.25">
      <c r="A1440" t="s">
        <v>344</v>
      </c>
      <c r="B1440" s="52" t="s">
        <v>354</v>
      </c>
      <c r="C1440" s="52" t="s">
        <v>355</v>
      </c>
      <c r="D1440" s="52" t="s">
        <v>358</v>
      </c>
      <c r="E1440" s="52">
        <v>3</v>
      </c>
      <c r="F1440">
        <v>8</v>
      </c>
      <c r="G1440">
        <v>200</v>
      </c>
      <c r="H1440">
        <v>13</v>
      </c>
      <c r="I1440" s="52">
        <v>10.1</v>
      </c>
      <c r="J1440" s="52">
        <v>12.4</v>
      </c>
      <c r="K1440" s="52"/>
      <c r="L1440" s="52">
        <v>11</v>
      </c>
      <c r="M1440" s="52">
        <v>120</v>
      </c>
      <c r="O1440" s="52">
        <v>400</v>
      </c>
    </row>
    <row r="1441" spans="1:15" hidden="1" x14ac:dyDescent="0.25">
      <c r="A1441" t="s">
        <v>344</v>
      </c>
      <c r="B1441" s="52" t="s">
        <v>354</v>
      </c>
      <c r="C1441" s="52" t="s">
        <v>355</v>
      </c>
      <c r="D1441" s="52" t="s">
        <v>358</v>
      </c>
      <c r="E1441" s="52">
        <v>3</v>
      </c>
      <c r="F1441">
        <v>10</v>
      </c>
      <c r="G1441">
        <v>30</v>
      </c>
      <c r="H1441">
        <v>17</v>
      </c>
      <c r="I1441" s="52">
        <v>18.100000000000001</v>
      </c>
      <c r="J1441" s="52">
        <v>11</v>
      </c>
      <c r="K1441" s="52"/>
      <c r="L1441" s="52">
        <v>18</v>
      </c>
      <c r="M1441" s="52">
        <v>18</v>
      </c>
      <c r="O1441" s="52">
        <v>400</v>
      </c>
    </row>
    <row r="1442" spans="1:15" hidden="1" x14ac:dyDescent="0.25">
      <c r="A1442" t="s">
        <v>344</v>
      </c>
      <c r="B1442" s="52" t="s">
        <v>354</v>
      </c>
      <c r="C1442" s="52" t="s">
        <v>355</v>
      </c>
      <c r="D1442" s="52" t="s">
        <v>358</v>
      </c>
      <c r="E1442" s="52">
        <v>3</v>
      </c>
      <c r="F1442">
        <v>10</v>
      </c>
      <c r="G1442">
        <v>40</v>
      </c>
      <c r="H1442">
        <v>17</v>
      </c>
      <c r="I1442" s="52">
        <v>18.100000000000001</v>
      </c>
      <c r="J1442" s="52">
        <v>11</v>
      </c>
      <c r="K1442" s="52"/>
      <c r="L1442" s="52">
        <v>18</v>
      </c>
      <c r="M1442" s="52">
        <v>24</v>
      </c>
      <c r="O1442" s="52">
        <v>400</v>
      </c>
    </row>
    <row r="1443" spans="1:15" hidden="1" x14ac:dyDescent="0.25">
      <c r="A1443" t="s">
        <v>344</v>
      </c>
      <c r="B1443" s="52" t="s">
        <v>354</v>
      </c>
      <c r="C1443" s="52" t="s">
        <v>355</v>
      </c>
      <c r="D1443" s="52" t="s">
        <v>358</v>
      </c>
      <c r="E1443" s="52">
        <v>3</v>
      </c>
      <c r="F1443">
        <v>10</v>
      </c>
      <c r="G1443">
        <v>50</v>
      </c>
      <c r="H1443">
        <v>17</v>
      </c>
      <c r="I1443" s="52">
        <v>18.100000000000001</v>
      </c>
      <c r="J1443" s="52">
        <v>11</v>
      </c>
      <c r="K1443" s="52"/>
      <c r="L1443" s="52">
        <v>18</v>
      </c>
      <c r="M1443" s="52">
        <v>30</v>
      </c>
      <c r="O1443" s="52">
        <v>400</v>
      </c>
    </row>
    <row r="1444" spans="1:15" hidden="1" x14ac:dyDescent="0.25">
      <c r="A1444" t="s">
        <v>344</v>
      </c>
      <c r="B1444" s="52" t="s">
        <v>354</v>
      </c>
      <c r="C1444" s="52" t="s">
        <v>355</v>
      </c>
      <c r="D1444" s="52" t="s">
        <v>358</v>
      </c>
      <c r="E1444" s="52">
        <v>3</v>
      </c>
      <c r="F1444">
        <v>10</v>
      </c>
      <c r="G1444">
        <v>60</v>
      </c>
      <c r="H1444">
        <v>17</v>
      </c>
      <c r="I1444" s="52">
        <v>18.100000000000001</v>
      </c>
      <c r="J1444" s="52">
        <v>11</v>
      </c>
      <c r="K1444" s="52"/>
      <c r="L1444" s="52">
        <v>18</v>
      </c>
      <c r="M1444" s="52">
        <v>36</v>
      </c>
      <c r="O1444" s="52">
        <v>400</v>
      </c>
    </row>
    <row r="1445" spans="1:15" hidden="1" x14ac:dyDescent="0.25">
      <c r="A1445" t="s">
        <v>344</v>
      </c>
      <c r="B1445" s="52" t="s">
        <v>354</v>
      </c>
      <c r="C1445" s="52" t="s">
        <v>355</v>
      </c>
      <c r="D1445" s="52" t="s">
        <v>358</v>
      </c>
      <c r="E1445" s="52">
        <v>3</v>
      </c>
      <c r="F1445">
        <v>10</v>
      </c>
      <c r="G1445">
        <v>70</v>
      </c>
      <c r="H1445">
        <v>17</v>
      </c>
      <c r="I1445" s="52">
        <v>18.100000000000001</v>
      </c>
      <c r="J1445" s="52">
        <v>11</v>
      </c>
      <c r="K1445" s="52"/>
      <c r="L1445" s="52">
        <v>18</v>
      </c>
      <c r="M1445" s="52">
        <v>42</v>
      </c>
      <c r="O1445" s="52">
        <v>400</v>
      </c>
    </row>
    <row r="1446" spans="1:15" hidden="1" x14ac:dyDescent="0.25">
      <c r="A1446" t="s">
        <v>344</v>
      </c>
      <c r="B1446" s="52" t="s">
        <v>354</v>
      </c>
      <c r="C1446" s="52" t="s">
        <v>355</v>
      </c>
      <c r="D1446" s="52" t="s">
        <v>358</v>
      </c>
      <c r="E1446" s="52">
        <v>3</v>
      </c>
      <c r="F1446">
        <v>10</v>
      </c>
      <c r="G1446">
        <v>80</v>
      </c>
      <c r="H1446">
        <v>17</v>
      </c>
      <c r="I1446" s="52">
        <v>18.100000000000001</v>
      </c>
      <c r="J1446" s="52">
        <v>11</v>
      </c>
      <c r="K1446" s="52"/>
      <c r="L1446" s="52">
        <v>18</v>
      </c>
      <c r="M1446" s="52">
        <v>48</v>
      </c>
      <c r="O1446" s="52">
        <v>400</v>
      </c>
    </row>
    <row r="1447" spans="1:15" hidden="1" x14ac:dyDescent="0.25">
      <c r="A1447" t="s">
        <v>344</v>
      </c>
      <c r="B1447" s="52" t="s">
        <v>354</v>
      </c>
      <c r="C1447" s="52" t="s">
        <v>355</v>
      </c>
      <c r="D1447" s="52" t="s">
        <v>358</v>
      </c>
      <c r="E1447" s="52">
        <v>3</v>
      </c>
      <c r="F1447">
        <v>10</v>
      </c>
      <c r="G1447">
        <v>90</v>
      </c>
      <c r="H1447">
        <v>17</v>
      </c>
      <c r="I1447" s="52">
        <v>18.100000000000001</v>
      </c>
      <c r="J1447" s="52">
        <v>11</v>
      </c>
      <c r="K1447" s="52"/>
      <c r="L1447" s="52">
        <v>18</v>
      </c>
      <c r="M1447" s="52">
        <v>54</v>
      </c>
      <c r="O1447" s="52">
        <v>400</v>
      </c>
    </row>
    <row r="1448" spans="1:15" hidden="1" x14ac:dyDescent="0.25">
      <c r="A1448" t="s">
        <v>344</v>
      </c>
      <c r="B1448" s="52" t="s">
        <v>354</v>
      </c>
      <c r="C1448" s="52" t="s">
        <v>355</v>
      </c>
      <c r="D1448" s="52" t="s">
        <v>358</v>
      </c>
      <c r="E1448" s="52">
        <v>3</v>
      </c>
      <c r="F1448">
        <v>10</v>
      </c>
      <c r="G1448">
        <v>100</v>
      </c>
      <c r="H1448">
        <v>17</v>
      </c>
      <c r="I1448" s="52">
        <v>18.100000000000001</v>
      </c>
      <c r="J1448" s="52">
        <v>11</v>
      </c>
      <c r="K1448" s="52"/>
      <c r="L1448" s="52">
        <v>18</v>
      </c>
      <c r="M1448" s="52">
        <v>60</v>
      </c>
      <c r="O1448" s="52">
        <v>400</v>
      </c>
    </row>
    <row r="1449" spans="1:15" hidden="1" x14ac:dyDescent="0.25">
      <c r="A1449" t="s">
        <v>344</v>
      </c>
      <c r="B1449" s="52" t="s">
        <v>354</v>
      </c>
      <c r="C1449" s="52" t="s">
        <v>355</v>
      </c>
      <c r="D1449" s="52" t="s">
        <v>358</v>
      </c>
      <c r="E1449" s="52">
        <v>3</v>
      </c>
      <c r="F1449">
        <v>10</v>
      </c>
      <c r="G1449">
        <v>120</v>
      </c>
      <c r="H1449">
        <v>17</v>
      </c>
      <c r="I1449" s="52">
        <v>18.100000000000001</v>
      </c>
      <c r="J1449" s="52">
        <v>11</v>
      </c>
      <c r="K1449" s="52"/>
      <c r="L1449" s="52">
        <v>18</v>
      </c>
      <c r="M1449" s="52">
        <v>72</v>
      </c>
      <c r="O1449" s="52">
        <v>400</v>
      </c>
    </row>
    <row r="1450" spans="1:15" hidden="1" x14ac:dyDescent="0.25">
      <c r="A1450" t="s">
        <v>344</v>
      </c>
      <c r="B1450" s="52" t="s">
        <v>354</v>
      </c>
      <c r="C1450" s="52" t="s">
        <v>355</v>
      </c>
      <c r="D1450" s="52" t="s">
        <v>358</v>
      </c>
      <c r="E1450" s="52">
        <v>3</v>
      </c>
      <c r="F1450">
        <v>10</v>
      </c>
      <c r="G1450">
        <v>140</v>
      </c>
      <c r="H1450">
        <v>17</v>
      </c>
      <c r="I1450" s="52">
        <v>18.100000000000001</v>
      </c>
      <c r="J1450" s="52">
        <v>11</v>
      </c>
      <c r="K1450" s="52"/>
      <c r="L1450" s="52">
        <v>18</v>
      </c>
      <c r="M1450" s="52">
        <v>84</v>
      </c>
      <c r="O1450" s="52">
        <v>400</v>
      </c>
    </row>
    <row r="1451" spans="1:15" hidden="1" x14ac:dyDescent="0.25">
      <c r="A1451" t="s">
        <v>344</v>
      </c>
      <c r="B1451" s="52" t="s">
        <v>354</v>
      </c>
      <c r="C1451" s="52" t="s">
        <v>355</v>
      </c>
      <c r="D1451" s="52" t="s">
        <v>358</v>
      </c>
      <c r="E1451" s="52">
        <v>3</v>
      </c>
      <c r="F1451">
        <v>10</v>
      </c>
      <c r="G1451">
        <v>150</v>
      </c>
      <c r="H1451">
        <v>17</v>
      </c>
      <c r="I1451" s="52">
        <v>18.100000000000001</v>
      </c>
      <c r="J1451" s="52">
        <v>11</v>
      </c>
      <c r="K1451" s="52"/>
      <c r="L1451" s="52">
        <v>18</v>
      </c>
      <c r="M1451" s="52">
        <v>90</v>
      </c>
      <c r="O1451" s="52">
        <v>400</v>
      </c>
    </row>
    <row r="1452" spans="1:15" hidden="1" x14ac:dyDescent="0.25">
      <c r="A1452" t="s">
        <v>344</v>
      </c>
      <c r="B1452" s="52" t="s">
        <v>354</v>
      </c>
      <c r="C1452" s="52" t="s">
        <v>355</v>
      </c>
      <c r="D1452" s="52" t="s">
        <v>358</v>
      </c>
      <c r="E1452" s="52">
        <v>3</v>
      </c>
      <c r="F1452">
        <v>10</v>
      </c>
      <c r="G1452">
        <v>160</v>
      </c>
      <c r="H1452">
        <v>17</v>
      </c>
      <c r="I1452" s="52">
        <v>18.100000000000001</v>
      </c>
      <c r="J1452" s="52">
        <v>11</v>
      </c>
      <c r="K1452" s="52"/>
      <c r="L1452" s="52">
        <v>18</v>
      </c>
      <c r="M1452" s="52">
        <v>96</v>
      </c>
      <c r="O1452" s="52">
        <v>400</v>
      </c>
    </row>
    <row r="1453" spans="1:15" hidden="1" x14ac:dyDescent="0.25">
      <c r="A1453" t="s">
        <v>344</v>
      </c>
      <c r="B1453" s="52" t="s">
        <v>354</v>
      </c>
      <c r="C1453" s="52" t="s">
        <v>355</v>
      </c>
      <c r="D1453" s="52" t="s">
        <v>358</v>
      </c>
      <c r="E1453" s="52">
        <v>3</v>
      </c>
      <c r="F1453">
        <v>10</v>
      </c>
      <c r="G1453">
        <v>180</v>
      </c>
      <c r="H1453">
        <v>17</v>
      </c>
      <c r="I1453" s="52">
        <v>18.100000000000001</v>
      </c>
      <c r="J1453" s="52">
        <v>11</v>
      </c>
      <c r="K1453" s="52"/>
      <c r="L1453" s="52">
        <v>18</v>
      </c>
      <c r="M1453" s="52">
        <v>108</v>
      </c>
      <c r="O1453" s="52">
        <v>400</v>
      </c>
    </row>
    <row r="1454" spans="1:15" hidden="1" x14ac:dyDescent="0.25">
      <c r="A1454" t="s">
        <v>344</v>
      </c>
      <c r="B1454" s="52" t="s">
        <v>354</v>
      </c>
      <c r="C1454" s="52" t="s">
        <v>355</v>
      </c>
      <c r="D1454" s="52" t="s">
        <v>358</v>
      </c>
      <c r="E1454" s="52">
        <v>3</v>
      </c>
      <c r="F1454">
        <v>10</v>
      </c>
      <c r="G1454">
        <v>200</v>
      </c>
      <c r="H1454">
        <v>17</v>
      </c>
      <c r="I1454" s="52">
        <v>18.100000000000001</v>
      </c>
      <c r="J1454" s="52">
        <v>11</v>
      </c>
      <c r="K1454" s="52"/>
      <c r="L1454" s="52">
        <v>18</v>
      </c>
      <c r="M1454" s="52">
        <v>120</v>
      </c>
      <c r="O1454" s="52">
        <v>400</v>
      </c>
    </row>
    <row r="1455" spans="1:15" hidden="1" x14ac:dyDescent="0.25">
      <c r="A1455" t="s">
        <v>344</v>
      </c>
      <c r="B1455" s="52" t="s">
        <v>354</v>
      </c>
      <c r="C1455" s="52" t="s">
        <v>355</v>
      </c>
      <c r="D1455" s="52" t="s">
        <v>358</v>
      </c>
      <c r="E1455" s="52">
        <v>3</v>
      </c>
      <c r="F1455">
        <v>12</v>
      </c>
      <c r="G1455">
        <v>50</v>
      </c>
      <c r="H1455">
        <v>19</v>
      </c>
      <c r="I1455" s="52">
        <v>29.1</v>
      </c>
      <c r="J1455" s="52">
        <v>9.6999999999999993</v>
      </c>
      <c r="K1455" s="52"/>
      <c r="L1455" s="52">
        <v>33</v>
      </c>
      <c r="M1455" s="52">
        <v>30</v>
      </c>
      <c r="O1455" s="52">
        <v>400</v>
      </c>
    </row>
    <row r="1456" spans="1:15" hidden="1" x14ac:dyDescent="0.25">
      <c r="A1456" t="s">
        <v>344</v>
      </c>
      <c r="B1456" s="52" t="s">
        <v>354</v>
      </c>
      <c r="C1456" s="52" t="s">
        <v>355</v>
      </c>
      <c r="D1456" s="52" t="s">
        <v>358</v>
      </c>
      <c r="E1456" s="52">
        <v>3</v>
      </c>
      <c r="F1456">
        <v>12</v>
      </c>
      <c r="G1456">
        <v>60</v>
      </c>
      <c r="H1456">
        <v>19</v>
      </c>
      <c r="I1456" s="52">
        <v>29.1</v>
      </c>
      <c r="J1456" s="52">
        <v>9.6999999999999993</v>
      </c>
      <c r="K1456" s="52"/>
      <c r="L1456" s="52">
        <v>33</v>
      </c>
      <c r="M1456" s="52">
        <v>36</v>
      </c>
      <c r="O1456" s="52">
        <v>400</v>
      </c>
    </row>
    <row r="1457" spans="1:15" hidden="1" x14ac:dyDescent="0.25">
      <c r="A1457" t="s">
        <v>344</v>
      </c>
      <c r="B1457" s="52" t="s">
        <v>354</v>
      </c>
      <c r="C1457" s="52" t="s">
        <v>355</v>
      </c>
      <c r="D1457" s="52" t="s">
        <v>358</v>
      </c>
      <c r="E1457" s="52">
        <v>3</v>
      </c>
      <c r="F1457">
        <v>12</v>
      </c>
      <c r="G1457">
        <v>70</v>
      </c>
      <c r="H1457">
        <v>19</v>
      </c>
      <c r="I1457" s="52">
        <v>29.1</v>
      </c>
      <c r="J1457" s="52">
        <v>9.6999999999999993</v>
      </c>
      <c r="K1457" s="52"/>
      <c r="L1457" s="52">
        <v>33</v>
      </c>
      <c r="M1457" s="52">
        <v>42</v>
      </c>
      <c r="O1457" s="52">
        <v>400</v>
      </c>
    </row>
    <row r="1458" spans="1:15" hidden="1" x14ac:dyDescent="0.25">
      <c r="A1458" t="s">
        <v>344</v>
      </c>
      <c r="B1458" s="52" t="s">
        <v>354</v>
      </c>
      <c r="C1458" s="52" t="s">
        <v>355</v>
      </c>
      <c r="D1458" s="52" t="s">
        <v>358</v>
      </c>
      <c r="E1458" s="52">
        <v>3</v>
      </c>
      <c r="F1458">
        <v>12</v>
      </c>
      <c r="G1458">
        <v>80</v>
      </c>
      <c r="H1458">
        <v>19</v>
      </c>
      <c r="I1458" s="52">
        <v>29.1</v>
      </c>
      <c r="J1458" s="52">
        <v>9.6999999999999993</v>
      </c>
      <c r="K1458" s="52"/>
      <c r="L1458" s="52">
        <v>33</v>
      </c>
      <c r="M1458" s="52">
        <v>48</v>
      </c>
      <c r="O1458" s="52">
        <v>400</v>
      </c>
    </row>
    <row r="1459" spans="1:15" hidden="1" x14ac:dyDescent="0.25">
      <c r="A1459" t="s">
        <v>344</v>
      </c>
      <c r="B1459" s="52" t="s">
        <v>354</v>
      </c>
      <c r="C1459" s="52" t="s">
        <v>355</v>
      </c>
      <c r="D1459" s="52" t="s">
        <v>358</v>
      </c>
      <c r="E1459" s="52">
        <v>3</v>
      </c>
      <c r="F1459">
        <v>12</v>
      </c>
      <c r="G1459">
        <v>90</v>
      </c>
      <c r="H1459">
        <v>19</v>
      </c>
      <c r="I1459" s="52">
        <v>29.1</v>
      </c>
      <c r="J1459" s="52">
        <v>9.6999999999999993</v>
      </c>
      <c r="K1459" s="52"/>
      <c r="L1459" s="52">
        <v>33</v>
      </c>
      <c r="M1459" s="52">
        <v>54</v>
      </c>
      <c r="O1459" s="52">
        <v>400</v>
      </c>
    </row>
    <row r="1460" spans="1:15" hidden="1" x14ac:dyDescent="0.25">
      <c r="A1460" t="s">
        <v>344</v>
      </c>
      <c r="B1460" s="52" t="s">
        <v>354</v>
      </c>
      <c r="C1460" s="52" t="s">
        <v>355</v>
      </c>
      <c r="D1460" s="52" t="s">
        <v>358</v>
      </c>
      <c r="E1460" s="52">
        <v>3</v>
      </c>
      <c r="F1460">
        <v>12</v>
      </c>
      <c r="G1460">
        <v>100</v>
      </c>
      <c r="H1460">
        <v>19</v>
      </c>
      <c r="I1460" s="52">
        <v>29.1</v>
      </c>
      <c r="J1460" s="52">
        <v>9.6999999999999993</v>
      </c>
      <c r="K1460" s="52"/>
      <c r="L1460" s="52">
        <v>33</v>
      </c>
      <c r="M1460" s="52">
        <v>60</v>
      </c>
      <c r="O1460" s="52">
        <v>400</v>
      </c>
    </row>
    <row r="1461" spans="1:15" hidden="1" x14ac:dyDescent="0.25">
      <c r="A1461" t="s">
        <v>344</v>
      </c>
      <c r="B1461" s="52" t="s">
        <v>354</v>
      </c>
      <c r="C1461" s="52" t="s">
        <v>355</v>
      </c>
      <c r="D1461" s="52" t="s">
        <v>358</v>
      </c>
      <c r="E1461" s="52">
        <v>3</v>
      </c>
      <c r="F1461">
        <v>12</v>
      </c>
      <c r="G1461">
        <v>120</v>
      </c>
      <c r="H1461">
        <v>19</v>
      </c>
      <c r="I1461" s="52">
        <v>29.1</v>
      </c>
      <c r="J1461" s="52">
        <v>9.6999999999999993</v>
      </c>
      <c r="K1461" s="52"/>
      <c r="L1461" s="52">
        <v>33</v>
      </c>
      <c r="M1461" s="52">
        <v>72</v>
      </c>
      <c r="O1461" s="52">
        <v>400</v>
      </c>
    </row>
    <row r="1462" spans="1:15" hidden="1" x14ac:dyDescent="0.25">
      <c r="A1462" t="s">
        <v>344</v>
      </c>
      <c r="B1462" s="52" t="s">
        <v>354</v>
      </c>
      <c r="C1462" s="52" t="s">
        <v>355</v>
      </c>
      <c r="D1462" s="52" t="s">
        <v>358</v>
      </c>
      <c r="E1462" s="52">
        <v>3</v>
      </c>
      <c r="F1462">
        <v>12</v>
      </c>
      <c r="G1462">
        <v>140</v>
      </c>
      <c r="H1462">
        <v>19</v>
      </c>
      <c r="I1462" s="52">
        <v>29.1</v>
      </c>
      <c r="J1462" s="52">
        <v>9.6999999999999993</v>
      </c>
      <c r="K1462" s="52"/>
      <c r="L1462" s="52">
        <v>33</v>
      </c>
      <c r="M1462" s="52">
        <v>84</v>
      </c>
      <c r="O1462" s="52">
        <v>400</v>
      </c>
    </row>
    <row r="1463" spans="1:15" hidden="1" x14ac:dyDescent="0.25">
      <c r="A1463" t="s">
        <v>344</v>
      </c>
      <c r="B1463" s="52" t="s">
        <v>354</v>
      </c>
      <c r="C1463" s="52" t="s">
        <v>355</v>
      </c>
      <c r="D1463" s="52" t="s">
        <v>358</v>
      </c>
      <c r="E1463" s="52">
        <v>3</v>
      </c>
      <c r="F1463">
        <v>12</v>
      </c>
      <c r="G1463">
        <v>150</v>
      </c>
      <c r="H1463">
        <v>19</v>
      </c>
      <c r="I1463" s="52">
        <v>29.1</v>
      </c>
      <c r="J1463" s="52">
        <v>9.6999999999999993</v>
      </c>
      <c r="K1463" s="52"/>
      <c r="L1463" s="52">
        <v>33</v>
      </c>
      <c r="M1463" s="52">
        <v>90</v>
      </c>
      <c r="O1463" s="52">
        <v>400</v>
      </c>
    </row>
    <row r="1464" spans="1:15" hidden="1" x14ac:dyDescent="0.25">
      <c r="A1464" t="s">
        <v>344</v>
      </c>
      <c r="B1464" s="52" t="s">
        <v>354</v>
      </c>
      <c r="C1464" s="52" t="s">
        <v>355</v>
      </c>
      <c r="D1464" s="52" t="s">
        <v>358</v>
      </c>
      <c r="E1464" s="52">
        <v>3</v>
      </c>
      <c r="F1464">
        <v>12</v>
      </c>
      <c r="G1464">
        <v>160</v>
      </c>
      <c r="H1464">
        <v>19</v>
      </c>
      <c r="I1464" s="52">
        <v>29.1</v>
      </c>
      <c r="J1464" s="52">
        <v>9.6999999999999993</v>
      </c>
      <c r="K1464" s="52"/>
      <c r="L1464" s="52">
        <v>33</v>
      </c>
      <c r="M1464" s="52">
        <v>96</v>
      </c>
      <c r="O1464" s="52">
        <v>400</v>
      </c>
    </row>
    <row r="1465" spans="1:15" hidden="1" x14ac:dyDescent="0.25">
      <c r="A1465" t="s">
        <v>344</v>
      </c>
      <c r="B1465" s="52" t="s">
        <v>354</v>
      </c>
      <c r="C1465" s="52" t="s">
        <v>355</v>
      </c>
      <c r="D1465" s="52" t="s">
        <v>358</v>
      </c>
      <c r="E1465" s="52">
        <v>3</v>
      </c>
      <c r="F1465">
        <v>12</v>
      </c>
      <c r="G1465">
        <v>180</v>
      </c>
      <c r="H1465">
        <v>19</v>
      </c>
      <c r="I1465" s="52">
        <v>29.1</v>
      </c>
      <c r="J1465" s="52">
        <v>9.6999999999999993</v>
      </c>
      <c r="K1465" s="52"/>
      <c r="L1465" s="52">
        <v>33</v>
      </c>
      <c r="M1465" s="52">
        <v>108</v>
      </c>
      <c r="O1465" s="52">
        <v>400</v>
      </c>
    </row>
    <row r="1466" spans="1:15" hidden="1" x14ac:dyDescent="0.25">
      <c r="A1466" t="s">
        <v>344</v>
      </c>
      <c r="B1466" s="52" t="s">
        <v>354</v>
      </c>
      <c r="C1466" s="52" t="s">
        <v>355</v>
      </c>
      <c r="D1466" s="52" t="s">
        <v>358</v>
      </c>
      <c r="E1466" s="52">
        <v>3</v>
      </c>
      <c r="F1466">
        <v>12</v>
      </c>
      <c r="G1466">
        <v>200</v>
      </c>
      <c r="H1466">
        <v>19</v>
      </c>
      <c r="I1466" s="52">
        <v>29.1</v>
      </c>
      <c r="J1466" s="52">
        <v>9.6999999999999993</v>
      </c>
      <c r="K1466" s="52"/>
      <c r="L1466" s="52">
        <v>33</v>
      </c>
      <c r="M1466" s="52">
        <v>120</v>
      </c>
      <c r="O1466" s="52">
        <v>400</v>
      </c>
    </row>
    <row r="1467" spans="1:15" hidden="1" x14ac:dyDescent="0.25">
      <c r="A1467" t="s">
        <v>344</v>
      </c>
      <c r="B1467" s="52" t="s">
        <v>354</v>
      </c>
      <c r="C1467" s="52" t="s">
        <v>355</v>
      </c>
      <c r="D1467" s="52" t="s">
        <v>358</v>
      </c>
      <c r="E1467" s="52">
        <v>3</v>
      </c>
      <c r="F1467">
        <v>12</v>
      </c>
      <c r="G1467">
        <v>220</v>
      </c>
      <c r="H1467">
        <v>19</v>
      </c>
      <c r="I1467" s="52">
        <v>29.1</v>
      </c>
      <c r="J1467" s="52">
        <v>9.6999999999999993</v>
      </c>
      <c r="K1467" s="52"/>
      <c r="L1467" s="52">
        <v>33</v>
      </c>
      <c r="M1467" s="52">
        <v>132</v>
      </c>
      <c r="O1467" s="52">
        <v>400</v>
      </c>
    </row>
    <row r="1468" spans="1:15" hidden="1" x14ac:dyDescent="0.25">
      <c r="A1468" t="s">
        <v>344</v>
      </c>
      <c r="B1468" s="52" t="s">
        <v>354</v>
      </c>
      <c r="C1468" s="52" t="s">
        <v>355</v>
      </c>
      <c r="D1468" s="52" t="s">
        <v>358</v>
      </c>
      <c r="E1468" s="52">
        <v>3</v>
      </c>
      <c r="F1468">
        <v>12</v>
      </c>
      <c r="G1468">
        <v>240</v>
      </c>
      <c r="H1468">
        <v>19</v>
      </c>
      <c r="I1468" s="52">
        <v>29.1</v>
      </c>
      <c r="J1468" s="52">
        <v>9.6999999999999993</v>
      </c>
      <c r="K1468" s="52"/>
      <c r="L1468" s="52">
        <v>33</v>
      </c>
      <c r="M1468" s="52">
        <v>144</v>
      </c>
      <c r="O1468" s="52">
        <v>400</v>
      </c>
    </row>
    <row r="1469" spans="1:15" hidden="1" x14ac:dyDescent="0.25">
      <c r="A1469" t="s">
        <v>344</v>
      </c>
      <c r="B1469" s="52" t="s">
        <v>354</v>
      </c>
      <c r="C1469" s="52" t="s">
        <v>355</v>
      </c>
      <c r="D1469" s="52" t="s">
        <v>358</v>
      </c>
      <c r="E1469" s="52">
        <v>3</v>
      </c>
      <c r="F1469">
        <v>12</v>
      </c>
      <c r="G1469">
        <v>280</v>
      </c>
      <c r="H1469">
        <v>19</v>
      </c>
      <c r="I1469" s="52">
        <v>29.1</v>
      </c>
      <c r="J1469" s="52">
        <v>9.6999999999999993</v>
      </c>
      <c r="K1469" s="52"/>
      <c r="L1469" s="52">
        <v>33</v>
      </c>
      <c r="M1469" s="52">
        <v>168</v>
      </c>
      <c r="O1469" s="52">
        <v>400</v>
      </c>
    </row>
    <row r="1470" spans="1:15" hidden="1" x14ac:dyDescent="0.25">
      <c r="A1470" t="s">
        <v>344</v>
      </c>
      <c r="B1470" s="52" t="s">
        <v>354</v>
      </c>
      <c r="C1470" s="52" t="s">
        <v>355</v>
      </c>
      <c r="D1470" s="52" t="s">
        <v>358</v>
      </c>
      <c r="E1470" s="52">
        <v>3</v>
      </c>
      <c r="F1470">
        <v>12</v>
      </c>
      <c r="G1470">
        <v>300</v>
      </c>
      <c r="H1470">
        <v>19</v>
      </c>
      <c r="I1470" s="52">
        <v>29.1</v>
      </c>
      <c r="J1470" s="52">
        <v>9.6999999999999993</v>
      </c>
      <c r="K1470" s="52"/>
      <c r="L1470" s="52">
        <v>33</v>
      </c>
      <c r="M1470" s="52">
        <v>180</v>
      </c>
      <c r="O1470" s="52">
        <v>400</v>
      </c>
    </row>
    <row r="1471" spans="1:15" hidden="1" x14ac:dyDescent="0.25">
      <c r="A1471" t="s">
        <v>344</v>
      </c>
      <c r="B1471" s="52" t="s">
        <v>354</v>
      </c>
      <c r="C1471" s="52" t="s">
        <v>355</v>
      </c>
      <c r="D1471" s="52" t="s">
        <v>358</v>
      </c>
      <c r="E1471" s="52">
        <v>3</v>
      </c>
      <c r="F1471">
        <v>16</v>
      </c>
      <c r="G1471">
        <v>80</v>
      </c>
      <c r="H1471">
        <v>24</v>
      </c>
      <c r="I1471" s="52">
        <v>61.6</v>
      </c>
      <c r="J1471" s="52">
        <v>8.4</v>
      </c>
      <c r="K1471" s="52"/>
      <c r="L1471" s="52">
        <v>51</v>
      </c>
      <c r="M1471" s="52">
        <v>48</v>
      </c>
      <c r="O1471" s="52">
        <v>400</v>
      </c>
    </row>
    <row r="1472" spans="1:15" hidden="1" x14ac:dyDescent="0.25">
      <c r="A1472" t="s">
        <v>344</v>
      </c>
      <c r="B1472" s="52" t="s">
        <v>354</v>
      </c>
      <c r="C1472" s="52" t="s">
        <v>355</v>
      </c>
      <c r="D1472" s="52" t="s">
        <v>358</v>
      </c>
      <c r="E1472" s="52">
        <v>3</v>
      </c>
      <c r="F1472">
        <v>16</v>
      </c>
      <c r="G1472">
        <v>100</v>
      </c>
      <c r="H1472">
        <v>24</v>
      </c>
      <c r="I1472" s="52">
        <v>61.6</v>
      </c>
      <c r="J1472" s="52">
        <v>8.4</v>
      </c>
      <c r="K1472" s="52"/>
      <c r="L1472" s="52">
        <v>51</v>
      </c>
      <c r="M1472" s="52">
        <v>60</v>
      </c>
      <c r="O1472" s="52">
        <v>400</v>
      </c>
    </row>
    <row r="1473" spans="1:15" hidden="1" x14ac:dyDescent="0.25">
      <c r="A1473" t="s">
        <v>344</v>
      </c>
      <c r="B1473" s="52" t="s">
        <v>354</v>
      </c>
      <c r="C1473" s="52" t="s">
        <v>355</v>
      </c>
      <c r="D1473" s="52" t="s">
        <v>358</v>
      </c>
      <c r="E1473" s="52">
        <v>3</v>
      </c>
      <c r="F1473">
        <v>16</v>
      </c>
      <c r="G1473">
        <v>120</v>
      </c>
      <c r="H1473">
        <v>24</v>
      </c>
      <c r="I1473" s="52">
        <v>61.6</v>
      </c>
      <c r="J1473" s="52">
        <v>8.4</v>
      </c>
      <c r="K1473" s="52"/>
      <c r="L1473" s="52">
        <v>51</v>
      </c>
      <c r="M1473" s="52">
        <v>72</v>
      </c>
      <c r="O1473" s="52">
        <v>400</v>
      </c>
    </row>
    <row r="1474" spans="1:15" hidden="1" x14ac:dyDescent="0.25">
      <c r="A1474" t="s">
        <v>344</v>
      </c>
      <c r="B1474" s="52" t="s">
        <v>354</v>
      </c>
      <c r="C1474" s="52" t="s">
        <v>355</v>
      </c>
      <c r="D1474" s="52" t="s">
        <v>358</v>
      </c>
      <c r="E1474" s="52">
        <v>3</v>
      </c>
      <c r="F1474">
        <v>16</v>
      </c>
      <c r="G1474">
        <v>140</v>
      </c>
      <c r="H1474">
        <v>24</v>
      </c>
      <c r="I1474" s="52">
        <v>61.6</v>
      </c>
      <c r="J1474" s="52">
        <v>8.4</v>
      </c>
      <c r="K1474" s="52"/>
      <c r="L1474" s="52">
        <v>51</v>
      </c>
      <c r="M1474" s="52">
        <v>84</v>
      </c>
      <c r="O1474" s="52">
        <v>400</v>
      </c>
    </row>
    <row r="1475" spans="1:15" hidden="1" x14ac:dyDescent="0.25">
      <c r="A1475" t="s">
        <v>344</v>
      </c>
      <c r="B1475" s="52" t="s">
        <v>354</v>
      </c>
      <c r="C1475" s="52" t="s">
        <v>355</v>
      </c>
      <c r="D1475" s="52" t="s">
        <v>358</v>
      </c>
      <c r="E1475" s="52">
        <v>3</v>
      </c>
      <c r="F1475">
        <v>16</v>
      </c>
      <c r="G1475">
        <v>160</v>
      </c>
      <c r="H1475">
        <v>24</v>
      </c>
      <c r="I1475" s="52">
        <v>61.6</v>
      </c>
      <c r="J1475" s="52">
        <v>8.4</v>
      </c>
      <c r="K1475" s="52"/>
      <c r="L1475" s="52">
        <v>51</v>
      </c>
      <c r="M1475" s="52">
        <v>96</v>
      </c>
      <c r="O1475" s="52">
        <v>400</v>
      </c>
    </row>
    <row r="1476" spans="1:15" hidden="1" x14ac:dyDescent="0.25">
      <c r="A1476" t="s">
        <v>344</v>
      </c>
      <c r="B1476" s="52" t="s">
        <v>354</v>
      </c>
      <c r="C1476" s="52" t="s">
        <v>355</v>
      </c>
      <c r="D1476" s="52" t="s">
        <v>358</v>
      </c>
      <c r="E1476" s="52">
        <v>3</v>
      </c>
      <c r="F1476">
        <v>16</v>
      </c>
      <c r="G1476">
        <v>200</v>
      </c>
      <c r="H1476">
        <v>24</v>
      </c>
      <c r="I1476" s="52">
        <v>61.6</v>
      </c>
      <c r="J1476" s="52">
        <v>8.4</v>
      </c>
      <c r="K1476" s="52"/>
      <c r="L1476" s="52">
        <v>51</v>
      </c>
      <c r="M1476" s="52">
        <v>120</v>
      </c>
      <c r="O1476" s="52">
        <v>400</v>
      </c>
    </row>
    <row r="1477" spans="1:15" hidden="1" x14ac:dyDescent="0.25">
      <c r="A1477" t="s">
        <v>344</v>
      </c>
      <c r="B1477" s="52" t="s">
        <v>354</v>
      </c>
      <c r="C1477" s="52" t="s">
        <v>355</v>
      </c>
      <c r="D1477" s="52" t="s">
        <v>358</v>
      </c>
      <c r="E1477" s="52">
        <v>3</v>
      </c>
      <c r="F1477">
        <v>16</v>
      </c>
      <c r="G1477">
        <v>220</v>
      </c>
      <c r="H1477">
        <v>24</v>
      </c>
      <c r="I1477" s="52">
        <v>61.6</v>
      </c>
      <c r="J1477" s="52">
        <v>8.4</v>
      </c>
      <c r="K1477" s="52"/>
      <c r="L1477" s="52">
        <v>51</v>
      </c>
      <c r="M1477" s="52">
        <v>132</v>
      </c>
      <c r="O1477" s="52">
        <v>400</v>
      </c>
    </row>
    <row r="1478" spans="1:15" hidden="1" x14ac:dyDescent="0.25">
      <c r="A1478" t="s">
        <v>344</v>
      </c>
      <c r="B1478" s="52" t="s">
        <v>354</v>
      </c>
      <c r="C1478" s="52" t="s">
        <v>355</v>
      </c>
      <c r="D1478" s="52" t="s">
        <v>358</v>
      </c>
      <c r="E1478" s="52">
        <v>3</v>
      </c>
      <c r="F1478">
        <v>16</v>
      </c>
      <c r="G1478">
        <v>260</v>
      </c>
      <c r="H1478">
        <v>24</v>
      </c>
      <c r="I1478" s="52">
        <v>61.6</v>
      </c>
      <c r="J1478" s="52">
        <v>8.4</v>
      </c>
      <c r="K1478" s="52"/>
      <c r="L1478" s="52">
        <v>51</v>
      </c>
      <c r="M1478" s="52">
        <v>156</v>
      </c>
      <c r="O1478" s="52">
        <v>400</v>
      </c>
    </row>
    <row r="1479" spans="1:15" hidden="1" x14ac:dyDescent="0.25">
      <c r="A1479" t="s">
        <v>344</v>
      </c>
      <c r="B1479" s="52" t="s">
        <v>354</v>
      </c>
      <c r="C1479" s="52" t="s">
        <v>355</v>
      </c>
      <c r="D1479" s="52" t="s">
        <v>358</v>
      </c>
      <c r="E1479" s="52">
        <v>3</v>
      </c>
      <c r="F1479">
        <v>16</v>
      </c>
      <c r="G1479">
        <v>300</v>
      </c>
      <c r="H1479">
        <v>24</v>
      </c>
      <c r="I1479" s="52">
        <v>61.6</v>
      </c>
      <c r="J1479" s="52">
        <v>8.4</v>
      </c>
      <c r="K1479" s="52"/>
      <c r="L1479" s="52">
        <v>51</v>
      </c>
      <c r="M1479" s="52">
        <v>180</v>
      </c>
      <c r="O1479" s="52">
        <v>400</v>
      </c>
    </row>
    <row r="1480" spans="1:15" hidden="1" x14ac:dyDescent="0.25">
      <c r="A1480" t="s">
        <v>344</v>
      </c>
      <c r="B1480" t="s">
        <v>354</v>
      </c>
      <c r="C1480" t="s">
        <v>356</v>
      </c>
      <c r="D1480" t="s">
        <v>359</v>
      </c>
      <c r="E1480">
        <v>2</v>
      </c>
      <c r="F1480">
        <v>5</v>
      </c>
      <c r="G1480">
        <v>30</v>
      </c>
      <c r="H1480">
        <v>8</v>
      </c>
      <c r="I1480">
        <v>5.984</v>
      </c>
      <c r="J1480">
        <v>9.31</v>
      </c>
      <c r="K1480">
        <v>26.42</v>
      </c>
      <c r="L1480">
        <v>5.2</v>
      </c>
      <c r="M1480">
        <v>18</v>
      </c>
      <c r="O1480" s="52">
        <v>400</v>
      </c>
    </row>
    <row r="1481" spans="1:15" hidden="1" x14ac:dyDescent="0.25">
      <c r="A1481" t="s">
        <v>344</v>
      </c>
      <c r="B1481" t="s">
        <v>354</v>
      </c>
      <c r="C1481" t="s">
        <v>356</v>
      </c>
      <c r="D1481" t="s">
        <v>359</v>
      </c>
      <c r="E1481">
        <v>2</v>
      </c>
      <c r="F1481">
        <v>6</v>
      </c>
      <c r="H1481">
        <v>10</v>
      </c>
      <c r="I1481">
        <v>10.749000000000001</v>
      </c>
      <c r="J1481">
        <v>7.73</v>
      </c>
      <c r="K1481">
        <v>24.9</v>
      </c>
      <c r="L1481">
        <v>7.4</v>
      </c>
      <c r="O1481" s="52">
        <v>400</v>
      </c>
    </row>
    <row r="1482" spans="1:15" hidden="1" x14ac:dyDescent="0.25">
      <c r="A1482" t="s">
        <v>344</v>
      </c>
      <c r="B1482" t="s">
        <v>354</v>
      </c>
      <c r="C1482" t="s">
        <v>356</v>
      </c>
      <c r="D1482" t="s">
        <v>359</v>
      </c>
      <c r="E1482">
        <v>2</v>
      </c>
      <c r="F1482">
        <v>7</v>
      </c>
      <c r="H1482">
        <v>12</v>
      </c>
      <c r="I1482">
        <v>18.047000000000001</v>
      </c>
      <c r="J1482">
        <v>10.33</v>
      </c>
      <c r="K1482">
        <v>24.74</v>
      </c>
      <c r="L1482">
        <v>9.1</v>
      </c>
      <c r="O1482" s="52">
        <v>400</v>
      </c>
    </row>
    <row r="1483" spans="1:15" hidden="1" x14ac:dyDescent="0.25">
      <c r="A1483" t="s">
        <v>344</v>
      </c>
      <c r="B1483" t="s">
        <v>354</v>
      </c>
      <c r="C1483" t="s">
        <v>356</v>
      </c>
      <c r="D1483" t="s">
        <v>359</v>
      </c>
      <c r="E1483">
        <v>2</v>
      </c>
      <c r="F1483">
        <v>8</v>
      </c>
      <c r="H1483">
        <v>13</v>
      </c>
      <c r="I1483">
        <v>24.131</v>
      </c>
      <c r="J1483">
        <v>6.72</v>
      </c>
      <c r="K1483">
        <v>22.55</v>
      </c>
      <c r="L1483">
        <v>11.8</v>
      </c>
      <c r="O1483" s="52">
        <v>400</v>
      </c>
    </row>
    <row r="1484" spans="1:15" hidden="1" x14ac:dyDescent="0.25">
      <c r="A1484" t="s">
        <v>344</v>
      </c>
      <c r="B1484" t="s">
        <v>354</v>
      </c>
      <c r="C1484" t="s">
        <v>356</v>
      </c>
      <c r="D1484" t="s">
        <v>359</v>
      </c>
      <c r="E1484">
        <v>2</v>
      </c>
      <c r="F1484">
        <v>10</v>
      </c>
      <c r="H1484">
        <v>17</v>
      </c>
      <c r="I1484">
        <v>49.055999999999997</v>
      </c>
      <c r="J1484">
        <v>6.71</v>
      </c>
      <c r="K1484">
        <v>21.37</v>
      </c>
      <c r="L1484">
        <v>18.899999999999999</v>
      </c>
      <c r="O1484" s="52">
        <v>400</v>
      </c>
    </row>
    <row r="1485" spans="1:15" hidden="1" x14ac:dyDescent="0.25">
      <c r="A1485" t="s">
        <v>344</v>
      </c>
      <c r="B1485" t="s">
        <v>354</v>
      </c>
      <c r="C1485" t="s">
        <v>356</v>
      </c>
      <c r="D1485" t="s">
        <v>359</v>
      </c>
      <c r="E1485">
        <v>2</v>
      </c>
      <c r="F1485">
        <v>12</v>
      </c>
      <c r="H1485">
        <v>19</v>
      </c>
      <c r="I1485">
        <v>81.096000000000004</v>
      </c>
      <c r="J1485">
        <v>7.62</v>
      </c>
      <c r="K1485">
        <v>20.149999999999999</v>
      </c>
      <c r="L1485">
        <v>34.200000000000003</v>
      </c>
      <c r="O1485" s="52">
        <v>400</v>
      </c>
    </row>
    <row r="1486" spans="1:15" hidden="1" x14ac:dyDescent="0.25">
      <c r="A1486" t="s">
        <v>344</v>
      </c>
      <c r="B1486" t="s">
        <v>354</v>
      </c>
      <c r="C1486" t="s">
        <v>356</v>
      </c>
      <c r="D1486" t="s">
        <v>359</v>
      </c>
      <c r="E1486">
        <v>2</v>
      </c>
      <c r="F1486">
        <v>14</v>
      </c>
      <c r="H1486">
        <v>22</v>
      </c>
      <c r="I1486">
        <v>129.19800000000001</v>
      </c>
      <c r="J1486">
        <v>7.05</v>
      </c>
      <c r="K1486">
        <v>20.23</v>
      </c>
      <c r="L1486">
        <v>45.2</v>
      </c>
      <c r="O1486" s="52">
        <v>400</v>
      </c>
    </row>
    <row r="1487" spans="1:15" hidden="1" x14ac:dyDescent="0.25">
      <c r="A1487" t="s">
        <v>344</v>
      </c>
      <c r="B1487" t="s">
        <v>354</v>
      </c>
      <c r="C1487" t="s">
        <v>357</v>
      </c>
      <c r="D1487" t="s">
        <v>359</v>
      </c>
      <c r="E1487">
        <v>3</v>
      </c>
      <c r="F1487">
        <v>6</v>
      </c>
      <c r="H1487">
        <v>10</v>
      </c>
      <c r="I1487">
        <v>14.18</v>
      </c>
      <c r="J1487">
        <v>13.24</v>
      </c>
      <c r="K1487">
        <v>24.77</v>
      </c>
      <c r="L1487">
        <v>12.81</v>
      </c>
    </row>
    <row r="1488" spans="1:15" hidden="1" x14ac:dyDescent="0.25">
      <c r="A1488" t="s">
        <v>344</v>
      </c>
      <c r="B1488" t="s">
        <v>354</v>
      </c>
      <c r="C1488" t="s">
        <v>357</v>
      </c>
      <c r="D1488" t="s">
        <v>359</v>
      </c>
      <c r="E1488">
        <v>3</v>
      </c>
      <c r="F1488">
        <v>8</v>
      </c>
      <c r="H1488">
        <v>13</v>
      </c>
      <c r="I1488">
        <v>29.081</v>
      </c>
      <c r="J1488">
        <v>12.43</v>
      </c>
      <c r="K1488">
        <v>22.25</v>
      </c>
      <c r="L1488">
        <v>18.55</v>
      </c>
    </row>
    <row r="1489" spans="1:13" hidden="1" x14ac:dyDescent="0.25">
      <c r="A1489" t="s">
        <v>344</v>
      </c>
      <c r="B1489" t="s">
        <v>354</v>
      </c>
      <c r="C1489" t="s">
        <v>357</v>
      </c>
      <c r="D1489" t="s">
        <v>359</v>
      </c>
      <c r="E1489">
        <v>3</v>
      </c>
      <c r="F1489">
        <v>10</v>
      </c>
      <c r="H1489">
        <v>17</v>
      </c>
      <c r="I1489">
        <v>41.347999999999999</v>
      </c>
      <c r="J1489">
        <v>12.23</v>
      </c>
      <c r="K1489">
        <v>20.76</v>
      </c>
      <c r="L1489">
        <v>30.12</v>
      </c>
    </row>
    <row r="1490" spans="1:13" hidden="1" x14ac:dyDescent="0.25">
      <c r="A1490" t="s">
        <v>344</v>
      </c>
      <c r="B1490" t="s">
        <v>376</v>
      </c>
      <c r="C1490" t="s">
        <v>374</v>
      </c>
      <c r="D1490" t="s">
        <v>375</v>
      </c>
      <c r="E1490">
        <v>3</v>
      </c>
      <c r="F1490">
        <v>6</v>
      </c>
      <c r="G1490">
        <v>40</v>
      </c>
      <c r="H1490">
        <v>14.2</v>
      </c>
      <c r="I1490">
        <v>11.956</v>
      </c>
      <c r="J1490">
        <v>16.559999999999999</v>
      </c>
      <c r="K1490">
        <v>28.76</v>
      </c>
      <c r="L1490">
        <v>10.71</v>
      </c>
      <c r="M1490">
        <v>40</v>
      </c>
    </row>
    <row r="1491" spans="1:13" hidden="1" x14ac:dyDescent="0.25">
      <c r="A1491" t="s">
        <v>344</v>
      </c>
      <c r="B1491" t="s">
        <v>376</v>
      </c>
      <c r="C1491" t="s">
        <v>374</v>
      </c>
      <c r="D1491" t="s">
        <v>375</v>
      </c>
      <c r="E1491">
        <v>3</v>
      </c>
      <c r="F1491">
        <v>6</v>
      </c>
      <c r="G1491">
        <v>45</v>
      </c>
      <c r="H1491">
        <v>14.2</v>
      </c>
      <c r="I1491">
        <v>11.956</v>
      </c>
      <c r="J1491">
        <v>16.559999999999999</v>
      </c>
      <c r="K1491">
        <v>28.76</v>
      </c>
      <c r="L1491">
        <v>10.71</v>
      </c>
      <c r="M1491">
        <v>45</v>
      </c>
    </row>
    <row r="1492" spans="1:13" hidden="1" x14ac:dyDescent="0.25">
      <c r="A1492" t="s">
        <v>344</v>
      </c>
      <c r="B1492" t="s">
        <v>376</v>
      </c>
      <c r="C1492" t="s">
        <v>374</v>
      </c>
      <c r="D1492" t="s">
        <v>375</v>
      </c>
      <c r="E1492">
        <v>3</v>
      </c>
      <c r="F1492">
        <v>6</v>
      </c>
      <c r="G1492">
        <v>50</v>
      </c>
      <c r="H1492">
        <v>14.2</v>
      </c>
      <c r="I1492">
        <v>11.956</v>
      </c>
      <c r="J1492">
        <v>16.559999999999999</v>
      </c>
      <c r="K1492">
        <v>28.76</v>
      </c>
      <c r="L1492">
        <v>10.71</v>
      </c>
      <c r="M1492">
        <v>50</v>
      </c>
    </row>
    <row r="1493" spans="1:13" hidden="1" x14ac:dyDescent="0.25">
      <c r="A1493" t="s">
        <v>344</v>
      </c>
      <c r="B1493" t="s">
        <v>376</v>
      </c>
      <c r="C1493" t="s">
        <v>374</v>
      </c>
      <c r="D1493" t="s">
        <v>375</v>
      </c>
      <c r="E1493">
        <v>3</v>
      </c>
      <c r="F1493">
        <v>6</v>
      </c>
      <c r="G1493">
        <v>60</v>
      </c>
      <c r="H1493">
        <v>14.2</v>
      </c>
      <c r="I1493">
        <v>11.956</v>
      </c>
      <c r="J1493">
        <v>16.559999999999999</v>
      </c>
      <c r="K1493">
        <v>28.76</v>
      </c>
      <c r="L1493">
        <v>10.71</v>
      </c>
      <c r="M1493">
        <v>60</v>
      </c>
    </row>
    <row r="1494" spans="1:13" hidden="1" x14ac:dyDescent="0.25">
      <c r="A1494" t="s">
        <v>344</v>
      </c>
      <c r="B1494" t="s">
        <v>376</v>
      </c>
      <c r="C1494" t="s">
        <v>374</v>
      </c>
      <c r="D1494" t="s">
        <v>375</v>
      </c>
      <c r="E1494">
        <v>3</v>
      </c>
      <c r="F1494">
        <v>6</v>
      </c>
      <c r="G1494">
        <v>70</v>
      </c>
      <c r="H1494">
        <v>14.2</v>
      </c>
      <c r="I1494">
        <v>11.956</v>
      </c>
      <c r="J1494">
        <v>16.559999999999999</v>
      </c>
      <c r="K1494">
        <v>28.76</v>
      </c>
      <c r="L1494">
        <v>10.71</v>
      </c>
      <c r="M1494">
        <v>70</v>
      </c>
    </row>
    <row r="1495" spans="1:13" hidden="1" x14ac:dyDescent="0.25">
      <c r="A1495" t="s">
        <v>344</v>
      </c>
      <c r="B1495" t="s">
        <v>376</v>
      </c>
      <c r="C1495" t="s">
        <v>374</v>
      </c>
      <c r="D1495" t="s">
        <v>375</v>
      </c>
      <c r="E1495">
        <v>3</v>
      </c>
      <c r="F1495">
        <v>6</v>
      </c>
      <c r="G1495">
        <v>80</v>
      </c>
      <c r="H1495">
        <v>14.2</v>
      </c>
      <c r="I1495">
        <v>11.956</v>
      </c>
      <c r="J1495">
        <v>16.559999999999999</v>
      </c>
      <c r="K1495">
        <v>28.76</v>
      </c>
      <c r="L1495">
        <v>10.71</v>
      </c>
      <c r="M1495">
        <v>80</v>
      </c>
    </row>
    <row r="1496" spans="1:13" hidden="1" x14ac:dyDescent="0.25">
      <c r="A1496" t="s">
        <v>344</v>
      </c>
      <c r="B1496" t="s">
        <v>376</v>
      </c>
      <c r="C1496" t="s">
        <v>374</v>
      </c>
      <c r="D1496" t="s">
        <v>375</v>
      </c>
      <c r="E1496">
        <v>3</v>
      </c>
      <c r="F1496">
        <v>6</v>
      </c>
      <c r="G1496">
        <v>90</v>
      </c>
      <c r="H1496">
        <v>14.2</v>
      </c>
      <c r="I1496">
        <v>11.956</v>
      </c>
      <c r="J1496">
        <v>16.559999999999999</v>
      </c>
      <c r="K1496">
        <v>28.76</v>
      </c>
      <c r="L1496">
        <v>10.71</v>
      </c>
      <c r="M1496">
        <v>90</v>
      </c>
    </row>
    <row r="1497" spans="1:13" hidden="1" x14ac:dyDescent="0.25">
      <c r="A1497" t="s">
        <v>344</v>
      </c>
      <c r="B1497" t="s">
        <v>376</v>
      </c>
      <c r="C1497" t="s">
        <v>374</v>
      </c>
      <c r="D1497" t="s">
        <v>375</v>
      </c>
      <c r="E1497">
        <v>3</v>
      </c>
      <c r="F1497">
        <v>6</v>
      </c>
      <c r="G1497">
        <v>100</v>
      </c>
      <c r="H1497">
        <v>14.2</v>
      </c>
      <c r="I1497">
        <v>11.956</v>
      </c>
      <c r="J1497">
        <v>16.559999999999999</v>
      </c>
      <c r="K1497">
        <v>28.76</v>
      </c>
      <c r="L1497">
        <v>10.71</v>
      </c>
      <c r="M1497">
        <v>100</v>
      </c>
    </row>
    <row r="1498" spans="1:13" hidden="1" x14ac:dyDescent="0.25">
      <c r="A1498" t="s">
        <v>344</v>
      </c>
      <c r="B1498" t="s">
        <v>376</v>
      </c>
      <c r="C1498" t="s">
        <v>374</v>
      </c>
      <c r="D1498" t="s">
        <v>375</v>
      </c>
      <c r="E1498">
        <v>3</v>
      </c>
      <c r="F1498">
        <v>8</v>
      </c>
      <c r="G1498">
        <v>40</v>
      </c>
      <c r="H1498">
        <v>18</v>
      </c>
      <c r="I1498">
        <v>28.808</v>
      </c>
      <c r="J1498">
        <v>15.14</v>
      </c>
      <c r="K1498">
        <v>24.13</v>
      </c>
      <c r="L1498">
        <v>19.579999999999998</v>
      </c>
      <c r="M1498">
        <v>40</v>
      </c>
    </row>
    <row r="1499" spans="1:13" hidden="1" x14ac:dyDescent="0.25">
      <c r="A1499" t="s">
        <v>344</v>
      </c>
      <c r="B1499" t="s">
        <v>376</v>
      </c>
      <c r="C1499" t="s">
        <v>374</v>
      </c>
      <c r="D1499" t="s">
        <v>375</v>
      </c>
      <c r="E1499">
        <v>3</v>
      </c>
      <c r="F1499">
        <v>8</v>
      </c>
      <c r="G1499">
        <v>50</v>
      </c>
      <c r="H1499">
        <v>18</v>
      </c>
      <c r="I1499">
        <v>28.808</v>
      </c>
      <c r="J1499">
        <v>15.14</v>
      </c>
      <c r="K1499">
        <v>24.13</v>
      </c>
      <c r="L1499">
        <v>19.579999999999998</v>
      </c>
      <c r="M1499">
        <v>50</v>
      </c>
    </row>
    <row r="1500" spans="1:13" hidden="1" x14ac:dyDescent="0.25">
      <c r="A1500" t="s">
        <v>344</v>
      </c>
      <c r="B1500" t="s">
        <v>376</v>
      </c>
      <c r="C1500" t="s">
        <v>374</v>
      </c>
      <c r="D1500" t="s">
        <v>375</v>
      </c>
      <c r="E1500">
        <v>3</v>
      </c>
      <c r="F1500">
        <v>8</v>
      </c>
      <c r="G1500">
        <v>60</v>
      </c>
      <c r="H1500">
        <v>18</v>
      </c>
      <c r="I1500">
        <v>28.808</v>
      </c>
      <c r="J1500">
        <v>15.14</v>
      </c>
      <c r="K1500">
        <v>24.13</v>
      </c>
      <c r="L1500">
        <v>19.579999999999998</v>
      </c>
      <c r="M1500">
        <v>60</v>
      </c>
    </row>
    <row r="1501" spans="1:13" hidden="1" x14ac:dyDescent="0.25">
      <c r="A1501" t="s">
        <v>344</v>
      </c>
      <c r="B1501" t="s">
        <v>376</v>
      </c>
      <c r="C1501" t="s">
        <v>374</v>
      </c>
      <c r="D1501" t="s">
        <v>375</v>
      </c>
      <c r="E1501">
        <v>3</v>
      </c>
      <c r="F1501">
        <v>8</v>
      </c>
      <c r="G1501">
        <v>70</v>
      </c>
      <c r="H1501">
        <v>18</v>
      </c>
      <c r="I1501">
        <v>28.808</v>
      </c>
      <c r="J1501">
        <v>15.14</v>
      </c>
      <c r="K1501">
        <v>24.13</v>
      </c>
      <c r="L1501">
        <v>19.579999999999998</v>
      </c>
      <c r="M1501">
        <v>70</v>
      </c>
    </row>
    <row r="1502" spans="1:13" hidden="1" x14ac:dyDescent="0.25">
      <c r="A1502" t="s">
        <v>344</v>
      </c>
      <c r="B1502" t="s">
        <v>376</v>
      </c>
      <c r="C1502" t="s">
        <v>374</v>
      </c>
      <c r="D1502" t="s">
        <v>375</v>
      </c>
      <c r="E1502">
        <v>3</v>
      </c>
      <c r="F1502">
        <v>8</v>
      </c>
      <c r="G1502">
        <v>80</v>
      </c>
      <c r="H1502">
        <v>18</v>
      </c>
      <c r="I1502">
        <v>28.808</v>
      </c>
      <c r="J1502">
        <v>15.14</v>
      </c>
      <c r="K1502">
        <v>24.13</v>
      </c>
      <c r="L1502">
        <v>19.579999999999998</v>
      </c>
      <c r="M1502">
        <v>80</v>
      </c>
    </row>
    <row r="1503" spans="1:13" hidden="1" x14ac:dyDescent="0.25">
      <c r="A1503" t="s">
        <v>344</v>
      </c>
      <c r="B1503" t="s">
        <v>376</v>
      </c>
      <c r="C1503" t="s">
        <v>374</v>
      </c>
      <c r="D1503" t="s">
        <v>375</v>
      </c>
      <c r="E1503">
        <v>3</v>
      </c>
      <c r="F1503">
        <v>8</v>
      </c>
      <c r="G1503">
        <v>90</v>
      </c>
      <c r="H1503">
        <v>18</v>
      </c>
      <c r="I1503">
        <v>28.808</v>
      </c>
      <c r="J1503">
        <v>15.14</v>
      </c>
      <c r="K1503">
        <v>24.13</v>
      </c>
      <c r="L1503">
        <v>19.579999999999998</v>
      </c>
      <c r="M1503">
        <v>90</v>
      </c>
    </row>
    <row r="1504" spans="1:13" hidden="1" x14ac:dyDescent="0.25">
      <c r="A1504" t="s">
        <v>344</v>
      </c>
      <c r="B1504" t="s">
        <v>376</v>
      </c>
      <c r="C1504" t="s">
        <v>374</v>
      </c>
      <c r="D1504" t="s">
        <v>375</v>
      </c>
      <c r="E1504">
        <v>3</v>
      </c>
      <c r="F1504">
        <v>8</v>
      </c>
      <c r="G1504">
        <v>100</v>
      </c>
      <c r="H1504">
        <v>18</v>
      </c>
      <c r="I1504">
        <v>28.808</v>
      </c>
      <c r="J1504">
        <v>15.14</v>
      </c>
      <c r="K1504">
        <v>24.13</v>
      </c>
      <c r="L1504">
        <v>19.579999999999998</v>
      </c>
      <c r="M1504">
        <v>100</v>
      </c>
    </row>
    <row r="1505" spans="1:13" hidden="1" x14ac:dyDescent="0.25">
      <c r="A1505" t="s">
        <v>344</v>
      </c>
      <c r="B1505" t="s">
        <v>376</v>
      </c>
      <c r="C1505" t="s">
        <v>374</v>
      </c>
      <c r="D1505" t="s">
        <v>375</v>
      </c>
      <c r="E1505">
        <v>3</v>
      </c>
      <c r="F1505">
        <v>8</v>
      </c>
      <c r="G1505">
        <v>120</v>
      </c>
      <c r="H1505">
        <v>18</v>
      </c>
      <c r="I1505">
        <v>28.808</v>
      </c>
      <c r="J1505">
        <v>15.14</v>
      </c>
      <c r="K1505">
        <v>24.13</v>
      </c>
      <c r="L1505">
        <v>19.579999999999998</v>
      </c>
      <c r="M1505">
        <v>100</v>
      </c>
    </row>
    <row r="1506" spans="1:13" hidden="1" x14ac:dyDescent="0.25">
      <c r="A1506" t="s">
        <v>344</v>
      </c>
      <c r="B1506" t="s">
        <v>376</v>
      </c>
      <c r="C1506" t="s">
        <v>374</v>
      </c>
      <c r="D1506" t="s">
        <v>375</v>
      </c>
      <c r="E1506">
        <v>3</v>
      </c>
      <c r="F1506">
        <v>10</v>
      </c>
      <c r="G1506">
        <v>40</v>
      </c>
      <c r="H1506">
        <v>22.3</v>
      </c>
      <c r="I1506">
        <v>53.284999999999997</v>
      </c>
      <c r="J1506">
        <v>13.57</v>
      </c>
      <c r="K1506">
        <v>23.44</v>
      </c>
      <c r="L1506">
        <v>30.54</v>
      </c>
      <c r="M1506">
        <v>40</v>
      </c>
    </row>
    <row r="1507" spans="1:13" hidden="1" x14ac:dyDescent="0.25">
      <c r="A1507" t="s">
        <v>344</v>
      </c>
      <c r="B1507" t="s">
        <v>376</v>
      </c>
      <c r="C1507" t="s">
        <v>374</v>
      </c>
      <c r="D1507" t="s">
        <v>375</v>
      </c>
      <c r="E1507">
        <v>3</v>
      </c>
      <c r="F1507">
        <v>10</v>
      </c>
      <c r="G1507">
        <v>50</v>
      </c>
      <c r="H1507">
        <v>22.3</v>
      </c>
      <c r="I1507">
        <v>53.284999999999997</v>
      </c>
      <c r="J1507">
        <v>13.57</v>
      </c>
      <c r="K1507">
        <v>23.44</v>
      </c>
      <c r="L1507">
        <v>30.54</v>
      </c>
      <c r="M1507">
        <v>50</v>
      </c>
    </row>
    <row r="1508" spans="1:13" hidden="1" x14ac:dyDescent="0.25">
      <c r="A1508" t="s">
        <v>344</v>
      </c>
      <c r="B1508" t="s">
        <v>376</v>
      </c>
      <c r="C1508" t="s">
        <v>374</v>
      </c>
      <c r="D1508" t="s">
        <v>375</v>
      </c>
      <c r="E1508">
        <v>3</v>
      </c>
      <c r="F1508">
        <v>10</v>
      </c>
      <c r="G1508">
        <v>60</v>
      </c>
      <c r="H1508">
        <v>22.3</v>
      </c>
      <c r="I1508">
        <v>53.284999999999997</v>
      </c>
      <c r="J1508">
        <v>13.57</v>
      </c>
      <c r="K1508">
        <v>23.44</v>
      </c>
      <c r="L1508">
        <v>30.54</v>
      </c>
      <c r="M1508">
        <v>60</v>
      </c>
    </row>
    <row r="1509" spans="1:13" hidden="1" x14ac:dyDescent="0.25">
      <c r="A1509" t="s">
        <v>344</v>
      </c>
      <c r="B1509" t="s">
        <v>376</v>
      </c>
      <c r="C1509" t="s">
        <v>374</v>
      </c>
      <c r="D1509" t="s">
        <v>375</v>
      </c>
      <c r="E1509">
        <v>3</v>
      </c>
      <c r="F1509">
        <v>10</v>
      </c>
      <c r="G1509">
        <v>70</v>
      </c>
      <c r="H1509">
        <v>22.3</v>
      </c>
      <c r="I1509">
        <v>53.284999999999997</v>
      </c>
      <c r="J1509">
        <v>13.57</v>
      </c>
      <c r="K1509">
        <v>23.44</v>
      </c>
      <c r="L1509">
        <v>30.54</v>
      </c>
      <c r="M1509">
        <v>70</v>
      </c>
    </row>
    <row r="1510" spans="1:13" hidden="1" x14ac:dyDescent="0.25">
      <c r="A1510" t="s">
        <v>344</v>
      </c>
      <c r="B1510" t="s">
        <v>376</v>
      </c>
      <c r="C1510" t="s">
        <v>374</v>
      </c>
      <c r="D1510" t="s">
        <v>375</v>
      </c>
      <c r="E1510">
        <v>3</v>
      </c>
      <c r="F1510">
        <v>10</v>
      </c>
      <c r="G1510">
        <v>80</v>
      </c>
      <c r="H1510">
        <v>22.3</v>
      </c>
      <c r="I1510">
        <v>53.284999999999997</v>
      </c>
      <c r="J1510">
        <v>13.57</v>
      </c>
      <c r="K1510">
        <v>23.44</v>
      </c>
      <c r="L1510">
        <v>30.54</v>
      </c>
      <c r="M1510">
        <v>80</v>
      </c>
    </row>
    <row r="1511" spans="1:13" hidden="1" x14ac:dyDescent="0.25">
      <c r="A1511" t="s">
        <v>344</v>
      </c>
      <c r="B1511" t="s">
        <v>376</v>
      </c>
      <c r="C1511" t="s">
        <v>374</v>
      </c>
      <c r="D1511" t="s">
        <v>375</v>
      </c>
      <c r="E1511">
        <v>3</v>
      </c>
      <c r="F1511">
        <v>10</v>
      </c>
      <c r="G1511">
        <v>90</v>
      </c>
      <c r="H1511">
        <v>22.3</v>
      </c>
      <c r="I1511">
        <v>53.284999999999997</v>
      </c>
      <c r="J1511">
        <v>13.57</v>
      </c>
      <c r="K1511">
        <v>23.44</v>
      </c>
      <c r="L1511">
        <v>30.54</v>
      </c>
      <c r="M1511">
        <v>90</v>
      </c>
    </row>
    <row r="1512" spans="1:13" hidden="1" x14ac:dyDescent="0.25">
      <c r="A1512" t="s">
        <v>344</v>
      </c>
      <c r="B1512" t="s">
        <v>376</v>
      </c>
      <c r="C1512" t="s">
        <v>374</v>
      </c>
      <c r="D1512" t="s">
        <v>375</v>
      </c>
      <c r="E1512">
        <v>3</v>
      </c>
      <c r="F1512">
        <v>10</v>
      </c>
      <c r="G1512">
        <v>100</v>
      </c>
      <c r="H1512">
        <v>22.3</v>
      </c>
      <c r="I1512">
        <v>53.284999999999997</v>
      </c>
      <c r="J1512">
        <v>13.57</v>
      </c>
      <c r="K1512">
        <v>23.44</v>
      </c>
      <c r="L1512">
        <v>30.54</v>
      </c>
      <c r="M1512">
        <v>100</v>
      </c>
    </row>
    <row r="1513" spans="1:13" hidden="1" x14ac:dyDescent="0.25">
      <c r="A1513" t="s">
        <v>344</v>
      </c>
      <c r="B1513" t="s">
        <v>376</v>
      </c>
      <c r="C1513" t="s">
        <v>374</v>
      </c>
      <c r="D1513" t="s">
        <v>375</v>
      </c>
      <c r="E1513">
        <v>3</v>
      </c>
      <c r="F1513">
        <v>10</v>
      </c>
      <c r="G1513">
        <v>120</v>
      </c>
      <c r="H1513">
        <v>22.3</v>
      </c>
      <c r="I1513">
        <v>53.284999999999997</v>
      </c>
      <c r="J1513">
        <v>13.57</v>
      </c>
      <c r="K1513">
        <v>23.44</v>
      </c>
      <c r="L1513">
        <v>30.54</v>
      </c>
      <c r="M1513">
        <v>100</v>
      </c>
    </row>
    <row r="1514" spans="1:13" hidden="1" x14ac:dyDescent="0.25">
      <c r="A1514" t="s">
        <v>344</v>
      </c>
      <c r="B1514" t="s">
        <v>376</v>
      </c>
      <c r="C1514" t="s">
        <v>374</v>
      </c>
      <c r="D1514" t="s">
        <v>375</v>
      </c>
      <c r="E1514">
        <v>3</v>
      </c>
      <c r="F1514">
        <v>10</v>
      </c>
      <c r="G1514">
        <v>150</v>
      </c>
      <c r="H1514">
        <v>22.3</v>
      </c>
      <c r="I1514">
        <v>53.284999999999997</v>
      </c>
      <c r="J1514">
        <v>13.57</v>
      </c>
      <c r="K1514">
        <v>23.44</v>
      </c>
      <c r="L1514">
        <v>30.54</v>
      </c>
      <c r="M1514">
        <v>100</v>
      </c>
    </row>
    <row r="1515" spans="1:13" hidden="1" x14ac:dyDescent="0.25">
      <c r="A1515" t="s">
        <v>344</v>
      </c>
      <c r="B1515" t="s">
        <v>376</v>
      </c>
      <c r="C1515" t="s">
        <v>374</v>
      </c>
      <c r="D1515" t="s">
        <v>375</v>
      </c>
      <c r="E1515">
        <v>3</v>
      </c>
      <c r="F1515">
        <v>12</v>
      </c>
      <c r="G1515">
        <v>60</v>
      </c>
      <c r="H1515">
        <v>26.6</v>
      </c>
      <c r="I1515">
        <v>93.188999999999993</v>
      </c>
      <c r="J1515">
        <v>12.89</v>
      </c>
      <c r="K1515">
        <v>24.52</v>
      </c>
      <c r="L1515">
        <v>44.83</v>
      </c>
      <c r="M1515">
        <v>60</v>
      </c>
    </row>
    <row r="1516" spans="1:13" hidden="1" x14ac:dyDescent="0.25">
      <c r="A1516" t="s">
        <v>344</v>
      </c>
      <c r="B1516" t="s">
        <v>376</v>
      </c>
      <c r="C1516" t="s">
        <v>374</v>
      </c>
      <c r="D1516" t="s">
        <v>375</v>
      </c>
      <c r="E1516">
        <v>3</v>
      </c>
      <c r="F1516">
        <v>12</v>
      </c>
      <c r="G1516">
        <v>70</v>
      </c>
      <c r="H1516">
        <v>26.6</v>
      </c>
      <c r="I1516">
        <v>93.188999999999993</v>
      </c>
      <c r="J1516">
        <v>12.89</v>
      </c>
      <c r="K1516">
        <v>24.52</v>
      </c>
      <c r="L1516">
        <v>44.83</v>
      </c>
      <c r="M1516">
        <v>70</v>
      </c>
    </row>
    <row r="1517" spans="1:13" hidden="1" x14ac:dyDescent="0.25">
      <c r="A1517" t="s">
        <v>344</v>
      </c>
      <c r="B1517" t="s">
        <v>376</v>
      </c>
      <c r="C1517" t="s">
        <v>374</v>
      </c>
      <c r="D1517" t="s">
        <v>375</v>
      </c>
      <c r="E1517">
        <v>3</v>
      </c>
      <c r="F1517">
        <v>12</v>
      </c>
      <c r="G1517">
        <v>80</v>
      </c>
      <c r="H1517">
        <v>26.6</v>
      </c>
      <c r="I1517">
        <v>93.188999999999993</v>
      </c>
      <c r="J1517">
        <v>12.89</v>
      </c>
      <c r="K1517">
        <v>24.52</v>
      </c>
      <c r="L1517">
        <v>44.83</v>
      </c>
      <c r="M1517">
        <v>80</v>
      </c>
    </row>
    <row r="1518" spans="1:13" hidden="1" x14ac:dyDescent="0.25">
      <c r="A1518" t="s">
        <v>344</v>
      </c>
      <c r="B1518" t="s">
        <v>376</v>
      </c>
      <c r="C1518" t="s">
        <v>374</v>
      </c>
      <c r="D1518" t="s">
        <v>375</v>
      </c>
      <c r="E1518">
        <v>3</v>
      </c>
      <c r="F1518">
        <v>12</v>
      </c>
      <c r="G1518">
        <v>90</v>
      </c>
      <c r="H1518">
        <v>26.6</v>
      </c>
      <c r="I1518">
        <v>93.188999999999993</v>
      </c>
      <c r="J1518">
        <v>12.89</v>
      </c>
      <c r="K1518">
        <v>24.52</v>
      </c>
      <c r="L1518">
        <v>44.83</v>
      </c>
      <c r="M1518">
        <v>90</v>
      </c>
    </row>
    <row r="1519" spans="1:13" hidden="1" x14ac:dyDescent="0.25">
      <c r="A1519" t="s">
        <v>344</v>
      </c>
      <c r="B1519" t="s">
        <v>376</v>
      </c>
      <c r="C1519" t="s">
        <v>374</v>
      </c>
      <c r="D1519" t="s">
        <v>375</v>
      </c>
      <c r="E1519">
        <v>3</v>
      </c>
      <c r="F1519">
        <v>12</v>
      </c>
      <c r="G1519">
        <v>100</v>
      </c>
      <c r="H1519">
        <v>26.6</v>
      </c>
      <c r="I1519">
        <v>93.188999999999993</v>
      </c>
      <c r="J1519">
        <v>12.89</v>
      </c>
      <c r="K1519">
        <v>24.52</v>
      </c>
      <c r="L1519">
        <v>44.83</v>
      </c>
      <c r="M1519">
        <v>100</v>
      </c>
    </row>
    <row r="1520" spans="1:13" hidden="1" x14ac:dyDescent="0.25">
      <c r="A1520" t="s">
        <v>344</v>
      </c>
      <c r="B1520" t="s">
        <v>376</v>
      </c>
      <c r="C1520" t="s">
        <v>374</v>
      </c>
      <c r="D1520" t="s">
        <v>375</v>
      </c>
      <c r="E1520">
        <v>3</v>
      </c>
      <c r="F1520">
        <v>12</v>
      </c>
      <c r="G1520">
        <v>120</v>
      </c>
      <c r="H1520">
        <v>26.6</v>
      </c>
      <c r="I1520">
        <v>93.188999999999993</v>
      </c>
      <c r="J1520">
        <v>12.89</v>
      </c>
      <c r="K1520">
        <v>24.52</v>
      </c>
      <c r="L1520">
        <v>44.83</v>
      </c>
      <c r="M1520">
        <v>100</v>
      </c>
    </row>
    <row r="1521" spans="1:14" hidden="1" x14ac:dyDescent="0.25">
      <c r="A1521" t="s">
        <v>344</v>
      </c>
      <c r="B1521" t="s">
        <v>376</v>
      </c>
      <c r="C1521" t="s">
        <v>374</v>
      </c>
      <c r="D1521" t="s">
        <v>375</v>
      </c>
      <c r="E1521">
        <v>3</v>
      </c>
      <c r="F1521">
        <v>12</v>
      </c>
      <c r="G1521">
        <v>150</v>
      </c>
      <c r="H1521">
        <v>26.6</v>
      </c>
      <c r="I1521">
        <v>93.188999999999993</v>
      </c>
      <c r="J1521">
        <v>12.89</v>
      </c>
      <c r="K1521">
        <v>24.52</v>
      </c>
      <c r="L1521">
        <v>44.83</v>
      </c>
      <c r="M1521">
        <v>100</v>
      </c>
    </row>
    <row r="1522" spans="1:14" hidden="1" x14ac:dyDescent="0.25">
      <c r="A1522" t="s">
        <v>213</v>
      </c>
      <c r="B1522" s="58" t="s">
        <v>377</v>
      </c>
      <c r="C1522" s="58" t="s">
        <v>379</v>
      </c>
      <c r="D1522" s="58" t="s">
        <v>378</v>
      </c>
      <c r="E1522" s="58">
        <v>3</v>
      </c>
      <c r="F1522">
        <v>6</v>
      </c>
      <c r="G1522">
        <v>30</v>
      </c>
      <c r="H1522">
        <v>10</v>
      </c>
      <c r="I1522" s="58"/>
      <c r="J1522" s="58"/>
      <c r="K1522" s="58"/>
      <c r="L1522" s="58"/>
      <c r="M1522" s="58">
        <v>18</v>
      </c>
      <c r="N1522" s="58"/>
    </row>
    <row r="1523" spans="1:14" hidden="1" x14ac:dyDescent="0.25">
      <c r="A1523" t="s">
        <v>213</v>
      </c>
      <c r="B1523" s="58" t="s">
        <v>377</v>
      </c>
      <c r="C1523" s="58" t="s">
        <v>379</v>
      </c>
      <c r="D1523" s="58" t="s">
        <v>378</v>
      </c>
      <c r="E1523" s="58">
        <v>3</v>
      </c>
      <c r="F1523">
        <v>6</v>
      </c>
      <c r="G1523">
        <v>35</v>
      </c>
      <c r="H1523">
        <v>10</v>
      </c>
      <c r="I1523" s="58"/>
      <c r="J1523" s="58"/>
      <c r="K1523" s="58"/>
      <c r="L1523" s="58"/>
      <c r="M1523" s="58">
        <v>18</v>
      </c>
      <c r="N1523" s="58"/>
    </row>
    <row r="1524" spans="1:14" hidden="1" x14ac:dyDescent="0.25">
      <c r="A1524" t="s">
        <v>213</v>
      </c>
      <c r="B1524" s="58" t="s">
        <v>377</v>
      </c>
      <c r="C1524" s="58" t="s">
        <v>379</v>
      </c>
      <c r="D1524" s="58" t="s">
        <v>378</v>
      </c>
      <c r="E1524" s="58">
        <v>3</v>
      </c>
      <c r="F1524">
        <v>6</v>
      </c>
      <c r="G1524">
        <v>40</v>
      </c>
      <c r="H1524">
        <v>10</v>
      </c>
      <c r="I1524" s="58"/>
      <c r="J1524" s="58"/>
      <c r="K1524" s="58"/>
      <c r="L1524" s="58"/>
      <c r="M1524" s="58">
        <v>18</v>
      </c>
      <c r="N1524" s="58"/>
    </row>
    <row r="1525" spans="1:14" hidden="1" x14ac:dyDescent="0.25">
      <c r="A1525" t="s">
        <v>213</v>
      </c>
      <c r="B1525" s="58" t="s">
        <v>377</v>
      </c>
      <c r="C1525" s="58" t="s">
        <v>379</v>
      </c>
      <c r="D1525" s="58" t="s">
        <v>378</v>
      </c>
      <c r="E1525" s="58">
        <v>3</v>
      </c>
      <c r="F1525">
        <v>6</v>
      </c>
      <c r="G1525">
        <v>45</v>
      </c>
      <c r="H1525">
        <v>10</v>
      </c>
      <c r="I1525" s="58"/>
      <c r="J1525" s="58"/>
      <c r="K1525" s="58"/>
      <c r="L1525" s="58"/>
      <c r="M1525" s="58">
        <v>18</v>
      </c>
      <c r="N1525" s="58"/>
    </row>
    <row r="1526" spans="1:14" hidden="1" x14ac:dyDescent="0.25">
      <c r="A1526" t="s">
        <v>213</v>
      </c>
      <c r="B1526" s="58" t="s">
        <v>377</v>
      </c>
      <c r="C1526" s="58" t="s">
        <v>379</v>
      </c>
      <c r="D1526" s="58" t="s">
        <v>378</v>
      </c>
      <c r="E1526" s="58">
        <v>3</v>
      </c>
      <c r="F1526">
        <v>6</v>
      </c>
      <c r="G1526">
        <v>50</v>
      </c>
      <c r="H1526">
        <v>10</v>
      </c>
      <c r="I1526" s="58"/>
      <c r="J1526" s="58"/>
      <c r="K1526" s="58"/>
      <c r="L1526" s="58"/>
      <c r="M1526" s="58">
        <v>18</v>
      </c>
      <c r="N1526" s="58"/>
    </row>
    <row r="1527" spans="1:14" hidden="1" x14ac:dyDescent="0.25">
      <c r="A1527" t="s">
        <v>213</v>
      </c>
      <c r="B1527" s="58" t="s">
        <v>377</v>
      </c>
      <c r="C1527" s="58" t="s">
        <v>379</v>
      </c>
      <c r="D1527" s="58" t="s">
        <v>378</v>
      </c>
      <c r="E1527" s="58">
        <v>3</v>
      </c>
      <c r="F1527">
        <v>6</v>
      </c>
      <c r="G1527">
        <v>55</v>
      </c>
      <c r="H1527">
        <v>10</v>
      </c>
      <c r="I1527" s="58"/>
      <c r="J1527" s="58"/>
      <c r="K1527" s="58"/>
      <c r="L1527" s="58"/>
      <c r="M1527" s="58">
        <v>18</v>
      </c>
      <c r="N1527" s="58"/>
    </row>
    <row r="1528" spans="1:14" hidden="1" x14ac:dyDescent="0.25">
      <c r="A1528" t="s">
        <v>213</v>
      </c>
      <c r="B1528" s="58" t="s">
        <v>377</v>
      </c>
      <c r="C1528" s="58" t="s">
        <v>379</v>
      </c>
      <c r="D1528" s="58" t="s">
        <v>378</v>
      </c>
      <c r="E1528" s="58">
        <v>3</v>
      </c>
      <c r="F1528">
        <v>6</v>
      </c>
      <c r="G1528">
        <v>60</v>
      </c>
      <c r="H1528">
        <v>10</v>
      </c>
      <c r="I1528" s="58"/>
      <c r="J1528" s="58"/>
      <c r="K1528" s="58"/>
      <c r="L1528" s="58"/>
      <c r="M1528" s="58">
        <v>18</v>
      </c>
      <c r="N1528" s="58"/>
    </row>
    <row r="1529" spans="1:14" hidden="1" x14ac:dyDescent="0.25">
      <c r="A1529" t="s">
        <v>213</v>
      </c>
      <c r="B1529" s="58" t="s">
        <v>377</v>
      </c>
      <c r="C1529" s="58" t="s">
        <v>379</v>
      </c>
      <c r="D1529" s="58" t="s">
        <v>378</v>
      </c>
      <c r="E1529" s="58">
        <v>3</v>
      </c>
      <c r="F1529">
        <v>6</v>
      </c>
      <c r="G1529">
        <v>65</v>
      </c>
      <c r="H1529">
        <v>10</v>
      </c>
      <c r="I1529" s="58"/>
      <c r="J1529" s="58"/>
      <c r="K1529" s="58"/>
      <c r="L1529" s="58"/>
      <c r="M1529" s="58">
        <v>18</v>
      </c>
      <c r="N1529" s="58"/>
    </row>
    <row r="1530" spans="1:14" hidden="1" x14ac:dyDescent="0.25">
      <c r="A1530" t="s">
        <v>213</v>
      </c>
      <c r="B1530" s="58" t="s">
        <v>377</v>
      </c>
      <c r="C1530" s="58" t="s">
        <v>379</v>
      </c>
      <c r="D1530" s="58" t="s">
        <v>378</v>
      </c>
      <c r="E1530" s="58">
        <v>3</v>
      </c>
      <c r="F1530">
        <v>6</v>
      </c>
      <c r="G1530">
        <v>70</v>
      </c>
      <c r="H1530">
        <v>10</v>
      </c>
      <c r="I1530" s="58"/>
      <c r="J1530" s="58"/>
      <c r="K1530" s="58"/>
      <c r="L1530" s="58"/>
      <c r="M1530" s="58">
        <v>18</v>
      </c>
      <c r="N1530" s="58"/>
    </row>
    <row r="1531" spans="1:14" hidden="1" x14ac:dyDescent="0.25">
      <c r="A1531" t="s">
        <v>213</v>
      </c>
      <c r="B1531" s="58" t="s">
        <v>377</v>
      </c>
      <c r="C1531" s="58" t="s">
        <v>379</v>
      </c>
      <c r="D1531" s="58" t="s">
        <v>378</v>
      </c>
      <c r="E1531" s="58">
        <v>3</v>
      </c>
      <c r="F1531">
        <v>6</v>
      </c>
      <c r="G1531">
        <v>75</v>
      </c>
      <c r="H1531">
        <v>10</v>
      </c>
      <c r="I1531" s="58"/>
      <c r="J1531" s="58"/>
      <c r="K1531" s="58"/>
      <c r="L1531" s="58"/>
      <c r="M1531" s="58">
        <v>18</v>
      </c>
      <c r="N1531" s="58"/>
    </row>
    <row r="1532" spans="1:14" hidden="1" x14ac:dyDescent="0.25">
      <c r="A1532" t="s">
        <v>213</v>
      </c>
      <c r="B1532" s="58" t="s">
        <v>377</v>
      </c>
      <c r="C1532" s="58" t="s">
        <v>379</v>
      </c>
      <c r="D1532" s="58" t="s">
        <v>378</v>
      </c>
      <c r="E1532" s="58">
        <v>3</v>
      </c>
      <c r="F1532">
        <v>6</v>
      </c>
      <c r="G1532">
        <v>80</v>
      </c>
      <c r="H1532">
        <v>10</v>
      </c>
      <c r="I1532" s="58"/>
      <c r="J1532" s="58"/>
      <c r="K1532" s="58"/>
      <c r="L1532" s="58"/>
      <c r="M1532" s="58">
        <v>18</v>
      </c>
      <c r="N1532" s="58"/>
    </row>
    <row r="1533" spans="1:14" hidden="1" x14ac:dyDescent="0.25">
      <c r="A1533" t="s">
        <v>213</v>
      </c>
      <c r="B1533" s="58" t="s">
        <v>377</v>
      </c>
      <c r="C1533" s="58" t="s">
        <v>379</v>
      </c>
      <c r="D1533" s="58" t="s">
        <v>378</v>
      </c>
      <c r="E1533" s="58">
        <v>3</v>
      </c>
      <c r="F1533">
        <v>6</v>
      </c>
      <c r="G1533">
        <v>85</v>
      </c>
      <c r="H1533">
        <v>10</v>
      </c>
      <c r="I1533" s="58"/>
      <c r="J1533" s="58"/>
      <c r="K1533" s="58"/>
      <c r="L1533" s="58"/>
      <c r="M1533" s="58">
        <v>18</v>
      </c>
      <c r="N1533" s="58"/>
    </row>
    <row r="1534" spans="1:14" hidden="1" x14ac:dyDescent="0.25">
      <c r="A1534" t="s">
        <v>213</v>
      </c>
      <c r="B1534" s="58" t="s">
        <v>377</v>
      </c>
      <c r="C1534" s="58" t="s">
        <v>379</v>
      </c>
      <c r="D1534" s="58" t="s">
        <v>378</v>
      </c>
      <c r="E1534" s="58">
        <v>3</v>
      </c>
      <c r="F1534">
        <v>6</v>
      </c>
      <c r="G1534">
        <v>90</v>
      </c>
      <c r="H1534">
        <v>10</v>
      </c>
      <c r="I1534" s="58"/>
      <c r="J1534" s="58"/>
      <c r="K1534" s="58"/>
      <c r="L1534" s="58"/>
      <c r="M1534" s="58">
        <v>18</v>
      </c>
      <c r="N1534" s="58"/>
    </row>
    <row r="1535" spans="1:14" hidden="1" x14ac:dyDescent="0.25">
      <c r="A1535" t="s">
        <v>213</v>
      </c>
      <c r="B1535" s="58" t="s">
        <v>377</v>
      </c>
      <c r="C1535" s="58" t="s">
        <v>379</v>
      </c>
      <c r="D1535" s="58" t="s">
        <v>378</v>
      </c>
      <c r="E1535" s="58">
        <v>3</v>
      </c>
      <c r="F1535">
        <v>6</v>
      </c>
      <c r="G1535">
        <v>95</v>
      </c>
      <c r="H1535">
        <v>10</v>
      </c>
      <c r="I1535" s="58"/>
      <c r="J1535" s="58"/>
      <c r="K1535" s="58"/>
      <c r="L1535" s="58"/>
      <c r="M1535" s="58">
        <v>18</v>
      </c>
      <c r="N1535" s="58"/>
    </row>
    <row r="1536" spans="1:14" hidden="1" x14ac:dyDescent="0.25">
      <c r="A1536" t="s">
        <v>213</v>
      </c>
      <c r="B1536" s="58" t="s">
        <v>377</v>
      </c>
      <c r="C1536" s="58" t="s">
        <v>379</v>
      </c>
      <c r="D1536" s="58" t="s">
        <v>378</v>
      </c>
      <c r="E1536" s="58">
        <v>3</v>
      </c>
      <c r="F1536">
        <v>6</v>
      </c>
      <c r="G1536">
        <v>100</v>
      </c>
      <c r="H1536">
        <v>10</v>
      </c>
      <c r="I1536" s="58"/>
      <c r="J1536" s="58"/>
      <c r="K1536" s="58"/>
      <c r="L1536" s="58"/>
      <c r="M1536" s="58">
        <v>18</v>
      </c>
      <c r="N1536" s="58"/>
    </row>
    <row r="1537" spans="1:14" hidden="1" x14ac:dyDescent="0.25">
      <c r="A1537" t="s">
        <v>213</v>
      </c>
      <c r="B1537" s="58" t="s">
        <v>377</v>
      </c>
      <c r="C1537" s="58" t="s">
        <v>379</v>
      </c>
      <c r="D1537" s="58" t="s">
        <v>378</v>
      </c>
      <c r="E1537" s="58">
        <v>3</v>
      </c>
      <c r="F1537">
        <v>6</v>
      </c>
      <c r="G1537">
        <v>105</v>
      </c>
      <c r="H1537">
        <v>10</v>
      </c>
      <c r="I1537" s="58"/>
      <c r="J1537" s="58"/>
      <c r="K1537" s="58"/>
      <c r="L1537" s="58"/>
      <c r="M1537" s="58">
        <v>18</v>
      </c>
      <c r="N1537" s="58"/>
    </row>
    <row r="1538" spans="1:14" hidden="1" x14ac:dyDescent="0.25">
      <c r="A1538" t="s">
        <v>213</v>
      </c>
      <c r="B1538" s="58" t="s">
        <v>377</v>
      </c>
      <c r="C1538" s="58" t="s">
        <v>379</v>
      </c>
      <c r="D1538" s="58" t="s">
        <v>378</v>
      </c>
      <c r="E1538" s="58">
        <v>3</v>
      </c>
      <c r="F1538">
        <v>6</v>
      </c>
      <c r="G1538">
        <v>110</v>
      </c>
      <c r="H1538">
        <v>10</v>
      </c>
      <c r="I1538" s="58"/>
      <c r="J1538" s="58"/>
      <c r="K1538" s="58"/>
      <c r="L1538" s="58"/>
      <c r="M1538" s="58">
        <v>18</v>
      </c>
      <c r="N1538" s="58"/>
    </row>
    <row r="1539" spans="1:14" hidden="1" x14ac:dyDescent="0.25">
      <c r="A1539" t="s">
        <v>213</v>
      </c>
      <c r="B1539" s="58" t="s">
        <v>377</v>
      </c>
      <c r="C1539" s="58" t="s">
        <v>379</v>
      </c>
      <c r="D1539" s="58" t="s">
        <v>378</v>
      </c>
      <c r="E1539" s="58">
        <v>3</v>
      </c>
      <c r="F1539">
        <v>6</v>
      </c>
      <c r="G1539">
        <v>120</v>
      </c>
      <c r="H1539">
        <v>10</v>
      </c>
      <c r="I1539" s="58"/>
      <c r="J1539" s="58"/>
      <c r="K1539" s="58"/>
      <c r="L1539" s="58"/>
      <c r="M1539" s="58">
        <v>18</v>
      </c>
      <c r="N1539" s="58"/>
    </row>
    <row r="1540" spans="1:14" hidden="1" x14ac:dyDescent="0.25">
      <c r="A1540" t="s">
        <v>213</v>
      </c>
      <c r="B1540" s="58" t="s">
        <v>377</v>
      </c>
      <c r="C1540" s="58" t="s">
        <v>379</v>
      </c>
      <c r="D1540" s="58" t="s">
        <v>378</v>
      </c>
      <c r="E1540" s="58">
        <v>3</v>
      </c>
      <c r="F1540">
        <v>6</v>
      </c>
      <c r="G1540">
        <v>130</v>
      </c>
      <c r="H1540">
        <v>10</v>
      </c>
      <c r="I1540" s="58"/>
      <c r="J1540" s="58"/>
      <c r="K1540" s="58"/>
      <c r="L1540" s="58"/>
      <c r="M1540" s="58">
        <v>24</v>
      </c>
      <c r="N1540" s="58"/>
    </row>
    <row r="1541" spans="1:14" hidden="1" x14ac:dyDescent="0.25">
      <c r="A1541" t="s">
        <v>213</v>
      </c>
      <c r="B1541" s="58" t="s">
        <v>377</v>
      </c>
      <c r="C1541" s="58" t="s">
        <v>379</v>
      </c>
      <c r="D1541" s="58" t="s">
        <v>378</v>
      </c>
      <c r="E1541" s="58">
        <v>3</v>
      </c>
      <c r="F1541">
        <v>6</v>
      </c>
      <c r="G1541">
        <v>140</v>
      </c>
      <c r="H1541">
        <v>10</v>
      </c>
      <c r="I1541" s="58"/>
      <c r="J1541" s="58"/>
      <c r="K1541" s="58"/>
      <c r="L1541" s="58"/>
      <c r="M1541" s="58">
        <v>24</v>
      </c>
      <c r="N1541" s="58"/>
    </row>
    <row r="1542" spans="1:14" hidden="1" x14ac:dyDescent="0.25">
      <c r="A1542" t="s">
        <v>213</v>
      </c>
      <c r="B1542" s="58" t="s">
        <v>377</v>
      </c>
      <c r="C1542" s="58" t="s">
        <v>379</v>
      </c>
      <c r="D1542" s="58" t="s">
        <v>378</v>
      </c>
      <c r="E1542" s="58">
        <v>3</v>
      </c>
      <c r="F1542">
        <v>6</v>
      </c>
      <c r="G1542">
        <v>150</v>
      </c>
      <c r="H1542">
        <v>10</v>
      </c>
      <c r="I1542" s="58"/>
      <c r="J1542" s="58"/>
      <c r="K1542" s="58"/>
      <c r="L1542" s="58"/>
      <c r="M1542" s="58">
        <v>24</v>
      </c>
      <c r="N1542" s="58"/>
    </row>
    <row r="1543" spans="1:14" hidden="1" x14ac:dyDescent="0.25">
      <c r="A1543" t="s">
        <v>213</v>
      </c>
      <c r="B1543" s="58" t="s">
        <v>377</v>
      </c>
      <c r="C1543" s="58" t="s">
        <v>379</v>
      </c>
      <c r="D1543" s="58" t="s">
        <v>378</v>
      </c>
      <c r="E1543" s="58">
        <v>3</v>
      </c>
      <c r="F1543">
        <v>6</v>
      </c>
      <c r="G1543">
        <v>160</v>
      </c>
      <c r="H1543">
        <v>10</v>
      </c>
      <c r="I1543" s="58"/>
      <c r="J1543" s="58"/>
      <c r="K1543" s="58"/>
      <c r="L1543" s="58"/>
      <c r="M1543" s="58">
        <v>24</v>
      </c>
      <c r="N1543" s="58"/>
    </row>
    <row r="1544" spans="1:14" hidden="1" x14ac:dyDescent="0.25">
      <c r="A1544" t="s">
        <v>213</v>
      </c>
      <c r="B1544" s="58" t="s">
        <v>377</v>
      </c>
      <c r="C1544" s="58" t="s">
        <v>379</v>
      </c>
      <c r="D1544" s="58" t="s">
        <v>378</v>
      </c>
      <c r="E1544" s="58">
        <v>3</v>
      </c>
      <c r="F1544">
        <v>6</v>
      </c>
      <c r="G1544">
        <v>170</v>
      </c>
      <c r="H1544">
        <v>10</v>
      </c>
      <c r="I1544" s="58"/>
      <c r="J1544" s="58"/>
      <c r="K1544" s="58"/>
      <c r="L1544" s="58"/>
      <c r="M1544" s="58">
        <v>24</v>
      </c>
      <c r="N1544" s="58"/>
    </row>
    <row r="1545" spans="1:14" hidden="1" x14ac:dyDescent="0.25">
      <c r="A1545" t="s">
        <v>213</v>
      </c>
      <c r="B1545" s="58" t="s">
        <v>377</v>
      </c>
      <c r="C1545" s="58" t="s">
        <v>379</v>
      </c>
      <c r="D1545" s="58" t="s">
        <v>378</v>
      </c>
      <c r="E1545" s="58">
        <v>3</v>
      </c>
      <c r="F1545">
        <v>6</v>
      </c>
      <c r="G1545">
        <v>180</v>
      </c>
      <c r="H1545">
        <v>10</v>
      </c>
      <c r="I1545" s="58"/>
      <c r="J1545" s="58"/>
      <c r="K1545" s="58"/>
      <c r="L1545" s="58"/>
      <c r="M1545" s="58">
        <v>24</v>
      </c>
      <c r="N1545" s="58"/>
    </row>
    <row r="1546" spans="1:14" hidden="1" x14ac:dyDescent="0.25">
      <c r="A1546" t="s">
        <v>213</v>
      </c>
      <c r="B1546" s="58" t="s">
        <v>377</v>
      </c>
      <c r="C1546" s="58" t="s">
        <v>379</v>
      </c>
      <c r="D1546" s="58" t="s">
        <v>378</v>
      </c>
      <c r="E1546" s="58">
        <v>3</v>
      </c>
      <c r="F1546">
        <v>6</v>
      </c>
      <c r="G1546">
        <v>200</v>
      </c>
      <c r="H1546">
        <v>10</v>
      </c>
      <c r="I1546" s="58"/>
      <c r="J1546" s="58"/>
      <c r="K1546" s="58"/>
      <c r="L1546" s="58"/>
      <c r="M1546" s="58">
        <v>24</v>
      </c>
      <c r="N1546" s="58"/>
    </row>
    <row r="1547" spans="1:14" hidden="1" x14ac:dyDescent="0.25">
      <c r="A1547" t="s">
        <v>213</v>
      </c>
      <c r="B1547" s="58" t="s">
        <v>377</v>
      </c>
      <c r="C1547" s="58" t="s">
        <v>379</v>
      </c>
      <c r="D1547" s="58" t="s">
        <v>378</v>
      </c>
      <c r="E1547" s="58">
        <v>3</v>
      </c>
      <c r="F1547">
        <v>8</v>
      </c>
      <c r="G1547">
        <v>30</v>
      </c>
      <c r="H1547">
        <v>10</v>
      </c>
      <c r="I1547" s="58"/>
      <c r="J1547" s="58"/>
      <c r="K1547" s="58"/>
      <c r="L1547" s="58"/>
      <c r="M1547" s="58">
        <v>22</v>
      </c>
      <c r="N1547" s="58"/>
    </row>
    <row r="1548" spans="1:14" hidden="1" x14ac:dyDescent="0.25">
      <c r="A1548" t="s">
        <v>213</v>
      </c>
      <c r="B1548" s="58" t="s">
        <v>377</v>
      </c>
      <c r="C1548" s="58" t="s">
        <v>379</v>
      </c>
      <c r="D1548" s="58" t="s">
        <v>378</v>
      </c>
      <c r="E1548" s="58">
        <v>3</v>
      </c>
      <c r="F1548">
        <v>8</v>
      </c>
      <c r="G1548">
        <v>35</v>
      </c>
      <c r="H1548">
        <v>10</v>
      </c>
      <c r="I1548" s="58"/>
      <c r="J1548" s="58"/>
      <c r="K1548" s="58"/>
      <c r="L1548" s="58"/>
      <c r="M1548" s="58">
        <v>22</v>
      </c>
      <c r="N1548" s="58"/>
    </row>
    <row r="1549" spans="1:14" hidden="1" x14ac:dyDescent="0.25">
      <c r="A1549" t="s">
        <v>213</v>
      </c>
      <c r="B1549" s="58" t="s">
        <v>377</v>
      </c>
      <c r="C1549" s="58" t="s">
        <v>379</v>
      </c>
      <c r="D1549" s="58" t="s">
        <v>378</v>
      </c>
      <c r="E1549" s="58">
        <v>3</v>
      </c>
      <c r="F1549">
        <v>8</v>
      </c>
      <c r="G1549">
        <v>40</v>
      </c>
      <c r="H1549">
        <v>10</v>
      </c>
      <c r="I1549" s="58"/>
      <c r="J1549" s="58"/>
      <c r="K1549" s="58"/>
      <c r="L1549" s="58"/>
      <c r="M1549" s="58">
        <v>22</v>
      </c>
      <c r="N1549" s="58"/>
    </row>
    <row r="1550" spans="1:14" hidden="1" x14ac:dyDescent="0.25">
      <c r="A1550" t="s">
        <v>213</v>
      </c>
      <c r="B1550" s="58" t="s">
        <v>377</v>
      </c>
      <c r="C1550" s="58" t="s">
        <v>379</v>
      </c>
      <c r="D1550" s="58" t="s">
        <v>378</v>
      </c>
      <c r="E1550" s="58">
        <v>3</v>
      </c>
      <c r="F1550">
        <v>8</v>
      </c>
      <c r="G1550">
        <v>45</v>
      </c>
      <c r="H1550">
        <v>10</v>
      </c>
      <c r="I1550" s="58"/>
      <c r="J1550" s="58"/>
      <c r="K1550" s="58"/>
      <c r="L1550" s="58"/>
      <c r="M1550" s="58">
        <v>22</v>
      </c>
      <c r="N1550" s="58"/>
    </row>
    <row r="1551" spans="1:14" hidden="1" x14ac:dyDescent="0.25">
      <c r="A1551" t="s">
        <v>213</v>
      </c>
      <c r="B1551" s="58" t="s">
        <v>377</v>
      </c>
      <c r="C1551" s="58" t="s">
        <v>379</v>
      </c>
      <c r="D1551" s="58" t="s">
        <v>378</v>
      </c>
      <c r="E1551" s="58">
        <v>3</v>
      </c>
      <c r="F1551">
        <v>8</v>
      </c>
      <c r="G1551">
        <v>50</v>
      </c>
      <c r="H1551">
        <v>10</v>
      </c>
      <c r="I1551" s="58"/>
      <c r="J1551" s="58"/>
      <c r="K1551" s="58"/>
      <c r="L1551" s="58"/>
      <c r="M1551" s="58">
        <v>22</v>
      </c>
      <c r="N1551" s="58"/>
    </row>
    <row r="1552" spans="1:14" hidden="1" x14ac:dyDescent="0.25">
      <c r="A1552" t="s">
        <v>213</v>
      </c>
      <c r="B1552" s="58" t="s">
        <v>377</v>
      </c>
      <c r="C1552" s="58" t="s">
        <v>379</v>
      </c>
      <c r="D1552" s="58" t="s">
        <v>378</v>
      </c>
      <c r="E1552" s="58">
        <v>3</v>
      </c>
      <c r="F1552">
        <v>8</v>
      </c>
      <c r="G1552">
        <v>55</v>
      </c>
      <c r="H1552">
        <v>10</v>
      </c>
      <c r="I1552" s="58"/>
      <c r="J1552" s="58"/>
      <c r="K1552" s="58"/>
      <c r="L1552" s="58"/>
      <c r="M1552" s="58">
        <v>22</v>
      </c>
      <c r="N1552" s="58"/>
    </row>
    <row r="1553" spans="1:14" hidden="1" x14ac:dyDescent="0.25">
      <c r="A1553" t="s">
        <v>213</v>
      </c>
      <c r="B1553" s="58" t="s">
        <v>377</v>
      </c>
      <c r="C1553" s="58" t="s">
        <v>379</v>
      </c>
      <c r="D1553" s="58" t="s">
        <v>378</v>
      </c>
      <c r="E1553" s="58">
        <v>3</v>
      </c>
      <c r="F1553">
        <v>8</v>
      </c>
      <c r="G1553">
        <v>60</v>
      </c>
      <c r="H1553">
        <v>10</v>
      </c>
      <c r="I1553" s="58"/>
      <c r="J1553" s="58"/>
      <c r="K1553" s="58"/>
      <c r="L1553" s="58"/>
      <c r="M1553" s="58">
        <v>22</v>
      </c>
      <c r="N1553" s="58"/>
    </row>
    <row r="1554" spans="1:14" hidden="1" x14ac:dyDescent="0.25">
      <c r="A1554" t="s">
        <v>213</v>
      </c>
      <c r="B1554" s="58" t="s">
        <v>377</v>
      </c>
      <c r="C1554" s="58" t="s">
        <v>379</v>
      </c>
      <c r="D1554" s="58" t="s">
        <v>378</v>
      </c>
      <c r="E1554" s="58">
        <v>3</v>
      </c>
      <c r="F1554">
        <v>8</v>
      </c>
      <c r="G1554">
        <v>65</v>
      </c>
      <c r="H1554">
        <v>10</v>
      </c>
      <c r="I1554" s="58"/>
      <c r="J1554" s="58"/>
      <c r="K1554" s="58"/>
      <c r="L1554" s="58"/>
      <c r="M1554" s="58">
        <v>22</v>
      </c>
      <c r="N1554" s="58"/>
    </row>
    <row r="1555" spans="1:14" hidden="1" x14ac:dyDescent="0.25">
      <c r="A1555" t="s">
        <v>213</v>
      </c>
      <c r="B1555" s="58" t="s">
        <v>377</v>
      </c>
      <c r="C1555" s="58" t="s">
        <v>379</v>
      </c>
      <c r="D1555" s="58" t="s">
        <v>378</v>
      </c>
      <c r="E1555" s="58">
        <v>3</v>
      </c>
      <c r="F1555">
        <v>8</v>
      </c>
      <c r="G1555">
        <v>70</v>
      </c>
      <c r="H1555">
        <v>10</v>
      </c>
      <c r="I1555" s="58"/>
      <c r="J1555" s="58"/>
      <c r="K1555" s="58"/>
      <c r="L1555" s="58"/>
      <c r="M1555" s="58">
        <v>22</v>
      </c>
      <c r="N1555" s="58"/>
    </row>
    <row r="1556" spans="1:14" hidden="1" x14ac:dyDescent="0.25">
      <c r="A1556" t="s">
        <v>213</v>
      </c>
      <c r="B1556" s="58" t="s">
        <v>377</v>
      </c>
      <c r="C1556" s="58" t="s">
        <v>379</v>
      </c>
      <c r="D1556" s="58" t="s">
        <v>378</v>
      </c>
      <c r="E1556" s="58">
        <v>3</v>
      </c>
      <c r="F1556">
        <v>8</v>
      </c>
      <c r="G1556">
        <v>75</v>
      </c>
      <c r="H1556">
        <v>10</v>
      </c>
      <c r="I1556" s="58"/>
      <c r="J1556" s="58"/>
      <c r="K1556" s="58"/>
      <c r="L1556" s="58"/>
      <c r="M1556" s="58">
        <v>22</v>
      </c>
      <c r="N1556" s="58"/>
    </row>
    <row r="1557" spans="1:14" hidden="1" x14ac:dyDescent="0.25">
      <c r="A1557" t="s">
        <v>213</v>
      </c>
      <c r="B1557" s="58" t="s">
        <v>377</v>
      </c>
      <c r="C1557" s="58" t="s">
        <v>379</v>
      </c>
      <c r="D1557" s="58" t="s">
        <v>378</v>
      </c>
      <c r="E1557" s="58">
        <v>3</v>
      </c>
      <c r="F1557">
        <v>8</v>
      </c>
      <c r="G1557">
        <v>80</v>
      </c>
      <c r="H1557">
        <v>10</v>
      </c>
      <c r="I1557" s="58"/>
      <c r="J1557" s="58"/>
      <c r="K1557" s="58"/>
      <c r="L1557" s="58"/>
      <c r="M1557" s="58">
        <v>22</v>
      </c>
      <c r="N1557" s="58"/>
    </row>
    <row r="1558" spans="1:14" hidden="1" x14ac:dyDescent="0.25">
      <c r="A1558" t="s">
        <v>213</v>
      </c>
      <c r="B1558" s="58" t="s">
        <v>377</v>
      </c>
      <c r="C1558" s="58" t="s">
        <v>379</v>
      </c>
      <c r="D1558" s="58" t="s">
        <v>378</v>
      </c>
      <c r="E1558" s="58">
        <v>3</v>
      </c>
      <c r="F1558">
        <v>8</v>
      </c>
      <c r="G1558">
        <v>85</v>
      </c>
      <c r="H1558">
        <v>10</v>
      </c>
      <c r="I1558" s="58"/>
      <c r="J1558" s="58"/>
      <c r="K1558" s="58"/>
      <c r="L1558" s="58"/>
      <c r="M1558" s="58">
        <v>22</v>
      </c>
      <c r="N1558" s="58"/>
    </row>
    <row r="1559" spans="1:14" hidden="1" x14ac:dyDescent="0.25">
      <c r="A1559" t="s">
        <v>213</v>
      </c>
      <c r="B1559" s="58" t="s">
        <v>377</v>
      </c>
      <c r="C1559" s="58" t="s">
        <v>379</v>
      </c>
      <c r="D1559" s="58" t="s">
        <v>378</v>
      </c>
      <c r="E1559" s="58">
        <v>3</v>
      </c>
      <c r="F1559">
        <v>8</v>
      </c>
      <c r="G1559">
        <v>90</v>
      </c>
      <c r="H1559">
        <v>10</v>
      </c>
      <c r="I1559" s="58"/>
      <c r="J1559" s="58"/>
      <c r="K1559" s="58"/>
      <c r="L1559" s="58"/>
      <c r="M1559" s="58">
        <v>22</v>
      </c>
      <c r="N1559" s="58"/>
    </row>
    <row r="1560" spans="1:14" hidden="1" x14ac:dyDescent="0.25">
      <c r="A1560" t="s">
        <v>213</v>
      </c>
      <c r="B1560" s="58" t="s">
        <v>377</v>
      </c>
      <c r="C1560" s="58" t="s">
        <v>379</v>
      </c>
      <c r="D1560" s="58" t="s">
        <v>378</v>
      </c>
      <c r="E1560" s="58">
        <v>3</v>
      </c>
      <c r="F1560">
        <v>8</v>
      </c>
      <c r="G1560">
        <v>95</v>
      </c>
      <c r="H1560">
        <v>10</v>
      </c>
      <c r="I1560" s="58"/>
      <c r="J1560" s="58"/>
      <c r="K1560" s="58"/>
      <c r="L1560" s="58"/>
      <c r="M1560" s="58">
        <v>22</v>
      </c>
      <c r="N1560" s="58"/>
    </row>
    <row r="1561" spans="1:14" hidden="1" x14ac:dyDescent="0.25">
      <c r="A1561" t="s">
        <v>213</v>
      </c>
      <c r="B1561" s="58" t="s">
        <v>377</v>
      </c>
      <c r="C1561" s="58" t="s">
        <v>379</v>
      </c>
      <c r="D1561" s="58" t="s">
        <v>378</v>
      </c>
      <c r="E1561" s="58">
        <v>3</v>
      </c>
      <c r="F1561">
        <v>8</v>
      </c>
      <c r="G1561">
        <v>100</v>
      </c>
      <c r="H1561">
        <v>13</v>
      </c>
      <c r="I1561" s="58"/>
      <c r="J1561" s="58"/>
      <c r="K1561" s="58"/>
      <c r="L1561" s="58"/>
      <c r="M1561" s="58">
        <v>22</v>
      </c>
      <c r="N1561" s="58"/>
    </row>
    <row r="1562" spans="1:14" hidden="1" x14ac:dyDescent="0.25">
      <c r="A1562" t="s">
        <v>213</v>
      </c>
      <c r="B1562" s="58" t="s">
        <v>377</v>
      </c>
      <c r="C1562" s="58" t="s">
        <v>379</v>
      </c>
      <c r="D1562" s="58" t="s">
        <v>378</v>
      </c>
      <c r="E1562" s="58">
        <v>3</v>
      </c>
      <c r="F1562">
        <v>8</v>
      </c>
      <c r="G1562">
        <v>110</v>
      </c>
      <c r="H1562">
        <v>13</v>
      </c>
      <c r="I1562" s="58"/>
      <c r="J1562" s="58"/>
      <c r="K1562" s="58"/>
      <c r="L1562" s="58"/>
      <c r="M1562" s="58">
        <v>22</v>
      </c>
      <c r="N1562" s="58"/>
    </row>
    <row r="1563" spans="1:14" hidden="1" x14ac:dyDescent="0.25">
      <c r="A1563" t="s">
        <v>213</v>
      </c>
      <c r="B1563" s="58" t="s">
        <v>377</v>
      </c>
      <c r="C1563" s="58" t="s">
        <v>379</v>
      </c>
      <c r="D1563" s="58" t="s">
        <v>378</v>
      </c>
      <c r="E1563" s="58">
        <v>3</v>
      </c>
      <c r="F1563">
        <v>8</v>
      </c>
      <c r="G1563">
        <v>120</v>
      </c>
      <c r="H1563">
        <v>13</v>
      </c>
      <c r="I1563" s="58"/>
      <c r="J1563" s="58"/>
      <c r="K1563" s="58"/>
      <c r="L1563" s="58"/>
      <c r="M1563" s="58">
        <v>22</v>
      </c>
      <c r="N1563" s="58"/>
    </row>
    <row r="1564" spans="1:14" hidden="1" x14ac:dyDescent="0.25">
      <c r="A1564" t="s">
        <v>213</v>
      </c>
      <c r="B1564" s="58" t="s">
        <v>377</v>
      </c>
      <c r="C1564" s="58" t="s">
        <v>379</v>
      </c>
      <c r="D1564" s="58" t="s">
        <v>378</v>
      </c>
      <c r="E1564" s="58">
        <v>3</v>
      </c>
      <c r="F1564">
        <v>8</v>
      </c>
      <c r="G1564">
        <v>130</v>
      </c>
      <c r="H1564">
        <v>13</v>
      </c>
      <c r="I1564" s="58"/>
      <c r="J1564" s="58"/>
      <c r="K1564" s="58"/>
      <c r="L1564" s="58"/>
      <c r="M1564" s="58">
        <v>28</v>
      </c>
      <c r="N1564" s="58"/>
    </row>
    <row r="1565" spans="1:14" hidden="1" x14ac:dyDescent="0.25">
      <c r="A1565" t="s">
        <v>213</v>
      </c>
      <c r="B1565" s="58" t="s">
        <v>377</v>
      </c>
      <c r="C1565" s="58" t="s">
        <v>379</v>
      </c>
      <c r="D1565" s="58" t="s">
        <v>378</v>
      </c>
      <c r="E1565" s="58">
        <v>3</v>
      </c>
      <c r="F1565">
        <v>8</v>
      </c>
      <c r="G1565">
        <v>140</v>
      </c>
      <c r="H1565">
        <v>13</v>
      </c>
      <c r="I1565" s="58"/>
      <c r="J1565" s="58"/>
      <c r="K1565" s="58"/>
      <c r="L1565" s="58"/>
      <c r="M1565" s="58">
        <v>28</v>
      </c>
      <c r="N1565" s="58"/>
    </row>
    <row r="1566" spans="1:14" hidden="1" x14ac:dyDescent="0.25">
      <c r="A1566" t="s">
        <v>213</v>
      </c>
      <c r="B1566" s="58" t="s">
        <v>377</v>
      </c>
      <c r="C1566" s="58" t="s">
        <v>379</v>
      </c>
      <c r="D1566" s="58" t="s">
        <v>378</v>
      </c>
      <c r="E1566" s="58">
        <v>3</v>
      </c>
      <c r="F1566">
        <v>8</v>
      </c>
      <c r="G1566">
        <v>150</v>
      </c>
      <c r="H1566">
        <v>13</v>
      </c>
      <c r="I1566" s="58"/>
      <c r="J1566" s="58"/>
      <c r="K1566" s="58"/>
      <c r="L1566" s="58"/>
      <c r="M1566" s="58">
        <v>28</v>
      </c>
      <c r="N1566" s="58"/>
    </row>
    <row r="1567" spans="1:14" hidden="1" x14ac:dyDescent="0.25">
      <c r="A1567" t="s">
        <v>213</v>
      </c>
      <c r="B1567" s="58" t="s">
        <v>377</v>
      </c>
      <c r="C1567" s="58" t="s">
        <v>379</v>
      </c>
      <c r="D1567" s="58" t="s">
        <v>378</v>
      </c>
      <c r="E1567" s="58">
        <v>3</v>
      </c>
      <c r="F1567">
        <v>8</v>
      </c>
      <c r="G1567">
        <v>160</v>
      </c>
      <c r="H1567">
        <v>13</v>
      </c>
      <c r="I1567" s="58"/>
      <c r="J1567" s="58"/>
      <c r="K1567" s="58"/>
      <c r="L1567" s="58"/>
      <c r="M1567" s="58">
        <v>28</v>
      </c>
      <c r="N1567" s="58"/>
    </row>
    <row r="1568" spans="1:14" hidden="1" x14ac:dyDescent="0.25">
      <c r="A1568" t="s">
        <v>213</v>
      </c>
      <c r="B1568" s="58" t="s">
        <v>377</v>
      </c>
      <c r="C1568" s="58" t="s">
        <v>379</v>
      </c>
      <c r="D1568" s="58" t="s">
        <v>378</v>
      </c>
      <c r="E1568" s="58">
        <v>3</v>
      </c>
      <c r="F1568">
        <v>8</v>
      </c>
      <c r="G1568">
        <v>170</v>
      </c>
      <c r="H1568">
        <v>13</v>
      </c>
      <c r="I1568" s="58"/>
      <c r="J1568" s="58"/>
      <c r="K1568" s="58"/>
      <c r="L1568" s="58"/>
      <c r="M1568" s="58">
        <v>28</v>
      </c>
      <c r="N1568" s="58"/>
    </row>
    <row r="1569" spans="1:14" hidden="1" x14ac:dyDescent="0.25">
      <c r="A1569" t="s">
        <v>213</v>
      </c>
      <c r="B1569" s="58" t="s">
        <v>377</v>
      </c>
      <c r="C1569" s="58" t="s">
        <v>379</v>
      </c>
      <c r="D1569" s="58" t="s">
        <v>378</v>
      </c>
      <c r="E1569" s="58">
        <v>3</v>
      </c>
      <c r="F1569">
        <v>8</v>
      </c>
      <c r="G1569">
        <v>180</v>
      </c>
      <c r="H1569">
        <v>13</v>
      </c>
      <c r="I1569" s="58"/>
      <c r="J1569" s="58"/>
      <c r="K1569" s="58"/>
      <c r="L1569" s="58"/>
      <c r="M1569" s="58">
        <v>28</v>
      </c>
      <c r="N1569" s="58"/>
    </row>
    <row r="1570" spans="1:14" hidden="1" x14ac:dyDescent="0.25">
      <c r="A1570" t="s">
        <v>213</v>
      </c>
      <c r="B1570" s="58" t="s">
        <v>377</v>
      </c>
      <c r="C1570" s="58" t="s">
        <v>379</v>
      </c>
      <c r="D1570" s="58" t="s">
        <v>378</v>
      </c>
      <c r="E1570" s="58">
        <v>3</v>
      </c>
      <c r="F1570">
        <v>8</v>
      </c>
      <c r="G1570">
        <v>190</v>
      </c>
      <c r="H1570">
        <v>13</v>
      </c>
      <c r="I1570" s="58"/>
      <c r="J1570" s="58"/>
      <c r="K1570" s="58"/>
      <c r="L1570" s="58"/>
      <c r="M1570" s="58">
        <v>28</v>
      </c>
      <c r="N1570" s="58"/>
    </row>
    <row r="1571" spans="1:14" hidden="1" x14ac:dyDescent="0.25">
      <c r="A1571" t="s">
        <v>213</v>
      </c>
      <c r="B1571" s="58" t="s">
        <v>377</v>
      </c>
      <c r="C1571" s="58" t="s">
        <v>379</v>
      </c>
      <c r="D1571" s="58" t="s">
        <v>378</v>
      </c>
      <c r="E1571" s="58">
        <v>3</v>
      </c>
      <c r="F1571">
        <v>8</v>
      </c>
      <c r="G1571">
        <v>200</v>
      </c>
      <c r="H1571">
        <v>13</v>
      </c>
      <c r="I1571" s="58"/>
      <c r="J1571" s="58"/>
      <c r="K1571" s="58"/>
      <c r="L1571" s="58"/>
      <c r="M1571" s="58">
        <v>28</v>
      </c>
      <c r="N1571" s="58"/>
    </row>
    <row r="1572" spans="1:14" hidden="1" x14ac:dyDescent="0.25">
      <c r="A1572" t="s">
        <v>213</v>
      </c>
      <c r="B1572" s="58" t="s">
        <v>377</v>
      </c>
      <c r="C1572" s="58" t="s">
        <v>379</v>
      </c>
      <c r="D1572" s="58" t="s">
        <v>378</v>
      </c>
      <c r="E1572" s="58">
        <v>3</v>
      </c>
      <c r="F1572">
        <v>8</v>
      </c>
      <c r="G1572">
        <v>210</v>
      </c>
      <c r="H1572">
        <v>13</v>
      </c>
      <c r="I1572" s="58"/>
      <c r="J1572" s="58"/>
      <c r="K1572" s="58"/>
      <c r="L1572" s="58"/>
      <c r="M1572" s="58">
        <v>28</v>
      </c>
      <c r="N1572" s="58"/>
    </row>
    <row r="1573" spans="1:14" hidden="1" x14ac:dyDescent="0.25">
      <c r="A1573" t="s">
        <v>213</v>
      </c>
      <c r="B1573" s="58" t="s">
        <v>377</v>
      </c>
      <c r="C1573" s="58" t="s">
        <v>379</v>
      </c>
      <c r="D1573" s="58" t="s">
        <v>378</v>
      </c>
      <c r="E1573" s="58">
        <v>3</v>
      </c>
      <c r="F1573">
        <v>8</v>
      </c>
      <c r="G1573">
        <v>220</v>
      </c>
      <c r="H1573">
        <v>13</v>
      </c>
      <c r="I1573" s="58"/>
      <c r="J1573" s="58"/>
      <c r="K1573" s="58"/>
      <c r="L1573" s="58"/>
      <c r="M1573" s="58">
        <v>28</v>
      </c>
      <c r="N1573" s="58"/>
    </row>
    <row r="1574" spans="1:14" hidden="1" x14ac:dyDescent="0.25">
      <c r="A1574" t="s">
        <v>213</v>
      </c>
      <c r="B1574" s="58" t="s">
        <v>377</v>
      </c>
      <c r="C1574" s="58" t="s">
        <v>379</v>
      </c>
      <c r="D1574" s="58" t="s">
        <v>378</v>
      </c>
      <c r="E1574" s="58">
        <v>3</v>
      </c>
      <c r="F1574">
        <v>10</v>
      </c>
      <c r="G1574">
        <v>40</v>
      </c>
      <c r="H1574">
        <v>13</v>
      </c>
      <c r="I1574" s="58"/>
      <c r="J1574" s="58"/>
      <c r="K1574" s="58"/>
      <c r="L1574" s="58"/>
      <c r="M1574" s="58">
        <v>26</v>
      </c>
      <c r="N1574" s="58"/>
    </row>
    <row r="1575" spans="1:14" hidden="1" x14ac:dyDescent="0.25">
      <c r="A1575" t="s">
        <v>213</v>
      </c>
      <c r="B1575" s="58" t="s">
        <v>377</v>
      </c>
      <c r="C1575" s="58" t="s">
        <v>379</v>
      </c>
      <c r="D1575" s="58" t="s">
        <v>378</v>
      </c>
      <c r="E1575" s="58">
        <v>3</v>
      </c>
      <c r="F1575">
        <v>10</v>
      </c>
      <c r="G1575">
        <v>45</v>
      </c>
      <c r="H1575">
        <v>13</v>
      </c>
      <c r="I1575" s="58"/>
      <c r="J1575" s="58"/>
      <c r="K1575" s="58"/>
      <c r="L1575" s="58"/>
      <c r="M1575" s="58">
        <v>26</v>
      </c>
      <c r="N1575" s="58"/>
    </row>
    <row r="1576" spans="1:14" hidden="1" x14ac:dyDescent="0.25">
      <c r="A1576" t="s">
        <v>213</v>
      </c>
      <c r="B1576" s="58" t="s">
        <v>377</v>
      </c>
      <c r="C1576" s="58" t="s">
        <v>379</v>
      </c>
      <c r="D1576" s="58" t="s">
        <v>378</v>
      </c>
      <c r="E1576" s="58">
        <v>3</v>
      </c>
      <c r="F1576">
        <v>10</v>
      </c>
      <c r="G1576">
        <v>50</v>
      </c>
      <c r="H1576">
        <v>13</v>
      </c>
      <c r="I1576" s="58"/>
      <c r="J1576" s="58"/>
      <c r="K1576" s="58"/>
      <c r="L1576" s="58"/>
      <c r="M1576" s="58">
        <v>26</v>
      </c>
      <c r="N1576" s="58"/>
    </row>
    <row r="1577" spans="1:14" hidden="1" x14ac:dyDescent="0.25">
      <c r="A1577" t="s">
        <v>213</v>
      </c>
      <c r="B1577" s="58" t="s">
        <v>377</v>
      </c>
      <c r="C1577" s="58" t="s">
        <v>379</v>
      </c>
      <c r="D1577" s="58" t="s">
        <v>378</v>
      </c>
      <c r="E1577" s="58">
        <v>3</v>
      </c>
      <c r="F1577">
        <v>10</v>
      </c>
      <c r="G1577">
        <v>55</v>
      </c>
      <c r="H1577">
        <v>13</v>
      </c>
      <c r="I1577" s="58"/>
      <c r="J1577" s="58"/>
      <c r="K1577" s="58"/>
      <c r="L1577" s="58"/>
      <c r="M1577" s="58">
        <v>26</v>
      </c>
      <c r="N1577" s="58"/>
    </row>
    <row r="1578" spans="1:14" hidden="1" x14ac:dyDescent="0.25">
      <c r="A1578" t="s">
        <v>213</v>
      </c>
      <c r="B1578" s="58" t="s">
        <v>377</v>
      </c>
      <c r="C1578" s="58" t="s">
        <v>379</v>
      </c>
      <c r="D1578" s="58" t="s">
        <v>378</v>
      </c>
      <c r="E1578" s="58">
        <v>3</v>
      </c>
      <c r="F1578">
        <v>10</v>
      </c>
      <c r="G1578">
        <v>60</v>
      </c>
      <c r="H1578">
        <v>13</v>
      </c>
      <c r="I1578" s="58"/>
      <c r="J1578" s="58"/>
      <c r="K1578" s="58"/>
      <c r="L1578" s="58"/>
      <c r="M1578" s="58">
        <v>26</v>
      </c>
      <c r="N1578" s="58"/>
    </row>
    <row r="1579" spans="1:14" hidden="1" x14ac:dyDescent="0.25">
      <c r="A1579" t="s">
        <v>213</v>
      </c>
      <c r="B1579" s="58" t="s">
        <v>377</v>
      </c>
      <c r="C1579" s="58" t="s">
        <v>379</v>
      </c>
      <c r="D1579" s="58" t="s">
        <v>378</v>
      </c>
      <c r="E1579" s="58">
        <v>3</v>
      </c>
      <c r="F1579">
        <v>10</v>
      </c>
      <c r="G1579">
        <v>65</v>
      </c>
      <c r="H1579">
        <v>13</v>
      </c>
      <c r="I1579" s="58"/>
      <c r="J1579" s="58"/>
      <c r="K1579" s="58"/>
      <c r="L1579" s="58"/>
      <c r="M1579" s="58">
        <v>26</v>
      </c>
      <c r="N1579" s="58"/>
    </row>
    <row r="1580" spans="1:14" hidden="1" x14ac:dyDescent="0.25">
      <c r="A1580" t="s">
        <v>213</v>
      </c>
      <c r="B1580" s="58" t="s">
        <v>377</v>
      </c>
      <c r="C1580" s="58" t="s">
        <v>379</v>
      </c>
      <c r="D1580" s="58" t="s">
        <v>378</v>
      </c>
      <c r="E1580" s="58">
        <v>3</v>
      </c>
      <c r="F1580">
        <v>10</v>
      </c>
      <c r="G1580">
        <v>70</v>
      </c>
      <c r="H1580">
        <v>13</v>
      </c>
      <c r="I1580" s="58"/>
      <c r="J1580" s="58"/>
      <c r="K1580" s="58"/>
      <c r="L1580" s="58"/>
      <c r="M1580" s="58">
        <v>26</v>
      </c>
      <c r="N1580" s="58"/>
    </row>
    <row r="1581" spans="1:14" hidden="1" x14ac:dyDescent="0.25">
      <c r="A1581" t="s">
        <v>213</v>
      </c>
      <c r="B1581" s="58" t="s">
        <v>377</v>
      </c>
      <c r="C1581" s="58" t="s">
        <v>379</v>
      </c>
      <c r="D1581" s="58" t="s">
        <v>378</v>
      </c>
      <c r="E1581" s="58">
        <v>3</v>
      </c>
      <c r="F1581">
        <v>10</v>
      </c>
      <c r="G1581">
        <v>75</v>
      </c>
      <c r="H1581">
        <v>13</v>
      </c>
      <c r="I1581" s="58"/>
      <c r="J1581" s="58"/>
      <c r="K1581" s="58"/>
      <c r="L1581" s="58"/>
      <c r="M1581" s="58">
        <v>26</v>
      </c>
      <c r="N1581" s="58"/>
    </row>
    <row r="1582" spans="1:14" hidden="1" x14ac:dyDescent="0.25">
      <c r="A1582" t="s">
        <v>213</v>
      </c>
      <c r="B1582" s="58" t="s">
        <v>377</v>
      </c>
      <c r="C1582" s="58" t="s">
        <v>379</v>
      </c>
      <c r="D1582" s="58" t="s">
        <v>378</v>
      </c>
      <c r="E1582" s="58">
        <v>3</v>
      </c>
      <c r="F1582">
        <v>10</v>
      </c>
      <c r="G1582">
        <v>80</v>
      </c>
      <c r="H1582">
        <v>13</v>
      </c>
      <c r="I1582" s="58"/>
      <c r="J1582" s="58"/>
      <c r="K1582" s="58"/>
      <c r="L1582" s="58"/>
      <c r="M1582" s="58">
        <v>26</v>
      </c>
      <c r="N1582" s="58"/>
    </row>
    <row r="1583" spans="1:14" hidden="1" x14ac:dyDescent="0.25">
      <c r="A1583" t="s">
        <v>213</v>
      </c>
      <c r="B1583" s="58" t="s">
        <v>377</v>
      </c>
      <c r="C1583" s="58" t="s">
        <v>379</v>
      </c>
      <c r="D1583" s="58" t="s">
        <v>378</v>
      </c>
      <c r="E1583" s="58">
        <v>3</v>
      </c>
      <c r="F1583">
        <v>10</v>
      </c>
      <c r="G1583">
        <v>85</v>
      </c>
      <c r="H1583">
        <v>13</v>
      </c>
      <c r="I1583" s="58"/>
      <c r="J1583" s="58"/>
      <c r="K1583" s="58"/>
      <c r="L1583" s="58"/>
      <c r="M1583" s="58">
        <v>26</v>
      </c>
      <c r="N1583" s="58"/>
    </row>
    <row r="1584" spans="1:14" hidden="1" x14ac:dyDescent="0.25">
      <c r="A1584" t="s">
        <v>213</v>
      </c>
      <c r="B1584" s="58" t="s">
        <v>377</v>
      </c>
      <c r="C1584" s="58" t="s">
        <v>379</v>
      </c>
      <c r="D1584" s="58" t="s">
        <v>378</v>
      </c>
      <c r="E1584" s="58">
        <v>3</v>
      </c>
      <c r="F1584">
        <v>10</v>
      </c>
      <c r="G1584">
        <v>90</v>
      </c>
      <c r="H1584">
        <v>13</v>
      </c>
      <c r="I1584" s="58"/>
      <c r="J1584" s="58"/>
      <c r="K1584" s="58"/>
      <c r="L1584" s="58"/>
      <c r="M1584" s="58">
        <v>26</v>
      </c>
      <c r="N1584" s="58"/>
    </row>
    <row r="1585" spans="1:14" hidden="1" x14ac:dyDescent="0.25">
      <c r="A1585" t="s">
        <v>213</v>
      </c>
      <c r="B1585" s="58" t="s">
        <v>377</v>
      </c>
      <c r="C1585" s="58" t="s">
        <v>379</v>
      </c>
      <c r="D1585" s="58" t="s">
        <v>378</v>
      </c>
      <c r="E1585" s="58">
        <v>3</v>
      </c>
      <c r="F1585">
        <v>10</v>
      </c>
      <c r="G1585">
        <v>95</v>
      </c>
      <c r="H1585">
        <v>13</v>
      </c>
      <c r="I1585" s="58"/>
      <c r="J1585" s="58"/>
      <c r="K1585" s="58"/>
      <c r="L1585" s="58"/>
      <c r="M1585" s="58">
        <v>26</v>
      </c>
      <c r="N1585" s="58"/>
    </row>
    <row r="1586" spans="1:14" hidden="1" x14ac:dyDescent="0.25">
      <c r="A1586" t="s">
        <v>213</v>
      </c>
      <c r="B1586" s="58" t="s">
        <v>377</v>
      </c>
      <c r="C1586" s="58" t="s">
        <v>379</v>
      </c>
      <c r="D1586" s="58" t="s">
        <v>378</v>
      </c>
      <c r="E1586" s="58">
        <v>3</v>
      </c>
      <c r="F1586">
        <v>10</v>
      </c>
      <c r="G1586">
        <v>100</v>
      </c>
      <c r="H1586">
        <v>16</v>
      </c>
      <c r="I1586" s="58"/>
      <c r="J1586" s="58"/>
      <c r="K1586" s="58"/>
      <c r="L1586" s="58"/>
      <c r="M1586" s="58">
        <v>26</v>
      </c>
      <c r="N1586" s="58"/>
    </row>
    <row r="1587" spans="1:14" hidden="1" x14ac:dyDescent="0.25">
      <c r="A1587" t="s">
        <v>213</v>
      </c>
      <c r="B1587" s="58" t="s">
        <v>377</v>
      </c>
      <c r="C1587" s="58" t="s">
        <v>379</v>
      </c>
      <c r="D1587" s="58" t="s">
        <v>378</v>
      </c>
      <c r="E1587" s="58">
        <v>3</v>
      </c>
      <c r="F1587">
        <v>10</v>
      </c>
      <c r="G1587">
        <v>105</v>
      </c>
      <c r="H1587">
        <v>16</v>
      </c>
      <c r="I1587" s="58"/>
      <c r="J1587" s="58"/>
      <c r="K1587" s="58"/>
      <c r="L1587" s="58"/>
      <c r="M1587" s="58">
        <v>26</v>
      </c>
      <c r="N1587" s="58"/>
    </row>
    <row r="1588" spans="1:14" hidden="1" x14ac:dyDescent="0.25">
      <c r="A1588" t="s">
        <v>213</v>
      </c>
      <c r="B1588" s="58" t="s">
        <v>377</v>
      </c>
      <c r="C1588" s="58" t="s">
        <v>379</v>
      </c>
      <c r="D1588" s="58" t="s">
        <v>378</v>
      </c>
      <c r="E1588" s="58">
        <v>3</v>
      </c>
      <c r="F1588">
        <v>10</v>
      </c>
      <c r="G1588">
        <v>110</v>
      </c>
      <c r="H1588">
        <v>16</v>
      </c>
      <c r="I1588" s="58"/>
      <c r="J1588" s="58"/>
      <c r="K1588" s="58"/>
      <c r="L1588" s="58"/>
      <c r="M1588" s="58">
        <v>26</v>
      </c>
      <c r="N1588" s="58"/>
    </row>
    <row r="1589" spans="1:14" hidden="1" x14ac:dyDescent="0.25">
      <c r="A1589" t="s">
        <v>213</v>
      </c>
      <c r="B1589" s="58" t="s">
        <v>377</v>
      </c>
      <c r="C1589" s="58" t="s">
        <v>379</v>
      </c>
      <c r="D1589" s="58" t="s">
        <v>378</v>
      </c>
      <c r="E1589" s="58">
        <v>3</v>
      </c>
      <c r="F1589">
        <v>10</v>
      </c>
      <c r="G1589">
        <v>115</v>
      </c>
      <c r="H1589">
        <v>16</v>
      </c>
      <c r="I1589" s="58"/>
      <c r="J1589" s="58"/>
      <c r="K1589" s="58"/>
      <c r="L1589" s="58"/>
      <c r="M1589" s="58">
        <v>26</v>
      </c>
      <c r="N1589" s="58"/>
    </row>
    <row r="1590" spans="1:14" hidden="1" x14ac:dyDescent="0.25">
      <c r="A1590" t="s">
        <v>213</v>
      </c>
      <c r="B1590" s="58" t="s">
        <v>377</v>
      </c>
      <c r="C1590" s="58" t="s">
        <v>379</v>
      </c>
      <c r="D1590" s="58" t="s">
        <v>378</v>
      </c>
      <c r="E1590" s="58">
        <v>3</v>
      </c>
      <c r="F1590">
        <v>10</v>
      </c>
      <c r="G1590">
        <v>120</v>
      </c>
      <c r="H1590">
        <v>16</v>
      </c>
      <c r="I1590" s="58"/>
      <c r="J1590" s="58"/>
      <c r="K1590" s="58"/>
      <c r="L1590" s="58"/>
      <c r="M1590" s="58">
        <v>26</v>
      </c>
      <c r="N1590" s="58"/>
    </row>
    <row r="1591" spans="1:14" hidden="1" x14ac:dyDescent="0.25">
      <c r="A1591" t="s">
        <v>213</v>
      </c>
      <c r="B1591" s="58" t="s">
        <v>377</v>
      </c>
      <c r="C1591" s="58" t="s">
        <v>379</v>
      </c>
      <c r="D1591" s="58" t="s">
        <v>378</v>
      </c>
      <c r="E1591" s="58">
        <v>3</v>
      </c>
      <c r="F1591">
        <v>10</v>
      </c>
      <c r="G1591">
        <v>130</v>
      </c>
      <c r="H1591">
        <v>16</v>
      </c>
      <c r="I1591" s="58"/>
      <c r="J1591" s="58"/>
      <c r="K1591" s="58"/>
      <c r="L1591" s="58"/>
      <c r="M1591" s="58">
        <v>32</v>
      </c>
      <c r="N1591" s="58"/>
    </row>
    <row r="1592" spans="1:14" hidden="1" x14ac:dyDescent="0.25">
      <c r="A1592" t="s">
        <v>213</v>
      </c>
      <c r="B1592" s="58" t="s">
        <v>377</v>
      </c>
      <c r="C1592" s="58" t="s">
        <v>379</v>
      </c>
      <c r="D1592" s="58" t="s">
        <v>378</v>
      </c>
      <c r="E1592" s="58">
        <v>3</v>
      </c>
      <c r="F1592">
        <v>10</v>
      </c>
      <c r="G1592">
        <v>140</v>
      </c>
      <c r="H1592">
        <v>16</v>
      </c>
      <c r="I1592" s="58"/>
      <c r="J1592" s="58"/>
      <c r="K1592" s="58"/>
      <c r="L1592" s="58"/>
      <c r="M1592" s="58">
        <v>32</v>
      </c>
      <c r="N1592" s="58"/>
    </row>
    <row r="1593" spans="1:14" hidden="1" x14ac:dyDescent="0.25">
      <c r="A1593" t="s">
        <v>213</v>
      </c>
      <c r="B1593" s="58" t="s">
        <v>377</v>
      </c>
      <c r="C1593" s="58" t="s">
        <v>379</v>
      </c>
      <c r="D1593" s="58" t="s">
        <v>378</v>
      </c>
      <c r="E1593" s="58">
        <v>3</v>
      </c>
      <c r="F1593">
        <v>10</v>
      </c>
      <c r="G1593">
        <v>150</v>
      </c>
      <c r="H1593">
        <v>16</v>
      </c>
      <c r="I1593" s="58"/>
      <c r="J1593" s="58"/>
      <c r="K1593" s="58"/>
      <c r="L1593" s="58"/>
      <c r="M1593" s="58">
        <v>32</v>
      </c>
      <c r="N1593" s="58"/>
    </row>
    <row r="1594" spans="1:14" hidden="1" x14ac:dyDescent="0.25">
      <c r="A1594" t="s">
        <v>213</v>
      </c>
      <c r="B1594" s="58" t="s">
        <v>377</v>
      </c>
      <c r="C1594" s="58" t="s">
        <v>379</v>
      </c>
      <c r="D1594" s="58" t="s">
        <v>378</v>
      </c>
      <c r="E1594" s="58">
        <v>3</v>
      </c>
      <c r="F1594">
        <v>10</v>
      </c>
      <c r="G1594">
        <v>160</v>
      </c>
      <c r="H1594">
        <v>16</v>
      </c>
      <c r="I1594" s="58"/>
      <c r="J1594" s="58"/>
      <c r="K1594" s="58"/>
      <c r="L1594" s="58"/>
      <c r="M1594" s="58">
        <v>32</v>
      </c>
      <c r="N1594" s="58"/>
    </row>
    <row r="1595" spans="1:14" hidden="1" x14ac:dyDescent="0.25">
      <c r="A1595" t="s">
        <v>213</v>
      </c>
      <c r="B1595" s="58" t="s">
        <v>377</v>
      </c>
      <c r="C1595" s="58" t="s">
        <v>379</v>
      </c>
      <c r="D1595" s="58" t="s">
        <v>378</v>
      </c>
      <c r="E1595" s="58">
        <v>3</v>
      </c>
      <c r="F1595">
        <v>10</v>
      </c>
      <c r="G1595">
        <v>170</v>
      </c>
      <c r="H1595">
        <v>16</v>
      </c>
      <c r="I1595" s="58"/>
      <c r="J1595" s="58"/>
      <c r="K1595" s="58"/>
      <c r="L1595" s="58"/>
      <c r="M1595" s="58">
        <v>32</v>
      </c>
      <c r="N1595" s="58"/>
    </row>
    <row r="1596" spans="1:14" hidden="1" x14ac:dyDescent="0.25">
      <c r="A1596" t="s">
        <v>213</v>
      </c>
      <c r="B1596" s="58" t="s">
        <v>377</v>
      </c>
      <c r="C1596" s="58" t="s">
        <v>379</v>
      </c>
      <c r="D1596" s="58" t="s">
        <v>378</v>
      </c>
      <c r="E1596" s="58">
        <v>3</v>
      </c>
      <c r="F1596">
        <v>10</v>
      </c>
      <c r="G1596">
        <v>180</v>
      </c>
      <c r="H1596">
        <v>16</v>
      </c>
      <c r="I1596" s="58"/>
      <c r="J1596" s="58"/>
      <c r="K1596" s="58"/>
      <c r="L1596" s="58"/>
      <c r="M1596" s="58">
        <v>32</v>
      </c>
      <c r="N1596" s="58"/>
    </row>
    <row r="1597" spans="1:14" hidden="1" x14ac:dyDescent="0.25">
      <c r="A1597" t="s">
        <v>213</v>
      </c>
      <c r="B1597" s="58" t="s">
        <v>377</v>
      </c>
      <c r="C1597" s="58" t="s">
        <v>379</v>
      </c>
      <c r="D1597" s="58" t="s">
        <v>378</v>
      </c>
      <c r="E1597" s="58">
        <v>3</v>
      </c>
      <c r="F1597">
        <v>10</v>
      </c>
      <c r="G1597">
        <v>190</v>
      </c>
      <c r="H1597">
        <v>16</v>
      </c>
      <c r="I1597" s="58"/>
      <c r="J1597" s="58"/>
      <c r="K1597" s="58"/>
      <c r="L1597" s="58"/>
      <c r="M1597" s="58">
        <v>32</v>
      </c>
      <c r="N1597" s="58"/>
    </row>
    <row r="1598" spans="1:14" hidden="1" x14ac:dyDescent="0.25">
      <c r="A1598" t="s">
        <v>213</v>
      </c>
      <c r="B1598" s="58" t="s">
        <v>377</v>
      </c>
      <c r="C1598" s="58" t="s">
        <v>379</v>
      </c>
      <c r="D1598" s="58" t="s">
        <v>378</v>
      </c>
      <c r="E1598" s="58">
        <v>3</v>
      </c>
      <c r="F1598">
        <v>10</v>
      </c>
      <c r="G1598">
        <v>200</v>
      </c>
      <c r="H1598">
        <v>16</v>
      </c>
      <c r="I1598" s="58"/>
      <c r="J1598" s="58"/>
      <c r="K1598" s="58"/>
      <c r="L1598" s="58"/>
      <c r="M1598" s="58">
        <v>32</v>
      </c>
      <c r="N1598" s="58"/>
    </row>
    <row r="1599" spans="1:14" hidden="1" x14ac:dyDescent="0.25">
      <c r="A1599" t="s">
        <v>213</v>
      </c>
      <c r="B1599" s="58" t="s">
        <v>377</v>
      </c>
      <c r="C1599" s="58" t="s">
        <v>379</v>
      </c>
      <c r="D1599" s="58" t="s">
        <v>378</v>
      </c>
      <c r="E1599" s="58">
        <v>3</v>
      </c>
      <c r="F1599">
        <v>10</v>
      </c>
      <c r="G1599">
        <v>210</v>
      </c>
      <c r="H1599">
        <v>16</v>
      </c>
      <c r="I1599" s="59"/>
      <c r="J1599" s="59"/>
      <c r="K1599" s="59"/>
      <c r="L1599" s="59"/>
      <c r="M1599" s="58">
        <v>45</v>
      </c>
      <c r="N1599" s="59"/>
    </row>
    <row r="1600" spans="1:14" hidden="1" x14ac:dyDescent="0.25">
      <c r="A1600" t="s">
        <v>213</v>
      </c>
      <c r="B1600" s="58" t="s">
        <v>377</v>
      </c>
      <c r="C1600" s="58" t="s">
        <v>379</v>
      </c>
      <c r="D1600" s="58" t="s">
        <v>378</v>
      </c>
      <c r="E1600" s="58">
        <v>3</v>
      </c>
      <c r="F1600">
        <v>10</v>
      </c>
      <c r="G1600">
        <v>220</v>
      </c>
      <c r="H1600">
        <v>16</v>
      </c>
      <c r="I1600" s="59"/>
      <c r="J1600" s="59"/>
      <c r="K1600" s="59"/>
      <c r="L1600" s="59"/>
      <c r="M1600" s="58">
        <v>45</v>
      </c>
      <c r="N1600" s="59"/>
    </row>
    <row r="1601" spans="1:14" hidden="1" x14ac:dyDescent="0.25">
      <c r="A1601" t="s">
        <v>213</v>
      </c>
      <c r="B1601" s="58" t="s">
        <v>377</v>
      </c>
      <c r="C1601" s="58" t="s">
        <v>379</v>
      </c>
      <c r="D1601" s="58" t="s">
        <v>378</v>
      </c>
      <c r="E1601" s="58">
        <v>3</v>
      </c>
      <c r="F1601">
        <v>10</v>
      </c>
      <c r="G1601">
        <v>230</v>
      </c>
      <c r="H1601">
        <v>16</v>
      </c>
      <c r="I1601" s="59"/>
      <c r="J1601" s="59"/>
      <c r="K1601" s="59"/>
      <c r="L1601" s="59"/>
      <c r="M1601" s="58">
        <v>45</v>
      </c>
      <c r="N1601" s="59"/>
    </row>
    <row r="1602" spans="1:14" hidden="1" x14ac:dyDescent="0.25">
      <c r="A1602" t="s">
        <v>213</v>
      </c>
      <c r="B1602" s="58" t="s">
        <v>377</v>
      </c>
      <c r="C1602" s="58" t="s">
        <v>379</v>
      </c>
      <c r="D1602" s="58" t="s">
        <v>378</v>
      </c>
      <c r="E1602" s="58">
        <v>3</v>
      </c>
      <c r="F1602">
        <v>10</v>
      </c>
      <c r="G1602">
        <v>240</v>
      </c>
      <c r="H1602">
        <v>16</v>
      </c>
      <c r="I1602" s="59"/>
      <c r="J1602" s="59"/>
      <c r="K1602" s="59"/>
      <c r="L1602" s="59"/>
      <c r="M1602" s="58">
        <v>45</v>
      </c>
      <c r="N1602" s="59"/>
    </row>
    <row r="1603" spans="1:14" hidden="1" x14ac:dyDescent="0.25">
      <c r="A1603" t="s">
        <v>213</v>
      </c>
      <c r="B1603" s="58" t="s">
        <v>377</v>
      </c>
      <c r="C1603" s="58" t="s">
        <v>379</v>
      </c>
      <c r="D1603" s="58" t="s">
        <v>378</v>
      </c>
      <c r="E1603" s="58">
        <v>3</v>
      </c>
      <c r="F1603">
        <v>10</v>
      </c>
      <c r="G1603">
        <v>250</v>
      </c>
      <c r="H1603">
        <v>16</v>
      </c>
      <c r="I1603" s="59"/>
      <c r="J1603" s="59"/>
      <c r="K1603" s="59"/>
      <c r="L1603" s="59"/>
      <c r="M1603" s="58">
        <v>45</v>
      </c>
      <c r="N1603" s="59"/>
    </row>
    <row r="1604" spans="1:14" hidden="1" x14ac:dyDescent="0.25">
      <c r="A1604" t="s">
        <v>213</v>
      </c>
      <c r="B1604" s="58" t="s">
        <v>377</v>
      </c>
      <c r="C1604" s="58" t="s">
        <v>379</v>
      </c>
      <c r="D1604" s="58" t="s">
        <v>378</v>
      </c>
      <c r="E1604" s="58">
        <v>3</v>
      </c>
      <c r="F1604">
        <v>10</v>
      </c>
      <c r="G1604">
        <v>260</v>
      </c>
      <c r="H1604">
        <v>16</v>
      </c>
      <c r="I1604" s="59"/>
      <c r="J1604" s="59"/>
      <c r="K1604" s="59"/>
      <c r="L1604" s="59"/>
      <c r="M1604" s="58">
        <v>45</v>
      </c>
      <c r="N1604" s="59"/>
    </row>
    <row r="1605" spans="1:14" hidden="1" x14ac:dyDescent="0.25">
      <c r="A1605" t="s">
        <v>213</v>
      </c>
      <c r="B1605" s="58" t="s">
        <v>377</v>
      </c>
      <c r="C1605" s="58" t="s">
        <v>379</v>
      </c>
      <c r="D1605" s="58" t="s">
        <v>378</v>
      </c>
      <c r="E1605" s="58">
        <v>3</v>
      </c>
      <c r="F1605">
        <v>10</v>
      </c>
      <c r="G1605">
        <v>270</v>
      </c>
      <c r="H1605">
        <v>16</v>
      </c>
      <c r="I1605" s="59"/>
      <c r="J1605" s="59"/>
      <c r="K1605" s="59"/>
      <c r="L1605" s="59"/>
      <c r="M1605" s="58">
        <v>45</v>
      </c>
      <c r="N1605" s="59"/>
    </row>
    <row r="1606" spans="1:14" hidden="1" x14ac:dyDescent="0.25">
      <c r="A1606" t="s">
        <v>213</v>
      </c>
      <c r="B1606" s="58" t="s">
        <v>377</v>
      </c>
      <c r="C1606" s="58" t="s">
        <v>379</v>
      </c>
      <c r="D1606" s="58" t="s">
        <v>378</v>
      </c>
      <c r="E1606" s="58">
        <v>3</v>
      </c>
      <c r="F1606">
        <v>10</v>
      </c>
      <c r="G1606">
        <v>280</v>
      </c>
      <c r="H1606">
        <v>16</v>
      </c>
      <c r="I1606" s="59"/>
      <c r="J1606" s="59"/>
      <c r="K1606" s="59"/>
      <c r="L1606" s="59"/>
      <c r="M1606" s="58">
        <v>45</v>
      </c>
      <c r="N1606" s="59"/>
    </row>
    <row r="1607" spans="1:14" hidden="1" x14ac:dyDescent="0.25">
      <c r="A1607" t="s">
        <v>213</v>
      </c>
      <c r="B1607" s="58" t="s">
        <v>377</v>
      </c>
      <c r="C1607" s="58" t="s">
        <v>379</v>
      </c>
      <c r="D1607" s="58" t="s">
        <v>378</v>
      </c>
      <c r="E1607" s="58">
        <v>3</v>
      </c>
      <c r="F1607">
        <v>10</v>
      </c>
      <c r="G1607">
        <v>300</v>
      </c>
      <c r="H1607">
        <v>16</v>
      </c>
      <c r="I1607" s="59"/>
      <c r="J1607" s="59"/>
      <c r="K1607" s="59"/>
      <c r="L1607" s="59"/>
      <c r="M1607" s="58">
        <v>45</v>
      </c>
      <c r="N1607" s="59"/>
    </row>
    <row r="1608" spans="1:14" hidden="1" x14ac:dyDescent="0.25">
      <c r="A1608" t="s">
        <v>213</v>
      </c>
      <c r="B1608" s="58" t="s">
        <v>377</v>
      </c>
      <c r="C1608" s="58" t="s">
        <v>379</v>
      </c>
      <c r="D1608" s="58" t="s">
        <v>378</v>
      </c>
      <c r="E1608" s="58">
        <v>3</v>
      </c>
      <c r="F1608">
        <v>12</v>
      </c>
      <c r="G1608">
        <v>45</v>
      </c>
      <c r="H1608">
        <v>16</v>
      </c>
      <c r="I1608" s="59"/>
      <c r="J1608" s="59"/>
      <c r="K1608" s="59"/>
      <c r="L1608" s="59"/>
      <c r="M1608" s="58">
        <v>30</v>
      </c>
      <c r="N1608" s="59"/>
    </row>
    <row r="1609" spans="1:14" hidden="1" x14ac:dyDescent="0.25">
      <c r="A1609" t="s">
        <v>213</v>
      </c>
      <c r="B1609" s="58" t="s">
        <v>377</v>
      </c>
      <c r="C1609" s="58" t="s">
        <v>379</v>
      </c>
      <c r="D1609" s="58" t="s">
        <v>378</v>
      </c>
      <c r="E1609" s="58">
        <v>3</v>
      </c>
      <c r="F1609">
        <v>12</v>
      </c>
      <c r="G1609">
        <v>50</v>
      </c>
      <c r="H1609">
        <v>16</v>
      </c>
      <c r="I1609" s="59"/>
      <c r="J1609" s="59"/>
      <c r="K1609" s="59"/>
      <c r="L1609" s="59"/>
      <c r="M1609" s="58">
        <v>30</v>
      </c>
      <c r="N1609" s="59"/>
    </row>
    <row r="1610" spans="1:14" hidden="1" x14ac:dyDescent="0.25">
      <c r="A1610" t="s">
        <v>213</v>
      </c>
      <c r="B1610" s="58" t="s">
        <v>377</v>
      </c>
      <c r="C1610" s="58" t="s">
        <v>379</v>
      </c>
      <c r="D1610" s="58" t="s">
        <v>378</v>
      </c>
      <c r="E1610" s="58">
        <v>3</v>
      </c>
      <c r="F1610">
        <v>12</v>
      </c>
      <c r="G1610">
        <v>55</v>
      </c>
      <c r="H1610">
        <v>16</v>
      </c>
      <c r="I1610" s="59"/>
      <c r="J1610" s="59"/>
      <c r="K1610" s="59"/>
      <c r="L1610" s="59"/>
      <c r="M1610" s="58">
        <v>30</v>
      </c>
      <c r="N1610" s="59"/>
    </row>
    <row r="1611" spans="1:14" hidden="1" x14ac:dyDescent="0.25">
      <c r="A1611" t="s">
        <v>213</v>
      </c>
      <c r="B1611" s="58" t="s">
        <v>377</v>
      </c>
      <c r="C1611" s="58" t="s">
        <v>379</v>
      </c>
      <c r="D1611" s="58" t="s">
        <v>378</v>
      </c>
      <c r="E1611" s="58">
        <v>3</v>
      </c>
      <c r="F1611">
        <v>12</v>
      </c>
      <c r="G1611">
        <v>60</v>
      </c>
      <c r="H1611">
        <v>16</v>
      </c>
      <c r="I1611" s="59"/>
      <c r="J1611" s="59"/>
      <c r="K1611" s="59"/>
      <c r="L1611" s="59"/>
      <c r="M1611" s="58">
        <v>30</v>
      </c>
      <c r="N1611" s="59"/>
    </row>
    <row r="1612" spans="1:14" hidden="1" x14ac:dyDescent="0.25">
      <c r="A1612" t="s">
        <v>213</v>
      </c>
      <c r="B1612" s="58" t="s">
        <v>377</v>
      </c>
      <c r="C1612" s="58" t="s">
        <v>379</v>
      </c>
      <c r="D1612" s="58" t="s">
        <v>378</v>
      </c>
      <c r="E1612" s="58">
        <v>3</v>
      </c>
      <c r="F1612">
        <v>12</v>
      </c>
      <c r="G1612">
        <v>65</v>
      </c>
      <c r="H1612">
        <v>16</v>
      </c>
      <c r="I1612" s="59"/>
      <c r="J1612" s="59"/>
      <c r="K1612" s="59"/>
      <c r="L1612" s="59"/>
      <c r="M1612" s="58">
        <v>30</v>
      </c>
      <c r="N1612" s="59"/>
    </row>
    <row r="1613" spans="1:14" hidden="1" x14ac:dyDescent="0.25">
      <c r="A1613" t="s">
        <v>213</v>
      </c>
      <c r="B1613" s="58" t="s">
        <v>377</v>
      </c>
      <c r="C1613" s="58" t="s">
        <v>379</v>
      </c>
      <c r="D1613" s="58" t="s">
        <v>378</v>
      </c>
      <c r="E1613" s="58">
        <v>3</v>
      </c>
      <c r="F1613">
        <v>12</v>
      </c>
      <c r="G1613">
        <v>70</v>
      </c>
      <c r="H1613">
        <v>16</v>
      </c>
      <c r="I1613" s="59"/>
      <c r="J1613" s="59"/>
      <c r="K1613" s="59"/>
      <c r="L1613" s="59"/>
      <c r="M1613" s="58">
        <v>30</v>
      </c>
      <c r="N1613" s="59"/>
    </row>
    <row r="1614" spans="1:14" hidden="1" x14ac:dyDescent="0.25">
      <c r="A1614" t="s">
        <v>213</v>
      </c>
      <c r="B1614" s="58" t="s">
        <v>377</v>
      </c>
      <c r="C1614" s="58" t="s">
        <v>379</v>
      </c>
      <c r="D1614" s="58" t="s">
        <v>378</v>
      </c>
      <c r="E1614" s="58">
        <v>3</v>
      </c>
      <c r="F1614">
        <v>12</v>
      </c>
      <c r="G1614">
        <v>75</v>
      </c>
      <c r="H1614">
        <v>16</v>
      </c>
      <c r="I1614" s="59"/>
      <c r="J1614" s="59"/>
      <c r="K1614" s="59"/>
      <c r="L1614" s="59"/>
      <c r="M1614" s="58">
        <v>30</v>
      </c>
      <c r="N1614" s="59"/>
    </row>
    <row r="1615" spans="1:14" hidden="1" x14ac:dyDescent="0.25">
      <c r="A1615" t="s">
        <v>213</v>
      </c>
      <c r="B1615" s="58" t="s">
        <v>377</v>
      </c>
      <c r="C1615" s="58" t="s">
        <v>379</v>
      </c>
      <c r="D1615" s="58" t="s">
        <v>378</v>
      </c>
      <c r="E1615" s="58">
        <v>3</v>
      </c>
      <c r="F1615">
        <v>12</v>
      </c>
      <c r="G1615">
        <v>80</v>
      </c>
      <c r="H1615">
        <v>16</v>
      </c>
      <c r="I1615" s="59"/>
      <c r="J1615" s="59"/>
      <c r="K1615" s="59"/>
      <c r="L1615" s="59"/>
      <c r="M1615" s="58">
        <v>30</v>
      </c>
      <c r="N1615" s="59"/>
    </row>
    <row r="1616" spans="1:14" hidden="1" x14ac:dyDescent="0.25">
      <c r="A1616" t="s">
        <v>213</v>
      </c>
      <c r="B1616" s="58" t="s">
        <v>377</v>
      </c>
      <c r="C1616" s="58" t="s">
        <v>379</v>
      </c>
      <c r="D1616" s="58" t="s">
        <v>378</v>
      </c>
      <c r="E1616" s="58">
        <v>3</v>
      </c>
      <c r="F1616">
        <v>12</v>
      </c>
      <c r="G1616">
        <v>85</v>
      </c>
      <c r="H1616">
        <v>16</v>
      </c>
      <c r="I1616" s="59"/>
      <c r="J1616" s="59"/>
      <c r="K1616" s="59"/>
      <c r="L1616" s="59"/>
      <c r="M1616" s="58">
        <v>30</v>
      </c>
      <c r="N1616" s="59"/>
    </row>
    <row r="1617" spans="1:14" hidden="1" x14ac:dyDescent="0.25">
      <c r="A1617" t="s">
        <v>213</v>
      </c>
      <c r="B1617" s="58" t="s">
        <v>377</v>
      </c>
      <c r="C1617" s="58" t="s">
        <v>379</v>
      </c>
      <c r="D1617" s="58" t="s">
        <v>378</v>
      </c>
      <c r="E1617" s="58">
        <v>3</v>
      </c>
      <c r="F1617">
        <v>12</v>
      </c>
      <c r="G1617">
        <v>90</v>
      </c>
      <c r="H1617">
        <v>16</v>
      </c>
      <c r="I1617" s="59"/>
      <c r="J1617" s="59"/>
      <c r="K1617" s="59"/>
      <c r="L1617" s="59"/>
      <c r="M1617" s="58">
        <v>30</v>
      </c>
      <c r="N1617" s="59"/>
    </row>
    <row r="1618" spans="1:14" hidden="1" x14ac:dyDescent="0.25">
      <c r="A1618" t="s">
        <v>213</v>
      </c>
      <c r="B1618" s="58" t="s">
        <v>377</v>
      </c>
      <c r="C1618" s="58" t="s">
        <v>379</v>
      </c>
      <c r="D1618" s="58" t="s">
        <v>378</v>
      </c>
      <c r="E1618" s="58">
        <v>3</v>
      </c>
      <c r="F1618">
        <v>12</v>
      </c>
      <c r="G1618">
        <v>95</v>
      </c>
      <c r="H1618">
        <v>16</v>
      </c>
      <c r="I1618" s="59"/>
      <c r="J1618" s="59"/>
      <c r="K1618" s="59"/>
      <c r="L1618" s="59"/>
      <c r="M1618" s="58">
        <v>30</v>
      </c>
      <c r="N1618" s="59"/>
    </row>
    <row r="1619" spans="1:14" hidden="1" x14ac:dyDescent="0.25">
      <c r="A1619" t="s">
        <v>213</v>
      </c>
      <c r="B1619" s="58" t="s">
        <v>377</v>
      </c>
      <c r="C1619" s="58" t="s">
        <v>379</v>
      </c>
      <c r="D1619" s="58" t="s">
        <v>378</v>
      </c>
      <c r="E1619" s="58">
        <v>3</v>
      </c>
      <c r="F1619">
        <v>12</v>
      </c>
      <c r="G1619">
        <v>100</v>
      </c>
      <c r="H1619">
        <v>18</v>
      </c>
      <c r="I1619" s="58"/>
      <c r="J1619" s="58"/>
      <c r="K1619" s="58"/>
      <c r="L1619" s="58"/>
      <c r="M1619" s="58">
        <v>30</v>
      </c>
      <c r="N1619" s="58"/>
    </row>
    <row r="1620" spans="1:14" hidden="1" x14ac:dyDescent="0.25">
      <c r="A1620" t="s">
        <v>213</v>
      </c>
      <c r="B1620" s="58" t="s">
        <v>377</v>
      </c>
      <c r="C1620" s="58" t="s">
        <v>379</v>
      </c>
      <c r="D1620" s="58" t="s">
        <v>378</v>
      </c>
      <c r="E1620" s="58">
        <v>3</v>
      </c>
      <c r="F1620">
        <v>12</v>
      </c>
      <c r="G1620">
        <v>110</v>
      </c>
      <c r="H1620">
        <v>18</v>
      </c>
      <c r="I1620" s="58"/>
      <c r="J1620" s="58"/>
      <c r="K1620" s="58"/>
      <c r="L1620" s="58"/>
      <c r="M1620" s="58">
        <v>30</v>
      </c>
      <c r="N1620" s="58"/>
    </row>
    <row r="1621" spans="1:14" hidden="1" x14ac:dyDescent="0.25">
      <c r="A1621" t="s">
        <v>213</v>
      </c>
      <c r="B1621" s="58" t="s">
        <v>377</v>
      </c>
      <c r="C1621" s="58" t="s">
        <v>379</v>
      </c>
      <c r="D1621" s="58" t="s">
        <v>378</v>
      </c>
      <c r="E1621" s="58">
        <v>3</v>
      </c>
      <c r="F1621">
        <v>12</v>
      </c>
      <c r="G1621">
        <v>115</v>
      </c>
      <c r="H1621">
        <v>18</v>
      </c>
      <c r="I1621" s="58"/>
      <c r="J1621" s="58"/>
      <c r="K1621" s="58"/>
      <c r="L1621" s="58"/>
      <c r="M1621" s="58">
        <v>30</v>
      </c>
      <c r="N1621" s="58"/>
    </row>
    <row r="1622" spans="1:14" hidden="1" x14ac:dyDescent="0.25">
      <c r="A1622" t="s">
        <v>213</v>
      </c>
      <c r="B1622" s="58" t="s">
        <v>377</v>
      </c>
      <c r="C1622" s="58" t="s">
        <v>379</v>
      </c>
      <c r="D1622" s="58" t="s">
        <v>378</v>
      </c>
      <c r="E1622" s="58">
        <v>3</v>
      </c>
      <c r="F1622">
        <v>12</v>
      </c>
      <c r="G1622">
        <v>120</v>
      </c>
      <c r="H1622">
        <v>18</v>
      </c>
      <c r="I1622" s="58"/>
      <c r="J1622" s="58"/>
      <c r="K1622" s="58"/>
      <c r="L1622" s="58"/>
      <c r="M1622" s="58">
        <v>30</v>
      </c>
      <c r="N1622" s="58"/>
    </row>
    <row r="1623" spans="1:14" hidden="1" x14ac:dyDescent="0.25">
      <c r="A1623" t="s">
        <v>213</v>
      </c>
      <c r="B1623" s="58" t="s">
        <v>377</v>
      </c>
      <c r="C1623" s="58" t="s">
        <v>379</v>
      </c>
      <c r="D1623" s="58" t="s">
        <v>378</v>
      </c>
      <c r="E1623" s="58">
        <v>3</v>
      </c>
      <c r="F1623">
        <v>12</v>
      </c>
      <c r="G1623">
        <v>130</v>
      </c>
      <c r="H1623">
        <v>18</v>
      </c>
      <c r="I1623" s="58"/>
      <c r="J1623" s="58"/>
      <c r="K1623" s="58"/>
      <c r="L1623" s="58"/>
      <c r="M1623" s="58">
        <v>36</v>
      </c>
      <c r="N1623" s="58"/>
    </row>
    <row r="1624" spans="1:14" hidden="1" x14ac:dyDescent="0.25">
      <c r="A1624" t="s">
        <v>213</v>
      </c>
      <c r="B1624" s="58" t="s">
        <v>377</v>
      </c>
      <c r="C1624" s="58" t="s">
        <v>379</v>
      </c>
      <c r="D1624" s="58" t="s">
        <v>378</v>
      </c>
      <c r="E1624" s="58">
        <v>3</v>
      </c>
      <c r="F1624">
        <v>12</v>
      </c>
      <c r="G1624">
        <v>140</v>
      </c>
      <c r="H1624">
        <v>18</v>
      </c>
      <c r="I1624" s="58"/>
      <c r="J1624" s="58"/>
      <c r="K1624" s="58"/>
      <c r="L1624" s="58"/>
      <c r="M1624" s="58">
        <v>36</v>
      </c>
      <c r="N1624" s="58"/>
    </row>
    <row r="1625" spans="1:14" hidden="1" x14ac:dyDescent="0.25">
      <c r="A1625" t="s">
        <v>213</v>
      </c>
      <c r="B1625" s="58" t="s">
        <v>377</v>
      </c>
      <c r="C1625" s="58" t="s">
        <v>379</v>
      </c>
      <c r="D1625" s="58" t="s">
        <v>378</v>
      </c>
      <c r="E1625" s="58">
        <v>3</v>
      </c>
      <c r="F1625">
        <v>12</v>
      </c>
      <c r="G1625">
        <v>150</v>
      </c>
      <c r="H1625">
        <v>18</v>
      </c>
      <c r="I1625" s="58"/>
      <c r="J1625" s="58"/>
      <c r="K1625" s="58"/>
      <c r="L1625" s="58"/>
      <c r="M1625" s="58">
        <v>36</v>
      </c>
      <c r="N1625" s="58"/>
    </row>
    <row r="1626" spans="1:14" hidden="1" x14ac:dyDescent="0.25">
      <c r="A1626" t="s">
        <v>213</v>
      </c>
      <c r="B1626" s="58" t="s">
        <v>377</v>
      </c>
      <c r="C1626" s="58" t="s">
        <v>379</v>
      </c>
      <c r="D1626" s="58" t="s">
        <v>378</v>
      </c>
      <c r="E1626" s="58">
        <v>3</v>
      </c>
      <c r="F1626">
        <v>12</v>
      </c>
      <c r="G1626">
        <v>160</v>
      </c>
      <c r="H1626">
        <v>18</v>
      </c>
      <c r="I1626" s="58"/>
      <c r="J1626" s="58"/>
      <c r="K1626" s="58"/>
      <c r="L1626" s="58"/>
      <c r="M1626" s="58">
        <v>36</v>
      </c>
      <c r="N1626" s="58"/>
    </row>
    <row r="1627" spans="1:14" hidden="1" x14ac:dyDescent="0.25">
      <c r="A1627" t="s">
        <v>213</v>
      </c>
      <c r="B1627" s="58" t="s">
        <v>377</v>
      </c>
      <c r="C1627" s="58" t="s">
        <v>379</v>
      </c>
      <c r="D1627" s="58" t="s">
        <v>378</v>
      </c>
      <c r="E1627" s="58">
        <v>3</v>
      </c>
      <c r="F1627">
        <v>12</v>
      </c>
      <c r="G1627">
        <v>170</v>
      </c>
      <c r="H1627">
        <v>18</v>
      </c>
      <c r="I1627" s="58"/>
      <c r="J1627" s="58"/>
      <c r="K1627" s="58"/>
      <c r="L1627" s="58"/>
      <c r="M1627" s="58">
        <v>36</v>
      </c>
      <c r="N1627" s="58"/>
    </row>
    <row r="1628" spans="1:14" hidden="1" x14ac:dyDescent="0.25">
      <c r="A1628" t="s">
        <v>213</v>
      </c>
      <c r="B1628" s="58" t="s">
        <v>377</v>
      </c>
      <c r="C1628" s="58" t="s">
        <v>379</v>
      </c>
      <c r="D1628" s="58" t="s">
        <v>378</v>
      </c>
      <c r="E1628" s="58">
        <v>3</v>
      </c>
      <c r="F1628">
        <v>12</v>
      </c>
      <c r="G1628">
        <v>180</v>
      </c>
      <c r="H1628">
        <v>18</v>
      </c>
      <c r="I1628" s="58"/>
      <c r="J1628" s="58"/>
      <c r="K1628" s="58"/>
      <c r="L1628" s="58"/>
      <c r="M1628" s="58">
        <v>36</v>
      </c>
      <c r="N1628" s="58"/>
    </row>
    <row r="1629" spans="1:14" hidden="1" x14ac:dyDescent="0.25">
      <c r="A1629" t="s">
        <v>213</v>
      </c>
      <c r="B1629" s="58" t="s">
        <v>377</v>
      </c>
      <c r="C1629" s="58" t="s">
        <v>379</v>
      </c>
      <c r="D1629" s="58" t="s">
        <v>378</v>
      </c>
      <c r="E1629" s="58">
        <v>3</v>
      </c>
      <c r="F1629">
        <v>12</v>
      </c>
      <c r="G1629">
        <v>190</v>
      </c>
      <c r="H1629">
        <v>18</v>
      </c>
      <c r="I1629" s="58"/>
      <c r="J1629" s="58"/>
      <c r="K1629" s="58"/>
      <c r="L1629" s="58"/>
      <c r="M1629" s="58">
        <v>36</v>
      </c>
      <c r="N1629" s="58"/>
    </row>
    <row r="1630" spans="1:14" hidden="1" x14ac:dyDescent="0.25">
      <c r="A1630" t="s">
        <v>213</v>
      </c>
      <c r="B1630" s="58" t="s">
        <v>377</v>
      </c>
      <c r="C1630" s="58" t="s">
        <v>379</v>
      </c>
      <c r="D1630" s="58" t="s">
        <v>378</v>
      </c>
      <c r="E1630" s="58">
        <v>3</v>
      </c>
      <c r="F1630">
        <v>12</v>
      </c>
      <c r="G1630">
        <v>200</v>
      </c>
      <c r="H1630">
        <v>18</v>
      </c>
      <c r="I1630" s="58"/>
      <c r="J1630" s="58"/>
      <c r="K1630" s="58"/>
      <c r="L1630" s="58"/>
      <c r="M1630" s="58">
        <v>36</v>
      </c>
      <c r="N1630" s="58"/>
    </row>
    <row r="1631" spans="1:14" hidden="1" x14ac:dyDescent="0.25">
      <c r="A1631" t="s">
        <v>213</v>
      </c>
      <c r="B1631" s="58" t="s">
        <v>377</v>
      </c>
      <c r="C1631" s="58" t="s">
        <v>379</v>
      </c>
      <c r="D1631" s="58" t="s">
        <v>378</v>
      </c>
      <c r="E1631" s="58">
        <v>3</v>
      </c>
      <c r="F1631">
        <v>12</v>
      </c>
      <c r="G1631">
        <v>210</v>
      </c>
      <c r="H1631">
        <v>18</v>
      </c>
      <c r="I1631" s="58"/>
      <c r="J1631" s="58"/>
      <c r="K1631" s="58"/>
      <c r="L1631" s="58"/>
      <c r="M1631" s="58">
        <v>49</v>
      </c>
      <c r="N1631" s="58"/>
    </row>
    <row r="1632" spans="1:14" hidden="1" x14ac:dyDescent="0.25">
      <c r="A1632" t="s">
        <v>213</v>
      </c>
      <c r="B1632" s="58" t="s">
        <v>377</v>
      </c>
      <c r="C1632" s="58" t="s">
        <v>379</v>
      </c>
      <c r="D1632" s="58" t="s">
        <v>378</v>
      </c>
      <c r="E1632" s="58">
        <v>3</v>
      </c>
      <c r="F1632">
        <v>12</v>
      </c>
      <c r="G1632">
        <v>220</v>
      </c>
      <c r="H1632">
        <v>18</v>
      </c>
      <c r="I1632" s="58"/>
      <c r="J1632" s="58"/>
      <c r="K1632" s="58"/>
      <c r="L1632" s="58"/>
      <c r="M1632" s="58">
        <v>49</v>
      </c>
      <c r="N1632" s="58"/>
    </row>
    <row r="1633" spans="1:14" hidden="1" x14ac:dyDescent="0.25">
      <c r="A1633" t="s">
        <v>213</v>
      </c>
      <c r="B1633" s="58" t="s">
        <v>377</v>
      </c>
      <c r="C1633" s="58" t="s">
        <v>379</v>
      </c>
      <c r="D1633" s="58" t="s">
        <v>378</v>
      </c>
      <c r="E1633" s="58">
        <v>3</v>
      </c>
      <c r="F1633">
        <v>12</v>
      </c>
      <c r="G1633">
        <v>230</v>
      </c>
      <c r="H1633">
        <v>18</v>
      </c>
      <c r="I1633" s="58"/>
      <c r="J1633" s="58"/>
      <c r="K1633" s="58"/>
      <c r="L1633" s="58"/>
      <c r="M1633" s="58">
        <v>49</v>
      </c>
      <c r="N1633" s="58"/>
    </row>
    <row r="1634" spans="1:14" hidden="1" x14ac:dyDescent="0.25">
      <c r="A1634" t="s">
        <v>213</v>
      </c>
      <c r="B1634" s="58" t="s">
        <v>377</v>
      </c>
      <c r="C1634" s="58" t="s">
        <v>379</v>
      </c>
      <c r="D1634" s="58" t="s">
        <v>378</v>
      </c>
      <c r="E1634" s="58">
        <v>3</v>
      </c>
      <c r="F1634">
        <v>12</v>
      </c>
      <c r="G1634">
        <v>240</v>
      </c>
      <c r="H1634">
        <v>18</v>
      </c>
      <c r="I1634" s="58"/>
      <c r="J1634" s="58"/>
      <c r="K1634" s="58"/>
      <c r="L1634" s="58"/>
      <c r="M1634" s="58">
        <v>49</v>
      </c>
      <c r="N1634" s="58"/>
    </row>
    <row r="1635" spans="1:14" hidden="1" x14ac:dyDescent="0.25">
      <c r="A1635" t="s">
        <v>213</v>
      </c>
      <c r="B1635" s="58" t="s">
        <v>377</v>
      </c>
      <c r="C1635" s="58" t="s">
        <v>379</v>
      </c>
      <c r="D1635" s="58" t="s">
        <v>378</v>
      </c>
      <c r="E1635" s="58">
        <v>3</v>
      </c>
      <c r="F1635">
        <v>12</v>
      </c>
      <c r="G1635">
        <v>250</v>
      </c>
      <c r="H1635">
        <v>18</v>
      </c>
      <c r="I1635" s="58"/>
      <c r="J1635" s="58"/>
      <c r="K1635" s="58"/>
      <c r="L1635" s="58"/>
      <c r="M1635" s="58">
        <v>49</v>
      </c>
      <c r="N1635" s="58"/>
    </row>
    <row r="1636" spans="1:14" hidden="1" x14ac:dyDescent="0.25">
      <c r="A1636" t="s">
        <v>213</v>
      </c>
      <c r="B1636" s="58" t="s">
        <v>377</v>
      </c>
      <c r="C1636" s="58" t="s">
        <v>379</v>
      </c>
      <c r="D1636" s="58" t="s">
        <v>378</v>
      </c>
      <c r="E1636" s="58">
        <v>3</v>
      </c>
      <c r="F1636">
        <v>12</v>
      </c>
      <c r="G1636">
        <v>260</v>
      </c>
      <c r="H1636">
        <v>18</v>
      </c>
      <c r="I1636" s="58"/>
      <c r="J1636" s="58"/>
      <c r="K1636" s="58"/>
      <c r="L1636" s="58"/>
      <c r="M1636" s="58">
        <v>49</v>
      </c>
      <c r="N1636" s="58"/>
    </row>
    <row r="1637" spans="1:14" hidden="1" x14ac:dyDescent="0.25">
      <c r="A1637" t="s">
        <v>213</v>
      </c>
      <c r="B1637" s="58" t="s">
        <v>377</v>
      </c>
      <c r="C1637" s="58" t="s">
        <v>379</v>
      </c>
      <c r="D1637" s="58" t="s">
        <v>378</v>
      </c>
      <c r="E1637" s="58">
        <v>3</v>
      </c>
      <c r="F1637">
        <v>12</v>
      </c>
      <c r="G1637">
        <v>270</v>
      </c>
      <c r="H1637">
        <v>18</v>
      </c>
      <c r="I1637" s="58"/>
      <c r="J1637" s="58"/>
      <c r="K1637" s="58"/>
      <c r="L1637" s="58"/>
      <c r="M1637" s="58">
        <v>49</v>
      </c>
      <c r="N1637" s="58"/>
    </row>
    <row r="1638" spans="1:14" hidden="1" x14ac:dyDescent="0.25">
      <c r="A1638" t="s">
        <v>213</v>
      </c>
      <c r="B1638" s="58" t="s">
        <v>377</v>
      </c>
      <c r="C1638" s="58" t="s">
        <v>379</v>
      </c>
      <c r="D1638" s="58" t="s">
        <v>378</v>
      </c>
      <c r="E1638" s="58">
        <v>3</v>
      </c>
      <c r="F1638">
        <v>12</v>
      </c>
      <c r="G1638">
        <v>280</v>
      </c>
      <c r="H1638">
        <v>18</v>
      </c>
      <c r="I1638" s="58"/>
      <c r="J1638" s="58"/>
      <c r="K1638" s="58"/>
      <c r="L1638" s="58"/>
      <c r="M1638" s="58">
        <v>49</v>
      </c>
      <c r="N1638" s="58"/>
    </row>
    <row r="1639" spans="1:14" hidden="1" x14ac:dyDescent="0.25">
      <c r="A1639" t="s">
        <v>213</v>
      </c>
      <c r="B1639" s="58" t="s">
        <v>377</v>
      </c>
      <c r="C1639" s="58" t="s">
        <v>379</v>
      </c>
      <c r="D1639" s="58" t="s">
        <v>378</v>
      </c>
      <c r="E1639" s="58">
        <v>3</v>
      </c>
      <c r="F1639">
        <v>12</v>
      </c>
      <c r="G1639">
        <v>290</v>
      </c>
      <c r="H1639">
        <v>18</v>
      </c>
      <c r="I1639" s="58"/>
      <c r="J1639" s="58"/>
      <c r="K1639" s="58"/>
      <c r="L1639" s="58"/>
      <c r="M1639" s="58">
        <v>49</v>
      </c>
      <c r="N1639" s="58"/>
    </row>
    <row r="1640" spans="1:14" hidden="1" x14ac:dyDescent="0.25">
      <c r="A1640" t="s">
        <v>213</v>
      </c>
      <c r="B1640" s="58" t="s">
        <v>377</v>
      </c>
      <c r="C1640" s="58" t="s">
        <v>379</v>
      </c>
      <c r="D1640" s="58" t="s">
        <v>378</v>
      </c>
      <c r="E1640" s="58">
        <v>3</v>
      </c>
      <c r="F1640">
        <v>12</v>
      </c>
      <c r="G1640">
        <v>300</v>
      </c>
      <c r="H1640">
        <v>18</v>
      </c>
      <c r="I1640" s="58"/>
      <c r="J1640" s="58"/>
      <c r="K1640" s="58"/>
      <c r="L1640" s="58"/>
      <c r="M1640" s="58">
        <v>49</v>
      </c>
      <c r="N1640" s="58"/>
    </row>
    <row r="1641" spans="1:14" hidden="1" x14ac:dyDescent="0.25">
      <c r="A1641" t="s">
        <v>213</v>
      </c>
      <c r="B1641" s="58" t="s">
        <v>377</v>
      </c>
      <c r="C1641" s="58" t="s">
        <v>379</v>
      </c>
      <c r="D1641" s="58" t="s">
        <v>378</v>
      </c>
      <c r="E1641" s="58">
        <v>3</v>
      </c>
      <c r="F1641">
        <v>12</v>
      </c>
      <c r="G1641">
        <v>310</v>
      </c>
      <c r="H1641">
        <v>18</v>
      </c>
      <c r="I1641" s="58"/>
      <c r="J1641" s="58"/>
      <c r="K1641" s="58"/>
      <c r="L1641" s="58"/>
      <c r="M1641" s="58">
        <v>49</v>
      </c>
      <c r="N1641" s="58"/>
    </row>
    <row r="1642" spans="1:14" hidden="1" x14ac:dyDescent="0.25">
      <c r="A1642" t="s">
        <v>213</v>
      </c>
      <c r="B1642" s="58" t="s">
        <v>377</v>
      </c>
      <c r="C1642" s="58" t="s">
        <v>379</v>
      </c>
      <c r="D1642" s="58" t="s">
        <v>378</v>
      </c>
      <c r="E1642" s="58">
        <v>3</v>
      </c>
      <c r="F1642">
        <v>12</v>
      </c>
      <c r="G1642">
        <v>320</v>
      </c>
      <c r="H1642">
        <v>18</v>
      </c>
      <c r="I1642" s="58"/>
      <c r="J1642" s="58"/>
      <c r="K1642" s="58"/>
      <c r="L1642" s="58"/>
      <c r="M1642" s="58">
        <v>49</v>
      </c>
      <c r="N1642" s="58"/>
    </row>
    <row r="1643" spans="1:14" hidden="1" x14ac:dyDescent="0.25">
      <c r="A1643" t="s">
        <v>213</v>
      </c>
      <c r="B1643" s="58" t="s">
        <v>377</v>
      </c>
      <c r="C1643" s="58" t="s">
        <v>379</v>
      </c>
      <c r="D1643" s="58" t="s">
        <v>378</v>
      </c>
      <c r="E1643" s="58">
        <v>3</v>
      </c>
      <c r="F1643">
        <v>12</v>
      </c>
      <c r="G1643">
        <v>330</v>
      </c>
      <c r="H1643">
        <v>18</v>
      </c>
      <c r="I1643" s="58"/>
      <c r="J1643" s="58"/>
      <c r="K1643" s="58"/>
      <c r="L1643" s="58"/>
      <c r="M1643" s="58">
        <v>49</v>
      </c>
      <c r="N1643" s="58"/>
    </row>
    <row r="1644" spans="1:14" hidden="1" x14ac:dyDescent="0.25">
      <c r="A1644" t="s">
        <v>213</v>
      </c>
      <c r="B1644" s="58" t="s">
        <v>377</v>
      </c>
      <c r="C1644" s="58" t="s">
        <v>379</v>
      </c>
      <c r="D1644" s="58" t="s">
        <v>378</v>
      </c>
      <c r="E1644" s="58">
        <v>3</v>
      </c>
      <c r="F1644">
        <v>14</v>
      </c>
      <c r="G1644">
        <v>50</v>
      </c>
      <c r="H1644">
        <v>18</v>
      </c>
      <c r="I1644" s="58"/>
      <c r="J1644" s="58"/>
      <c r="K1644" s="58"/>
      <c r="L1644" s="58"/>
      <c r="M1644" s="58">
        <v>34</v>
      </c>
      <c r="N1644" s="58"/>
    </row>
    <row r="1645" spans="1:14" hidden="1" x14ac:dyDescent="0.25">
      <c r="A1645" t="s">
        <v>213</v>
      </c>
      <c r="B1645" s="58" t="s">
        <v>377</v>
      </c>
      <c r="C1645" s="58" t="s">
        <v>379</v>
      </c>
      <c r="D1645" s="58" t="s">
        <v>378</v>
      </c>
      <c r="E1645" s="58">
        <v>3</v>
      </c>
      <c r="F1645">
        <v>14</v>
      </c>
      <c r="G1645">
        <v>55</v>
      </c>
      <c r="H1645">
        <v>18</v>
      </c>
      <c r="I1645" s="58"/>
      <c r="J1645" s="58"/>
      <c r="K1645" s="58"/>
      <c r="L1645" s="58"/>
      <c r="M1645" s="58">
        <v>34</v>
      </c>
      <c r="N1645" s="58"/>
    </row>
    <row r="1646" spans="1:14" hidden="1" x14ac:dyDescent="0.25">
      <c r="A1646" t="s">
        <v>213</v>
      </c>
      <c r="B1646" s="58" t="s">
        <v>377</v>
      </c>
      <c r="C1646" s="58" t="s">
        <v>379</v>
      </c>
      <c r="D1646" s="58" t="s">
        <v>378</v>
      </c>
      <c r="E1646" s="58">
        <v>3</v>
      </c>
      <c r="F1646">
        <v>14</v>
      </c>
      <c r="G1646">
        <v>60</v>
      </c>
      <c r="H1646">
        <v>18</v>
      </c>
      <c r="I1646" s="58"/>
      <c r="J1646" s="58"/>
      <c r="K1646" s="58"/>
      <c r="L1646" s="58"/>
      <c r="M1646" s="58">
        <v>34</v>
      </c>
      <c r="N1646" s="58"/>
    </row>
    <row r="1647" spans="1:14" hidden="1" x14ac:dyDescent="0.25">
      <c r="A1647" t="s">
        <v>213</v>
      </c>
      <c r="B1647" s="58" t="s">
        <v>377</v>
      </c>
      <c r="C1647" s="58" t="s">
        <v>379</v>
      </c>
      <c r="D1647" s="58" t="s">
        <v>378</v>
      </c>
      <c r="E1647" s="58">
        <v>3</v>
      </c>
      <c r="F1647">
        <v>14</v>
      </c>
      <c r="G1647">
        <v>65</v>
      </c>
      <c r="H1647">
        <v>18</v>
      </c>
      <c r="I1647" s="58"/>
      <c r="J1647" s="58"/>
      <c r="K1647" s="58"/>
      <c r="L1647" s="58"/>
      <c r="M1647" s="58">
        <v>34</v>
      </c>
      <c r="N1647" s="58"/>
    </row>
    <row r="1648" spans="1:14" hidden="1" x14ac:dyDescent="0.25">
      <c r="A1648" t="s">
        <v>213</v>
      </c>
      <c r="B1648" s="58" t="s">
        <v>377</v>
      </c>
      <c r="C1648" s="58" t="s">
        <v>379</v>
      </c>
      <c r="D1648" s="58" t="s">
        <v>378</v>
      </c>
      <c r="E1648" s="58">
        <v>3</v>
      </c>
      <c r="F1648">
        <v>14</v>
      </c>
      <c r="G1648">
        <v>70</v>
      </c>
      <c r="H1648">
        <v>18</v>
      </c>
      <c r="I1648" s="58"/>
      <c r="J1648" s="58"/>
      <c r="K1648" s="58"/>
      <c r="L1648" s="58"/>
      <c r="M1648" s="58">
        <v>34</v>
      </c>
      <c r="N1648" s="58"/>
    </row>
    <row r="1649" spans="1:14" hidden="1" x14ac:dyDescent="0.25">
      <c r="A1649" t="s">
        <v>213</v>
      </c>
      <c r="B1649" s="58" t="s">
        <v>377</v>
      </c>
      <c r="C1649" s="58" t="s">
        <v>379</v>
      </c>
      <c r="D1649" s="58" t="s">
        <v>378</v>
      </c>
      <c r="E1649" s="58">
        <v>3</v>
      </c>
      <c r="F1649">
        <v>14</v>
      </c>
      <c r="G1649">
        <v>75</v>
      </c>
      <c r="H1649">
        <v>18</v>
      </c>
      <c r="I1649" s="58"/>
      <c r="J1649" s="58"/>
      <c r="K1649" s="58"/>
      <c r="L1649" s="58"/>
      <c r="M1649" s="58">
        <v>34</v>
      </c>
      <c r="N1649" s="58"/>
    </row>
    <row r="1650" spans="1:14" hidden="1" x14ac:dyDescent="0.25">
      <c r="A1650" t="s">
        <v>213</v>
      </c>
      <c r="B1650" s="58" t="s">
        <v>377</v>
      </c>
      <c r="C1650" s="58" t="s">
        <v>379</v>
      </c>
      <c r="D1650" s="58" t="s">
        <v>378</v>
      </c>
      <c r="E1650" s="58">
        <v>3</v>
      </c>
      <c r="F1650">
        <v>14</v>
      </c>
      <c r="G1650">
        <v>80</v>
      </c>
      <c r="H1650">
        <v>18</v>
      </c>
      <c r="I1650" s="58"/>
      <c r="J1650" s="58"/>
      <c r="K1650" s="58"/>
      <c r="L1650" s="58"/>
      <c r="M1650" s="58">
        <v>34</v>
      </c>
      <c r="N1650" s="58"/>
    </row>
    <row r="1651" spans="1:14" hidden="1" x14ac:dyDescent="0.25">
      <c r="A1651" t="s">
        <v>213</v>
      </c>
      <c r="B1651" s="58" t="s">
        <v>377</v>
      </c>
      <c r="C1651" s="58" t="s">
        <v>379</v>
      </c>
      <c r="D1651" s="58" t="s">
        <v>378</v>
      </c>
      <c r="E1651" s="58">
        <v>3</v>
      </c>
      <c r="F1651">
        <v>14</v>
      </c>
      <c r="G1651">
        <v>85</v>
      </c>
      <c r="H1651">
        <v>18</v>
      </c>
      <c r="I1651" s="58"/>
      <c r="J1651" s="58"/>
      <c r="K1651" s="58"/>
      <c r="L1651" s="58"/>
      <c r="M1651" s="58">
        <v>34</v>
      </c>
      <c r="N1651" s="58"/>
    </row>
    <row r="1652" spans="1:14" hidden="1" x14ac:dyDescent="0.25">
      <c r="A1652" t="s">
        <v>213</v>
      </c>
      <c r="B1652" s="58" t="s">
        <v>377</v>
      </c>
      <c r="C1652" s="58" t="s">
        <v>379</v>
      </c>
      <c r="D1652" s="58" t="s">
        <v>378</v>
      </c>
      <c r="E1652" s="58">
        <v>3</v>
      </c>
      <c r="F1652">
        <v>14</v>
      </c>
      <c r="G1652">
        <v>90</v>
      </c>
      <c r="H1652">
        <v>18</v>
      </c>
      <c r="I1652" s="58"/>
      <c r="J1652" s="58"/>
      <c r="K1652" s="58"/>
      <c r="L1652" s="58"/>
      <c r="M1652" s="58">
        <v>34</v>
      </c>
      <c r="N1652" s="58"/>
    </row>
    <row r="1653" spans="1:14" hidden="1" x14ac:dyDescent="0.25">
      <c r="A1653" t="s">
        <v>213</v>
      </c>
      <c r="B1653" s="58" t="s">
        <v>377</v>
      </c>
      <c r="C1653" s="58" t="s">
        <v>379</v>
      </c>
      <c r="D1653" s="58" t="s">
        <v>378</v>
      </c>
      <c r="E1653" s="58">
        <v>3</v>
      </c>
      <c r="F1653">
        <v>14</v>
      </c>
      <c r="G1653">
        <v>95</v>
      </c>
      <c r="H1653">
        <v>18</v>
      </c>
      <c r="I1653" s="58"/>
      <c r="J1653" s="58"/>
      <c r="K1653" s="58"/>
      <c r="L1653" s="58"/>
      <c r="M1653" s="58">
        <v>34</v>
      </c>
      <c r="N1653" s="58"/>
    </row>
    <row r="1654" spans="1:14" hidden="1" x14ac:dyDescent="0.25">
      <c r="A1654" t="s">
        <v>213</v>
      </c>
      <c r="B1654" s="58" t="s">
        <v>377</v>
      </c>
      <c r="C1654" s="58" t="s">
        <v>379</v>
      </c>
      <c r="D1654" s="58" t="s">
        <v>378</v>
      </c>
      <c r="E1654" s="58">
        <v>3</v>
      </c>
      <c r="F1654">
        <v>14</v>
      </c>
      <c r="G1654">
        <v>100</v>
      </c>
      <c r="H1654">
        <v>21</v>
      </c>
      <c r="I1654" s="58"/>
      <c r="J1654" s="58"/>
      <c r="K1654" s="58"/>
      <c r="L1654" s="58"/>
      <c r="M1654" s="58">
        <v>34</v>
      </c>
      <c r="N1654" s="58"/>
    </row>
    <row r="1655" spans="1:14" hidden="1" x14ac:dyDescent="0.25">
      <c r="A1655" t="s">
        <v>213</v>
      </c>
      <c r="B1655" s="58" t="s">
        <v>377</v>
      </c>
      <c r="C1655" s="58" t="s">
        <v>379</v>
      </c>
      <c r="D1655" s="58" t="s">
        <v>378</v>
      </c>
      <c r="E1655" s="58">
        <v>3</v>
      </c>
      <c r="F1655">
        <v>14</v>
      </c>
      <c r="G1655">
        <v>110</v>
      </c>
      <c r="H1655">
        <v>21</v>
      </c>
      <c r="I1655" s="58"/>
      <c r="J1655" s="58"/>
      <c r="K1655" s="58"/>
      <c r="L1655" s="58"/>
      <c r="M1655" s="58">
        <v>34</v>
      </c>
      <c r="N1655" s="58"/>
    </row>
    <row r="1656" spans="1:14" hidden="1" x14ac:dyDescent="0.25">
      <c r="A1656" t="s">
        <v>213</v>
      </c>
      <c r="B1656" s="58" t="s">
        <v>377</v>
      </c>
      <c r="C1656" s="58" t="s">
        <v>379</v>
      </c>
      <c r="D1656" s="58" t="s">
        <v>378</v>
      </c>
      <c r="E1656" s="58">
        <v>3</v>
      </c>
      <c r="F1656">
        <v>14</v>
      </c>
      <c r="G1656">
        <v>120</v>
      </c>
      <c r="H1656">
        <v>21</v>
      </c>
      <c r="I1656" s="58"/>
      <c r="J1656" s="58"/>
      <c r="K1656" s="58"/>
      <c r="L1656" s="58"/>
      <c r="M1656" s="58">
        <v>34</v>
      </c>
      <c r="N1656" s="58"/>
    </row>
    <row r="1657" spans="1:14" hidden="1" x14ac:dyDescent="0.25">
      <c r="A1657" t="s">
        <v>213</v>
      </c>
      <c r="B1657" s="58" t="s">
        <v>377</v>
      </c>
      <c r="C1657" s="58" t="s">
        <v>379</v>
      </c>
      <c r="D1657" s="58" t="s">
        <v>378</v>
      </c>
      <c r="E1657" s="58">
        <v>3</v>
      </c>
      <c r="F1657">
        <v>14</v>
      </c>
      <c r="G1657">
        <v>130</v>
      </c>
      <c r="H1657">
        <v>21</v>
      </c>
      <c r="I1657" s="58"/>
      <c r="J1657" s="58"/>
      <c r="K1657" s="58"/>
      <c r="L1657" s="58"/>
      <c r="M1657" s="58">
        <v>40</v>
      </c>
      <c r="N1657" s="58"/>
    </row>
    <row r="1658" spans="1:14" hidden="1" x14ac:dyDescent="0.25">
      <c r="A1658" t="s">
        <v>213</v>
      </c>
      <c r="B1658" s="58" t="s">
        <v>377</v>
      </c>
      <c r="C1658" s="58" t="s">
        <v>379</v>
      </c>
      <c r="D1658" s="58" t="s">
        <v>378</v>
      </c>
      <c r="E1658" s="58">
        <v>3</v>
      </c>
      <c r="F1658">
        <v>14</v>
      </c>
      <c r="G1658">
        <v>140</v>
      </c>
      <c r="H1658">
        <v>21</v>
      </c>
      <c r="I1658" s="58"/>
      <c r="J1658" s="58"/>
      <c r="K1658" s="58"/>
      <c r="L1658" s="58"/>
      <c r="M1658" s="58">
        <v>40</v>
      </c>
      <c r="N1658" s="58"/>
    </row>
    <row r="1659" spans="1:14" hidden="1" x14ac:dyDescent="0.25">
      <c r="A1659" t="s">
        <v>213</v>
      </c>
      <c r="B1659" s="58" t="s">
        <v>377</v>
      </c>
      <c r="C1659" s="58" t="s">
        <v>379</v>
      </c>
      <c r="D1659" s="58" t="s">
        <v>378</v>
      </c>
      <c r="E1659" s="58">
        <v>3</v>
      </c>
      <c r="F1659">
        <v>14</v>
      </c>
      <c r="G1659">
        <v>150</v>
      </c>
      <c r="H1659">
        <v>21</v>
      </c>
      <c r="I1659" s="58"/>
      <c r="J1659" s="58"/>
      <c r="K1659" s="58"/>
      <c r="L1659" s="58"/>
      <c r="M1659" s="58">
        <v>40</v>
      </c>
      <c r="N1659" s="58"/>
    </row>
    <row r="1660" spans="1:14" hidden="1" x14ac:dyDescent="0.25">
      <c r="A1660" t="s">
        <v>213</v>
      </c>
      <c r="B1660" s="58" t="s">
        <v>377</v>
      </c>
      <c r="C1660" s="58" t="s">
        <v>379</v>
      </c>
      <c r="D1660" s="58" t="s">
        <v>378</v>
      </c>
      <c r="E1660" s="58">
        <v>3</v>
      </c>
      <c r="F1660">
        <v>14</v>
      </c>
      <c r="G1660">
        <v>160</v>
      </c>
      <c r="H1660">
        <v>21</v>
      </c>
      <c r="I1660" s="58"/>
      <c r="J1660" s="58"/>
      <c r="K1660" s="58"/>
      <c r="L1660" s="58"/>
      <c r="M1660" s="58">
        <v>40</v>
      </c>
      <c r="N1660" s="58"/>
    </row>
    <row r="1661" spans="1:14" hidden="1" x14ac:dyDescent="0.25">
      <c r="A1661" t="s">
        <v>213</v>
      </c>
      <c r="B1661" s="58" t="s">
        <v>377</v>
      </c>
      <c r="C1661" s="58" t="s">
        <v>379</v>
      </c>
      <c r="D1661" s="58" t="s">
        <v>378</v>
      </c>
      <c r="E1661" s="58">
        <v>3</v>
      </c>
      <c r="F1661">
        <v>14</v>
      </c>
      <c r="G1661">
        <v>170</v>
      </c>
      <c r="H1661">
        <v>21</v>
      </c>
      <c r="I1661" s="58"/>
      <c r="J1661" s="58"/>
      <c r="K1661" s="58"/>
      <c r="L1661" s="58"/>
      <c r="M1661" s="58">
        <v>40</v>
      </c>
      <c r="N1661" s="58"/>
    </row>
    <row r="1662" spans="1:14" hidden="1" x14ac:dyDescent="0.25">
      <c r="A1662" t="s">
        <v>213</v>
      </c>
      <c r="B1662" s="58" t="s">
        <v>377</v>
      </c>
      <c r="C1662" s="58" t="s">
        <v>379</v>
      </c>
      <c r="D1662" s="58" t="s">
        <v>378</v>
      </c>
      <c r="E1662" s="58">
        <v>3</v>
      </c>
      <c r="F1662">
        <v>14</v>
      </c>
      <c r="G1662">
        <v>180</v>
      </c>
      <c r="H1662">
        <v>21</v>
      </c>
      <c r="I1662" s="58"/>
      <c r="J1662" s="58"/>
      <c r="K1662" s="58"/>
      <c r="L1662" s="58"/>
      <c r="M1662" s="58">
        <v>40</v>
      </c>
      <c r="N1662" s="58"/>
    </row>
    <row r="1663" spans="1:14" hidden="1" x14ac:dyDescent="0.25">
      <c r="A1663" t="s">
        <v>213</v>
      </c>
      <c r="B1663" s="58" t="s">
        <v>377</v>
      </c>
      <c r="C1663" s="58" t="s">
        <v>379</v>
      </c>
      <c r="D1663" s="58" t="s">
        <v>378</v>
      </c>
      <c r="E1663" s="58">
        <v>3</v>
      </c>
      <c r="F1663">
        <v>14</v>
      </c>
      <c r="G1663">
        <v>190</v>
      </c>
      <c r="H1663">
        <v>21</v>
      </c>
      <c r="I1663" s="58"/>
      <c r="J1663" s="58"/>
      <c r="K1663" s="58"/>
      <c r="L1663" s="58"/>
      <c r="M1663" s="58">
        <v>40</v>
      </c>
      <c r="N1663" s="58"/>
    </row>
    <row r="1664" spans="1:14" hidden="1" x14ac:dyDescent="0.25">
      <c r="A1664" t="s">
        <v>213</v>
      </c>
      <c r="B1664" s="58" t="s">
        <v>377</v>
      </c>
      <c r="C1664" s="58" t="s">
        <v>379</v>
      </c>
      <c r="D1664" s="58" t="s">
        <v>378</v>
      </c>
      <c r="E1664" s="58">
        <v>3</v>
      </c>
      <c r="F1664">
        <v>14</v>
      </c>
      <c r="G1664">
        <v>200</v>
      </c>
      <c r="H1664">
        <v>21</v>
      </c>
      <c r="I1664" s="58"/>
      <c r="J1664" s="58"/>
      <c r="K1664" s="58"/>
      <c r="L1664" s="58"/>
      <c r="M1664" s="58">
        <v>40</v>
      </c>
      <c r="N1664" s="58"/>
    </row>
    <row r="1665" spans="1:14" hidden="1" x14ac:dyDescent="0.25">
      <c r="A1665" t="s">
        <v>213</v>
      </c>
      <c r="B1665" s="58" t="s">
        <v>377</v>
      </c>
      <c r="C1665" s="58" t="s">
        <v>379</v>
      </c>
      <c r="D1665" s="58" t="s">
        <v>378</v>
      </c>
      <c r="E1665" s="58">
        <v>3</v>
      </c>
      <c r="F1665">
        <v>14</v>
      </c>
      <c r="G1665">
        <v>220</v>
      </c>
      <c r="H1665">
        <v>21</v>
      </c>
      <c r="I1665" s="58"/>
      <c r="J1665" s="58"/>
      <c r="K1665" s="58"/>
      <c r="L1665" s="58"/>
      <c r="M1665" s="58">
        <v>53</v>
      </c>
      <c r="N1665" s="58"/>
    </row>
    <row r="1666" spans="1:14" hidden="1" x14ac:dyDescent="0.25">
      <c r="A1666" t="s">
        <v>213</v>
      </c>
      <c r="B1666" s="58" t="s">
        <v>377</v>
      </c>
      <c r="C1666" s="58" t="s">
        <v>379</v>
      </c>
      <c r="D1666" s="58" t="s">
        <v>378</v>
      </c>
      <c r="E1666" s="58">
        <v>3</v>
      </c>
      <c r="F1666">
        <v>14</v>
      </c>
      <c r="G1666">
        <v>240</v>
      </c>
      <c r="H1666">
        <v>21</v>
      </c>
      <c r="I1666" s="58"/>
      <c r="J1666" s="58"/>
      <c r="K1666" s="58"/>
      <c r="L1666" s="58"/>
      <c r="M1666" s="58">
        <v>53</v>
      </c>
      <c r="N1666" s="58"/>
    </row>
    <row r="1667" spans="1:14" hidden="1" x14ac:dyDescent="0.25">
      <c r="A1667" t="s">
        <v>213</v>
      </c>
      <c r="B1667" s="58" t="s">
        <v>377</v>
      </c>
      <c r="C1667" s="58" t="s">
        <v>379</v>
      </c>
      <c r="D1667" s="58" t="s">
        <v>378</v>
      </c>
      <c r="E1667" s="58">
        <v>3</v>
      </c>
      <c r="F1667">
        <v>16</v>
      </c>
      <c r="G1667">
        <v>50</v>
      </c>
      <c r="H1667">
        <v>21</v>
      </c>
      <c r="I1667" s="58"/>
      <c r="J1667" s="58"/>
      <c r="K1667" s="58"/>
      <c r="L1667" s="58"/>
      <c r="M1667" s="58">
        <v>38</v>
      </c>
      <c r="N1667" s="58"/>
    </row>
    <row r="1668" spans="1:14" hidden="1" x14ac:dyDescent="0.25">
      <c r="A1668" t="s">
        <v>213</v>
      </c>
      <c r="B1668" s="58" t="s">
        <v>377</v>
      </c>
      <c r="C1668" s="58" t="s">
        <v>379</v>
      </c>
      <c r="D1668" s="58" t="s">
        <v>378</v>
      </c>
      <c r="E1668" s="58">
        <v>3</v>
      </c>
      <c r="F1668">
        <v>16</v>
      </c>
      <c r="G1668">
        <v>55</v>
      </c>
      <c r="H1668">
        <v>21</v>
      </c>
      <c r="I1668" s="58"/>
      <c r="J1668" s="58"/>
      <c r="K1668" s="58"/>
      <c r="L1668" s="58"/>
      <c r="M1668" s="58">
        <v>38</v>
      </c>
      <c r="N1668" s="58"/>
    </row>
    <row r="1669" spans="1:14" hidden="1" x14ac:dyDescent="0.25">
      <c r="A1669" t="s">
        <v>213</v>
      </c>
      <c r="B1669" s="58" t="s">
        <v>377</v>
      </c>
      <c r="C1669" s="58" t="s">
        <v>379</v>
      </c>
      <c r="D1669" s="58" t="s">
        <v>378</v>
      </c>
      <c r="E1669" s="58">
        <v>3</v>
      </c>
      <c r="F1669">
        <v>16</v>
      </c>
      <c r="G1669">
        <v>60</v>
      </c>
      <c r="H1669">
        <v>21</v>
      </c>
      <c r="I1669" s="58"/>
      <c r="J1669" s="58"/>
      <c r="K1669" s="58"/>
      <c r="L1669" s="58"/>
      <c r="M1669" s="58">
        <v>38</v>
      </c>
      <c r="N1669" s="58"/>
    </row>
    <row r="1670" spans="1:14" hidden="1" x14ac:dyDescent="0.25">
      <c r="A1670" t="s">
        <v>213</v>
      </c>
      <c r="B1670" s="58" t="s">
        <v>377</v>
      </c>
      <c r="C1670" s="58" t="s">
        <v>379</v>
      </c>
      <c r="D1670" s="58" t="s">
        <v>378</v>
      </c>
      <c r="E1670" s="58">
        <v>3</v>
      </c>
      <c r="F1670">
        <v>16</v>
      </c>
      <c r="G1670">
        <v>65</v>
      </c>
      <c r="H1670">
        <v>21</v>
      </c>
      <c r="I1670" s="58"/>
      <c r="J1670" s="58"/>
      <c r="K1670" s="58"/>
      <c r="L1670" s="58"/>
      <c r="M1670" s="58">
        <v>38</v>
      </c>
      <c r="N1670" s="58"/>
    </row>
    <row r="1671" spans="1:14" hidden="1" x14ac:dyDescent="0.25">
      <c r="A1671" t="s">
        <v>213</v>
      </c>
      <c r="B1671" s="58" t="s">
        <v>377</v>
      </c>
      <c r="C1671" s="58" t="s">
        <v>379</v>
      </c>
      <c r="D1671" s="58" t="s">
        <v>378</v>
      </c>
      <c r="E1671" s="58">
        <v>3</v>
      </c>
      <c r="F1671">
        <v>16</v>
      </c>
      <c r="G1671">
        <v>70</v>
      </c>
      <c r="H1671">
        <v>21</v>
      </c>
      <c r="I1671" s="58"/>
      <c r="J1671" s="58"/>
      <c r="K1671" s="58"/>
      <c r="L1671" s="58"/>
      <c r="M1671" s="58">
        <v>38</v>
      </c>
      <c r="N1671" s="58"/>
    </row>
    <row r="1672" spans="1:14" hidden="1" x14ac:dyDescent="0.25">
      <c r="A1672" t="s">
        <v>213</v>
      </c>
      <c r="B1672" s="58" t="s">
        <v>377</v>
      </c>
      <c r="C1672" s="58" t="s">
        <v>379</v>
      </c>
      <c r="D1672" s="58" t="s">
        <v>378</v>
      </c>
      <c r="E1672" s="58">
        <v>3</v>
      </c>
      <c r="F1672">
        <v>16</v>
      </c>
      <c r="G1672">
        <v>75</v>
      </c>
      <c r="H1672">
        <v>21</v>
      </c>
      <c r="I1672" s="58"/>
      <c r="J1672" s="58"/>
      <c r="K1672" s="58"/>
      <c r="L1672" s="58"/>
      <c r="M1672" s="58">
        <v>38</v>
      </c>
      <c r="N1672" s="58"/>
    </row>
    <row r="1673" spans="1:14" hidden="1" x14ac:dyDescent="0.25">
      <c r="A1673" t="s">
        <v>213</v>
      </c>
      <c r="B1673" s="58" t="s">
        <v>377</v>
      </c>
      <c r="C1673" s="58" t="s">
        <v>379</v>
      </c>
      <c r="D1673" s="58" t="s">
        <v>378</v>
      </c>
      <c r="E1673" s="58">
        <v>3</v>
      </c>
      <c r="F1673">
        <v>16</v>
      </c>
      <c r="G1673">
        <v>80</v>
      </c>
      <c r="H1673">
        <v>21</v>
      </c>
      <c r="I1673" s="58"/>
      <c r="J1673" s="58"/>
      <c r="K1673" s="58"/>
      <c r="L1673" s="58"/>
      <c r="M1673" s="58">
        <v>38</v>
      </c>
      <c r="N1673" s="58"/>
    </row>
    <row r="1674" spans="1:14" hidden="1" x14ac:dyDescent="0.25">
      <c r="A1674" t="s">
        <v>213</v>
      </c>
      <c r="B1674" s="58" t="s">
        <v>377</v>
      </c>
      <c r="C1674" s="58" t="s">
        <v>379</v>
      </c>
      <c r="D1674" s="58" t="s">
        <v>378</v>
      </c>
      <c r="E1674" s="58">
        <v>3</v>
      </c>
      <c r="F1674">
        <v>16</v>
      </c>
      <c r="G1674">
        <v>85</v>
      </c>
      <c r="H1674">
        <v>21</v>
      </c>
      <c r="I1674" s="58"/>
      <c r="J1674" s="58"/>
      <c r="K1674" s="58"/>
      <c r="L1674" s="58"/>
      <c r="M1674" s="58">
        <v>38</v>
      </c>
      <c r="N1674" s="58"/>
    </row>
    <row r="1675" spans="1:14" hidden="1" x14ac:dyDescent="0.25">
      <c r="A1675" t="s">
        <v>213</v>
      </c>
      <c r="B1675" s="58" t="s">
        <v>377</v>
      </c>
      <c r="C1675" s="58" t="s">
        <v>379</v>
      </c>
      <c r="D1675" s="58" t="s">
        <v>378</v>
      </c>
      <c r="E1675" s="58">
        <v>3</v>
      </c>
      <c r="F1675">
        <v>16</v>
      </c>
      <c r="G1675">
        <v>90</v>
      </c>
      <c r="H1675">
        <v>21</v>
      </c>
      <c r="I1675" s="58"/>
      <c r="J1675" s="58"/>
      <c r="K1675" s="58"/>
      <c r="L1675" s="58"/>
      <c r="M1675" s="58">
        <v>38</v>
      </c>
      <c r="N1675" s="58"/>
    </row>
    <row r="1676" spans="1:14" hidden="1" x14ac:dyDescent="0.25">
      <c r="A1676" t="s">
        <v>213</v>
      </c>
      <c r="B1676" s="58" t="s">
        <v>377</v>
      </c>
      <c r="C1676" s="58" t="s">
        <v>379</v>
      </c>
      <c r="D1676" s="58" t="s">
        <v>378</v>
      </c>
      <c r="E1676" s="58">
        <v>3</v>
      </c>
      <c r="F1676">
        <v>16</v>
      </c>
      <c r="G1676">
        <v>95</v>
      </c>
      <c r="H1676">
        <v>21</v>
      </c>
      <c r="I1676" s="58"/>
      <c r="J1676" s="58"/>
      <c r="K1676" s="58"/>
      <c r="L1676" s="58"/>
      <c r="M1676" s="58">
        <v>38</v>
      </c>
      <c r="N1676" s="58"/>
    </row>
    <row r="1677" spans="1:14" hidden="1" x14ac:dyDescent="0.25">
      <c r="A1677" t="s">
        <v>213</v>
      </c>
      <c r="B1677" s="58" t="s">
        <v>377</v>
      </c>
      <c r="C1677" s="58" t="s">
        <v>379</v>
      </c>
      <c r="D1677" s="58" t="s">
        <v>378</v>
      </c>
      <c r="E1677" s="58">
        <v>3</v>
      </c>
      <c r="F1677">
        <v>16</v>
      </c>
      <c r="G1677">
        <v>100</v>
      </c>
      <c r="H1677">
        <v>24</v>
      </c>
      <c r="I1677" s="58"/>
      <c r="J1677" s="58"/>
      <c r="K1677" s="58"/>
      <c r="L1677" s="58"/>
      <c r="M1677" s="58">
        <v>38</v>
      </c>
      <c r="N1677" s="58"/>
    </row>
    <row r="1678" spans="1:14" hidden="1" x14ac:dyDescent="0.25">
      <c r="A1678" t="s">
        <v>213</v>
      </c>
      <c r="B1678" s="58" t="s">
        <v>377</v>
      </c>
      <c r="C1678" s="58" t="s">
        <v>379</v>
      </c>
      <c r="D1678" s="58" t="s">
        <v>378</v>
      </c>
      <c r="E1678" s="58">
        <v>3</v>
      </c>
      <c r="F1678">
        <v>16</v>
      </c>
      <c r="G1678">
        <v>110</v>
      </c>
      <c r="H1678">
        <v>24</v>
      </c>
      <c r="I1678" s="58"/>
      <c r="J1678" s="58"/>
      <c r="K1678" s="58"/>
      <c r="L1678" s="58"/>
      <c r="M1678" s="58">
        <v>38</v>
      </c>
      <c r="N1678" s="58"/>
    </row>
    <row r="1679" spans="1:14" hidden="1" x14ac:dyDescent="0.25">
      <c r="A1679" t="s">
        <v>213</v>
      </c>
      <c r="B1679" s="58" t="s">
        <v>377</v>
      </c>
      <c r="C1679" s="58" t="s">
        <v>379</v>
      </c>
      <c r="D1679" s="58" t="s">
        <v>378</v>
      </c>
      <c r="E1679" s="58">
        <v>3</v>
      </c>
      <c r="F1679">
        <v>16</v>
      </c>
      <c r="G1679">
        <v>120</v>
      </c>
      <c r="H1679">
        <v>24</v>
      </c>
      <c r="I1679" s="58"/>
      <c r="J1679" s="58"/>
      <c r="K1679" s="58"/>
      <c r="L1679" s="58"/>
      <c r="M1679" s="58">
        <v>38</v>
      </c>
      <c r="N1679" s="58"/>
    </row>
    <row r="1680" spans="1:14" hidden="1" x14ac:dyDescent="0.25">
      <c r="A1680" t="s">
        <v>213</v>
      </c>
      <c r="B1680" s="58" t="s">
        <v>377</v>
      </c>
      <c r="C1680" s="58" t="s">
        <v>379</v>
      </c>
      <c r="D1680" s="58" t="s">
        <v>378</v>
      </c>
      <c r="E1680" s="58">
        <v>3</v>
      </c>
      <c r="F1680">
        <v>16</v>
      </c>
      <c r="G1680">
        <v>130</v>
      </c>
      <c r="H1680">
        <v>24</v>
      </c>
      <c r="I1680" s="58"/>
      <c r="J1680" s="58"/>
      <c r="K1680" s="58"/>
      <c r="L1680" s="58"/>
      <c r="M1680" s="58">
        <v>44</v>
      </c>
      <c r="N1680" s="58"/>
    </row>
    <row r="1681" spans="1:14" hidden="1" x14ac:dyDescent="0.25">
      <c r="A1681" t="s">
        <v>213</v>
      </c>
      <c r="B1681" s="58" t="s">
        <v>377</v>
      </c>
      <c r="C1681" s="58" t="s">
        <v>379</v>
      </c>
      <c r="D1681" s="58" t="s">
        <v>378</v>
      </c>
      <c r="E1681" s="58">
        <v>3</v>
      </c>
      <c r="F1681">
        <v>16</v>
      </c>
      <c r="G1681">
        <v>140</v>
      </c>
      <c r="H1681">
        <v>24</v>
      </c>
      <c r="I1681" s="58"/>
      <c r="J1681" s="58"/>
      <c r="K1681" s="58"/>
      <c r="L1681" s="58"/>
      <c r="M1681" s="58">
        <v>44</v>
      </c>
      <c r="N1681" s="58"/>
    </row>
    <row r="1682" spans="1:14" hidden="1" x14ac:dyDescent="0.25">
      <c r="A1682" t="s">
        <v>213</v>
      </c>
      <c r="B1682" s="58" t="s">
        <v>377</v>
      </c>
      <c r="C1682" s="58" t="s">
        <v>379</v>
      </c>
      <c r="D1682" s="58" t="s">
        <v>378</v>
      </c>
      <c r="E1682" s="58">
        <v>3</v>
      </c>
      <c r="F1682">
        <v>16</v>
      </c>
      <c r="G1682">
        <v>150</v>
      </c>
      <c r="H1682">
        <v>24</v>
      </c>
      <c r="I1682" s="58"/>
      <c r="J1682" s="58"/>
      <c r="K1682" s="58"/>
      <c r="L1682" s="58"/>
      <c r="M1682" s="58">
        <v>44</v>
      </c>
      <c r="N1682" s="58"/>
    </row>
    <row r="1683" spans="1:14" hidden="1" x14ac:dyDescent="0.25">
      <c r="A1683" t="s">
        <v>213</v>
      </c>
      <c r="B1683" s="58" t="s">
        <v>377</v>
      </c>
      <c r="C1683" s="58" t="s">
        <v>379</v>
      </c>
      <c r="D1683" s="58" t="s">
        <v>378</v>
      </c>
      <c r="E1683" s="58">
        <v>3</v>
      </c>
      <c r="F1683">
        <v>16</v>
      </c>
      <c r="G1683">
        <v>160</v>
      </c>
      <c r="H1683">
        <v>24</v>
      </c>
      <c r="I1683" s="58"/>
      <c r="J1683" s="58"/>
      <c r="K1683" s="58"/>
      <c r="L1683" s="58"/>
      <c r="M1683" s="58">
        <v>44</v>
      </c>
      <c r="N1683" s="58"/>
    </row>
    <row r="1684" spans="1:14" hidden="1" x14ac:dyDescent="0.25">
      <c r="A1684" t="s">
        <v>213</v>
      </c>
      <c r="B1684" s="58" t="s">
        <v>377</v>
      </c>
      <c r="C1684" s="58" t="s">
        <v>379</v>
      </c>
      <c r="D1684" s="58" t="s">
        <v>378</v>
      </c>
      <c r="E1684" s="58">
        <v>3</v>
      </c>
      <c r="F1684">
        <v>16</v>
      </c>
      <c r="G1684">
        <v>180</v>
      </c>
      <c r="H1684">
        <v>24</v>
      </c>
      <c r="I1684" s="58"/>
      <c r="J1684" s="58"/>
      <c r="K1684" s="58"/>
      <c r="L1684" s="58"/>
      <c r="M1684" s="58">
        <v>44</v>
      </c>
      <c r="N1684" s="58"/>
    </row>
    <row r="1685" spans="1:14" hidden="1" x14ac:dyDescent="0.25">
      <c r="A1685" t="s">
        <v>213</v>
      </c>
      <c r="B1685" s="58" t="s">
        <v>377</v>
      </c>
      <c r="C1685" s="58" t="s">
        <v>379</v>
      </c>
      <c r="D1685" s="58" t="s">
        <v>378</v>
      </c>
      <c r="E1685" s="58">
        <v>3</v>
      </c>
      <c r="F1685">
        <v>16</v>
      </c>
      <c r="G1685">
        <v>190</v>
      </c>
      <c r="H1685">
        <v>24</v>
      </c>
      <c r="I1685" s="58"/>
      <c r="J1685" s="58"/>
      <c r="K1685" s="58"/>
      <c r="L1685" s="58"/>
      <c r="M1685" s="58">
        <v>44</v>
      </c>
      <c r="N1685" s="58"/>
    </row>
    <row r="1686" spans="1:14" hidden="1" x14ac:dyDescent="0.25">
      <c r="A1686" t="s">
        <v>213</v>
      </c>
      <c r="B1686" s="58" t="s">
        <v>377</v>
      </c>
      <c r="C1686" s="58" t="s">
        <v>379</v>
      </c>
      <c r="D1686" s="58" t="s">
        <v>378</v>
      </c>
      <c r="E1686" s="58">
        <v>3</v>
      </c>
      <c r="F1686">
        <v>16</v>
      </c>
      <c r="G1686">
        <v>200</v>
      </c>
      <c r="H1686">
        <v>24</v>
      </c>
      <c r="I1686" s="58"/>
      <c r="J1686" s="58"/>
      <c r="K1686" s="58"/>
      <c r="L1686" s="58"/>
      <c r="M1686" s="58">
        <v>44</v>
      </c>
      <c r="N1686" s="58"/>
    </row>
    <row r="1687" spans="1:14" hidden="1" x14ac:dyDescent="0.25">
      <c r="A1687" t="s">
        <v>213</v>
      </c>
      <c r="B1687" s="58" t="s">
        <v>377</v>
      </c>
      <c r="C1687" s="58" t="s">
        <v>379</v>
      </c>
      <c r="D1687" s="58" t="s">
        <v>378</v>
      </c>
      <c r="E1687" s="58">
        <v>3</v>
      </c>
      <c r="F1687">
        <v>16</v>
      </c>
      <c r="G1687">
        <v>220</v>
      </c>
      <c r="H1687">
        <v>24</v>
      </c>
      <c r="I1687" s="58"/>
      <c r="J1687" s="58"/>
      <c r="K1687" s="58"/>
      <c r="L1687" s="58"/>
      <c r="M1687" s="58">
        <v>57</v>
      </c>
      <c r="N1687" s="58"/>
    </row>
    <row r="1688" spans="1:14" hidden="1" x14ac:dyDescent="0.25">
      <c r="A1688" t="s">
        <v>213</v>
      </c>
      <c r="B1688" s="58" t="s">
        <v>377</v>
      </c>
      <c r="C1688" s="58" t="s">
        <v>379</v>
      </c>
      <c r="D1688" s="58" t="s">
        <v>378</v>
      </c>
      <c r="E1688" s="58">
        <v>3</v>
      </c>
      <c r="F1688">
        <v>16</v>
      </c>
      <c r="G1688">
        <v>230</v>
      </c>
      <c r="H1688">
        <v>24</v>
      </c>
      <c r="I1688" s="58"/>
      <c r="J1688" s="58"/>
      <c r="K1688" s="58"/>
      <c r="L1688" s="58"/>
      <c r="M1688" s="58">
        <v>57</v>
      </c>
      <c r="N1688" s="58"/>
    </row>
    <row r="1689" spans="1:14" hidden="1" x14ac:dyDescent="0.25">
      <c r="A1689" t="s">
        <v>213</v>
      </c>
      <c r="B1689" s="58" t="s">
        <v>377</v>
      </c>
      <c r="C1689" s="58" t="s">
        <v>379</v>
      </c>
      <c r="D1689" s="58" t="s">
        <v>378</v>
      </c>
      <c r="E1689" s="58">
        <v>3</v>
      </c>
      <c r="F1689">
        <v>16</v>
      </c>
      <c r="G1689">
        <v>240</v>
      </c>
      <c r="H1689">
        <v>24</v>
      </c>
      <c r="I1689" s="58"/>
      <c r="J1689" s="58"/>
      <c r="K1689" s="58"/>
      <c r="L1689" s="58"/>
      <c r="M1689" s="58">
        <v>57</v>
      </c>
      <c r="N1689" s="58"/>
    </row>
    <row r="1690" spans="1:14" hidden="1" x14ac:dyDescent="0.25">
      <c r="A1690" t="s">
        <v>213</v>
      </c>
      <c r="B1690" s="58" t="s">
        <v>377</v>
      </c>
      <c r="C1690" s="58" t="s">
        <v>379</v>
      </c>
      <c r="D1690" s="58" t="s">
        <v>378</v>
      </c>
      <c r="E1690" s="58">
        <v>3</v>
      </c>
      <c r="F1690">
        <v>16</v>
      </c>
      <c r="G1690">
        <v>250</v>
      </c>
      <c r="H1690">
        <v>24</v>
      </c>
      <c r="I1690" s="58"/>
      <c r="J1690" s="58"/>
      <c r="K1690" s="58"/>
      <c r="L1690" s="58"/>
      <c r="M1690" s="58">
        <v>57</v>
      </c>
      <c r="N1690" s="58"/>
    </row>
    <row r="1691" spans="1:14" hidden="1" x14ac:dyDescent="0.25">
      <c r="A1691" t="s">
        <v>213</v>
      </c>
      <c r="B1691" s="58" t="s">
        <v>377</v>
      </c>
      <c r="C1691" s="58" t="s">
        <v>379</v>
      </c>
      <c r="D1691" s="58" t="s">
        <v>378</v>
      </c>
      <c r="E1691" s="58">
        <v>3</v>
      </c>
      <c r="F1691">
        <v>16</v>
      </c>
      <c r="G1691">
        <v>260</v>
      </c>
      <c r="H1691">
        <v>24</v>
      </c>
      <c r="I1691" s="58"/>
      <c r="J1691" s="58"/>
      <c r="K1691" s="58"/>
      <c r="L1691" s="58"/>
      <c r="M1691" s="58">
        <v>57</v>
      </c>
      <c r="N1691" s="58"/>
    </row>
    <row r="1692" spans="1:14" hidden="1" x14ac:dyDescent="0.25">
      <c r="A1692" t="s">
        <v>213</v>
      </c>
      <c r="B1692" s="58" t="s">
        <v>377</v>
      </c>
      <c r="C1692" s="58" t="s">
        <v>379</v>
      </c>
      <c r="D1692" s="58" t="s">
        <v>378</v>
      </c>
      <c r="E1692" s="58">
        <v>3</v>
      </c>
      <c r="F1692">
        <v>16</v>
      </c>
      <c r="G1692">
        <v>270</v>
      </c>
      <c r="H1692">
        <v>24</v>
      </c>
      <c r="I1692" s="58"/>
      <c r="J1692" s="58"/>
      <c r="K1692" s="58"/>
      <c r="L1692" s="58"/>
      <c r="M1692" s="58">
        <v>57</v>
      </c>
      <c r="N1692" s="58"/>
    </row>
    <row r="1693" spans="1:14" hidden="1" x14ac:dyDescent="0.25">
      <c r="A1693" t="s">
        <v>213</v>
      </c>
      <c r="B1693" s="58" t="s">
        <v>377</v>
      </c>
      <c r="C1693" s="58" t="s">
        <v>379</v>
      </c>
      <c r="D1693" s="58" t="s">
        <v>378</v>
      </c>
      <c r="E1693" s="58">
        <v>3</v>
      </c>
      <c r="F1693">
        <v>16</v>
      </c>
      <c r="G1693">
        <v>280</v>
      </c>
      <c r="H1693">
        <v>24</v>
      </c>
      <c r="I1693" s="58"/>
      <c r="J1693" s="58"/>
      <c r="K1693" s="58"/>
      <c r="L1693" s="58"/>
      <c r="M1693" s="58">
        <v>57</v>
      </c>
      <c r="N1693" s="58"/>
    </row>
    <row r="1694" spans="1:14" hidden="1" x14ac:dyDescent="0.25">
      <c r="A1694" t="s">
        <v>213</v>
      </c>
      <c r="B1694" s="58" t="s">
        <v>377</v>
      </c>
      <c r="C1694" s="58" t="s">
        <v>379</v>
      </c>
      <c r="D1694" s="58" t="s">
        <v>378</v>
      </c>
      <c r="E1694" s="58">
        <v>3</v>
      </c>
      <c r="F1694">
        <v>16</v>
      </c>
      <c r="G1694">
        <v>290</v>
      </c>
      <c r="H1694">
        <v>24</v>
      </c>
      <c r="I1694" s="58"/>
      <c r="J1694" s="58"/>
      <c r="K1694" s="58"/>
      <c r="L1694" s="58"/>
      <c r="M1694" s="58">
        <v>57</v>
      </c>
      <c r="N1694" s="58"/>
    </row>
    <row r="1695" spans="1:14" hidden="1" x14ac:dyDescent="0.25">
      <c r="A1695" t="s">
        <v>213</v>
      </c>
      <c r="B1695" s="58" t="s">
        <v>377</v>
      </c>
      <c r="C1695" s="58" t="s">
        <v>379</v>
      </c>
      <c r="D1695" s="58" t="s">
        <v>378</v>
      </c>
      <c r="E1695" s="58">
        <v>3</v>
      </c>
      <c r="F1695">
        <v>16</v>
      </c>
      <c r="G1695">
        <v>300</v>
      </c>
      <c r="H1695">
        <v>24</v>
      </c>
      <c r="I1695" s="58"/>
      <c r="J1695" s="58"/>
      <c r="K1695" s="58"/>
      <c r="L1695" s="58"/>
      <c r="M1695" s="58">
        <v>57</v>
      </c>
      <c r="N1695" s="58"/>
    </row>
    <row r="1696" spans="1:14" hidden="1" x14ac:dyDescent="0.25">
      <c r="A1696" t="s">
        <v>213</v>
      </c>
      <c r="B1696" s="58" t="s">
        <v>377</v>
      </c>
      <c r="C1696" s="58" t="s">
        <v>379</v>
      </c>
      <c r="D1696" s="58" t="s">
        <v>378</v>
      </c>
      <c r="E1696" s="58">
        <v>3</v>
      </c>
      <c r="F1696">
        <v>16</v>
      </c>
      <c r="G1696">
        <v>310</v>
      </c>
      <c r="H1696">
        <v>24</v>
      </c>
      <c r="I1696" s="58"/>
      <c r="J1696" s="58"/>
      <c r="K1696" s="58"/>
      <c r="L1696" s="58"/>
      <c r="M1696" s="58">
        <v>57</v>
      </c>
      <c r="N1696" s="58"/>
    </row>
    <row r="1697" spans="1:14" hidden="1" x14ac:dyDescent="0.25">
      <c r="A1697" t="s">
        <v>213</v>
      </c>
      <c r="B1697" s="58" t="s">
        <v>377</v>
      </c>
      <c r="C1697" s="58" t="s">
        <v>379</v>
      </c>
      <c r="D1697" s="58" t="s">
        <v>378</v>
      </c>
      <c r="E1697" s="58">
        <v>3</v>
      </c>
      <c r="F1697">
        <v>16</v>
      </c>
      <c r="G1697">
        <v>320</v>
      </c>
      <c r="H1697">
        <v>24</v>
      </c>
      <c r="I1697" s="58"/>
      <c r="J1697" s="58"/>
      <c r="K1697" s="58"/>
      <c r="L1697" s="58"/>
      <c r="M1697" s="58">
        <v>57</v>
      </c>
      <c r="N1697" s="58"/>
    </row>
    <row r="1698" spans="1:14" hidden="1" x14ac:dyDescent="0.25">
      <c r="A1698" t="s">
        <v>213</v>
      </c>
      <c r="B1698" s="58" t="s">
        <v>377</v>
      </c>
      <c r="C1698" s="58" t="s">
        <v>379</v>
      </c>
      <c r="D1698" s="58" t="s">
        <v>378</v>
      </c>
      <c r="E1698" s="58">
        <v>3</v>
      </c>
      <c r="F1698">
        <v>16</v>
      </c>
      <c r="G1698">
        <v>330</v>
      </c>
      <c r="H1698">
        <v>24</v>
      </c>
      <c r="I1698" s="58"/>
      <c r="J1698" s="58"/>
      <c r="K1698" s="58"/>
      <c r="L1698" s="58"/>
      <c r="M1698" s="58">
        <v>57</v>
      </c>
      <c r="N1698" s="58"/>
    </row>
    <row r="1699" spans="1:14" hidden="1" x14ac:dyDescent="0.25">
      <c r="A1699" t="s">
        <v>213</v>
      </c>
      <c r="B1699" s="58" t="s">
        <v>377</v>
      </c>
      <c r="C1699" s="58" t="s">
        <v>379</v>
      </c>
      <c r="D1699" s="58" t="s">
        <v>378</v>
      </c>
      <c r="E1699" s="58">
        <v>3</v>
      </c>
      <c r="F1699">
        <v>16</v>
      </c>
      <c r="G1699">
        <v>340</v>
      </c>
      <c r="H1699">
        <v>24</v>
      </c>
      <c r="I1699" s="58"/>
      <c r="J1699" s="58"/>
      <c r="K1699" s="58"/>
      <c r="L1699" s="58"/>
      <c r="M1699" s="58">
        <v>57</v>
      </c>
      <c r="N1699" s="58"/>
    </row>
    <row r="1700" spans="1:14" hidden="1" x14ac:dyDescent="0.25">
      <c r="A1700" t="s">
        <v>213</v>
      </c>
      <c r="B1700" s="58" t="s">
        <v>377</v>
      </c>
      <c r="C1700" s="58" t="s">
        <v>379</v>
      </c>
      <c r="D1700" s="58" t="s">
        <v>378</v>
      </c>
      <c r="E1700" s="58">
        <v>3</v>
      </c>
      <c r="F1700">
        <v>16</v>
      </c>
      <c r="G1700">
        <v>350</v>
      </c>
      <c r="H1700">
        <v>24</v>
      </c>
      <c r="I1700" s="58"/>
      <c r="J1700" s="58"/>
      <c r="K1700" s="58"/>
      <c r="L1700" s="58"/>
      <c r="M1700" s="58">
        <v>57</v>
      </c>
      <c r="N1700" s="58"/>
    </row>
    <row r="1701" spans="1:14" hidden="1" x14ac:dyDescent="0.25">
      <c r="A1701" t="s">
        <v>213</v>
      </c>
      <c r="B1701" s="58" t="s">
        <v>377</v>
      </c>
      <c r="C1701" s="58" t="s">
        <v>379</v>
      </c>
      <c r="D1701" s="58" t="s">
        <v>378</v>
      </c>
      <c r="E1701" s="58">
        <v>3</v>
      </c>
      <c r="F1701">
        <v>16</v>
      </c>
      <c r="G1701">
        <v>360</v>
      </c>
      <c r="H1701">
        <v>24</v>
      </c>
      <c r="I1701" s="58"/>
      <c r="J1701" s="58"/>
      <c r="K1701" s="58"/>
      <c r="L1701" s="58"/>
      <c r="M1701" s="58">
        <v>57</v>
      </c>
      <c r="N1701" s="58"/>
    </row>
    <row r="1702" spans="1:14" hidden="1" x14ac:dyDescent="0.25">
      <c r="A1702" t="s">
        <v>213</v>
      </c>
      <c r="B1702" s="58" t="s">
        <v>377</v>
      </c>
      <c r="C1702" s="58" t="s">
        <v>379</v>
      </c>
      <c r="D1702" s="58" t="s">
        <v>378</v>
      </c>
      <c r="E1702" s="58">
        <v>3</v>
      </c>
      <c r="F1702">
        <v>16</v>
      </c>
      <c r="G1702">
        <v>370</v>
      </c>
      <c r="H1702">
        <v>24</v>
      </c>
      <c r="I1702" s="58"/>
      <c r="J1702" s="58"/>
      <c r="K1702" s="58"/>
      <c r="L1702" s="58"/>
      <c r="M1702" s="58">
        <v>57</v>
      </c>
      <c r="N1702" s="58"/>
    </row>
    <row r="1703" spans="1:14" hidden="1" x14ac:dyDescent="0.25">
      <c r="A1703" t="s">
        <v>213</v>
      </c>
      <c r="B1703" s="58" t="s">
        <v>377</v>
      </c>
      <c r="C1703" s="58" t="s">
        <v>379</v>
      </c>
      <c r="D1703" s="58" t="s">
        <v>378</v>
      </c>
      <c r="E1703" s="58">
        <v>3</v>
      </c>
      <c r="F1703">
        <v>16</v>
      </c>
      <c r="G1703">
        <v>380</v>
      </c>
      <c r="H1703">
        <v>24</v>
      </c>
      <c r="I1703" s="58"/>
      <c r="J1703" s="58"/>
      <c r="K1703" s="58"/>
      <c r="L1703" s="58"/>
      <c r="M1703" s="58">
        <v>57</v>
      </c>
      <c r="N1703" s="58"/>
    </row>
    <row r="1704" spans="1:14" hidden="1" x14ac:dyDescent="0.25">
      <c r="A1704" t="s">
        <v>213</v>
      </c>
      <c r="B1704" s="58" t="s">
        <v>377</v>
      </c>
      <c r="C1704" s="58" t="s">
        <v>379</v>
      </c>
      <c r="D1704" s="58" t="s">
        <v>378</v>
      </c>
      <c r="E1704" s="58">
        <v>3</v>
      </c>
      <c r="F1704">
        <v>16</v>
      </c>
      <c r="G1704">
        <v>390</v>
      </c>
      <c r="H1704">
        <v>24</v>
      </c>
      <c r="I1704" s="58"/>
      <c r="J1704" s="58"/>
      <c r="K1704" s="58"/>
      <c r="L1704" s="58"/>
      <c r="M1704" s="58">
        <v>57</v>
      </c>
      <c r="N1704" s="58"/>
    </row>
    <row r="1705" spans="1:14" hidden="1" x14ac:dyDescent="0.25">
      <c r="A1705" t="s">
        <v>213</v>
      </c>
      <c r="B1705" s="58" t="s">
        <v>377</v>
      </c>
      <c r="C1705" s="58" t="s">
        <v>379</v>
      </c>
      <c r="D1705" s="58" t="s">
        <v>378</v>
      </c>
      <c r="E1705" s="58">
        <v>3</v>
      </c>
      <c r="F1705">
        <v>16</v>
      </c>
      <c r="G1705">
        <v>400</v>
      </c>
      <c r="H1705">
        <v>24</v>
      </c>
      <c r="I1705" s="58"/>
      <c r="J1705" s="58"/>
      <c r="K1705" s="58"/>
      <c r="L1705" s="58"/>
      <c r="M1705" s="58">
        <v>57</v>
      </c>
      <c r="N1705" s="58"/>
    </row>
    <row r="1706" spans="1:14" hidden="1" x14ac:dyDescent="0.25">
      <c r="A1706" t="s">
        <v>213</v>
      </c>
      <c r="B1706" s="58" t="s">
        <v>377</v>
      </c>
      <c r="C1706" s="58" t="s">
        <v>379</v>
      </c>
      <c r="D1706" s="58" t="s">
        <v>378</v>
      </c>
      <c r="E1706" s="58">
        <v>3</v>
      </c>
      <c r="F1706">
        <v>16</v>
      </c>
      <c r="G1706">
        <v>420</v>
      </c>
      <c r="H1706">
        <v>24</v>
      </c>
      <c r="I1706" s="58"/>
      <c r="J1706" s="58"/>
      <c r="K1706" s="58"/>
      <c r="L1706" s="58"/>
      <c r="M1706" s="58">
        <v>57</v>
      </c>
      <c r="N1706" s="58"/>
    </row>
    <row r="1707" spans="1:14" hidden="1" x14ac:dyDescent="0.25">
      <c r="A1707" t="s">
        <v>213</v>
      </c>
      <c r="B1707" s="58" t="s">
        <v>377</v>
      </c>
      <c r="C1707" s="58" t="s">
        <v>379</v>
      </c>
      <c r="D1707" s="58" t="s">
        <v>378</v>
      </c>
      <c r="E1707" s="58">
        <v>3</v>
      </c>
      <c r="F1707">
        <v>16</v>
      </c>
      <c r="G1707">
        <v>440</v>
      </c>
      <c r="H1707">
        <v>24</v>
      </c>
      <c r="I1707" s="58"/>
      <c r="J1707" s="58"/>
      <c r="K1707" s="58"/>
      <c r="L1707" s="58"/>
      <c r="M1707" s="58">
        <v>57</v>
      </c>
      <c r="N1707" s="58"/>
    </row>
    <row r="1708" spans="1:14" hidden="1" x14ac:dyDescent="0.25">
      <c r="A1708" t="s">
        <v>213</v>
      </c>
      <c r="B1708" s="58" t="s">
        <v>377</v>
      </c>
      <c r="C1708" s="58" t="s">
        <v>379</v>
      </c>
      <c r="D1708" s="58" t="s">
        <v>378</v>
      </c>
      <c r="E1708" s="58">
        <v>3</v>
      </c>
      <c r="F1708">
        <v>18</v>
      </c>
      <c r="G1708">
        <v>60</v>
      </c>
      <c r="H1708">
        <v>24</v>
      </c>
      <c r="I1708" s="58"/>
      <c r="J1708" s="58"/>
      <c r="K1708" s="58"/>
      <c r="L1708" s="58"/>
      <c r="M1708" s="58">
        <v>42</v>
      </c>
      <c r="N1708" s="58"/>
    </row>
    <row r="1709" spans="1:14" hidden="1" x14ac:dyDescent="0.25">
      <c r="A1709" t="s">
        <v>213</v>
      </c>
      <c r="B1709" s="58" t="s">
        <v>377</v>
      </c>
      <c r="C1709" s="58" t="s">
        <v>379</v>
      </c>
      <c r="D1709" s="58" t="s">
        <v>378</v>
      </c>
      <c r="E1709" s="58">
        <v>3</v>
      </c>
      <c r="F1709">
        <v>18</v>
      </c>
      <c r="G1709">
        <v>65</v>
      </c>
      <c r="H1709">
        <v>24</v>
      </c>
      <c r="I1709" s="58"/>
      <c r="J1709" s="58"/>
      <c r="K1709" s="58"/>
      <c r="L1709" s="58"/>
      <c r="M1709" s="58">
        <v>42</v>
      </c>
      <c r="N1709" s="58"/>
    </row>
    <row r="1710" spans="1:14" hidden="1" x14ac:dyDescent="0.25">
      <c r="A1710" t="s">
        <v>213</v>
      </c>
      <c r="B1710" s="58" t="s">
        <v>377</v>
      </c>
      <c r="C1710" s="58" t="s">
        <v>379</v>
      </c>
      <c r="D1710" s="58" t="s">
        <v>378</v>
      </c>
      <c r="E1710" s="58">
        <v>3</v>
      </c>
      <c r="F1710">
        <v>18</v>
      </c>
      <c r="G1710">
        <v>70</v>
      </c>
      <c r="H1710">
        <v>24</v>
      </c>
      <c r="I1710" s="58"/>
      <c r="J1710" s="58"/>
      <c r="K1710" s="58"/>
      <c r="L1710" s="58"/>
      <c r="M1710" s="58">
        <v>42</v>
      </c>
      <c r="N1710" s="58"/>
    </row>
    <row r="1711" spans="1:14" hidden="1" x14ac:dyDescent="0.25">
      <c r="A1711" t="s">
        <v>213</v>
      </c>
      <c r="B1711" s="58" t="s">
        <v>377</v>
      </c>
      <c r="C1711" s="58" t="s">
        <v>379</v>
      </c>
      <c r="D1711" s="58" t="s">
        <v>378</v>
      </c>
      <c r="E1711" s="58">
        <v>3</v>
      </c>
      <c r="F1711">
        <v>18</v>
      </c>
      <c r="G1711">
        <v>75</v>
      </c>
      <c r="H1711">
        <v>24</v>
      </c>
      <c r="I1711" s="58"/>
      <c r="J1711" s="58"/>
      <c r="K1711" s="58"/>
      <c r="L1711" s="58"/>
      <c r="M1711" s="58">
        <v>42</v>
      </c>
      <c r="N1711" s="58"/>
    </row>
    <row r="1712" spans="1:14" hidden="1" x14ac:dyDescent="0.25">
      <c r="A1712" t="s">
        <v>213</v>
      </c>
      <c r="B1712" s="58" t="s">
        <v>377</v>
      </c>
      <c r="C1712" s="58" t="s">
        <v>379</v>
      </c>
      <c r="D1712" s="58" t="s">
        <v>378</v>
      </c>
      <c r="E1712" s="58">
        <v>3</v>
      </c>
      <c r="F1712">
        <v>18</v>
      </c>
      <c r="G1712">
        <v>80</v>
      </c>
      <c r="H1712">
        <v>24</v>
      </c>
      <c r="I1712" s="58"/>
      <c r="J1712" s="58"/>
      <c r="K1712" s="58"/>
      <c r="L1712" s="58"/>
      <c r="M1712" s="58">
        <v>42</v>
      </c>
      <c r="N1712" s="58"/>
    </row>
    <row r="1713" spans="1:14" hidden="1" x14ac:dyDescent="0.25">
      <c r="A1713" t="s">
        <v>213</v>
      </c>
      <c r="B1713" s="58" t="s">
        <v>377</v>
      </c>
      <c r="C1713" s="58" t="s">
        <v>379</v>
      </c>
      <c r="D1713" s="58" t="s">
        <v>378</v>
      </c>
      <c r="E1713" s="58">
        <v>3</v>
      </c>
      <c r="F1713">
        <v>18</v>
      </c>
      <c r="G1713">
        <v>90</v>
      </c>
      <c r="H1713">
        <v>24</v>
      </c>
      <c r="I1713" s="58"/>
      <c r="J1713" s="58"/>
      <c r="K1713" s="58"/>
      <c r="L1713" s="58"/>
      <c r="M1713" s="58">
        <v>42</v>
      </c>
      <c r="N1713" s="58"/>
    </row>
    <row r="1714" spans="1:14" hidden="1" x14ac:dyDescent="0.25">
      <c r="A1714" t="s">
        <v>213</v>
      </c>
      <c r="B1714" s="58" t="s">
        <v>377</v>
      </c>
      <c r="C1714" s="58" t="s">
        <v>379</v>
      </c>
      <c r="D1714" s="58" t="s">
        <v>378</v>
      </c>
      <c r="E1714" s="58">
        <v>3</v>
      </c>
      <c r="F1714">
        <v>18</v>
      </c>
      <c r="G1714">
        <v>95</v>
      </c>
      <c r="H1714">
        <v>24</v>
      </c>
      <c r="I1714" s="58"/>
      <c r="J1714" s="58"/>
      <c r="K1714" s="58"/>
      <c r="L1714" s="58"/>
      <c r="M1714" s="58">
        <v>42</v>
      </c>
      <c r="N1714" s="58"/>
    </row>
    <row r="1715" spans="1:14" hidden="1" x14ac:dyDescent="0.25">
      <c r="A1715" t="s">
        <v>213</v>
      </c>
      <c r="B1715" s="58" t="s">
        <v>377</v>
      </c>
      <c r="C1715" s="58" t="s">
        <v>379</v>
      </c>
      <c r="D1715" s="58" t="s">
        <v>378</v>
      </c>
      <c r="E1715" s="58">
        <v>3</v>
      </c>
      <c r="F1715">
        <v>18</v>
      </c>
      <c r="G1715">
        <v>100</v>
      </c>
      <c r="H1715">
        <v>27</v>
      </c>
      <c r="I1715" s="58"/>
      <c r="J1715" s="58"/>
      <c r="K1715" s="58"/>
      <c r="L1715" s="58"/>
      <c r="M1715" s="58">
        <v>42</v>
      </c>
      <c r="N1715" s="58"/>
    </row>
    <row r="1716" spans="1:14" hidden="1" x14ac:dyDescent="0.25">
      <c r="A1716" t="s">
        <v>213</v>
      </c>
      <c r="B1716" s="58" t="s">
        <v>377</v>
      </c>
      <c r="C1716" s="58" t="s">
        <v>379</v>
      </c>
      <c r="D1716" s="58" t="s">
        <v>378</v>
      </c>
      <c r="E1716" s="58">
        <v>3</v>
      </c>
      <c r="F1716">
        <v>18</v>
      </c>
      <c r="G1716">
        <v>110</v>
      </c>
      <c r="H1716">
        <v>27</v>
      </c>
      <c r="I1716" s="58"/>
      <c r="J1716" s="58"/>
      <c r="K1716" s="58"/>
      <c r="L1716" s="58"/>
      <c r="M1716" s="58">
        <v>42</v>
      </c>
      <c r="N1716" s="58"/>
    </row>
    <row r="1717" spans="1:14" hidden="1" x14ac:dyDescent="0.25">
      <c r="A1717" t="s">
        <v>213</v>
      </c>
      <c r="B1717" s="58" t="s">
        <v>377</v>
      </c>
      <c r="C1717" s="58" t="s">
        <v>379</v>
      </c>
      <c r="D1717" s="58" t="s">
        <v>378</v>
      </c>
      <c r="E1717" s="58">
        <v>3</v>
      </c>
      <c r="F1717">
        <v>18</v>
      </c>
      <c r="G1717">
        <v>120</v>
      </c>
      <c r="H1717">
        <v>27</v>
      </c>
      <c r="I1717" s="58"/>
      <c r="J1717" s="58"/>
      <c r="K1717" s="58"/>
      <c r="L1717" s="58"/>
      <c r="M1717" s="58">
        <v>42</v>
      </c>
      <c r="N1717" s="58"/>
    </row>
    <row r="1718" spans="1:14" hidden="1" x14ac:dyDescent="0.25">
      <c r="A1718" t="s">
        <v>213</v>
      </c>
      <c r="B1718" s="58" t="s">
        <v>377</v>
      </c>
      <c r="C1718" s="58" t="s">
        <v>379</v>
      </c>
      <c r="D1718" s="58" t="s">
        <v>378</v>
      </c>
      <c r="E1718" s="58">
        <v>3</v>
      </c>
      <c r="F1718">
        <v>18</v>
      </c>
      <c r="G1718">
        <v>130</v>
      </c>
      <c r="H1718">
        <v>27</v>
      </c>
      <c r="I1718" s="58"/>
      <c r="J1718" s="58"/>
      <c r="K1718" s="58"/>
      <c r="L1718" s="58"/>
      <c r="M1718" s="58">
        <v>48</v>
      </c>
      <c r="N1718" s="58"/>
    </row>
    <row r="1719" spans="1:14" hidden="1" x14ac:dyDescent="0.25">
      <c r="A1719" t="s">
        <v>213</v>
      </c>
      <c r="B1719" s="58" t="s">
        <v>377</v>
      </c>
      <c r="C1719" s="58" t="s">
        <v>379</v>
      </c>
      <c r="D1719" s="58" t="s">
        <v>378</v>
      </c>
      <c r="E1719" s="58">
        <v>3</v>
      </c>
      <c r="F1719">
        <v>18</v>
      </c>
      <c r="G1719">
        <v>140</v>
      </c>
      <c r="H1719">
        <v>27</v>
      </c>
      <c r="I1719" s="58"/>
      <c r="J1719" s="58"/>
      <c r="K1719" s="58"/>
      <c r="L1719" s="58"/>
      <c r="M1719" s="58">
        <v>48</v>
      </c>
      <c r="N1719" s="58"/>
    </row>
    <row r="1720" spans="1:14" hidden="1" x14ac:dyDescent="0.25">
      <c r="A1720" t="s">
        <v>213</v>
      </c>
      <c r="B1720" s="58" t="s">
        <v>377</v>
      </c>
      <c r="C1720" s="58" t="s">
        <v>379</v>
      </c>
      <c r="D1720" s="58" t="s">
        <v>378</v>
      </c>
      <c r="E1720" s="58">
        <v>3</v>
      </c>
      <c r="F1720">
        <v>18</v>
      </c>
      <c r="G1720">
        <v>150</v>
      </c>
      <c r="H1720">
        <v>27</v>
      </c>
      <c r="I1720" s="58"/>
      <c r="J1720" s="58"/>
      <c r="K1720" s="58"/>
      <c r="L1720" s="58"/>
      <c r="M1720" s="58">
        <v>48</v>
      </c>
      <c r="N1720" s="58"/>
    </row>
    <row r="1721" spans="1:14" hidden="1" x14ac:dyDescent="0.25">
      <c r="A1721" t="s">
        <v>213</v>
      </c>
      <c r="B1721" s="58" t="s">
        <v>377</v>
      </c>
      <c r="C1721" s="58" t="s">
        <v>379</v>
      </c>
      <c r="D1721" s="58" t="s">
        <v>378</v>
      </c>
      <c r="E1721" s="58">
        <v>3</v>
      </c>
      <c r="F1721">
        <v>18</v>
      </c>
      <c r="G1721">
        <v>160</v>
      </c>
      <c r="H1721">
        <v>27</v>
      </c>
      <c r="I1721" s="58"/>
      <c r="J1721" s="58"/>
      <c r="K1721" s="58"/>
      <c r="L1721" s="58"/>
      <c r="M1721" s="58">
        <v>48</v>
      </c>
      <c r="N1721" s="58"/>
    </row>
    <row r="1722" spans="1:14" hidden="1" x14ac:dyDescent="0.25">
      <c r="A1722" t="s">
        <v>213</v>
      </c>
      <c r="B1722" s="58" t="s">
        <v>377</v>
      </c>
      <c r="C1722" s="58" t="s">
        <v>379</v>
      </c>
      <c r="D1722" s="58" t="s">
        <v>378</v>
      </c>
      <c r="E1722" s="58">
        <v>3</v>
      </c>
      <c r="F1722">
        <v>18</v>
      </c>
      <c r="G1722">
        <v>170</v>
      </c>
      <c r="H1722">
        <v>27</v>
      </c>
      <c r="I1722" s="58"/>
      <c r="J1722" s="58"/>
      <c r="K1722" s="58"/>
      <c r="L1722" s="58"/>
      <c r="M1722" s="58">
        <v>48</v>
      </c>
      <c r="N1722" s="58"/>
    </row>
    <row r="1723" spans="1:14" hidden="1" x14ac:dyDescent="0.25">
      <c r="A1723" t="s">
        <v>213</v>
      </c>
      <c r="B1723" s="58" t="s">
        <v>377</v>
      </c>
      <c r="C1723" s="58" t="s">
        <v>379</v>
      </c>
      <c r="D1723" s="58" t="s">
        <v>378</v>
      </c>
      <c r="E1723" s="58">
        <v>3</v>
      </c>
      <c r="F1723">
        <v>18</v>
      </c>
      <c r="G1723">
        <v>180</v>
      </c>
      <c r="H1723">
        <v>27</v>
      </c>
      <c r="I1723" s="58"/>
      <c r="J1723" s="58"/>
      <c r="K1723" s="58"/>
      <c r="L1723" s="58"/>
      <c r="M1723" s="58">
        <v>48</v>
      </c>
      <c r="N1723" s="58"/>
    </row>
    <row r="1724" spans="1:14" hidden="1" x14ac:dyDescent="0.25">
      <c r="A1724" t="s">
        <v>213</v>
      </c>
      <c r="B1724" s="58" t="s">
        <v>377</v>
      </c>
      <c r="C1724" s="58" t="s">
        <v>379</v>
      </c>
      <c r="D1724" s="58" t="s">
        <v>378</v>
      </c>
      <c r="E1724" s="58">
        <v>3</v>
      </c>
      <c r="F1724">
        <v>18</v>
      </c>
      <c r="G1724">
        <v>190</v>
      </c>
      <c r="H1724">
        <v>27</v>
      </c>
      <c r="I1724" s="58"/>
      <c r="J1724" s="58"/>
      <c r="K1724" s="58"/>
      <c r="L1724" s="58"/>
      <c r="M1724" s="58">
        <v>48</v>
      </c>
      <c r="N1724" s="58"/>
    </row>
    <row r="1725" spans="1:14" hidden="1" x14ac:dyDescent="0.25">
      <c r="A1725" t="s">
        <v>213</v>
      </c>
      <c r="B1725" s="58" t="s">
        <v>377</v>
      </c>
      <c r="C1725" s="58" t="s">
        <v>379</v>
      </c>
      <c r="D1725" s="58" t="s">
        <v>378</v>
      </c>
      <c r="E1725" s="58">
        <v>3</v>
      </c>
      <c r="F1725">
        <v>18</v>
      </c>
      <c r="G1725">
        <v>200</v>
      </c>
      <c r="H1725">
        <v>27</v>
      </c>
      <c r="I1725" s="58"/>
      <c r="J1725" s="58"/>
      <c r="K1725" s="58"/>
      <c r="L1725" s="58"/>
      <c r="M1725" s="58">
        <v>48</v>
      </c>
      <c r="N1725" s="58"/>
    </row>
    <row r="1726" spans="1:14" hidden="1" x14ac:dyDescent="0.25">
      <c r="A1726" t="s">
        <v>213</v>
      </c>
      <c r="B1726" s="58" t="s">
        <v>377</v>
      </c>
      <c r="C1726" s="58" t="s">
        <v>379</v>
      </c>
      <c r="D1726" s="58" t="s">
        <v>378</v>
      </c>
      <c r="E1726" s="58">
        <v>3</v>
      </c>
      <c r="F1726">
        <v>18</v>
      </c>
      <c r="G1726">
        <v>220</v>
      </c>
      <c r="H1726">
        <v>27</v>
      </c>
      <c r="I1726" s="58"/>
      <c r="J1726" s="58"/>
      <c r="K1726" s="58"/>
      <c r="L1726" s="58"/>
      <c r="M1726" s="58">
        <v>61</v>
      </c>
      <c r="N1726" s="58"/>
    </row>
    <row r="1727" spans="1:14" hidden="1" x14ac:dyDescent="0.25">
      <c r="A1727" t="s">
        <v>213</v>
      </c>
      <c r="B1727" s="58" t="s">
        <v>377</v>
      </c>
      <c r="C1727" s="58" t="s">
        <v>379</v>
      </c>
      <c r="D1727" s="58" t="s">
        <v>378</v>
      </c>
      <c r="E1727" s="58">
        <v>3</v>
      </c>
      <c r="F1727">
        <v>18</v>
      </c>
      <c r="G1727">
        <v>230</v>
      </c>
      <c r="H1727">
        <v>27</v>
      </c>
      <c r="I1727" s="58"/>
      <c r="J1727" s="58"/>
      <c r="K1727" s="58"/>
      <c r="L1727" s="58"/>
      <c r="M1727" s="58">
        <v>61</v>
      </c>
      <c r="N1727" s="58"/>
    </row>
    <row r="1728" spans="1:14" hidden="1" x14ac:dyDescent="0.25">
      <c r="A1728" t="s">
        <v>213</v>
      </c>
      <c r="B1728" s="58" t="s">
        <v>377</v>
      </c>
      <c r="C1728" s="58" t="s">
        <v>379</v>
      </c>
      <c r="D1728" s="58" t="s">
        <v>378</v>
      </c>
      <c r="E1728" s="58">
        <v>3</v>
      </c>
      <c r="F1728">
        <v>18</v>
      </c>
      <c r="G1728">
        <v>240</v>
      </c>
      <c r="H1728">
        <v>27</v>
      </c>
      <c r="I1728" s="58"/>
      <c r="J1728" s="58"/>
      <c r="K1728" s="58"/>
      <c r="L1728" s="58"/>
      <c r="M1728" s="58">
        <v>61</v>
      </c>
      <c r="N1728" s="58"/>
    </row>
    <row r="1729" spans="1:14" hidden="1" x14ac:dyDescent="0.25">
      <c r="A1729" t="s">
        <v>213</v>
      </c>
      <c r="B1729" s="58" t="s">
        <v>377</v>
      </c>
      <c r="C1729" s="58" t="s">
        <v>379</v>
      </c>
      <c r="D1729" s="58" t="s">
        <v>378</v>
      </c>
      <c r="E1729" s="58">
        <v>3</v>
      </c>
      <c r="F1729">
        <v>20</v>
      </c>
      <c r="G1729">
        <v>60</v>
      </c>
      <c r="H1729">
        <v>27</v>
      </c>
      <c r="I1729" s="58"/>
      <c r="J1729" s="58"/>
      <c r="K1729" s="58"/>
      <c r="L1729" s="58"/>
      <c r="M1729" s="58">
        <v>46</v>
      </c>
      <c r="N1729" s="58"/>
    </row>
    <row r="1730" spans="1:14" hidden="1" x14ac:dyDescent="0.25">
      <c r="A1730" t="s">
        <v>213</v>
      </c>
      <c r="B1730" s="58" t="s">
        <v>377</v>
      </c>
      <c r="C1730" s="58" t="s">
        <v>379</v>
      </c>
      <c r="D1730" s="58" t="s">
        <v>378</v>
      </c>
      <c r="E1730" s="58">
        <v>3</v>
      </c>
      <c r="F1730">
        <v>20</v>
      </c>
      <c r="G1730">
        <v>65</v>
      </c>
      <c r="H1730">
        <v>27</v>
      </c>
      <c r="I1730" s="58"/>
      <c r="J1730" s="58"/>
      <c r="K1730" s="58"/>
      <c r="L1730" s="58"/>
      <c r="M1730" s="58">
        <v>46</v>
      </c>
      <c r="N1730" s="58"/>
    </row>
    <row r="1731" spans="1:14" hidden="1" x14ac:dyDescent="0.25">
      <c r="A1731" t="s">
        <v>213</v>
      </c>
      <c r="B1731" s="58" t="s">
        <v>377</v>
      </c>
      <c r="C1731" s="58" t="s">
        <v>379</v>
      </c>
      <c r="D1731" s="58" t="s">
        <v>378</v>
      </c>
      <c r="E1731" s="58">
        <v>3</v>
      </c>
      <c r="F1731">
        <v>20</v>
      </c>
      <c r="G1731">
        <v>70</v>
      </c>
      <c r="H1731">
        <v>27</v>
      </c>
      <c r="I1731" s="58"/>
      <c r="J1731" s="58"/>
      <c r="K1731" s="58"/>
      <c r="L1731" s="58"/>
      <c r="M1731" s="58">
        <v>46</v>
      </c>
      <c r="N1731" s="58"/>
    </row>
    <row r="1732" spans="1:14" hidden="1" x14ac:dyDescent="0.25">
      <c r="A1732" t="s">
        <v>213</v>
      </c>
      <c r="B1732" s="58" t="s">
        <v>377</v>
      </c>
      <c r="C1732" s="58" t="s">
        <v>379</v>
      </c>
      <c r="D1732" s="58" t="s">
        <v>378</v>
      </c>
      <c r="E1732" s="58">
        <v>3</v>
      </c>
      <c r="F1732">
        <v>20</v>
      </c>
      <c r="G1732">
        <v>75</v>
      </c>
      <c r="H1732">
        <v>27</v>
      </c>
      <c r="I1732" s="58"/>
      <c r="J1732" s="58"/>
      <c r="K1732" s="58"/>
      <c r="L1732" s="58"/>
      <c r="M1732" s="58">
        <v>46</v>
      </c>
      <c r="N1732" s="58"/>
    </row>
    <row r="1733" spans="1:14" hidden="1" x14ac:dyDescent="0.25">
      <c r="A1733" t="s">
        <v>213</v>
      </c>
      <c r="B1733" s="58" t="s">
        <v>377</v>
      </c>
      <c r="C1733" s="58" t="s">
        <v>379</v>
      </c>
      <c r="D1733" s="58" t="s">
        <v>378</v>
      </c>
      <c r="E1733" s="58">
        <v>3</v>
      </c>
      <c r="F1733">
        <v>20</v>
      </c>
      <c r="G1733">
        <v>80</v>
      </c>
      <c r="H1733">
        <v>27</v>
      </c>
      <c r="I1733" s="58"/>
      <c r="J1733" s="58"/>
      <c r="K1733" s="58"/>
      <c r="L1733" s="58"/>
      <c r="M1733" s="58">
        <v>46</v>
      </c>
      <c r="N1733" s="58"/>
    </row>
    <row r="1734" spans="1:14" hidden="1" x14ac:dyDescent="0.25">
      <c r="A1734" t="s">
        <v>213</v>
      </c>
      <c r="B1734" s="58" t="s">
        <v>377</v>
      </c>
      <c r="C1734" s="58" t="s">
        <v>379</v>
      </c>
      <c r="D1734" s="58" t="s">
        <v>378</v>
      </c>
      <c r="E1734" s="58">
        <v>3</v>
      </c>
      <c r="F1734">
        <v>20</v>
      </c>
      <c r="G1734">
        <v>85</v>
      </c>
      <c r="H1734">
        <v>27</v>
      </c>
      <c r="I1734" s="58"/>
      <c r="J1734" s="58"/>
      <c r="K1734" s="58"/>
      <c r="L1734" s="58"/>
      <c r="M1734" s="58">
        <v>46</v>
      </c>
      <c r="N1734" s="58"/>
    </row>
    <row r="1735" spans="1:14" hidden="1" x14ac:dyDescent="0.25">
      <c r="A1735" t="s">
        <v>213</v>
      </c>
      <c r="B1735" s="58" t="s">
        <v>377</v>
      </c>
      <c r="C1735" s="58" t="s">
        <v>379</v>
      </c>
      <c r="D1735" s="58" t="s">
        <v>378</v>
      </c>
      <c r="E1735" s="58">
        <v>3</v>
      </c>
      <c r="F1735">
        <v>20</v>
      </c>
      <c r="G1735">
        <v>90</v>
      </c>
      <c r="H1735">
        <v>27</v>
      </c>
      <c r="I1735" s="58"/>
      <c r="J1735" s="58"/>
      <c r="K1735" s="58"/>
      <c r="L1735" s="58"/>
      <c r="M1735" s="58">
        <v>46</v>
      </c>
      <c r="N1735" s="58"/>
    </row>
    <row r="1736" spans="1:14" hidden="1" x14ac:dyDescent="0.25">
      <c r="A1736" t="s">
        <v>213</v>
      </c>
      <c r="B1736" s="58" t="s">
        <v>377</v>
      </c>
      <c r="C1736" s="58" t="s">
        <v>379</v>
      </c>
      <c r="D1736" s="58" t="s">
        <v>378</v>
      </c>
      <c r="E1736" s="58">
        <v>3</v>
      </c>
      <c r="F1736">
        <v>20</v>
      </c>
      <c r="G1736">
        <v>95</v>
      </c>
      <c r="H1736">
        <v>27</v>
      </c>
      <c r="I1736" s="58"/>
      <c r="J1736" s="58"/>
      <c r="K1736" s="58"/>
      <c r="L1736" s="58"/>
      <c r="M1736" s="58">
        <v>46</v>
      </c>
      <c r="N1736" s="58"/>
    </row>
    <row r="1737" spans="1:14" hidden="1" x14ac:dyDescent="0.25">
      <c r="A1737" t="s">
        <v>213</v>
      </c>
      <c r="B1737" s="58" t="s">
        <v>377</v>
      </c>
      <c r="C1737" s="58" t="s">
        <v>379</v>
      </c>
      <c r="D1737" s="58" t="s">
        <v>378</v>
      </c>
      <c r="E1737" s="58">
        <v>3</v>
      </c>
      <c r="F1737">
        <v>20</v>
      </c>
      <c r="G1737">
        <v>100</v>
      </c>
      <c r="H1737">
        <v>30</v>
      </c>
      <c r="I1737" s="58"/>
      <c r="J1737" s="58"/>
      <c r="K1737" s="58"/>
      <c r="L1737" s="58"/>
      <c r="M1737" s="58">
        <v>46</v>
      </c>
      <c r="N1737" s="58"/>
    </row>
    <row r="1738" spans="1:14" hidden="1" x14ac:dyDescent="0.25">
      <c r="A1738" t="s">
        <v>213</v>
      </c>
      <c r="B1738" s="58" t="s">
        <v>377</v>
      </c>
      <c r="C1738" s="58" t="s">
        <v>379</v>
      </c>
      <c r="D1738" s="58" t="s">
        <v>378</v>
      </c>
      <c r="E1738" s="58">
        <v>3</v>
      </c>
      <c r="F1738">
        <v>20</v>
      </c>
      <c r="G1738">
        <v>110</v>
      </c>
      <c r="H1738">
        <v>30</v>
      </c>
      <c r="I1738" s="58"/>
      <c r="J1738" s="58"/>
      <c r="K1738" s="58"/>
      <c r="L1738" s="58"/>
      <c r="M1738" s="58">
        <v>46</v>
      </c>
      <c r="N1738" s="58"/>
    </row>
    <row r="1739" spans="1:14" hidden="1" x14ac:dyDescent="0.25">
      <c r="A1739" t="s">
        <v>213</v>
      </c>
      <c r="B1739" s="58" t="s">
        <v>377</v>
      </c>
      <c r="C1739" s="58" t="s">
        <v>379</v>
      </c>
      <c r="D1739" s="58" t="s">
        <v>378</v>
      </c>
      <c r="E1739" s="58">
        <v>3</v>
      </c>
      <c r="F1739">
        <v>20</v>
      </c>
      <c r="G1739">
        <v>120</v>
      </c>
      <c r="H1739">
        <v>30</v>
      </c>
      <c r="I1739" s="58"/>
      <c r="J1739" s="58"/>
      <c r="K1739" s="58"/>
      <c r="L1739" s="58"/>
      <c r="M1739" s="58">
        <v>46</v>
      </c>
      <c r="N1739" s="58"/>
    </row>
    <row r="1740" spans="1:14" hidden="1" x14ac:dyDescent="0.25">
      <c r="A1740" t="s">
        <v>213</v>
      </c>
      <c r="B1740" s="58" t="s">
        <v>377</v>
      </c>
      <c r="C1740" s="58" t="s">
        <v>379</v>
      </c>
      <c r="D1740" s="58" t="s">
        <v>378</v>
      </c>
      <c r="E1740" s="58">
        <v>3</v>
      </c>
      <c r="F1740">
        <v>20</v>
      </c>
      <c r="G1740">
        <v>130</v>
      </c>
      <c r="H1740">
        <v>30</v>
      </c>
      <c r="I1740" s="58"/>
      <c r="J1740" s="58"/>
      <c r="K1740" s="58"/>
      <c r="L1740" s="58"/>
      <c r="M1740" s="58">
        <v>52</v>
      </c>
      <c r="N1740" s="58"/>
    </row>
    <row r="1741" spans="1:14" hidden="1" x14ac:dyDescent="0.25">
      <c r="A1741" t="s">
        <v>213</v>
      </c>
      <c r="B1741" s="58" t="s">
        <v>377</v>
      </c>
      <c r="C1741" s="58" t="s">
        <v>379</v>
      </c>
      <c r="D1741" s="58" t="s">
        <v>378</v>
      </c>
      <c r="E1741" s="58">
        <v>3</v>
      </c>
      <c r="F1741">
        <v>20</v>
      </c>
      <c r="G1741">
        <v>140</v>
      </c>
      <c r="H1741">
        <v>30</v>
      </c>
      <c r="I1741" s="58"/>
      <c r="J1741" s="58"/>
      <c r="K1741" s="58"/>
      <c r="L1741" s="58"/>
      <c r="M1741" s="58">
        <v>52</v>
      </c>
      <c r="N1741" s="58"/>
    </row>
    <row r="1742" spans="1:14" hidden="1" x14ac:dyDescent="0.25">
      <c r="A1742" t="s">
        <v>213</v>
      </c>
      <c r="B1742" s="58" t="s">
        <v>377</v>
      </c>
      <c r="C1742" s="58" t="s">
        <v>379</v>
      </c>
      <c r="D1742" s="58" t="s">
        <v>378</v>
      </c>
      <c r="E1742" s="58">
        <v>3</v>
      </c>
      <c r="F1742">
        <v>20</v>
      </c>
      <c r="G1742">
        <v>150</v>
      </c>
      <c r="H1742">
        <v>30</v>
      </c>
      <c r="I1742" s="58"/>
      <c r="J1742" s="58"/>
      <c r="K1742" s="58"/>
      <c r="L1742" s="58"/>
      <c r="M1742" s="58">
        <v>52</v>
      </c>
      <c r="N1742" s="58"/>
    </row>
    <row r="1743" spans="1:14" hidden="1" x14ac:dyDescent="0.25">
      <c r="A1743" t="s">
        <v>213</v>
      </c>
      <c r="B1743" s="58" t="s">
        <v>377</v>
      </c>
      <c r="C1743" s="58" t="s">
        <v>379</v>
      </c>
      <c r="D1743" s="58" t="s">
        <v>378</v>
      </c>
      <c r="E1743" s="58">
        <v>3</v>
      </c>
      <c r="F1743">
        <v>20</v>
      </c>
      <c r="G1743">
        <v>160</v>
      </c>
      <c r="H1743">
        <v>30</v>
      </c>
      <c r="I1743" s="58"/>
      <c r="J1743" s="58"/>
      <c r="K1743" s="58"/>
      <c r="L1743" s="58"/>
      <c r="M1743" s="58">
        <v>52</v>
      </c>
      <c r="N1743" s="58"/>
    </row>
    <row r="1744" spans="1:14" hidden="1" x14ac:dyDescent="0.25">
      <c r="A1744" t="s">
        <v>213</v>
      </c>
      <c r="B1744" s="58" t="s">
        <v>377</v>
      </c>
      <c r="C1744" s="58" t="s">
        <v>379</v>
      </c>
      <c r="D1744" s="58" t="s">
        <v>378</v>
      </c>
      <c r="E1744" s="58">
        <v>3</v>
      </c>
      <c r="F1744">
        <v>20</v>
      </c>
      <c r="G1744">
        <v>170</v>
      </c>
      <c r="H1744">
        <v>30</v>
      </c>
      <c r="I1744" s="58"/>
      <c r="J1744" s="58"/>
      <c r="K1744" s="58"/>
      <c r="L1744" s="58"/>
      <c r="M1744" s="58">
        <v>52</v>
      </c>
      <c r="N1744" s="58"/>
    </row>
    <row r="1745" spans="1:14" hidden="1" x14ac:dyDescent="0.25">
      <c r="A1745" t="s">
        <v>213</v>
      </c>
      <c r="B1745" s="58" t="s">
        <v>377</v>
      </c>
      <c r="C1745" s="58" t="s">
        <v>379</v>
      </c>
      <c r="D1745" s="58" t="s">
        <v>378</v>
      </c>
      <c r="E1745" s="58">
        <v>3</v>
      </c>
      <c r="F1745">
        <v>20</v>
      </c>
      <c r="G1745">
        <v>180</v>
      </c>
      <c r="H1745">
        <v>30</v>
      </c>
      <c r="I1745" s="58"/>
      <c r="J1745" s="58"/>
      <c r="K1745" s="58"/>
      <c r="L1745" s="58"/>
      <c r="M1745" s="58">
        <v>52</v>
      </c>
      <c r="N1745" s="58"/>
    </row>
    <row r="1746" spans="1:14" hidden="1" x14ac:dyDescent="0.25">
      <c r="A1746" t="s">
        <v>213</v>
      </c>
      <c r="B1746" s="58" t="s">
        <v>377</v>
      </c>
      <c r="C1746" s="58" t="s">
        <v>379</v>
      </c>
      <c r="D1746" s="58" t="s">
        <v>378</v>
      </c>
      <c r="E1746" s="58">
        <v>3</v>
      </c>
      <c r="F1746">
        <v>20</v>
      </c>
      <c r="G1746">
        <v>190</v>
      </c>
      <c r="H1746">
        <v>30</v>
      </c>
      <c r="I1746" s="58"/>
      <c r="J1746" s="58"/>
      <c r="K1746" s="58"/>
      <c r="L1746" s="58"/>
      <c r="M1746" s="58">
        <v>52</v>
      </c>
      <c r="N1746" s="58"/>
    </row>
    <row r="1747" spans="1:14" hidden="1" x14ac:dyDescent="0.25">
      <c r="A1747" t="s">
        <v>213</v>
      </c>
      <c r="B1747" s="58" t="s">
        <v>377</v>
      </c>
      <c r="C1747" s="58" t="s">
        <v>379</v>
      </c>
      <c r="D1747" s="58" t="s">
        <v>378</v>
      </c>
      <c r="E1747" s="58">
        <v>3</v>
      </c>
      <c r="F1747">
        <v>20</v>
      </c>
      <c r="G1747">
        <v>200</v>
      </c>
      <c r="H1747">
        <v>30</v>
      </c>
      <c r="I1747" s="58"/>
      <c r="J1747" s="58"/>
      <c r="K1747" s="58"/>
      <c r="L1747" s="58"/>
      <c r="M1747" s="58">
        <v>52</v>
      </c>
      <c r="N1747" s="58"/>
    </row>
    <row r="1748" spans="1:14" hidden="1" x14ac:dyDescent="0.25">
      <c r="A1748" t="s">
        <v>213</v>
      </c>
      <c r="B1748" s="58" t="s">
        <v>377</v>
      </c>
      <c r="C1748" s="58" t="s">
        <v>379</v>
      </c>
      <c r="D1748" s="58" t="s">
        <v>378</v>
      </c>
      <c r="E1748" s="58">
        <v>3</v>
      </c>
      <c r="F1748">
        <v>20</v>
      </c>
      <c r="G1748">
        <v>210</v>
      </c>
      <c r="H1748">
        <v>30</v>
      </c>
      <c r="I1748" s="58"/>
      <c r="J1748" s="58"/>
      <c r="K1748" s="58"/>
      <c r="L1748" s="58"/>
      <c r="M1748" s="58">
        <v>65</v>
      </c>
      <c r="N1748" s="58"/>
    </row>
    <row r="1749" spans="1:14" hidden="1" x14ac:dyDescent="0.25">
      <c r="A1749" t="s">
        <v>213</v>
      </c>
      <c r="B1749" s="58" t="s">
        <v>377</v>
      </c>
      <c r="C1749" s="58" t="s">
        <v>379</v>
      </c>
      <c r="D1749" s="58" t="s">
        <v>378</v>
      </c>
      <c r="E1749" s="58">
        <v>3</v>
      </c>
      <c r="F1749">
        <v>20</v>
      </c>
      <c r="G1749">
        <v>220</v>
      </c>
      <c r="H1749">
        <v>30</v>
      </c>
      <c r="I1749" s="58"/>
      <c r="J1749" s="58"/>
      <c r="K1749" s="58"/>
      <c r="L1749" s="58"/>
      <c r="M1749" s="58">
        <v>65</v>
      </c>
      <c r="N1749" s="58"/>
    </row>
    <row r="1750" spans="1:14" hidden="1" x14ac:dyDescent="0.25">
      <c r="A1750" t="s">
        <v>213</v>
      </c>
      <c r="B1750" s="58" t="s">
        <v>377</v>
      </c>
      <c r="C1750" s="58" t="s">
        <v>379</v>
      </c>
      <c r="D1750" s="58" t="s">
        <v>378</v>
      </c>
      <c r="E1750" s="58">
        <v>3</v>
      </c>
      <c r="F1750">
        <v>20</v>
      </c>
      <c r="G1750">
        <v>230</v>
      </c>
      <c r="H1750">
        <v>30</v>
      </c>
      <c r="I1750" s="58"/>
      <c r="J1750" s="58"/>
      <c r="K1750" s="58"/>
      <c r="L1750" s="58"/>
      <c r="M1750" s="58">
        <v>65</v>
      </c>
      <c r="N1750" s="58"/>
    </row>
    <row r="1751" spans="1:14" hidden="1" x14ac:dyDescent="0.25">
      <c r="A1751" t="s">
        <v>213</v>
      </c>
      <c r="B1751" s="58" t="s">
        <v>377</v>
      </c>
      <c r="C1751" s="58" t="s">
        <v>379</v>
      </c>
      <c r="D1751" s="58" t="s">
        <v>378</v>
      </c>
      <c r="E1751" s="58">
        <v>3</v>
      </c>
      <c r="F1751">
        <v>20</v>
      </c>
      <c r="G1751">
        <v>240</v>
      </c>
      <c r="H1751">
        <v>30</v>
      </c>
      <c r="I1751" s="58"/>
      <c r="J1751" s="58"/>
      <c r="K1751" s="58"/>
      <c r="L1751" s="58"/>
      <c r="M1751" s="58">
        <v>65</v>
      </c>
      <c r="N1751" s="58"/>
    </row>
    <row r="1752" spans="1:14" hidden="1" x14ac:dyDescent="0.25">
      <c r="A1752" t="s">
        <v>213</v>
      </c>
      <c r="B1752" s="58" t="s">
        <v>377</v>
      </c>
      <c r="C1752" s="58" t="s">
        <v>379</v>
      </c>
      <c r="D1752" s="58" t="s">
        <v>378</v>
      </c>
      <c r="E1752" s="58">
        <v>3</v>
      </c>
      <c r="F1752">
        <v>20</v>
      </c>
      <c r="G1752">
        <v>250</v>
      </c>
      <c r="H1752">
        <v>30</v>
      </c>
      <c r="I1752" s="58"/>
      <c r="J1752" s="58"/>
      <c r="K1752" s="58"/>
      <c r="L1752" s="58"/>
      <c r="M1752" s="58">
        <v>65</v>
      </c>
      <c r="N1752" s="58"/>
    </row>
    <row r="1753" spans="1:14" hidden="1" x14ac:dyDescent="0.25">
      <c r="A1753" t="s">
        <v>213</v>
      </c>
      <c r="B1753" s="58" t="s">
        <v>377</v>
      </c>
      <c r="C1753" s="58" t="s">
        <v>379</v>
      </c>
      <c r="D1753" s="58" t="s">
        <v>378</v>
      </c>
      <c r="E1753" s="58">
        <v>3</v>
      </c>
      <c r="F1753">
        <v>20</v>
      </c>
      <c r="G1753">
        <v>260</v>
      </c>
      <c r="H1753">
        <v>30</v>
      </c>
      <c r="I1753" s="58"/>
      <c r="J1753" s="58"/>
      <c r="K1753" s="58"/>
      <c r="L1753" s="58"/>
      <c r="M1753" s="58">
        <v>65</v>
      </c>
      <c r="N1753" s="58"/>
    </row>
    <row r="1754" spans="1:14" hidden="1" x14ac:dyDescent="0.25">
      <c r="A1754" t="s">
        <v>213</v>
      </c>
      <c r="B1754" s="58" t="s">
        <v>377</v>
      </c>
      <c r="C1754" s="58" t="s">
        <v>379</v>
      </c>
      <c r="D1754" s="58" t="s">
        <v>378</v>
      </c>
      <c r="E1754" s="58">
        <v>3</v>
      </c>
      <c r="F1754">
        <v>20</v>
      </c>
      <c r="G1754">
        <v>270</v>
      </c>
      <c r="H1754">
        <v>30</v>
      </c>
      <c r="I1754" s="58"/>
      <c r="J1754" s="58"/>
      <c r="K1754" s="58"/>
      <c r="L1754" s="58"/>
      <c r="M1754" s="58">
        <v>65</v>
      </c>
      <c r="N1754" s="58"/>
    </row>
    <row r="1755" spans="1:14" hidden="1" x14ac:dyDescent="0.25">
      <c r="A1755" t="s">
        <v>213</v>
      </c>
      <c r="B1755" s="58" t="s">
        <v>377</v>
      </c>
      <c r="C1755" s="58" t="s">
        <v>379</v>
      </c>
      <c r="D1755" s="58" t="s">
        <v>378</v>
      </c>
      <c r="E1755" s="58">
        <v>3</v>
      </c>
      <c r="F1755">
        <v>20</v>
      </c>
      <c r="G1755">
        <v>280</v>
      </c>
      <c r="H1755">
        <v>30</v>
      </c>
      <c r="I1755" s="58"/>
      <c r="J1755" s="58"/>
      <c r="K1755" s="58"/>
      <c r="L1755" s="58"/>
      <c r="M1755" s="58">
        <v>65</v>
      </c>
      <c r="N1755" s="58"/>
    </row>
    <row r="1756" spans="1:14" hidden="1" x14ac:dyDescent="0.25">
      <c r="A1756" t="s">
        <v>213</v>
      </c>
      <c r="B1756" s="58" t="s">
        <v>377</v>
      </c>
      <c r="C1756" s="58" t="s">
        <v>379</v>
      </c>
      <c r="D1756" s="58" t="s">
        <v>378</v>
      </c>
      <c r="E1756" s="58">
        <v>3</v>
      </c>
      <c r="F1756">
        <v>20</v>
      </c>
      <c r="G1756">
        <v>290</v>
      </c>
      <c r="H1756">
        <v>30</v>
      </c>
      <c r="I1756" s="58"/>
      <c r="J1756" s="58"/>
      <c r="K1756" s="58"/>
      <c r="L1756" s="58"/>
      <c r="M1756" s="58">
        <v>65</v>
      </c>
      <c r="N1756" s="58"/>
    </row>
    <row r="1757" spans="1:14" hidden="1" x14ac:dyDescent="0.25">
      <c r="A1757" t="s">
        <v>213</v>
      </c>
      <c r="B1757" s="58" t="s">
        <v>377</v>
      </c>
      <c r="C1757" s="58" t="s">
        <v>379</v>
      </c>
      <c r="D1757" s="58" t="s">
        <v>378</v>
      </c>
      <c r="E1757" s="58">
        <v>3</v>
      </c>
      <c r="F1757">
        <v>20</v>
      </c>
      <c r="G1757">
        <v>300</v>
      </c>
      <c r="H1757">
        <v>30</v>
      </c>
      <c r="I1757" s="58"/>
      <c r="J1757" s="58"/>
      <c r="K1757" s="58"/>
      <c r="L1757" s="58"/>
      <c r="M1757" s="58">
        <v>65</v>
      </c>
      <c r="N1757" s="58"/>
    </row>
    <row r="1758" spans="1:14" hidden="1" x14ac:dyDescent="0.25">
      <c r="A1758" t="s">
        <v>213</v>
      </c>
      <c r="B1758" s="58" t="s">
        <v>377</v>
      </c>
      <c r="C1758" s="58" t="s">
        <v>379</v>
      </c>
      <c r="D1758" s="58" t="s">
        <v>378</v>
      </c>
      <c r="E1758" s="58">
        <v>3</v>
      </c>
      <c r="F1758">
        <v>20</v>
      </c>
      <c r="G1758">
        <v>310</v>
      </c>
      <c r="H1758">
        <v>30</v>
      </c>
      <c r="I1758" s="58"/>
      <c r="J1758" s="58"/>
      <c r="K1758" s="58"/>
      <c r="L1758" s="58"/>
      <c r="M1758" s="58">
        <v>65</v>
      </c>
      <c r="N1758" s="58"/>
    </row>
    <row r="1759" spans="1:14" hidden="1" x14ac:dyDescent="0.25">
      <c r="A1759" t="s">
        <v>213</v>
      </c>
      <c r="B1759" s="58" t="s">
        <v>377</v>
      </c>
      <c r="C1759" s="58" t="s">
        <v>379</v>
      </c>
      <c r="D1759" s="58" t="s">
        <v>378</v>
      </c>
      <c r="E1759" s="58">
        <v>3</v>
      </c>
      <c r="F1759">
        <v>20</v>
      </c>
      <c r="G1759">
        <v>320</v>
      </c>
      <c r="H1759">
        <v>30</v>
      </c>
      <c r="I1759" s="58"/>
      <c r="J1759" s="58"/>
      <c r="K1759" s="58"/>
      <c r="L1759" s="58"/>
      <c r="M1759" s="58">
        <v>65</v>
      </c>
      <c r="N1759" s="58"/>
    </row>
    <row r="1760" spans="1:14" hidden="1" x14ac:dyDescent="0.25">
      <c r="A1760" t="s">
        <v>213</v>
      </c>
      <c r="B1760" s="58" t="s">
        <v>377</v>
      </c>
      <c r="C1760" s="58" t="s">
        <v>379</v>
      </c>
      <c r="D1760" s="58" t="s">
        <v>378</v>
      </c>
      <c r="E1760" s="58">
        <v>3</v>
      </c>
      <c r="F1760">
        <v>20</v>
      </c>
      <c r="G1760">
        <v>330</v>
      </c>
      <c r="H1760">
        <v>30</v>
      </c>
      <c r="I1760" s="58"/>
      <c r="J1760" s="58"/>
      <c r="K1760" s="58"/>
      <c r="L1760" s="58"/>
      <c r="M1760" s="58">
        <v>65</v>
      </c>
      <c r="N1760" s="58"/>
    </row>
    <row r="1761" spans="1:14" hidden="1" x14ac:dyDescent="0.25">
      <c r="A1761" t="s">
        <v>213</v>
      </c>
      <c r="B1761" s="58" t="s">
        <v>377</v>
      </c>
      <c r="C1761" s="58" t="s">
        <v>379</v>
      </c>
      <c r="D1761" s="58" t="s">
        <v>378</v>
      </c>
      <c r="E1761" s="58">
        <v>3</v>
      </c>
      <c r="F1761">
        <v>20</v>
      </c>
      <c r="G1761">
        <v>340</v>
      </c>
      <c r="H1761">
        <v>30</v>
      </c>
      <c r="I1761" s="58"/>
      <c r="J1761" s="58"/>
      <c r="K1761" s="58"/>
      <c r="L1761" s="58"/>
      <c r="M1761" s="58">
        <v>65</v>
      </c>
      <c r="N1761" s="58"/>
    </row>
    <row r="1762" spans="1:14" hidden="1" x14ac:dyDescent="0.25">
      <c r="A1762" t="s">
        <v>213</v>
      </c>
      <c r="B1762" s="58" t="s">
        <v>377</v>
      </c>
      <c r="C1762" s="58" t="s">
        <v>379</v>
      </c>
      <c r="D1762" s="58" t="s">
        <v>378</v>
      </c>
      <c r="E1762" s="58">
        <v>3</v>
      </c>
      <c r="F1762">
        <v>20</v>
      </c>
      <c r="G1762">
        <v>350</v>
      </c>
      <c r="H1762">
        <v>30</v>
      </c>
      <c r="I1762" s="58"/>
      <c r="J1762" s="58"/>
      <c r="K1762" s="58"/>
      <c r="L1762" s="58"/>
      <c r="M1762" s="58">
        <v>65</v>
      </c>
      <c r="N1762" s="58"/>
    </row>
    <row r="1763" spans="1:14" hidden="1" x14ac:dyDescent="0.25">
      <c r="A1763" t="s">
        <v>213</v>
      </c>
      <c r="B1763" s="58" t="s">
        <v>377</v>
      </c>
      <c r="C1763" s="58" t="s">
        <v>379</v>
      </c>
      <c r="D1763" s="58" t="s">
        <v>378</v>
      </c>
      <c r="E1763" s="58">
        <v>3</v>
      </c>
      <c r="F1763">
        <v>20</v>
      </c>
      <c r="G1763">
        <v>360</v>
      </c>
      <c r="H1763">
        <v>30</v>
      </c>
      <c r="I1763" s="58"/>
      <c r="J1763" s="58"/>
      <c r="K1763" s="58"/>
      <c r="L1763" s="58"/>
      <c r="M1763" s="58">
        <v>65</v>
      </c>
      <c r="N1763" s="58"/>
    </row>
    <row r="1764" spans="1:14" hidden="1" x14ac:dyDescent="0.25">
      <c r="A1764" t="s">
        <v>213</v>
      </c>
      <c r="B1764" s="58" t="s">
        <v>377</v>
      </c>
      <c r="C1764" s="58" t="s">
        <v>379</v>
      </c>
      <c r="D1764" s="58" t="s">
        <v>378</v>
      </c>
      <c r="E1764" s="58">
        <v>3</v>
      </c>
      <c r="F1764">
        <v>20</v>
      </c>
      <c r="G1764">
        <v>380</v>
      </c>
      <c r="H1764">
        <v>30</v>
      </c>
      <c r="I1764" s="58"/>
      <c r="J1764" s="58"/>
      <c r="K1764" s="58"/>
      <c r="L1764" s="58"/>
      <c r="M1764" s="58">
        <v>65</v>
      </c>
      <c r="N1764" s="58"/>
    </row>
    <row r="1765" spans="1:14" hidden="1" x14ac:dyDescent="0.25">
      <c r="A1765" t="s">
        <v>213</v>
      </c>
      <c r="B1765" s="58" t="s">
        <v>377</v>
      </c>
      <c r="C1765" s="58" t="s">
        <v>379</v>
      </c>
      <c r="D1765" s="58" t="s">
        <v>378</v>
      </c>
      <c r="E1765" s="58">
        <v>3</v>
      </c>
      <c r="F1765">
        <v>20</v>
      </c>
      <c r="G1765">
        <v>400</v>
      </c>
      <c r="H1765">
        <v>30</v>
      </c>
      <c r="I1765" s="58"/>
      <c r="J1765" s="58"/>
      <c r="K1765" s="58"/>
      <c r="L1765" s="58"/>
      <c r="M1765" s="58">
        <v>65</v>
      </c>
      <c r="N1765" s="58"/>
    </row>
    <row r="1766" spans="1:14" hidden="1" x14ac:dyDescent="0.25">
      <c r="A1766" t="s">
        <v>213</v>
      </c>
      <c r="B1766" s="58" t="s">
        <v>377</v>
      </c>
      <c r="C1766" s="58" t="s">
        <v>379</v>
      </c>
      <c r="D1766" s="58" t="s">
        <v>378</v>
      </c>
      <c r="E1766" s="58">
        <v>3</v>
      </c>
      <c r="F1766">
        <v>20</v>
      </c>
      <c r="G1766">
        <v>420</v>
      </c>
      <c r="H1766">
        <v>30</v>
      </c>
      <c r="I1766" s="58"/>
      <c r="J1766" s="58"/>
      <c r="K1766" s="58"/>
      <c r="L1766" s="58"/>
      <c r="M1766" s="58">
        <v>65</v>
      </c>
      <c r="N1766" s="58"/>
    </row>
    <row r="1767" spans="1:14" hidden="1" x14ac:dyDescent="0.25">
      <c r="A1767" t="s">
        <v>213</v>
      </c>
      <c r="B1767" s="58" t="s">
        <v>377</v>
      </c>
      <c r="C1767" s="58" t="s">
        <v>379</v>
      </c>
      <c r="D1767" s="58" t="s">
        <v>378</v>
      </c>
      <c r="E1767" s="58">
        <v>3</v>
      </c>
      <c r="F1767">
        <v>20</v>
      </c>
      <c r="G1767">
        <v>430</v>
      </c>
      <c r="H1767">
        <v>30</v>
      </c>
      <c r="I1767" s="58"/>
      <c r="J1767" s="58"/>
      <c r="K1767" s="58"/>
      <c r="L1767" s="58"/>
      <c r="M1767" s="58">
        <v>65</v>
      </c>
      <c r="N1767" s="58"/>
    </row>
    <row r="1768" spans="1:14" hidden="1" x14ac:dyDescent="0.25">
      <c r="A1768" t="s">
        <v>213</v>
      </c>
      <c r="B1768" s="58" t="s">
        <v>377</v>
      </c>
      <c r="C1768" s="58" t="s">
        <v>379</v>
      </c>
      <c r="D1768" s="58" t="s">
        <v>378</v>
      </c>
      <c r="E1768" s="58">
        <v>3</v>
      </c>
      <c r="F1768">
        <v>20</v>
      </c>
      <c r="G1768">
        <v>440</v>
      </c>
      <c r="H1768">
        <v>30</v>
      </c>
      <c r="I1768" s="58"/>
      <c r="J1768" s="58"/>
      <c r="K1768" s="58"/>
      <c r="L1768" s="58"/>
      <c r="M1768" s="58">
        <v>65</v>
      </c>
      <c r="N1768" s="58"/>
    </row>
    <row r="1769" spans="1:14" hidden="1" x14ac:dyDescent="0.25">
      <c r="A1769" t="s">
        <v>213</v>
      </c>
      <c r="B1769" s="58" t="s">
        <v>377</v>
      </c>
      <c r="C1769" s="58" t="s">
        <v>379</v>
      </c>
      <c r="D1769" s="58" t="s">
        <v>378</v>
      </c>
      <c r="E1769" s="58">
        <v>3</v>
      </c>
      <c r="F1769">
        <v>20</v>
      </c>
      <c r="G1769">
        <v>450</v>
      </c>
      <c r="H1769">
        <v>30</v>
      </c>
      <c r="I1769" s="58"/>
      <c r="J1769" s="58"/>
      <c r="K1769" s="58"/>
      <c r="L1769" s="58"/>
      <c r="M1769" s="58">
        <v>65</v>
      </c>
      <c r="N1769" s="58"/>
    </row>
    <row r="1770" spans="1:14" hidden="1" x14ac:dyDescent="0.25">
      <c r="A1770" t="s">
        <v>213</v>
      </c>
      <c r="B1770" s="58" t="s">
        <v>377</v>
      </c>
      <c r="C1770" s="58" t="s">
        <v>379</v>
      </c>
      <c r="D1770" s="58" t="s">
        <v>378</v>
      </c>
      <c r="E1770" s="58">
        <v>3</v>
      </c>
      <c r="F1770">
        <v>20</v>
      </c>
      <c r="G1770">
        <v>460</v>
      </c>
      <c r="H1770">
        <v>30</v>
      </c>
      <c r="I1770" s="58"/>
      <c r="J1770" s="58"/>
      <c r="K1770" s="58"/>
      <c r="L1770" s="58"/>
      <c r="M1770" s="58">
        <v>65</v>
      </c>
      <c r="N1770" s="58"/>
    </row>
    <row r="1771" spans="1:14" hidden="1" x14ac:dyDescent="0.25">
      <c r="A1771" t="s">
        <v>213</v>
      </c>
      <c r="B1771" s="58" t="s">
        <v>377</v>
      </c>
      <c r="C1771" s="58" t="s">
        <v>379</v>
      </c>
      <c r="D1771" s="58" t="s">
        <v>378</v>
      </c>
      <c r="E1771" s="58">
        <v>3</v>
      </c>
      <c r="F1771">
        <v>20</v>
      </c>
      <c r="G1771">
        <v>480</v>
      </c>
      <c r="H1771">
        <v>30</v>
      </c>
      <c r="I1771" s="58"/>
      <c r="J1771" s="58"/>
      <c r="K1771" s="58"/>
      <c r="L1771" s="58"/>
      <c r="M1771" s="58">
        <v>65</v>
      </c>
      <c r="N1771" s="58"/>
    </row>
    <row r="1772" spans="1:14" hidden="1" x14ac:dyDescent="0.25">
      <c r="A1772" t="s">
        <v>213</v>
      </c>
      <c r="B1772" s="58" t="s">
        <v>377</v>
      </c>
      <c r="C1772" s="58" t="s">
        <v>379</v>
      </c>
      <c r="D1772" s="58" t="s">
        <v>378</v>
      </c>
      <c r="E1772" s="58">
        <v>3</v>
      </c>
      <c r="F1772">
        <v>20</v>
      </c>
      <c r="G1772">
        <v>500</v>
      </c>
      <c r="H1772">
        <v>30</v>
      </c>
      <c r="I1772" s="58"/>
      <c r="J1772" s="58"/>
      <c r="K1772" s="58"/>
      <c r="L1772" s="58"/>
      <c r="M1772" s="58">
        <v>65</v>
      </c>
      <c r="N1772" s="58"/>
    </row>
    <row r="1773" spans="1:14" hidden="1" x14ac:dyDescent="0.25">
      <c r="A1773" t="s">
        <v>213</v>
      </c>
      <c r="B1773" s="58" t="s">
        <v>377</v>
      </c>
      <c r="C1773" s="58" t="s">
        <v>379</v>
      </c>
      <c r="D1773" s="58" t="s">
        <v>378</v>
      </c>
      <c r="E1773" s="58">
        <v>3</v>
      </c>
      <c r="F1773">
        <v>22</v>
      </c>
      <c r="G1773">
        <v>70</v>
      </c>
      <c r="H1773">
        <v>30</v>
      </c>
      <c r="I1773" s="58"/>
      <c r="J1773" s="58"/>
      <c r="K1773" s="58"/>
      <c r="L1773" s="58"/>
      <c r="M1773" s="58">
        <v>50</v>
      </c>
      <c r="N1773" s="58"/>
    </row>
    <row r="1774" spans="1:14" hidden="1" x14ac:dyDescent="0.25">
      <c r="A1774" t="s">
        <v>213</v>
      </c>
      <c r="B1774" s="58" t="s">
        <v>377</v>
      </c>
      <c r="C1774" s="58" t="s">
        <v>379</v>
      </c>
      <c r="D1774" s="58" t="s">
        <v>378</v>
      </c>
      <c r="E1774" s="58">
        <v>3</v>
      </c>
      <c r="F1774">
        <v>22</v>
      </c>
      <c r="G1774">
        <v>75</v>
      </c>
      <c r="H1774">
        <v>30</v>
      </c>
      <c r="I1774" s="58"/>
      <c r="J1774" s="58"/>
      <c r="K1774" s="58"/>
      <c r="L1774" s="58"/>
      <c r="M1774" s="58">
        <v>50</v>
      </c>
      <c r="N1774" s="58"/>
    </row>
    <row r="1775" spans="1:14" hidden="1" x14ac:dyDescent="0.25">
      <c r="A1775" t="s">
        <v>213</v>
      </c>
      <c r="B1775" s="58" t="s">
        <v>377</v>
      </c>
      <c r="C1775" s="58" t="s">
        <v>379</v>
      </c>
      <c r="D1775" s="58" t="s">
        <v>378</v>
      </c>
      <c r="E1775" s="58">
        <v>3</v>
      </c>
      <c r="F1775">
        <v>22</v>
      </c>
      <c r="G1775">
        <v>80</v>
      </c>
      <c r="H1775">
        <v>30</v>
      </c>
      <c r="I1775" s="58"/>
      <c r="J1775" s="58"/>
      <c r="K1775" s="58"/>
      <c r="L1775" s="58"/>
      <c r="M1775" s="58">
        <v>50</v>
      </c>
      <c r="N1775" s="58"/>
    </row>
    <row r="1776" spans="1:14" hidden="1" x14ac:dyDescent="0.25">
      <c r="A1776" t="s">
        <v>213</v>
      </c>
      <c r="B1776" s="58" t="s">
        <v>377</v>
      </c>
      <c r="C1776" s="58" t="s">
        <v>379</v>
      </c>
      <c r="D1776" s="58" t="s">
        <v>378</v>
      </c>
      <c r="E1776" s="58">
        <v>3</v>
      </c>
      <c r="F1776">
        <v>22</v>
      </c>
      <c r="G1776">
        <v>90</v>
      </c>
      <c r="H1776">
        <v>30</v>
      </c>
      <c r="I1776" s="58"/>
      <c r="J1776" s="58"/>
      <c r="K1776" s="58"/>
      <c r="L1776" s="58"/>
      <c r="M1776" s="58">
        <v>50</v>
      </c>
      <c r="N1776" s="58"/>
    </row>
    <row r="1777" spans="1:14" hidden="1" x14ac:dyDescent="0.25">
      <c r="A1777" t="s">
        <v>213</v>
      </c>
      <c r="B1777" s="58" t="s">
        <v>377</v>
      </c>
      <c r="C1777" s="58" t="s">
        <v>379</v>
      </c>
      <c r="D1777" s="58" t="s">
        <v>378</v>
      </c>
      <c r="E1777" s="58">
        <v>3</v>
      </c>
      <c r="F1777">
        <v>22</v>
      </c>
      <c r="G1777">
        <v>100</v>
      </c>
      <c r="H1777">
        <v>30</v>
      </c>
      <c r="I1777" s="58"/>
      <c r="J1777" s="58"/>
      <c r="K1777" s="58"/>
      <c r="L1777" s="58"/>
      <c r="M1777" s="58">
        <v>50</v>
      </c>
      <c r="N1777" s="58"/>
    </row>
    <row r="1778" spans="1:14" hidden="1" x14ac:dyDescent="0.25">
      <c r="A1778" t="s">
        <v>213</v>
      </c>
      <c r="B1778" s="58" t="s">
        <v>377</v>
      </c>
      <c r="C1778" s="58" t="s">
        <v>379</v>
      </c>
      <c r="D1778" s="58" t="s">
        <v>378</v>
      </c>
      <c r="E1778" s="58">
        <v>3</v>
      </c>
      <c r="F1778">
        <v>22</v>
      </c>
      <c r="G1778">
        <v>110</v>
      </c>
      <c r="H1778">
        <v>30</v>
      </c>
      <c r="I1778" s="58"/>
      <c r="J1778" s="58"/>
      <c r="K1778" s="58"/>
      <c r="L1778" s="58"/>
      <c r="M1778" s="58">
        <v>50</v>
      </c>
      <c r="N1778" s="58"/>
    </row>
    <row r="1779" spans="1:14" hidden="1" x14ac:dyDescent="0.25">
      <c r="A1779" t="s">
        <v>213</v>
      </c>
      <c r="B1779" s="58" t="s">
        <v>377</v>
      </c>
      <c r="C1779" s="58" t="s">
        <v>379</v>
      </c>
      <c r="D1779" s="58" t="s">
        <v>378</v>
      </c>
      <c r="E1779" s="58">
        <v>3</v>
      </c>
      <c r="F1779">
        <v>22</v>
      </c>
      <c r="G1779">
        <v>120</v>
      </c>
      <c r="H1779">
        <v>30</v>
      </c>
      <c r="I1779" s="58"/>
      <c r="J1779" s="58"/>
      <c r="K1779" s="58"/>
      <c r="L1779" s="58"/>
      <c r="M1779" s="58">
        <v>50</v>
      </c>
      <c r="N1779" s="58"/>
    </row>
    <row r="1780" spans="1:14" hidden="1" x14ac:dyDescent="0.25">
      <c r="A1780" t="s">
        <v>213</v>
      </c>
      <c r="B1780" s="58" t="s">
        <v>377</v>
      </c>
      <c r="C1780" s="58" t="s">
        <v>379</v>
      </c>
      <c r="D1780" s="58" t="s">
        <v>378</v>
      </c>
      <c r="E1780" s="58">
        <v>3</v>
      </c>
      <c r="F1780">
        <v>22</v>
      </c>
      <c r="G1780">
        <v>130</v>
      </c>
      <c r="H1780">
        <v>30</v>
      </c>
      <c r="I1780" s="58"/>
      <c r="J1780" s="58"/>
      <c r="K1780" s="58"/>
      <c r="L1780" s="58"/>
      <c r="M1780" s="58">
        <v>56</v>
      </c>
      <c r="N1780" s="58"/>
    </row>
    <row r="1781" spans="1:14" hidden="1" x14ac:dyDescent="0.25">
      <c r="A1781" t="s">
        <v>213</v>
      </c>
      <c r="B1781" s="58" t="s">
        <v>377</v>
      </c>
      <c r="C1781" s="58" t="s">
        <v>379</v>
      </c>
      <c r="D1781" s="58" t="s">
        <v>378</v>
      </c>
      <c r="E1781" s="58">
        <v>3</v>
      </c>
      <c r="F1781">
        <v>22</v>
      </c>
      <c r="G1781">
        <v>140</v>
      </c>
      <c r="H1781">
        <v>30</v>
      </c>
      <c r="I1781" s="58"/>
      <c r="J1781" s="58"/>
      <c r="K1781" s="58"/>
      <c r="L1781" s="58"/>
      <c r="M1781" s="58">
        <v>56</v>
      </c>
      <c r="N1781" s="58"/>
    </row>
    <row r="1782" spans="1:14" hidden="1" x14ac:dyDescent="0.25">
      <c r="A1782" t="s">
        <v>213</v>
      </c>
      <c r="B1782" s="58" t="s">
        <v>377</v>
      </c>
      <c r="C1782" s="58" t="s">
        <v>379</v>
      </c>
      <c r="D1782" s="58" t="s">
        <v>378</v>
      </c>
      <c r="E1782" s="58">
        <v>3</v>
      </c>
      <c r="F1782">
        <v>22</v>
      </c>
      <c r="G1782">
        <v>150</v>
      </c>
      <c r="H1782">
        <v>30</v>
      </c>
      <c r="I1782" s="58"/>
      <c r="J1782" s="58"/>
      <c r="K1782" s="58"/>
      <c r="L1782" s="58"/>
      <c r="M1782" s="58">
        <v>56</v>
      </c>
      <c r="N1782" s="58"/>
    </row>
    <row r="1783" spans="1:14" hidden="1" x14ac:dyDescent="0.25">
      <c r="A1783" t="s">
        <v>213</v>
      </c>
      <c r="B1783" s="58" t="s">
        <v>377</v>
      </c>
      <c r="C1783" s="58" t="s">
        <v>379</v>
      </c>
      <c r="D1783" s="58" t="s">
        <v>378</v>
      </c>
      <c r="E1783" s="58">
        <v>3</v>
      </c>
      <c r="F1783">
        <v>22</v>
      </c>
      <c r="G1783">
        <v>160</v>
      </c>
      <c r="H1783">
        <v>30</v>
      </c>
      <c r="I1783" s="58"/>
      <c r="J1783" s="58"/>
      <c r="K1783" s="58"/>
      <c r="L1783" s="58"/>
      <c r="M1783" s="58">
        <v>56</v>
      </c>
      <c r="N1783" s="58"/>
    </row>
    <row r="1784" spans="1:14" hidden="1" x14ac:dyDescent="0.25">
      <c r="A1784" t="s">
        <v>213</v>
      </c>
      <c r="B1784" s="58" t="s">
        <v>377</v>
      </c>
      <c r="C1784" s="58" t="s">
        <v>379</v>
      </c>
      <c r="D1784" s="58" t="s">
        <v>378</v>
      </c>
      <c r="E1784" s="58">
        <v>3</v>
      </c>
      <c r="F1784">
        <v>22</v>
      </c>
      <c r="G1784">
        <v>180</v>
      </c>
      <c r="H1784">
        <v>30</v>
      </c>
      <c r="I1784" s="58"/>
      <c r="J1784" s="58"/>
      <c r="K1784" s="58"/>
      <c r="L1784" s="58"/>
      <c r="M1784" s="58">
        <v>56</v>
      </c>
      <c r="N1784" s="58"/>
    </row>
    <row r="1785" spans="1:14" hidden="1" x14ac:dyDescent="0.25">
      <c r="A1785" t="s">
        <v>213</v>
      </c>
      <c r="B1785" s="58" t="s">
        <v>377</v>
      </c>
      <c r="C1785" s="58" t="s">
        <v>379</v>
      </c>
      <c r="D1785" s="58" t="s">
        <v>378</v>
      </c>
      <c r="E1785" s="58">
        <v>3</v>
      </c>
      <c r="F1785">
        <v>22</v>
      </c>
      <c r="G1785">
        <v>200</v>
      </c>
      <c r="H1785">
        <v>30</v>
      </c>
      <c r="I1785" s="58"/>
      <c r="J1785" s="58"/>
      <c r="K1785" s="58"/>
      <c r="L1785" s="58"/>
      <c r="M1785" s="58">
        <v>56</v>
      </c>
      <c r="N1785" s="58"/>
    </row>
    <row r="1786" spans="1:14" hidden="1" x14ac:dyDescent="0.25">
      <c r="A1786" t="s">
        <v>213</v>
      </c>
      <c r="B1786" s="58" t="s">
        <v>377</v>
      </c>
      <c r="C1786" s="58" t="s">
        <v>379</v>
      </c>
      <c r="D1786" s="58" t="s">
        <v>378</v>
      </c>
      <c r="E1786" s="58">
        <v>3</v>
      </c>
      <c r="F1786">
        <v>22</v>
      </c>
      <c r="G1786">
        <v>240</v>
      </c>
      <c r="H1786">
        <v>30</v>
      </c>
      <c r="I1786" s="58"/>
      <c r="J1786" s="58"/>
      <c r="K1786" s="58"/>
      <c r="L1786" s="58"/>
      <c r="M1786" s="58">
        <v>69</v>
      </c>
      <c r="N1786" s="58"/>
    </row>
    <row r="1787" spans="1:14" hidden="1" x14ac:dyDescent="0.25">
      <c r="A1787" t="s">
        <v>213</v>
      </c>
      <c r="B1787" s="58" t="s">
        <v>377</v>
      </c>
      <c r="C1787" s="58" t="s">
        <v>379</v>
      </c>
      <c r="D1787" s="58" t="s">
        <v>378</v>
      </c>
      <c r="E1787" s="58">
        <v>3</v>
      </c>
      <c r="F1787">
        <v>22</v>
      </c>
      <c r="G1787">
        <v>260</v>
      </c>
      <c r="H1787">
        <v>30</v>
      </c>
      <c r="I1787" s="58"/>
      <c r="J1787" s="58"/>
      <c r="K1787" s="58"/>
      <c r="L1787" s="58"/>
      <c r="M1787" s="58">
        <v>69</v>
      </c>
      <c r="N1787" s="58"/>
    </row>
    <row r="1788" spans="1:14" hidden="1" x14ac:dyDescent="0.25">
      <c r="A1788" t="s">
        <v>213</v>
      </c>
      <c r="B1788" s="58" t="s">
        <v>377</v>
      </c>
      <c r="C1788" s="58" t="s">
        <v>379</v>
      </c>
      <c r="D1788" s="58" t="s">
        <v>378</v>
      </c>
      <c r="E1788" s="58">
        <v>3</v>
      </c>
      <c r="F1788">
        <v>22</v>
      </c>
      <c r="G1788">
        <v>280</v>
      </c>
      <c r="H1788">
        <v>30</v>
      </c>
      <c r="I1788" s="58"/>
      <c r="J1788" s="58"/>
      <c r="K1788" s="58"/>
      <c r="L1788" s="58"/>
      <c r="M1788" s="58">
        <v>69</v>
      </c>
      <c r="N1788" s="58"/>
    </row>
    <row r="1789" spans="1:14" hidden="1" x14ac:dyDescent="0.25">
      <c r="A1789" t="s">
        <v>213</v>
      </c>
      <c r="B1789" s="58" t="s">
        <v>377</v>
      </c>
      <c r="C1789" s="58" t="s">
        <v>379</v>
      </c>
      <c r="D1789" s="58" t="s">
        <v>378</v>
      </c>
      <c r="E1789" s="58">
        <v>3</v>
      </c>
      <c r="F1789">
        <v>22</v>
      </c>
      <c r="G1789">
        <v>300</v>
      </c>
      <c r="H1789">
        <v>30</v>
      </c>
      <c r="I1789" s="58"/>
      <c r="J1789" s="58"/>
      <c r="K1789" s="58"/>
      <c r="L1789" s="58"/>
      <c r="M1789" s="58">
        <v>69</v>
      </c>
      <c r="N1789" s="58"/>
    </row>
    <row r="1790" spans="1:14" hidden="1" x14ac:dyDescent="0.25">
      <c r="A1790" t="s">
        <v>213</v>
      </c>
      <c r="B1790" s="58" t="s">
        <v>377</v>
      </c>
      <c r="C1790" s="58" t="s">
        <v>379</v>
      </c>
      <c r="D1790" s="58" t="s">
        <v>378</v>
      </c>
      <c r="E1790" s="58">
        <v>3</v>
      </c>
      <c r="F1790">
        <v>24</v>
      </c>
      <c r="G1790">
        <v>70</v>
      </c>
      <c r="H1790">
        <v>30</v>
      </c>
      <c r="I1790" s="58"/>
      <c r="J1790" s="58"/>
      <c r="K1790" s="58"/>
      <c r="L1790" s="58"/>
      <c r="M1790" s="58">
        <v>54</v>
      </c>
      <c r="N1790" s="58"/>
    </row>
    <row r="1791" spans="1:14" hidden="1" x14ac:dyDescent="0.25">
      <c r="A1791" t="s">
        <v>213</v>
      </c>
      <c r="B1791" s="58" t="s">
        <v>377</v>
      </c>
      <c r="C1791" s="58" t="s">
        <v>379</v>
      </c>
      <c r="D1791" s="58" t="s">
        <v>378</v>
      </c>
      <c r="E1791" s="58">
        <v>3</v>
      </c>
      <c r="F1791">
        <v>24</v>
      </c>
      <c r="G1791">
        <v>75</v>
      </c>
      <c r="H1791">
        <v>30</v>
      </c>
      <c r="I1791" s="58"/>
      <c r="J1791" s="58"/>
      <c r="K1791" s="58"/>
      <c r="L1791" s="58"/>
      <c r="M1791" s="58">
        <v>54</v>
      </c>
      <c r="N1791" s="58"/>
    </row>
    <row r="1792" spans="1:14" hidden="1" x14ac:dyDescent="0.25">
      <c r="A1792" t="s">
        <v>213</v>
      </c>
      <c r="B1792" s="58" t="s">
        <v>377</v>
      </c>
      <c r="C1792" s="58" t="s">
        <v>379</v>
      </c>
      <c r="D1792" s="58" t="s">
        <v>378</v>
      </c>
      <c r="E1792" s="58">
        <v>3</v>
      </c>
      <c r="F1792">
        <v>24</v>
      </c>
      <c r="G1792">
        <v>80</v>
      </c>
      <c r="H1792">
        <v>30</v>
      </c>
      <c r="I1792" s="58"/>
      <c r="J1792" s="58"/>
      <c r="K1792" s="58"/>
      <c r="L1792" s="58"/>
      <c r="M1792" s="58">
        <v>54</v>
      </c>
      <c r="N1792" s="58"/>
    </row>
    <row r="1793" spans="1:14" hidden="1" x14ac:dyDescent="0.25">
      <c r="A1793" t="s">
        <v>213</v>
      </c>
      <c r="B1793" s="58" t="s">
        <v>377</v>
      </c>
      <c r="C1793" s="58" t="s">
        <v>379</v>
      </c>
      <c r="D1793" s="58" t="s">
        <v>378</v>
      </c>
      <c r="E1793" s="58">
        <v>3</v>
      </c>
      <c r="F1793">
        <v>24</v>
      </c>
      <c r="G1793">
        <v>85</v>
      </c>
      <c r="H1793">
        <v>30</v>
      </c>
      <c r="I1793" s="58"/>
      <c r="J1793" s="58"/>
      <c r="K1793" s="58"/>
      <c r="L1793" s="58"/>
      <c r="M1793" s="58">
        <v>54</v>
      </c>
      <c r="N1793" s="58"/>
    </row>
    <row r="1794" spans="1:14" hidden="1" x14ac:dyDescent="0.25">
      <c r="A1794" t="s">
        <v>213</v>
      </c>
      <c r="B1794" s="58" t="s">
        <v>377</v>
      </c>
      <c r="C1794" s="58" t="s">
        <v>379</v>
      </c>
      <c r="D1794" s="58" t="s">
        <v>378</v>
      </c>
      <c r="E1794" s="58">
        <v>3</v>
      </c>
      <c r="F1794">
        <v>24</v>
      </c>
      <c r="G1794">
        <v>90</v>
      </c>
      <c r="H1794">
        <v>30</v>
      </c>
      <c r="I1794" s="58"/>
      <c r="J1794" s="58"/>
      <c r="K1794" s="58"/>
      <c r="L1794" s="58"/>
      <c r="M1794" s="58">
        <v>54</v>
      </c>
      <c r="N1794" s="58"/>
    </row>
    <row r="1795" spans="1:14" hidden="1" x14ac:dyDescent="0.25">
      <c r="A1795" t="s">
        <v>213</v>
      </c>
      <c r="B1795" s="58" t="s">
        <v>377</v>
      </c>
      <c r="C1795" s="58" t="s">
        <v>379</v>
      </c>
      <c r="D1795" s="58" t="s">
        <v>378</v>
      </c>
      <c r="E1795" s="58">
        <v>3</v>
      </c>
      <c r="F1795">
        <v>24</v>
      </c>
      <c r="G1795">
        <v>95</v>
      </c>
      <c r="H1795">
        <v>30</v>
      </c>
      <c r="I1795" s="58"/>
      <c r="J1795" s="58"/>
      <c r="K1795" s="58"/>
      <c r="L1795" s="58"/>
      <c r="M1795" s="58">
        <v>54</v>
      </c>
      <c r="N1795" s="58"/>
    </row>
    <row r="1796" spans="1:14" hidden="1" x14ac:dyDescent="0.25">
      <c r="A1796" t="s">
        <v>213</v>
      </c>
      <c r="B1796" s="58" t="s">
        <v>377</v>
      </c>
      <c r="C1796" s="58" t="s">
        <v>379</v>
      </c>
      <c r="D1796" s="58" t="s">
        <v>378</v>
      </c>
      <c r="E1796" s="58">
        <v>3</v>
      </c>
      <c r="F1796">
        <v>24</v>
      </c>
      <c r="G1796">
        <v>100</v>
      </c>
      <c r="H1796">
        <v>36</v>
      </c>
      <c r="I1796" s="58"/>
      <c r="J1796" s="58"/>
      <c r="K1796" s="58"/>
      <c r="L1796" s="58"/>
      <c r="M1796" s="58">
        <v>54</v>
      </c>
      <c r="N1796" s="58"/>
    </row>
    <row r="1797" spans="1:14" hidden="1" x14ac:dyDescent="0.25">
      <c r="A1797" t="s">
        <v>213</v>
      </c>
      <c r="B1797" s="58" t="s">
        <v>377</v>
      </c>
      <c r="C1797" s="58" t="s">
        <v>379</v>
      </c>
      <c r="D1797" s="58" t="s">
        <v>378</v>
      </c>
      <c r="E1797" s="58">
        <v>3</v>
      </c>
      <c r="F1797">
        <v>24</v>
      </c>
      <c r="G1797">
        <v>110</v>
      </c>
      <c r="H1797">
        <v>36</v>
      </c>
      <c r="I1797" s="58"/>
      <c r="J1797" s="58"/>
      <c r="K1797" s="58"/>
      <c r="L1797" s="58"/>
      <c r="M1797" s="58">
        <v>54</v>
      </c>
      <c r="N1797" s="58"/>
    </row>
    <row r="1798" spans="1:14" hidden="1" x14ac:dyDescent="0.25">
      <c r="A1798" t="s">
        <v>213</v>
      </c>
      <c r="B1798" s="58" t="s">
        <v>377</v>
      </c>
      <c r="C1798" s="58" t="s">
        <v>379</v>
      </c>
      <c r="D1798" s="58" t="s">
        <v>378</v>
      </c>
      <c r="E1798" s="58">
        <v>3</v>
      </c>
      <c r="F1798">
        <v>24</v>
      </c>
      <c r="G1798">
        <v>120</v>
      </c>
      <c r="H1798">
        <v>36</v>
      </c>
      <c r="I1798" s="58"/>
      <c r="J1798" s="58"/>
      <c r="K1798" s="58"/>
      <c r="L1798" s="58"/>
      <c r="M1798" s="58">
        <v>54</v>
      </c>
      <c r="N1798" s="58"/>
    </row>
    <row r="1799" spans="1:14" hidden="1" x14ac:dyDescent="0.25">
      <c r="A1799" t="s">
        <v>213</v>
      </c>
      <c r="B1799" s="58" t="s">
        <v>377</v>
      </c>
      <c r="C1799" s="58" t="s">
        <v>379</v>
      </c>
      <c r="D1799" s="58" t="s">
        <v>378</v>
      </c>
      <c r="E1799" s="58">
        <v>3</v>
      </c>
      <c r="F1799">
        <v>24</v>
      </c>
      <c r="G1799">
        <v>130</v>
      </c>
      <c r="H1799">
        <v>36</v>
      </c>
      <c r="I1799" s="58"/>
      <c r="J1799" s="58"/>
      <c r="K1799" s="58"/>
      <c r="L1799" s="58"/>
      <c r="M1799" s="58">
        <v>60</v>
      </c>
      <c r="N1799" s="58"/>
    </row>
    <row r="1800" spans="1:14" hidden="1" x14ac:dyDescent="0.25">
      <c r="A1800" t="s">
        <v>213</v>
      </c>
      <c r="B1800" s="58" t="s">
        <v>377</v>
      </c>
      <c r="C1800" s="58" t="s">
        <v>379</v>
      </c>
      <c r="D1800" s="58" t="s">
        <v>378</v>
      </c>
      <c r="E1800" s="58">
        <v>3</v>
      </c>
      <c r="F1800">
        <v>24</v>
      </c>
      <c r="G1800">
        <v>140</v>
      </c>
      <c r="H1800">
        <v>36</v>
      </c>
      <c r="I1800" s="58"/>
      <c r="J1800" s="58"/>
      <c r="K1800" s="58"/>
      <c r="L1800" s="58"/>
      <c r="M1800" s="58">
        <v>60</v>
      </c>
      <c r="N1800" s="58"/>
    </row>
    <row r="1801" spans="1:14" hidden="1" x14ac:dyDescent="0.25">
      <c r="A1801" t="s">
        <v>213</v>
      </c>
      <c r="B1801" s="58" t="s">
        <v>377</v>
      </c>
      <c r="C1801" s="58" t="s">
        <v>379</v>
      </c>
      <c r="D1801" s="58" t="s">
        <v>378</v>
      </c>
      <c r="E1801" s="58">
        <v>3</v>
      </c>
      <c r="F1801">
        <v>24</v>
      </c>
      <c r="G1801">
        <v>150</v>
      </c>
      <c r="H1801">
        <v>36</v>
      </c>
      <c r="I1801" s="58"/>
      <c r="J1801" s="58"/>
      <c r="K1801" s="58"/>
      <c r="L1801" s="58"/>
      <c r="M1801" s="58">
        <v>60</v>
      </c>
      <c r="N1801" s="58"/>
    </row>
    <row r="1802" spans="1:14" hidden="1" x14ac:dyDescent="0.25">
      <c r="A1802" t="s">
        <v>213</v>
      </c>
      <c r="B1802" s="58" t="s">
        <v>377</v>
      </c>
      <c r="C1802" s="58" t="s">
        <v>379</v>
      </c>
      <c r="D1802" s="58" t="s">
        <v>378</v>
      </c>
      <c r="E1802" s="58">
        <v>3</v>
      </c>
      <c r="F1802">
        <v>24</v>
      </c>
      <c r="G1802">
        <v>160</v>
      </c>
      <c r="H1802">
        <v>36</v>
      </c>
      <c r="I1802" s="58"/>
      <c r="J1802" s="58"/>
      <c r="K1802" s="58"/>
      <c r="L1802" s="58"/>
      <c r="M1802" s="58">
        <v>60</v>
      </c>
      <c r="N1802" s="58"/>
    </row>
    <row r="1803" spans="1:14" hidden="1" x14ac:dyDescent="0.25">
      <c r="A1803" t="s">
        <v>213</v>
      </c>
      <c r="B1803" s="58" t="s">
        <v>377</v>
      </c>
      <c r="C1803" s="58" t="s">
        <v>379</v>
      </c>
      <c r="D1803" s="58" t="s">
        <v>378</v>
      </c>
      <c r="E1803" s="58">
        <v>3</v>
      </c>
      <c r="F1803">
        <v>24</v>
      </c>
      <c r="G1803">
        <v>170</v>
      </c>
      <c r="H1803">
        <v>36</v>
      </c>
      <c r="I1803" s="58"/>
      <c r="J1803" s="58"/>
      <c r="K1803" s="58"/>
      <c r="L1803" s="58"/>
      <c r="M1803" s="58">
        <v>60</v>
      </c>
      <c r="N1803" s="58"/>
    </row>
    <row r="1804" spans="1:14" hidden="1" x14ac:dyDescent="0.25">
      <c r="A1804" t="s">
        <v>213</v>
      </c>
      <c r="B1804" s="58" t="s">
        <v>377</v>
      </c>
      <c r="C1804" s="58" t="s">
        <v>379</v>
      </c>
      <c r="D1804" s="58" t="s">
        <v>378</v>
      </c>
      <c r="E1804" s="58">
        <v>3</v>
      </c>
      <c r="F1804">
        <v>24</v>
      </c>
      <c r="G1804">
        <v>180</v>
      </c>
      <c r="H1804">
        <v>36</v>
      </c>
      <c r="I1804" s="58"/>
      <c r="J1804" s="58"/>
      <c r="K1804" s="58"/>
      <c r="L1804" s="58"/>
      <c r="M1804" s="58">
        <v>60</v>
      </c>
      <c r="N1804" s="58"/>
    </row>
    <row r="1805" spans="1:14" hidden="1" x14ac:dyDescent="0.25">
      <c r="A1805" t="s">
        <v>213</v>
      </c>
      <c r="B1805" s="58" t="s">
        <v>377</v>
      </c>
      <c r="C1805" s="58" t="s">
        <v>379</v>
      </c>
      <c r="D1805" s="58" t="s">
        <v>378</v>
      </c>
      <c r="E1805" s="58">
        <v>3</v>
      </c>
      <c r="F1805">
        <v>24</v>
      </c>
      <c r="G1805">
        <v>190</v>
      </c>
      <c r="H1805">
        <v>36</v>
      </c>
      <c r="I1805" s="58"/>
      <c r="J1805" s="58"/>
      <c r="K1805" s="58"/>
      <c r="L1805" s="58"/>
      <c r="M1805" s="58">
        <v>60</v>
      </c>
      <c r="N1805" s="58"/>
    </row>
    <row r="1806" spans="1:14" hidden="1" x14ac:dyDescent="0.25">
      <c r="A1806" t="s">
        <v>213</v>
      </c>
      <c r="B1806" s="58" t="s">
        <v>377</v>
      </c>
      <c r="C1806" s="58" t="s">
        <v>379</v>
      </c>
      <c r="D1806" s="58" t="s">
        <v>378</v>
      </c>
      <c r="E1806" s="58">
        <v>3</v>
      </c>
      <c r="F1806">
        <v>24</v>
      </c>
      <c r="G1806">
        <v>200</v>
      </c>
      <c r="H1806">
        <v>36</v>
      </c>
      <c r="I1806" s="58"/>
      <c r="J1806" s="58"/>
      <c r="K1806" s="58"/>
      <c r="L1806" s="58"/>
      <c r="M1806" s="58">
        <v>60</v>
      </c>
      <c r="N1806" s="58"/>
    </row>
    <row r="1807" spans="1:14" hidden="1" x14ac:dyDescent="0.25">
      <c r="A1807" t="s">
        <v>213</v>
      </c>
      <c r="B1807" s="58" t="s">
        <v>377</v>
      </c>
      <c r="C1807" s="58" t="s">
        <v>379</v>
      </c>
      <c r="D1807" s="58" t="s">
        <v>378</v>
      </c>
      <c r="E1807" s="58">
        <v>3</v>
      </c>
      <c r="F1807">
        <v>24</v>
      </c>
      <c r="G1807">
        <v>210</v>
      </c>
      <c r="H1807">
        <v>36</v>
      </c>
      <c r="I1807" s="58"/>
      <c r="J1807" s="58"/>
      <c r="K1807" s="58"/>
      <c r="L1807" s="58"/>
      <c r="M1807" s="58">
        <v>73</v>
      </c>
      <c r="N1807" s="58"/>
    </row>
    <row r="1808" spans="1:14" hidden="1" x14ac:dyDescent="0.25">
      <c r="A1808" t="s">
        <v>213</v>
      </c>
      <c r="B1808" s="58" t="s">
        <v>377</v>
      </c>
      <c r="C1808" s="58" t="s">
        <v>379</v>
      </c>
      <c r="D1808" s="58" t="s">
        <v>378</v>
      </c>
      <c r="E1808" s="58">
        <v>3</v>
      </c>
      <c r="F1808">
        <v>24</v>
      </c>
      <c r="G1808">
        <v>220</v>
      </c>
      <c r="H1808">
        <v>36</v>
      </c>
      <c r="I1808" s="58"/>
      <c r="J1808" s="58"/>
      <c r="K1808" s="58"/>
      <c r="L1808" s="58"/>
      <c r="M1808" s="58">
        <v>73</v>
      </c>
      <c r="N1808" s="58"/>
    </row>
    <row r="1809" spans="1:14" hidden="1" x14ac:dyDescent="0.25">
      <c r="A1809" t="s">
        <v>213</v>
      </c>
      <c r="B1809" s="58" t="s">
        <v>377</v>
      </c>
      <c r="C1809" s="58" t="s">
        <v>379</v>
      </c>
      <c r="D1809" s="58" t="s">
        <v>378</v>
      </c>
      <c r="E1809" s="58">
        <v>3</v>
      </c>
      <c r="F1809">
        <v>24</v>
      </c>
      <c r="G1809">
        <v>230</v>
      </c>
      <c r="H1809">
        <v>36</v>
      </c>
      <c r="I1809" s="58"/>
      <c r="J1809" s="58"/>
      <c r="K1809" s="58"/>
      <c r="L1809" s="58"/>
      <c r="M1809" s="58">
        <v>73</v>
      </c>
      <c r="N1809" s="58"/>
    </row>
    <row r="1810" spans="1:14" hidden="1" x14ac:dyDescent="0.25">
      <c r="A1810" t="s">
        <v>213</v>
      </c>
      <c r="B1810" s="58" t="s">
        <v>377</v>
      </c>
      <c r="C1810" s="58" t="s">
        <v>379</v>
      </c>
      <c r="D1810" s="58" t="s">
        <v>378</v>
      </c>
      <c r="E1810" s="58">
        <v>3</v>
      </c>
      <c r="F1810">
        <v>24</v>
      </c>
      <c r="G1810">
        <v>240</v>
      </c>
      <c r="H1810">
        <v>36</v>
      </c>
      <c r="I1810" s="58"/>
      <c r="J1810" s="58"/>
      <c r="K1810" s="58"/>
      <c r="L1810" s="58"/>
      <c r="M1810" s="58">
        <v>73</v>
      </c>
      <c r="N1810" s="58"/>
    </row>
    <row r="1811" spans="1:14" hidden="1" x14ac:dyDescent="0.25">
      <c r="A1811" t="s">
        <v>213</v>
      </c>
      <c r="B1811" s="58" t="s">
        <v>377</v>
      </c>
      <c r="C1811" s="58" t="s">
        <v>379</v>
      </c>
      <c r="D1811" s="58" t="s">
        <v>378</v>
      </c>
      <c r="E1811" s="58">
        <v>3</v>
      </c>
      <c r="F1811">
        <v>24</v>
      </c>
      <c r="G1811">
        <v>250</v>
      </c>
      <c r="H1811">
        <v>36</v>
      </c>
      <c r="I1811" s="58"/>
      <c r="J1811" s="58"/>
      <c r="K1811" s="58"/>
      <c r="L1811" s="58"/>
      <c r="M1811" s="58">
        <v>73</v>
      </c>
      <c r="N1811" s="58"/>
    </row>
    <row r="1812" spans="1:14" hidden="1" x14ac:dyDescent="0.25">
      <c r="A1812" t="s">
        <v>213</v>
      </c>
      <c r="B1812" s="58" t="s">
        <v>377</v>
      </c>
      <c r="C1812" s="58" t="s">
        <v>379</v>
      </c>
      <c r="D1812" s="58" t="s">
        <v>378</v>
      </c>
      <c r="E1812" s="58">
        <v>3</v>
      </c>
      <c r="F1812">
        <v>24</v>
      </c>
      <c r="G1812">
        <v>260</v>
      </c>
      <c r="H1812">
        <v>36</v>
      </c>
      <c r="I1812" s="58"/>
      <c r="J1812" s="58"/>
      <c r="K1812" s="58"/>
      <c r="L1812" s="58"/>
      <c r="M1812" s="58">
        <v>73</v>
      </c>
      <c r="N1812" s="58"/>
    </row>
    <row r="1813" spans="1:14" hidden="1" x14ac:dyDescent="0.25">
      <c r="A1813" t="s">
        <v>213</v>
      </c>
      <c r="B1813" s="58" t="s">
        <v>377</v>
      </c>
      <c r="C1813" s="58" t="s">
        <v>379</v>
      </c>
      <c r="D1813" s="58" t="s">
        <v>378</v>
      </c>
      <c r="E1813" s="58">
        <v>3</v>
      </c>
      <c r="F1813">
        <v>24</v>
      </c>
      <c r="G1813">
        <v>270</v>
      </c>
      <c r="H1813">
        <v>36</v>
      </c>
      <c r="I1813" s="58"/>
      <c r="J1813" s="58"/>
      <c r="K1813" s="58"/>
      <c r="L1813" s="58"/>
      <c r="M1813" s="58">
        <v>73</v>
      </c>
      <c r="N1813" s="58"/>
    </row>
    <row r="1814" spans="1:14" hidden="1" x14ac:dyDescent="0.25">
      <c r="A1814" t="s">
        <v>213</v>
      </c>
      <c r="B1814" s="58" t="s">
        <v>377</v>
      </c>
      <c r="C1814" s="58" t="s">
        <v>379</v>
      </c>
      <c r="D1814" s="58" t="s">
        <v>378</v>
      </c>
      <c r="E1814" s="58">
        <v>3</v>
      </c>
      <c r="F1814">
        <v>24</v>
      </c>
      <c r="G1814">
        <v>280</v>
      </c>
      <c r="H1814">
        <v>36</v>
      </c>
      <c r="I1814" s="58"/>
      <c r="J1814" s="58"/>
      <c r="K1814" s="58"/>
      <c r="L1814" s="58"/>
      <c r="M1814" s="58">
        <v>73</v>
      </c>
      <c r="N1814" s="58"/>
    </row>
    <row r="1815" spans="1:14" hidden="1" x14ac:dyDescent="0.25">
      <c r="A1815" t="s">
        <v>213</v>
      </c>
      <c r="B1815" s="58" t="s">
        <v>377</v>
      </c>
      <c r="C1815" s="58" t="s">
        <v>379</v>
      </c>
      <c r="D1815" s="58" t="s">
        <v>378</v>
      </c>
      <c r="E1815" s="58">
        <v>3</v>
      </c>
      <c r="F1815">
        <v>24</v>
      </c>
      <c r="G1815">
        <v>300</v>
      </c>
      <c r="H1815">
        <v>36</v>
      </c>
      <c r="I1815" s="58"/>
      <c r="J1815" s="58"/>
      <c r="K1815" s="58"/>
      <c r="L1815" s="58"/>
      <c r="M1815" s="58">
        <v>73</v>
      </c>
      <c r="N1815" s="58"/>
    </row>
    <row r="1816" spans="1:14" hidden="1" x14ac:dyDescent="0.25">
      <c r="A1816" t="s">
        <v>213</v>
      </c>
      <c r="B1816" s="58" t="s">
        <v>377</v>
      </c>
      <c r="C1816" s="58" t="s">
        <v>379</v>
      </c>
      <c r="D1816" s="58" t="s">
        <v>378</v>
      </c>
      <c r="E1816" s="58">
        <v>3</v>
      </c>
      <c r="F1816">
        <v>24</v>
      </c>
      <c r="G1816">
        <v>310</v>
      </c>
      <c r="H1816">
        <v>36</v>
      </c>
      <c r="I1816" s="58"/>
      <c r="J1816" s="58"/>
      <c r="K1816" s="58"/>
      <c r="L1816" s="58"/>
      <c r="M1816" s="58">
        <v>73</v>
      </c>
      <c r="N1816" s="58"/>
    </row>
    <row r="1817" spans="1:14" hidden="1" x14ac:dyDescent="0.25">
      <c r="A1817" t="s">
        <v>213</v>
      </c>
      <c r="B1817" s="58" t="s">
        <v>377</v>
      </c>
      <c r="C1817" s="58" t="s">
        <v>379</v>
      </c>
      <c r="D1817" s="58" t="s">
        <v>378</v>
      </c>
      <c r="E1817" s="58">
        <v>3</v>
      </c>
      <c r="F1817">
        <v>24</v>
      </c>
      <c r="G1817">
        <v>320</v>
      </c>
      <c r="H1817">
        <v>36</v>
      </c>
      <c r="I1817" s="58"/>
      <c r="J1817" s="58"/>
      <c r="K1817" s="58"/>
      <c r="L1817" s="58"/>
      <c r="M1817" s="58">
        <v>73</v>
      </c>
      <c r="N1817" s="58"/>
    </row>
    <row r="1818" spans="1:14" hidden="1" x14ac:dyDescent="0.25">
      <c r="A1818" t="s">
        <v>213</v>
      </c>
      <c r="B1818" s="58" t="s">
        <v>377</v>
      </c>
      <c r="C1818" s="58" t="s">
        <v>379</v>
      </c>
      <c r="D1818" s="58" t="s">
        <v>378</v>
      </c>
      <c r="E1818" s="58">
        <v>3</v>
      </c>
      <c r="F1818">
        <v>24</v>
      </c>
      <c r="G1818">
        <v>330</v>
      </c>
      <c r="H1818">
        <v>36</v>
      </c>
      <c r="I1818" s="58"/>
      <c r="J1818" s="58"/>
      <c r="K1818" s="58"/>
      <c r="L1818" s="58"/>
      <c r="M1818" s="58">
        <v>73</v>
      </c>
      <c r="N1818" s="58"/>
    </row>
    <row r="1819" spans="1:14" hidden="1" x14ac:dyDescent="0.25">
      <c r="A1819" t="s">
        <v>213</v>
      </c>
      <c r="B1819" s="58" t="s">
        <v>377</v>
      </c>
      <c r="C1819" s="58" t="s">
        <v>379</v>
      </c>
      <c r="D1819" s="58" t="s">
        <v>378</v>
      </c>
      <c r="E1819" s="58">
        <v>3</v>
      </c>
      <c r="F1819">
        <v>24</v>
      </c>
      <c r="G1819">
        <v>340</v>
      </c>
      <c r="H1819">
        <v>36</v>
      </c>
      <c r="I1819" s="58"/>
      <c r="J1819" s="58"/>
      <c r="K1819" s="58"/>
      <c r="L1819" s="58"/>
      <c r="M1819" s="58">
        <v>73</v>
      </c>
      <c r="N1819" s="58"/>
    </row>
    <row r="1820" spans="1:14" hidden="1" x14ac:dyDescent="0.25">
      <c r="A1820" t="s">
        <v>213</v>
      </c>
      <c r="B1820" s="58" t="s">
        <v>377</v>
      </c>
      <c r="C1820" s="58" t="s">
        <v>379</v>
      </c>
      <c r="D1820" s="58" t="s">
        <v>378</v>
      </c>
      <c r="E1820" s="58">
        <v>3</v>
      </c>
      <c r="F1820">
        <v>24</v>
      </c>
      <c r="G1820">
        <v>350</v>
      </c>
      <c r="H1820">
        <v>36</v>
      </c>
      <c r="I1820" s="58"/>
      <c r="J1820" s="58"/>
      <c r="K1820" s="58"/>
      <c r="L1820" s="58"/>
      <c r="M1820" s="58">
        <v>73</v>
      </c>
      <c r="N1820" s="58"/>
    </row>
    <row r="1821" spans="1:14" hidden="1" x14ac:dyDescent="0.25">
      <c r="A1821" t="s">
        <v>213</v>
      </c>
      <c r="B1821" s="58" t="s">
        <v>377</v>
      </c>
      <c r="C1821" s="58" t="s">
        <v>379</v>
      </c>
      <c r="D1821" s="58" t="s">
        <v>378</v>
      </c>
      <c r="E1821" s="58">
        <v>3</v>
      </c>
      <c r="F1821">
        <v>24</v>
      </c>
      <c r="G1821">
        <v>360</v>
      </c>
      <c r="H1821">
        <v>36</v>
      </c>
      <c r="I1821" s="58"/>
      <c r="J1821" s="58"/>
      <c r="K1821" s="58"/>
      <c r="L1821" s="58"/>
      <c r="M1821" s="58">
        <v>73</v>
      </c>
      <c r="N1821" s="58"/>
    </row>
    <row r="1822" spans="1:14" hidden="1" x14ac:dyDescent="0.25">
      <c r="A1822" t="s">
        <v>213</v>
      </c>
      <c r="B1822" s="58" t="s">
        <v>377</v>
      </c>
      <c r="C1822" s="58" t="s">
        <v>379</v>
      </c>
      <c r="D1822" s="58" t="s">
        <v>378</v>
      </c>
      <c r="E1822" s="58">
        <v>3</v>
      </c>
      <c r="F1822">
        <v>24</v>
      </c>
      <c r="G1822">
        <v>380</v>
      </c>
      <c r="H1822">
        <v>36</v>
      </c>
      <c r="I1822" s="58"/>
      <c r="J1822" s="58"/>
      <c r="K1822" s="58"/>
      <c r="L1822" s="58"/>
      <c r="M1822" s="58">
        <v>73</v>
      </c>
      <c r="N1822" s="58"/>
    </row>
    <row r="1823" spans="1:14" hidden="1" x14ac:dyDescent="0.25">
      <c r="A1823" t="s">
        <v>213</v>
      </c>
      <c r="B1823" s="58" t="s">
        <v>377</v>
      </c>
      <c r="C1823" s="58" t="s">
        <v>379</v>
      </c>
      <c r="D1823" s="58" t="s">
        <v>378</v>
      </c>
      <c r="E1823" s="58">
        <v>3</v>
      </c>
      <c r="F1823">
        <v>24</v>
      </c>
      <c r="G1823">
        <v>390</v>
      </c>
      <c r="H1823">
        <v>36</v>
      </c>
      <c r="I1823" s="58"/>
      <c r="J1823" s="58"/>
      <c r="K1823" s="58"/>
      <c r="L1823" s="58"/>
      <c r="M1823" s="58">
        <v>73</v>
      </c>
      <c r="N1823" s="58"/>
    </row>
    <row r="1824" spans="1:14" hidden="1" x14ac:dyDescent="0.25">
      <c r="A1824" t="s">
        <v>213</v>
      </c>
      <c r="B1824" s="58" t="s">
        <v>377</v>
      </c>
      <c r="C1824" s="58" t="s">
        <v>379</v>
      </c>
      <c r="D1824" s="58" t="s">
        <v>378</v>
      </c>
      <c r="E1824" s="58">
        <v>3</v>
      </c>
      <c r="F1824">
        <v>24</v>
      </c>
      <c r="G1824">
        <v>400</v>
      </c>
      <c r="H1824">
        <v>36</v>
      </c>
      <c r="I1824" s="58"/>
      <c r="J1824" s="58"/>
      <c r="K1824" s="58"/>
      <c r="L1824" s="58"/>
      <c r="M1824" s="58">
        <v>73</v>
      </c>
      <c r="N1824" s="58"/>
    </row>
    <row r="1825" spans="1:14" hidden="1" x14ac:dyDescent="0.25">
      <c r="A1825" t="s">
        <v>213</v>
      </c>
      <c r="B1825" s="58" t="s">
        <v>377</v>
      </c>
      <c r="C1825" s="58" t="s">
        <v>379</v>
      </c>
      <c r="D1825" s="58" t="s">
        <v>378</v>
      </c>
      <c r="E1825" s="58">
        <v>3</v>
      </c>
      <c r="F1825">
        <v>24</v>
      </c>
      <c r="G1825">
        <v>410</v>
      </c>
      <c r="H1825">
        <v>36</v>
      </c>
      <c r="I1825" s="58"/>
      <c r="J1825" s="58"/>
      <c r="K1825" s="58"/>
      <c r="L1825" s="58"/>
      <c r="M1825" s="58">
        <v>73</v>
      </c>
      <c r="N1825" s="58"/>
    </row>
    <row r="1826" spans="1:14" hidden="1" x14ac:dyDescent="0.25">
      <c r="A1826" t="s">
        <v>213</v>
      </c>
      <c r="B1826" s="58" t="s">
        <v>377</v>
      </c>
      <c r="C1826" s="58" t="s">
        <v>379</v>
      </c>
      <c r="D1826" s="58" t="s">
        <v>378</v>
      </c>
      <c r="E1826" s="58">
        <v>3</v>
      </c>
      <c r="F1826">
        <v>24</v>
      </c>
      <c r="G1826">
        <v>420</v>
      </c>
      <c r="H1826">
        <v>36</v>
      </c>
      <c r="I1826" s="58"/>
      <c r="J1826" s="58"/>
      <c r="K1826" s="58"/>
      <c r="L1826" s="58"/>
      <c r="M1826" s="58">
        <v>73</v>
      </c>
      <c r="N1826" s="58"/>
    </row>
    <row r="1827" spans="1:14" hidden="1" x14ac:dyDescent="0.25">
      <c r="A1827" t="s">
        <v>213</v>
      </c>
      <c r="B1827" s="58" t="s">
        <v>377</v>
      </c>
      <c r="C1827" s="58" t="s">
        <v>379</v>
      </c>
      <c r="D1827" s="58" t="s">
        <v>378</v>
      </c>
      <c r="E1827" s="58">
        <v>3</v>
      </c>
      <c r="F1827">
        <v>24</v>
      </c>
      <c r="G1827">
        <v>430</v>
      </c>
      <c r="H1827">
        <v>36</v>
      </c>
      <c r="I1827" s="58"/>
      <c r="J1827" s="58"/>
      <c r="K1827" s="58"/>
      <c r="L1827" s="58"/>
      <c r="M1827" s="58">
        <v>73</v>
      </c>
      <c r="N1827" s="58"/>
    </row>
    <row r="1828" spans="1:14" hidden="1" x14ac:dyDescent="0.25">
      <c r="A1828" t="s">
        <v>213</v>
      </c>
      <c r="B1828" s="58" t="s">
        <v>377</v>
      </c>
      <c r="C1828" s="58" t="s">
        <v>379</v>
      </c>
      <c r="D1828" s="58" t="s">
        <v>378</v>
      </c>
      <c r="E1828" s="58">
        <v>3</v>
      </c>
      <c r="F1828">
        <v>24</v>
      </c>
      <c r="G1828">
        <v>440</v>
      </c>
      <c r="H1828">
        <v>36</v>
      </c>
      <c r="I1828" s="58"/>
      <c r="J1828" s="58"/>
      <c r="K1828" s="58"/>
      <c r="L1828" s="58"/>
      <c r="M1828" s="58">
        <v>73</v>
      </c>
      <c r="N1828" s="58"/>
    </row>
    <row r="1829" spans="1:14" hidden="1" x14ac:dyDescent="0.25">
      <c r="A1829" t="s">
        <v>213</v>
      </c>
      <c r="B1829" s="58" t="s">
        <v>377</v>
      </c>
      <c r="C1829" s="58" t="s">
        <v>379</v>
      </c>
      <c r="D1829" s="58" t="s">
        <v>378</v>
      </c>
      <c r="E1829" s="58">
        <v>3</v>
      </c>
      <c r="F1829">
        <v>24</v>
      </c>
      <c r="G1829">
        <v>450</v>
      </c>
      <c r="H1829">
        <v>36</v>
      </c>
      <c r="I1829" s="58"/>
      <c r="J1829" s="58"/>
      <c r="K1829" s="58"/>
      <c r="L1829" s="58"/>
      <c r="M1829" s="58">
        <v>73</v>
      </c>
      <c r="N1829" s="58"/>
    </row>
    <row r="1830" spans="1:14" hidden="1" x14ac:dyDescent="0.25">
      <c r="A1830" t="s">
        <v>213</v>
      </c>
      <c r="B1830" s="58" t="s">
        <v>377</v>
      </c>
      <c r="C1830" s="58" t="s">
        <v>379</v>
      </c>
      <c r="D1830" s="58" t="s">
        <v>378</v>
      </c>
      <c r="E1830" s="58">
        <v>3</v>
      </c>
      <c r="F1830">
        <v>27</v>
      </c>
      <c r="G1830">
        <v>80</v>
      </c>
      <c r="H1830">
        <v>36</v>
      </c>
      <c r="I1830" s="58"/>
      <c r="J1830" s="58"/>
      <c r="K1830" s="58"/>
      <c r="L1830" s="58"/>
      <c r="M1830" s="58">
        <v>60</v>
      </c>
      <c r="N1830" s="58"/>
    </row>
    <row r="1831" spans="1:14" hidden="1" x14ac:dyDescent="0.25">
      <c r="A1831" t="s">
        <v>213</v>
      </c>
      <c r="B1831" s="58" t="s">
        <v>377</v>
      </c>
      <c r="C1831" s="58" t="s">
        <v>379</v>
      </c>
      <c r="D1831" s="58" t="s">
        <v>378</v>
      </c>
      <c r="E1831" s="58">
        <v>3</v>
      </c>
      <c r="F1831">
        <v>27</v>
      </c>
      <c r="G1831">
        <v>90</v>
      </c>
      <c r="H1831">
        <v>36</v>
      </c>
      <c r="I1831" s="58"/>
      <c r="J1831" s="58"/>
      <c r="K1831" s="58"/>
      <c r="L1831" s="58"/>
      <c r="M1831" s="58">
        <v>60</v>
      </c>
      <c r="N1831" s="58"/>
    </row>
    <row r="1832" spans="1:14" hidden="1" x14ac:dyDescent="0.25">
      <c r="A1832" t="s">
        <v>213</v>
      </c>
      <c r="B1832" s="58" t="s">
        <v>377</v>
      </c>
      <c r="C1832" s="58" t="s">
        <v>379</v>
      </c>
      <c r="D1832" s="58" t="s">
        <v>378</v>
      </c>
      <c r="E1832" s="58">
        <v>3</v>
      </c>
      <c r="F1832">
        <v>27</v>
      </c>
      <c r="G1832">
        <v>100</v>
      </c>
      <c r="H1832">
        <v>41</v>
      </c>
      <c r="I1832" s="58"/>
      <c r="J1832" s="58"/>
      <c r="K1832" s="58"/>
      <c r="L1832" s="58"/>
      <c r="M1832" s="58">
        <v>60</v>
      </c>
      <c r="N1832" s="58"/>
    </row>
    <row r="1833" spans="1:14" hidden="1" x14ac:dyDescent="0.25">
      <c r="A1833" t="s">
        <v>213</v>
      </c>
      <c r="B1833" s="58" t="s">
        <v>377</v>
      </c>
      <c r="C1833" s="58" t="s">
        <v>379</v>
      </c>
      <c r="D1833" s="58" t="s">
        <v>378</v>
      </c>
      <c r="E1833" s="58">
        <v>3</v>
      </c>
      <c r="F1833">
        <v>27</v>
      </c>
      <c r="G1833">
        <v>110</v>
      </c>
      <c r="H1833">
        <v>41</v>
      </c>
      <c r="I1833" s="58"/>
      <c r="J1833" s="58"/>
      <c r="K1833" s="58"/>
      <c r="L1833" s="58"/>
      <c r="M1833" s="58">
        <v>60</v>
      </c>
      <c r="N1833" s="58"/>
    </row>
    <row r="1834" spans="1:14" hidden="1" x14ac:dyDescent="0.25">
      <c r="A1834" t="s">
        <v>213</v>
      </c>
      <c r="B1834" s="58" t="s">
        <v>377</v>
      </c>
      <c r="C1834" s="58" t="s">
        <v>379</v>
      </c>
      <c r="D1834" s="58" t="s">
        <v>378</v>
      </c>
      <c r="E1834" s="58">
        <v>3</v>
      </c>
      <c r="F1834">
        <v>27</v>
      </c>
      <c r="G1834">
        <v>120</v>
      </c>
      <c r="H1834">
        <v>41</v>
      </c>
      <c r="I1834" s="58"/>
      <c r="J1834" s="58"/>
      <c r="K1834" s="58"/>
      <c r="L1834" s="58"/>
      <c r="M1834" s="58">
        <v>60</v>
      </c>
      <c r="N1834" s="58"/>
    </row>
    <row r="1835" spans="1:14" hidden="1" x14ac:dyDescent="0.25">
      <c r="A1835" t="s">
        <v>213</v>
      </c>
      <c r="B1835" s="58" t="s">
        <v>377</v>
      </c>
      <c r="C1835" s="58" t="s">
        <v>379</v>
      </c>
      <c r="D1835" s="58" t="s">
        <v>378</v>
      </c>
      <c r="E1835" s="58">
        <v>3</v>
      </c>
      <c r="F1835">
        <v>27</v>
      </c>
      <c r="G1835">
        <v>130</v>
      </c>
      <c r="H1835">
        <v>41</v>
      </c>
      <c r="I1835" s="58"/>
      <c r="J1835" s="58"/>
      <c r="K1835" s="58"/>
      <c r="L1835" s="58"/>
      <c r="M1835" s="58">
        <v>66</v>
      </c>
      <c r="N1835" s="58"/>
    </row>
    <row r="1836" spans="1:14" hidden="1" x14ac:dyDescent="0.25">
      <c r="A1836" t="s">
        <v>213</v>
      </c>
      <c r="B1836" s="58" t="s">
        <v>377</v>
      </c>
      <c r="C1836" s="58" t="s">
        <v>379</v>
      </c>
      <c r="D1836" s="58" t="s">
        <v>378</v>
      </c>
      <c r="E1836" s="58">
        <v>3</v>
      </c>
      <c r="F1836">
        <v>27</v>
      </c>
      <c r="G1836">
        <v>140</v>
      </c>
      <c r="H1836">
        <v>41</v>
      </c>
      <c r="I1836" s="58"/>
      <c r="J1836" s="58"/>
      <c r="K1836" s="58"/>
      <c r="L1836" s="58"/>
      <c r="M1836" s="58">
        <v>66</v>
      </c>
      <c r="N1836" s="58"/>
    </row>
    <row r="1837" spans="1:14" hidden="1" x14ac:dyDescent="0.25">
      <c r="A1837" t="s">
        <v>213</v>
      </c>
      <c r="B1837" s="58" t="s">
        <v>377</v>
      </c>
      <c r="C1837" s="58" t="s">
        <v>379</v>
      </c>
      <c r="D1837" s="58" t="s">
        <v>378</v>
      </c>
      <c r="E1837" s="58">
        <v>3</v>
      </c>
      <c r="F1837">
        <v>27</v>
      </c>
      <c r="G1837">
        <v>150</v>
      </c>
      <c r="H1837">
        <v>41</v>
      </c>
      <c r="I1837" s="58"/>
      <c r="J1837" s="58"/>
      <c r="K1837" s="58"/>
      <c r="L1837" s="58"/>
      <c r="M1837" s="58">
        <v>66</v>
      </c>
      <c r="N1837" s="58"/>
    </row>
    <row r="1838" spans="1:14" hidden="1" x14ac:dyDescent="0.25">
      <c r="A1838" t="s">
        <v>213</v>
      </c>
      <c r="B1838" s="58" t="s">
        <v>377</v>
      </c>
      <c r="C1838" s="58" t="s">
        <v>379</v>
      </c>
      <c r="D1838" s="58" t="s">
        <v>378</v>
      </c>
      <c r="E1838" s="58">
        <v>3</v>
      </c>
      <c r="F1838">
        <v>27</v>
      </c>
      <c r="G1838">
        <v>160</v>
      </c>
      <c r="H1838">
        <v>41</v>
      </c>
      <c r="I1838" s="58"/>
      <c r="J1838" s="58"/>
      <c r="K1838" s="58"/>
      <c r="L1838" s="58"/>
      <c r="M1838" s="58">
        <v>66</v>
      </c>
      <c r="N1838" s="58"/>
    </row>
    <row r="1839" spans="1:14" hidden="1" x14ac:dyDescent="0.25">
      <c r="A1839" t="s">
        <v>213</v>
      </c>
      <c r="B1839" s="58" t="s">
        <v>377</v>
      </c>
      <c r="C1839" s="58" t="s">
        <v>379</v>
      </c>
      <c r="D1839" s="58" t="s">
        <v>378</v>
      </c>
      <c r="E1839" s="58">
        <v>3</v>
      </c>
      <c r="F1839">
        <v>27</v>
      </c>
      <c r="G1839">
        <v>170</v>
      </c>
      <c r="H1839">
        <v>41</v>
      </c>
      <c r="I1839" s="58"/>
      <c r="J1839" s="58"/>
      <c r="K1839" s="58"/>
      <c r="L1839" s="58"/>
      <c r="M1839" s="58">
        <v>66</v>
      </c>
      <c r="N1839" s="58"/>
    </row>
    <row r="1840" spans="1:14" hidden="1" x14ac:dyDescent="0.25">
      <c r="A1840" t="s">
        <v>213</v>
      </c>
      <c r="B1840" s="58" t="s">
        <v>377</v>
      </c>
      <c r="C1840" s="58" t="s">
        <v>379</v>
      </c>
      <c r="D1840" s="58" t="s">
        <v>378</v>
      </c>
      <c r="E1840" s="58">
        <v>3</v>
      </c>
      <c r="F1840">
        <v>27</v>
      </c>
      <c r="G1840">
        <v>180</v>
      </c>
      <c r="H1840">
        <v>41</v>
      </c>
      <c r="I1840" s="58"/>
      <c r="J1840" s="58"/>
      <c r="K1840" s="58"/>
      <c r="L1840" s="58"/>
      <c r="M1840" s="58">
        <v>66</v>
      </c>
      <c r="N1840" s="58"/>
    </row>
    <row r="1841" spans="1:14" hidden="1" x14ac:dyDescent="0.25">
      <c r="A1841" t="s">
        <v>213</v>
      </c>
      <c r="B1841" s="58" t="s">
        <v>377</v>
      </c>
      <c r="C1841" s="58" t="s">
        <v>379</v>
      </c>
      <c r="D1841" s="58" t="s">
        <v>378</v>
      </c>
      <c r="E1841" s="58">
        <v>3</v>
      </c>
      <c r="F1841">
        <v>27</v>
      </c>
      <c r="G1841">
        <v>190</v>
      </c>
      <c r="H1841">
        <v>41</v>
      </c>
      <c r="I1841" s="58"/>
      <c r="J1841" s="58"/>
      <c r="K1841" s="58"/>
      <c r="L1841" s="58"/>
      <c r="M1841" s="58">
        <v>66</v>
      </c>
      <c r="N1841" s="58"/>
    </row>
    <row r="1842" spans="1:14" hidden="1" x14ac:dyDescent="0.25">
      <c r="A1842" t="s">
        <v>213</v>
      </c>
      <c r="B1842" s="58" t="s">
        <v>377</v>
      </c>
      <c r="C1842" s="58" t="s">
        <v>379</v>
      </c>
      <c r="D1842" s="58" t="s">
        <v>378</v>
      </c>
      <c r="E1842" s="58">
        <v>3</v>
      </c>
      <c r="F1842">
        <v>27</v>
      </c>
      <c r="G1842">
        <v>200</v>
      </c>
      <c r="H1842">
        <v>41</v>
      </c>
      <c r="I1842" s="58"/>
      <c r="J1842" s="58"/>
      <c r="K1842" s="58"/>
      <c r="L1842" s="58"/>
      <c r="M1842" s="58">
        <v>66</v>
      </c>
      <c r="N1842" s="58"/>
    </row>
    <row r="1843" spans="1:14" hidden="1" x14ac:dyDescent="0.25">
      <c r="A1843" t="s">
        <v>213</v>
      </c>
      <c r="B1843" s="58" t="s">
        <v>377</v>
      </c>
      <c r="C1843" s="58" t="s">
        <v>379</v>
      </c>
      <c r="D1843" s="58" t="s">
        <v>378</v>
      </c>
      <c r="E1843" s="58">
        <v>3</v>
      </c>
      <c r="F1843">
        <v>27</v>
      </c>
      <c r="G1843">
        <v>220</v>
      </c>
      <c r="H1843">
        <v>41</v>
      </c>
      <c r="I1843" s="58"/>
      <c r="J1843" s="58"/>
      <c r="K1843" s="58"/>
      <c r="L1843" s="58"/>
      <c r="M1843" s="58">
        <v>79</v>
      </c>
      <c r="N1843" s="58"/>
    </row>
    <row r="1844" spans="1:14" hidden="1" x14ac:dyDescent="0.25">
      <c r="A1844" t="s">
        <v>213</v>
      </c>
      <c r="B1844" s="58" t="s">
        <v>377</v>
      </c>
      <c r="C1844" s="58" t="s">
        <v>379</v>
      </c>
      <c r="D1844" s="58" t="s">
        <v>378</v>
      </c>
      <c r="E1844" s="58">
        <v>3</v>
      </c>
      <c r="F1844">
        <v>27</v>
      </c>
      <c r="G1844">
        <v>230</v>
      </c>
      <c r="H1844">
        <v>41</v>
      </c>
      <c r="I1844" s="58"/>
      <c r="J1844" s="58"/>
      <c r="K1844" s="58"/>
      <c r="L1844" s="58"/>
      <c r="M1844" s="58">
        <v>79</v>
      </c>
      <c r="N1844" s="58"/>
    </row>
    <row r="1845" spans="1:14" hidden="1" x14ac:dyDescent="0.25">
      <c r="A1845" t="s">
        <v>213</v>
      </c>
      <c r="B1845" s="58" t="s">
        <v>377</v>
      </c>
      <c r="C1845" s="58" t="s">
        <v>379</v>
      </c>
      <c r="D1845" s="58" t="s">
        <v>378</v>
      </c>
      <c r="E1845" s="58">
        <v>3</v>
      </c>
      <c r="F1845">
        <v>27</v>
      </c>
      <c r="G1845">
        <v>240</v>
      </c>
      <c r="H1845">
        <v>41</v>
      </c>
      <c r="I1845" s="58"/>
      <c r="J1845" s="58"/>
      <c r="K1845" s="58"/>
      <c r="L1845" s="58"/>
      <c r="M1845" s="58">
        <v>79</v>
      </c>
      <c r="N1845" s="58"/>
    </row>
    <row r="1846" spans="1:14" hidden="1" x14ac:dyDescent="0.25">
      <c r="A1846" t="s">
        <v>213</v>
      </c>
      <c r="B1846" s="58" t="s">
        <v>377</v>
      </c>
      <c r="C1846" s="58" t="s">
        <v>379</v>
      </c>
      <c r="D1846" s="58" t="s">
        <v>378</v>
      </c>
      <c r="E1846" s="58">
        <v>3</v>
      </c>
      <c r="F1846">
        <v>27</v>
      </c>
      <c r="G1846">
        <v>260</v>
      </c>
      <c r="H1846">
        <v>41</v>
      </c>
      <c r="I1846" s="58"/>
      <c r="J1846" s="58"/>
      <c r="K1846" s="58"/>
      <c r="L1846" s="58"/>
      <c r="M1846" s="58">
        <v>79</v>
      </c>
      <c r="N1846" s="58"/>
    </row>
    <row r="1847" spans="1:14" hidden="1" x14ac:dyDescent="0.25">
      <c r="A1847" t="s">
        <v>213</v>
      </c>
      <c r="B1847" s="58" t="s">
        <v>377</v>
      </c>
      <c r="C1847" s="58" t="s">
        <v>379</v>
      </c>
      <c r="D1847" s="58" t="s">
        <v>378</v>
      </c>
      <c r="E1847" s="58">
        <v>3</v>
      </c>
      <c r="F1847">
        <v>27</v>
      </c>
      <c r="G1847">
        <v>270</v>
      </c>
      <c r="H1847">
        <v>41</v>
      </c>
      <c r="I1847" s="58"/>
      <c r="J1847" s="58"/>
      <c r="K1847" s="58"/>
      <c r="L1847" s="58"/>
      <c r="M1847" s="58">
        <v>79</v>
      </c>
      <c r="N1847" s="58"/>
    </row>
    <row r="1848" spans="1:14" hidden="1" x14ac:dyDescent="0.25">
      <c r="A1848" t="s">
        <v>213</v>
      </c>
      <c r="B1848" s="58" t="s">
        <v>377</v>
      </c>
      <c r="C1848" s="58" t="s">
        <v>379</v>
      </c>
      <c r="D1848" s="58" t="s">
        <v>378</v>
      </c>
      <c r="E1848" s="58">
        <v>3</v>
      </c>
      <c r="F1848">
        <v>27</v>
      </c>
      <c r="G1848">
        <v>280</v>
      </c>
      <c r="H1848">
        <v>41</v>
      </c>
      <c r="I1848" s="58"/>
      <c r="J1848" s="58"/>
      <c r="K1848" s="58"/>
      <c r="L1848" s="58"/>
      <c r="M1848" s="58">
        <v>79</v>
      </c>
      <c r="N1848" s="58"/>
    </row>
    <row r="1849" spans="1:14" hidden="1" x14ac:dyDescent="0.25">
      <c r="A1849" t="s">
        <v>213</v>
      </c>
      <c r="B1849" s="58" t="s">
        <v>377</v>
      </c>
      <c r="C1849" s="58" t="s">
        <v>379</v>
      </c>
      <c r="D1849" s="58" t="s">
        <v>378</v>
      </c>
      <c r="E1849" s="58">
        <v>3</v>
      </c>
      <c r="F1849">
        <v>27</v>
      </c>
      <c r="G1849">
        <v>300</v>
      </c>
      <c r="H1849">
        <v>41</v>
      </c>
      <c r="I1849" s="58"/>
      <c r="J1849" s="58"/>
      <c r="K1849" s="58"/>
      <c r="L1849" s="58"/>
      <c r="M1849" s="58">
        <v>79</v>
      </c>
      <c r="N1849" s="58"/>
    </row>
    <row r="1850" spans="1:14" hidden="1" x14ac:dyDescent="0.25">
      <c r="A1850" t="s">
        <v>213</v>
      </c>
      <c r="B1850" s="58" t="s">
        <v>377</v>
      </c>
      <c r="C1850" s="58" t="s">
        <v>379</v>
      </c>
      <c r="D1850" s="58" t="s">
        <v>378</v>
      </c>
      <c r="E1850" s="58">
        <v>3</v>
      </c>
      <c r="F1850">
        <v>27</v>
      </c>
      <c r="G1850">
        <v>320</v>
      </c>
      <c r="H1850">
        <v>41</v>
      </c>
      <c r="I1850" s="58"/>
      <c r="J1850" s="58"/>
      <c r="K1850" s="58"/>
      <c r="L1850" s="58"/>
      <c r="M1850" s="58">
        <v>79</v>
      </c>
      <c r="N1850" s="58"/>
    </row>
    <row r="1851" spans="1:14" hidden="1" x14ac:dyDescent="0.25">
      <c r="A1851" t="s">
        <v>213</v>
      </c>
      <c r="B1851" s="58" t="s">
        <v>377</v>
      </c>
      <c r="C1851" s="58" t="s">
        <v>379</v>
      </c>
      <c r="D1851" s="58" t="s">
        <v>378</v>
      </c>
      <c r="E1851" s="58">
        <v>3</v>
      </c>
      <c r="F1851">
        <v>30</v>
      </c>
      <c r="G1851">
        <v>80</v>
      </c>
      <c r="H1851">
        <v>41</v>
      </c>
      <c r="I1851" s="58"/>
      <c r="J1851" s="58"/>
      <c r="K1851" s="58"/>
      <c r="L1851" s="58"/>
      <c r="M1851" s="58">
        <v>66</v>
      </c>
      <c r="N1851" s="58"/>
    </row>
    <row r="1852" spans="1:14" hidden="1" x14ac:dyDescent="0.25">
      <c r="A1852" t="s">
        <v>213</v>
      </c>
      <c r="B1852" s="58" t="s">
        <v>377</v>
      </c>
      <c r="C1852" s="58" t="s">
        <v>379</v>
      </c>
      <c r="D1852" s="58" t="s">
        <v>378</v>
      </c>
      <c r="E1852" s="58">
        <v>3</v>
      </c>
      <c r="F1852">
        <v>30</v>
      </c>
      <c r="G1852">
        <v>90</v>
      </c>
      <c r="H1852">
        <v>41</v>
      </c>
      <c r="I1852" s="58"/>
      <c r="J1852" s="58"/>
      <c r="K1852" s="58"/>
      <c r="L1852" s="58"/>
      <c r="M1852" s="58">
        <v>66</v>
      </c>
      <c r="N1852" s="58"/>
    </row>
    <row r="1853" spans="1:14" hidden="1" x14ac:dyDescent="0.25">
      <c r="A1853" t="s">
        <v>213</v>
      </c>
      <c r="B1853" s="58" t="s">
        <v>377</v>
      </c>
      <c r="C1853" s="58" t="s">
        <v>379</v>
      </c>
      <c r="D1853" s="58" t="s">
        <v>378</v>
      </c>
      <c r="E1853" s="58">
        <v>3</v>
      </c>
      <c r="F1853">
        <v>30</v>
      </c>
      <c r="G1853">
        <v>100</v>
      </c>
      <c r="H1853">
        <v>46</v>
      </c>
      <c r="I1853" s="58"/>
      <c r="J1853" s="58"/>
      <c r="K1853" s="58"/>
      <c r="L1853" s="58"/>
      <c r="M1853" s="58">
        <v>66</v>
      </c>
      <c r="N1853" s="58"/>
    </row>
    <row r="1854" spans="1:14" hidden="1" x14ac:dyDescent="0.25">
      <c r="A1854" t="s">
        <v>213</v>
      </c>
      <c r="B1854" s="58" t="s">
        <v>377</v>
      </c>
      <c r="C1854" s="58" t="s">
        <v>379</v>
      </c>
      <c r="D1854" s="58" t="s">
        <v>378</v>
      </c>
      <c r="E1854" s="58">
        <v>3</v>
      </c>
      <c r="F1854">
        <v>30</v>
      </c>
      <c r="G1854">
        <v>110</v>
      </c>
      <c r="H1854">
        <v>46</v>
      </c>
      <c r="I1854" s="58"/>
      <c r="J1854" s="58"/>
      <c r="K1854" s="58"/>
      <c r="L1854" s="58"/>
      <c r="M1854" s="58">
        <v>66</v>
      </c>
      <c r="N1854" s="58"/>
    </row>
    <row r="1855" spans="1:14" hidden="1" x14ac:dyDescent="0.25">
      <c r="A1855" t="s">
        <v>213</v>
      </c>
      <c r="B1855" s="58" t="s">
        <v>377</v>
      </c>
      <c r="C1855" s="58" t="s">
        <v>379</v>
      </c>
      <c r="D1855" s="58" t="s">
        <v>378</v>
      </c>
      <c r="E1855" s="58">
        <v>3</v>
      </c>
      <c r="F1855">
        <v>30</v>
      </c>
      <c r="G1855">
        <v>120</v>
      </c>
      <c r="H1855">
        <v>46</v>
      </c>
      <c r="I1855" s="58"/>
      <c r="J1855" s="58"/>
      <c r="K1855" s="58"/>
      <c r="L1855" s="58"/>
      <c r="M1855" s="58">
        <v>66</v>
      </c>
      <c r="N1855" s="58"/>
    </row>
    <row r="1856" spans="1:14" hidden="1" x14ac:dyDescent="0.25">
      <c r="A1856" t="s">
        <v>213</v>
      </c>
      <c r="B1856" s="58" t="s">
        <v>377</v>
      </c>
      <c r="C1856" s="58" t="s">
        <v>379</v>
      </c>
      <c r="D1856" s="58" t="s">
        <v>378</v>
      </c>
      <c r="E1856" s="58">
        <v>3</v>
      </c>
      <c r="F1856">
        <v>30</v>
      </c>
      <c r="G1856">
        <v>130</v>
      </c>
      <c r="H1856">
        <v>46</v>
      </c>
      <c r="I1856" s="58"/>
      <c r="J1856" s="58"/>
      <c r="K1856" s="58"/>
      <c r="L1856" s="58"/>
      <c r="M1856" s="58">
        <v>72</v>
      </c>
      <c r="N1856" s="58"/>
    </row>
    <row r="1857" spans="1:14" hidden="1" x14ac:dyDescent="0.25">
      <c r="A1857" t="s">
        <v>213</v>
      </c>
      <c r="B1857" s="58" t="s">
        <v>377</v>
      </c>
      <c r="C1857" s="58" t="s">
        <v>379</v>
      </c>
      <c r="D1857" s="58" t="s">
        <v>378</v>
      </c>
      <c r="E1857" s="58">
        <v>3</v>
      </c>
      <c r="F1857">
        <v>30</v>
      </c>
      <c r="G1857">
        <v>140</v>
      </c>
      <c r="H1857">
        <v>46</v>
      </c>
      <c r="I1857" s="58"/>
      <c r="J1857" s="58"/>
      <c r="K1857" s="58"/>
      <c r="L1857" s="58"/>
      <c r="M1857" s="58">
        <v>72</v>
      </c>
      <c r="N1857" s="58"/>
    </row>
    <row r="1858" spans="1:14" hidden="1" x14ac:dyDescent="0.25">
      <c r="A1858" t="s">
        <v>213</v>
      </c>
      <c r="B1858" s="58" t="s">
        <v>377</v>
      </c>
      <c r="C1858" s="58" t="s">
        <v>379</v>
      </c>
      <c r="D1858" s="58" t="s">
        <v>378</v>
      </c>
      <c r="E1858" s="58">
        <v>3</v>
      </c>
      <c r="F1858">
        <v>30</v>
      </c>
      <c r="G1858">
        <v>150</v>
      </c>
      <c r="H1858">
        <v>46</v>
      </c>
      <c r="I1858" s="58"/>
      <c r="J1858" s="58"/>
      <c r="K1858" s="58"/>
      <c r="L1858" s="58"/>
      <c r="M1858" s="58">
        <v>72</v>
      </c>
      <c r="N1858" s="58"/>
    </row>
    <row r="1859" spans="1:14" hidden="1" x14ac:dyDescent="0.25">
      <c r="A1859" t="s">
        <v>213</v>
      </c>
      <c r="B1859" s="58" t="s">
        <v>377</v>
      </c>
      <c r="C1859" s="58" t="s">
        <v>379</v>
      </c>
      <c r="D1859" s="58" t="s">
        <v>378</v>
      </c>
      <c r="E1859" s="58">
        <v>3</v>
      </c>
      <c r="F1859">
        <v>30</v>
      </c>
      <c r="G1859">
        <v>160</v>
      </c>
      <c r="H1859">
        <v>46</v>
      </c>
      <c r="I1859" s="58"/>
      <c r="J1859" s="58"/>
      <c r="K1859" s="58"/>
      <c r="L1859" s="58"/>
      <c r="M1859" s="58">
        <v>72</v>
      </c>
      <c r="N1859" s="58"/>
    </row>
    <row r="1860" spans="1:14" hidden="1" x14ac:dyDescent="0.25">
      <c r="A1860" t="s">
        <v>213</v>
      </c>
      <c r="B1860" s="58" t="s">
        <v>377</v>
      </c>
      <c r="C1860" s="58" t="s">
        <v>379</v>
      </c>
      <c r="D1860" s="58" t="s">
        <v>378</v>
      </c>
      <c r="E1860" s="58">
        <v>3</v>
      </c>
      <c r="F1860">
        <v>30</v>
      </c>
      <c r="G1860">
        <v>170</v>
      </c>
      <c r="H1860">
        <v>46</v>
      </c>
      <c r="I1860" s="58"/>
      <c r="J1860" s="58"/>
      <c r="K1860" s="58"/>
      <c r="L1860" s="58"/>
      <c r="M1860" s="58">
        <v>72</v>
      </c>
      <c r="N1860" s="58"/>
    </row>
    <row r="1861" spans="1:14" hidden="1" x14ac:dyDescent="0.25">
      <c r="A1861" t="s">
        <v>213</v>
      </c>
      <c r="B1861" s="58" t="s">
        <v>377</v>
      </c>
      <c r="C1861" s="58" t="s">
        <v>379</v>
      </c>
      <c r="D1861" s="58" t="s">
        <v>378</v>
      </c>
      <c r="E1861" s="58">
        <v>3</v>
      </c>
      <c r="F1861">
        <v>30</v>
      </c>
      <c r="G1861">
        <v>180</v>
      </c>
      <c r="H1861">
        <v>46</v>
      </c>
      <c r="I1861" s="58"/>
      <c r="J1861" s="58"/>
      <c r="K1861" s="58"/>
      <c r="L1861" s="58"/>
      <c r="M1861" s="58">
        <v>72</v>
      </c>
      <c r="N1861" s="58"/>
    </row>
    <row r="1862" spans="1:14" hidden="1" x14ac:dyDescent="0.25">
      <c r="A1862" t="s">
        <v>213</v>
      </c>
      <c r="B1862" s="58" t="s">
        <v>377</v>
      </c>
      <c r="C1862" s="58" t="s">
        <v>379</v>
      </c>
      <c r="D1862" s="58" t="s">
        <v>378</v>
      </c>
      <c r="E1862" s="58">
        <v>3</v>
      </c>
      <c r="F1862">
        <v>30</v>
      </c>
      <c r="G1862">
        <v>190</v>
      </c>
      <c r="H1862">
        <v>46</v>
      </c>
      <c r="I1862" s="58"/>
      <c r="J1862" s="58"/>
      <c r="K1862" s="58"/>
      <c r="L1862" s="58"/>
      <c r="M1862" s="58">
        <v>72</v>
      </c>
      <c r="N1862" s="58"/>
    </row>
    <row r="1863" spans="1:14" hidden="1" x14ac:dyDescent="0.25">
      <c r="A1863" t="s">
        <v>213</v>
      </c>
      <c r="B1863" s="58" t="s">
        <v>377</v>
      </c>
      <c r="C1863" s="58" t="s">
        <v>379</v>
      </c>
      <c r="D1863" s="58" t="s">
        <v>378</v>
      </c>
      <c r="E1863" s="58">
        <v>3</v>
      </c>
      <c r="F1863">
        <v>30</v>
      </c>
      <c r="G1863">
        <v>200</v>
      </c>
      <c r="H1863">
        <v>46</v>
      </c>
      <c r="I1863" s="58"/>
      <c r="J1863" s="58"/>
      <c r="K1863" s="58"/>
      <c r="L1863" s="58"/>
      <c r="M1863" s="58">
        <v>72</v>
      </c>
      <c r="N1863" s="58"/>
    </row>
    <row r="1864" spans="1:14" hidden="1" x14ac:dyDescent="0.25">
      <c r="A1864" t="s">
        <v>213</v>
      </c>
      <c r="B1864" s="58" t="s">
        <v>377</v>
      </c>
      <c r="C1864" s="58" t="s">
        <v>379</v>
      </c>
      <c r="D1864" s="58" t="s">
        <v>378</v>
      </c>
      <c r="E1864" s="58">
        <v>3</v>
      </c>
      <c r="F1864">
        <v>30</v>
      </c>
      <c r="G1864">
        <v>210</v>
      </c>
      <c r="H1864">
        <v>46</v>
      </c>
      <c r="I1864" s="58"/>
      <c r="J1864" s="58"/>
      <c r="K1864" s="58"/>
      <c r="L1864" s="58"/>
      <c r="M1864" s="58">
        <v>85</v>
      </c>
      <c r="N1864" s="58"/>
    </row>
    <row r="1865" spans="1:14" hidden="1" x14ac:dyDescent="0.25">
      <c r="A1865" t="s">
        <v>213</v>
      </c>
      <c r="B1865" s="58" t="s">
        <v>377</v>
      </c>
      <c r="C1865" s="58" t="s">
        <v>379</v>
      </c>
      <c r="D1865" s="58" t="s">
        <v>378</v>
      </c>
      <c r="E1865" s="58">
        <v>3</v>
      </c>
      <c r="F1865">
        <v>30</v>
      </c>
      <c r="G1865">
        <v>220</v>
      </c>
      <c r="H1865">
        <v>46</v>
      </c>
      <c r="I1865" s="58"/>
      <c r="J1865" s="58"/>
      <c r="K1865" s="58"/>
      <c r="L1865" s="58"/>
      <c r="M1865" s="58">
        <v>85</v>
      </c>
      <c r="N1865" s="58"/>
    </row>
    <row r="1866" spans="1:14" hidden="1" x14ac:dyDescent="0.25">
      <c r="A1866" t="s">
        <v>213</v>
      </c>
      <c r="B1866" s="58" t="s">
        <v>377</v>
      </c>
      <c r="C1866" s="58" t="s">
        <v>379</v>
      </c>
      <c r="D1866" s="58" t="s">
        <v>378</v>
      </c>
      <c r="E1866" s="58">
        <v>3</v>
      </c>
      <c r="F1866">
        <v>30</v>
      </c>
      <c r="G1866">
        <v>230</v>
      </c>
      <c r="H1866">
        <v>46</v>
      </c>
      <c r="I1866" s="58"/>
      <c r="J1866" s="58"/>
      <c r="K1866" s="58"/>
      <c r="L1866" s="58"/>
      <c r="M1866" s="58">
        <v>85</v>
      </c>
      <c r="N1866" s="58"/>
    </row>
    <row r="1867" spans="1:14" hidden="1" x14ac:dyDescent="0.25">
      <c r="A1867" t="s">
        <v>213</v>
      </c>
      <c r="B1867" s="58" t="s">
        <v>377</v>
      </c>
      <c r="C1867" s="58" t="s">
        <v>379</v>
      </c>
      <c r="D1867" s="58" t="s">
        <v>378</v>
      </c>
      <c r="E1867" s="58">
        <v>3</v>
      </c>
      <c r="F1867">
        <v>30</v>
      </c>
      <c r="G1867">
        <v>240</v>
      </c>
      <c r="H1867">
        <v>46</v>
      </c>
      <c r="I1867" s="58"/>
      <c r="J1867" s="58"/>
      <c r="K1867" s="58"/>
      <c r="L1867" s="58"/>
      <c r="M1867" s="58">
        <v>85</v>
      </c>
      <c r="N1867" s="58"/>
    </row>
    <row r="1868" spans="1:14" hidden="1" x14ac:dyDescent="0.25">
      <c r="A1868" t="s">
        <v>213</v>
      </c>
      <c r="B1868" s="58" t="s">
        <v>377</v>
      </c>
      <c r="C1868" s="58" t="s">
        <v>379</v>
      </c>
      <c r="D1868" s="58" t="s">
        <v>378</v>
      </c>
      <c r="E1868" s="58">
        <v>3</v>
      </c>
      <c r="F1868">
        <v>30</v>
      </c>
      <c r="G1868">
        <v>250</v>
      </c>
      <c r="H1868">
        <v>46</v>
      </c>
      <c r="I1868" s="58"/>
      <c r="J1868" s="58"/>
      <c r="K1868" s="58"/>
      <c r="L1868" s="58"/>
      <c r="M1868" s="58">
        <v>85</v>
      </c>
      <c r="N1868" s="58"/>
    </row>
    <row r="1869" spans="1:14" hidden="1" x14ac:dyDescent="0.25">
      <c r="A1869" t="s">
        <v>213</v>
      </c>
      <c r="B1869" s="58" t="s">
        <v>377</v>
      </c>
      <c r="C1869" s="58" t="s">
        <v>379</v>
      </c>
      <c r="D1869" s="58" t="s">
        <v>378</v>
      </c>
      <c r="E1869" s="58">
        <v>3</v>
      </c>
      <c r="F1869">
        <v>30</v>
      </c>
      <c r="G1869">
        <v>260</v>
      </c>
      <c r="H1869">
        <v>46</v>
      </c>
      <c r="I1869" s="58"/>
      <c r="J1869" s="58"/>
      <c r="K1869" s="58"/>
      <c r="L1869" s="58"/>
      <c r="M1869" s="58">
        <v>85</v>
      </c>
      <c r="N1869" s="58"/>
    </row>
    <row r="1870" spans="1:14" hidden="1" x14ac:dyDescent="0.25">
      <c r="A1870" t="s">
        <v>213</v>
      </c>
      <c r="B1870" s="58" t="s">
        <v>377</v>
      </c>
      <c r="C1870" s="58" t="s">
        <v>379</v>
      </c>
      <c r="D1870" s="58" t="s">
        <v>378</v>
      </c>
      <c r="E1870" s="58">
        <v>3</v>
      </c>
      <c r="F1870">
        <v>30</v>
      </c>
      <c r="G1870">
        <v>280</v>
      </c>
      <c r="H1870">
        <v>46</v>
      </c>
      <c r="I1870" s="58"/>
      <c r="J1870" s="58"/>
      <c r="K1870" s="58"/>
      <c r="L1870" s="58"/>
      <c r="M1870" s="58">
        <v>85</v>
      </c>
      <c r="N1870" s="58"/>
    </row>
    <row r="1871" spans="1:14" hidden="1" x14ac:dyDescent="0.25">
      <c r="A1871" t="s">
        <v>213</v>
      </c>
      <c r="B1871" s="58" t="s">
        <v>377</v>
      </c>
      <c r="C1871" s="58" t="s">
        <v>379</v>
      </c>
      <c r="D1871" s="58" t="s">
        <v>378</v>
      </c>
      <c r="E1871" s="58">
        <v>3</v>
      </c>
      <c r="F1871">
        <v>30</v>
      </c>
      <c r="G1871">
        <v>290</v>
      </c>
      <c r="H1871">
        <v>46</v>
      </c>
      <c r="I1871" s="58"/>
      <c r="J1871" s="58"/>
      <c r="K1871" s="58"/>
      <c r="L1871" s="58"/>
      <c r="M1871" s="58">
        <v>85</v>
      </c>
      <c r="N1871" s="58"/>
    </row>
    <row r="1872" spans="1:14" hidden="1" x14ac:dyDescent="0.25">
      <c r="A1872" t="s">
        <v>213</v>
      </c>
      <c r="B1872" s="58" t="s">
        <v>377</v>
      </c>
      <c r="C1872" s="58" t="s">
        <v>379</v>
      </c>
      <c r="D1872" s="58" t="s">
        <v>378</v>
      </c>
      <c r="E1872" s="58">
        <v>3</v>
      </c>
      <c r="F1872">
        <v>30</v>
      </c>
      <c r="G1872">
        <v>300</v>
      </c>
      <c r="H1872">
        <v>46</v>
      </c>
      <c r="I1872" s="58"/>
      <c r="J1872" s="58"/>
      <c r="K1872" s="58"/>
      <c r="L1872" s="58"/>
      <c r="M1872" s="58">
        <v>85</v>
      </c>
      <c r="N1872" s="58"/>
    </row>
    <row r="1873" spans="1:14" hidden="1" x14ac:dyDescent="0.25">
      <c r="A1873" t="s">
        <v>213</v>
      </c>
      <c r="B1873" s="58" t="s">
        <v>377</v>
      </c>
      <c r="C1873" s="58" t="s">
        <v>379</v>
      </c>
      <c r="D1873" s="58" t="s">
        <v>378</v>
      </c>
      <c r="E1873" s="58">
        <v>3</v>
      </c>
      <c r="F1873">
        <v>30</v>
      </c>
      <c r="G1873">
        <v>310</v>
      </c>
      <c r="H1873">
        <v>46</v>
      </c>
      <c r="I1873" s="58"/>
      <c r="J1873" s="58"/>
      <c r="K1873" s="58"/>
      <c r="L1873" s="58"/>
      <c r="M1873" s="58">
        <v>85</v>
      </c>
      <c r="N1873" s="58"/>
    </row>
    <row r="1874" spans="1:14" hidden="1" x14ac:dyDescent="0.25">
      <c r="A1874" t="s">
        <v>213</v>
      </c>
      <c r="B1874" s="58" t="s">
        <v>377</v>
      </c>
      <c r="C1874" s="58" t="s">
        <v>379</v>
      </c>
      <c r="D1874" s="58" t="s">
        <v>378</v>
      </c>
      <c r="E1874" s="58">
        <v>3</v>
      </c>
      <c r="F1874">
        <v>30</v>
      </c>
      <c r="G1874">
        <v>320</v>
      </c>
      <c r="H1874">
        <v>46</v>
      </c>
      <c r="I1874" s="58"/>
      <c r="J1874" s="58"/>
      <c r="K1874" s="58"/>
      <c r="L1874" s="58"/>
      <c r="M1874" s="58">
        <v>85</v>
      </c>
      <c r="N1874" s="58"/>
    </row>
    <row r="1875" spans="1:14" hidden="1" x14ac:dyDescent="0.25">
      <c r="A1875" t="s">
        <v>213</v>
      </c>
      <c r="B1875" s="58" t="s">
        <v>377</v>
      </c>
      <c r="C1875" s="58" t="s">
        <v>379</v>
      </c>
      <c r="D1875" s="58" t="s">
        <v>378</v>
      </c>
      <c r="E1875" s="58">
        <v>3</v>
      </c>
      <c r="F1875">
        <v>30</v>
      </c>
      <c r="G1875">
        <v>330</v>
      </c>
      <c r="H1875">
        <v>46</v>
      </c>
      <c r="I1875" s="58"/>
      <c r="J1875" s="58"/>
      <c r="K1875" s="58"/>
      <c r="L1875" s="58"/>
      <c r="M1875" s="58">
        <v>85</v>
      </c>
      <c r="N1875" s="58"/>
    </row>
    <row r="1876" spans="1:14" hidden="1" x14ac:dyDescent="0.25">
      <c r="A1876" t="s">
        <v>213</v>
      </c>
      <c r="B1876" s="58" t="s">
        <v>377</v>
      </c>
      <c r="C1876" s="58" t="s">
        <v>379</v>
      </c>
      <c r="D1876" s="58" t="s">
        <v>378</v>
      </c>
      <c r="E1876" s="58">
        <v>3</v>
      </c>
      <c r="F1876">
        <v>30</v>
      </c>
      <c r="G1876">
        <v>340</v>
      </c>
      <c r="H1876">
        <v>46</v>
      </c>
      <c r="I1876" s="58"/>
      <c r="J1876" s="58"/>
      <c r="K1876" s="58"/>
      <c r="L1876" s="58"/>
      <c r="M1876" s="58">
        <v>85</v>
      </c>
      <c r="N1876" s="58"/>
    </row>
    <row r="1877" spans="1:14" hidden="1" x14ac:dyDescent="0.25">
      <c r="A1877" t="s">
        <v>213</v>
      </c>
      <c r="B1877" s="58" t="s">
        <v>377</v>
      </c>
      <c r="C1877" s="58" t="s">
        <v>379</v>
      </c>
      <c r="D1877" s="58" t="s">
        <v>378</v>
      </c>
      <c r="E1877" s="58">
        <v>3</v>
      </c>
      <c r="F1877">
        <v>30</v>
      </c>
      <c r="G1877">
        <v>350</v>
      </c>
      <c r="H1877">
        <v>46</v>
      </c>
      <c r="I1877" s="58"/>
      <c r="J1877" s="58"/>
      <c r="K1877" s="58"/>
      <c r="L1877" s="58"/>
      <c r="M1877" s="58">
        <v>85</v>
      </c>
      <c r="N1877" s="58"/>
    </row>
    <row r="1878" spans="1:14" hidden="1" x14ac:dyDescent="0.25">
      <c r="A1878" t="s">
        <v>213</v>
      </c>
      <c r="B1878" s="58" t="s">
        <v>377</v>
      </c>
      <c r="C1878" s="58" t="s">
        <v>379</v>
      </c>
      <c r="D1878" s="58" t="s">
        <v>378</v>
      </c>
      <c r="E1878" s="58">
        <v>3</v>
      </c>
      <c r="F1878">
        <v>30</v>
      </c>
      <c r="G1878">
        <v>360</v>
      </c>
      <c r="H1878">
        <v>46</v>
      </c>
      <c r="I1878" s="58"/>
      <c r="J1878" s="58"/>
      <c r="K1878" s="58"/>
      <c r="L1878" s="58"/>
      <c r="M1878" s="58">
        <v>85</v>
      </c>
      <c r="N1878" s="58"/>
    </row>
    <row r="1879" spans="1:14" hidden="1" x14ac:dyDescent="0.25">
      <c r="A1879" t="s">
        <v>213</v>
      </c>
      <c r="B1879" s="58" t="s">
        <v>377</v>
      </c>
      <c r="C1879" s="58" t="s">
        <v>379</v>
      </c>
      <c r="D1879" s="58" t="s">
        <v>378</v>
      </c>
      <c r="E1879" s="58">
        <v>3</v>
      </c>
      <c r="F1879">
        <v>30</v>
      </c>
      <c r="G1879">
        <v>380</v>
      </c>
      <c r="H1879">
        <v>46</v>
      </c>
      <c r="I1879" s="58"/>
      <c r="J1879" s="58"/>
      <c r="K1879" s="58"/>
      <c r="L1879" s="58"/>
      <c r="M1879" s="58">
        <v>85</v>
      </c>
      <c r="N1879" s="58"/>
    </row>
    <row r="1880" spans="1:14" hidden="1" x14ac:dyDescent="0.25">
      <c r="A1880" t="s">
        <v>213</v>
      </c>
      <c r="B1880" s="58" t="s">
        <v>377</v>
      </c>
      <c r="C1880" s="58" t="s">
        <v>379</v>
      </c>
      <c r="D1880" s="58" t="s">
        <v>378</v>
      </c>
      <c r="E1880" s="58">
        <v>3</v>
      </c>
      <c r="F1880">
        <v>33</v>
      </c>
      <c r="G1880">
        <v>100</v>
      </c>
      <c r="H1880">
        <v>46</v>
      </c>
      <c r="I1880" s="58"/>
      <c r="J1880" s="58"/>
      <c r="K1880" s="58"/>
      <c r="L1880" s="58"/>
      <c r="M1880" s="58">
        <v>72</v>
      </c>
      <c r="N1880" s="58"/>
    </row>
    <row r="1881" spans="1:14" hidden="1" x14ac:dyDescent="0.25">
      <c r="A1881" t="s">
        <v>213</v>
      </c>
      <c r="B1881" s="58" t="s">
        <v>377</v>
      </c>
      <c r="C1881" s="58" t="s">
        <v>379</v>
      </c>
      <c r="D1881" s="58" t="s">
        <v>378</v>
      </c>
      <c r="E1881" s="58">
        <v>3</v>
      </c>
      <c r="F1881">
        <v>33</v>
      </c>
      <c r="G1881">
        <v>110</v>
      </c>
      <c r="H1881">
        <v>46</v>
      </c>
      <c r="I1881" s="58"/>
      <c r="J1881" s="58"/>
      <c r="K1881" s="58"/>
      <c r="L1881" s="58"/>
      <c r="M1881" s="58">
        <v>72</v>
      </c>
      <c r="N1881" s="58"/>
    </row>
    <row r="1882" spans="1:14" hidden="1" x14ac:dyDescent="0.25">
      <c r="A1882" t="s">
        <v>213</v>
      </c>
      <c r="B1882" s="58" t="s">
        <v>377</v>
      </c>
      <c r="C1882" s="58" t="s">
        <v>379</v>
      </c>
      <c r="D1882" s="58" t="s">
        <v>378</v>
      </c>
      <c r="E1882" s="58">
        <v>3</v>
      </c>
      <c r="F1882">
        <v>33</v>
      </c>
      <c r="G1882">
        <v>120</v>
      </c>
      <c r="H1882">
        <v>46</v>
      </c>
      <c r="I1882" s="58"/>
      <c r="J1882" s="58"/>
      <c r="K1882" s="58"/>
      <c r="L1882" s="58"/>
      <c r="M1882" s="58">
        <v>72</v>
      </c>
      <c r="N1882" s="58"/>
    </row>
    <row r="1883" spans="1:14" hidden="1" x14ac:dyDescent="0.25">
      <c r="A1883" t="s">
        <v>213</v>
      </c>
      <c r="B1883" s="58" t="s">
        <v>377</v>
      </c>
      <c r="C1883" s="58" t="s">
        <v>379</v>
      </c>
      <c r="D1883" s="58" t="s">
        <v>378</v>
      </c>
      <c r="E1883" s="58">
        <v>3</v>
      </c>
      <c r="F1883">
        <v>33</v>
      </c>
      <c r="G1883">
        <v>130</v>
      </c>
      <c r="H1883">
        <v>46</v>
      </c>
      <c r="I1883" s="58"/>
      <c r="J1883" s="58"/>
      <c r="K1883" s="58"/>
      <c r="L1883" s="58"/>
      <c r="M1883" s="58">
        <v>78</v>
      </c>
      <c r="N1883" s="58"/>
    </row>
    <row r="1884" spans="1:14" hidden="1" x14ac:dyDescent="0.25">
      <c r="A1884" t="s">
        <v>213</v>
      </c>
      <c r="B1884" s="58" t="s">
        <v>377</v>
      </c>
      <c r="C1884" s="58" t="s">
        <v>379</v>
      </c>
      <c r="D1884" s="58" t="s">
        <v>378</v>
      </c>
      <c r="E1884" s="58">
        <v>3</v>
      </c>
      <c r="F1884">
        <v>33</v>
      </c>
      <c r="G1884">
        <v>140</v>
      </c>
      <c r="H1884">
        <v>46</v>
      </c>
      <c r="I1884" s="58"/>
      <c r="J1884" s="58"/>
      <c r="K1884" s="58"/>
      <c r="L1884" s="58"/>
      <c r="M1884" s="58">
        <v>78</v>
      </c>
      <c r="N1884" s="58"/>
    </row>
    <row r="1885" spans="1:14" hidden="1" x14ac:dyDescent="0.25">
      <c r="A1885" t="s">
        <v>213</v>
      </c>
      <c r="B1885" s="58" t="s">
        <v>377</v>
      </c>
      <c r="C1885" s="58" t="s">
        <v>379</v>
      </c>
      <c r="D1885" s="58" t="s">
        <v>378</v>
      </c>
      <c r="E1885" s="58">
        <v>3</v>
      </c>
      <c r="F1885">
        <v>33</v>
      </c>
      <c r="G1885">
        <v>150</v>
      </c>
      <c r="H1885">
        <v>46</v>
      </c>
      <c r="I1885" s="58"/>
      <c r="J1885" s="58"/>
      <c r="K1885" s="58"/>
      <c r="L1885" s="58"/>
      <c r="M1885" s="58">
        <v>78</v>
      </c>
      <c r="N1885" s="58"/>
    </row>
    <row r="1886" spans="1:14" hidden="1" x14ac:dyDescent="0.25">
      <c r="A1886" t="s">
        <v>213</v>
      </c>
      <c r="B1886" s="58" t="s">
        <v>377</v>
      </c>
      <c r="C1886" s="58" t="s">
        <v>379</v>
      </c>
      <c r="D1886" s="58" t="s">
        <v>378</v>
      </c>
      <c r="E1886" s="58">
        <v>3</v>
      </c>
      <c r="F1886">
        <v>33</v>
      </c>
      <c r="G1886">
        <v>160</v>
      </c>
      <c r="H1886">
        <v>46</v>
      </c>
      <c r="I1886" s="58"/>
      <c r="J1886" s="58"/>
      <c r="K1886" s="58"/>
      <c r="L1886" s="58"/>
      <c r="M1886" s="58">
        <v>78</v>
      </c>
      <c r="N1886" s="58"/>
    </row>
    <row r="1887" spans="1:14" hidden="1" x14ac:dyDescent="0.25">
      <c r="A1887" t="s">
        <v>213</v>
      </c>
      <c r="B1887" s="58" t="s">
        <v>377</v>
      </c>
      <c r="C1887" s="58" t="s">
        <v>379</v>
      </c>
      <c r="D1887" s="58" t="s">
        <v>378</v>
      </c>
      <c r="E1887" s="58">
        <v>3</v>
      </c>
      <c r="F1887">
        <v>33</v>
      </c>
      <c r="G1887">
        <v>170</v>
      </c>
      <c r="H1887">
        <v>46</v>
      </c>
      <c r="I1887" s="58"/>
      <c r="J1887" s="58"/>
      <c r="K1887" s="58"/>
      <c r="L1887" s="58"/>
      <c r="M1887" s="58">
        <v>78</v>
      </c>
      <c r="N1887" s="58"/>
    </row>
    <row r="1888" spans="1:14" hidden="1" x14ac:dyDescent="0.25">
      <c r="A1888" t="s">
        <v>213</v>
      </c>
      <c r="B1888" s="58" t="s">
        <v>377</v>
      </c>
      <c r="C1888" s="58" t="s">
        <v>379</v>
      </c>
      <c r="D1888" s="58" t="s">
        <v>378</v>
      </c>
      <c r="E1888" s="58">
        <v>3</v>
      </c>
      <c r="F1888">
        <v>33</v>
      </c>
      <c r="G1888">
        <v>180</v>
      </c>
      <c r="H1888">
        <v>46</v>
      </c>
      <c r="I1888" s="58"/>
      <c r="J1888" s="58"/>
      <c r="K1888" s="58"/>
      <c r="L1888" s="58"/>
      <c r="M1888" s="58">
        <v>78</v>
      </c>
      <c r="N1888" s="58"/>
    </row>
    <row r="1889" spans="1:14" hidden="1" x14ac:dyDescent="0.25">
      <c r="A1889" t="s">
        <v>213</v>
      </c>
      <c r="B1889" s="58" t="s">
        <v>377</v>
      </c>
      <c r="C1889" s="58" t="s">
        <v>379</v>
      </c>
      <c r="D1889" s="58" t="s">
        <v>378</v>
      </c>
      <c r="E1889" s="58">
        <v>3</v>
      </c>
      <c r="F1889">
        <v>33</v>
      </c>
      <c r="G1889">
        <v>190</v>
      </c>
      <c r="H1889">
        <v>46</v>
      </c>
      <c r="I1889" s="58"/>
      <c r="J1889" s="58"/>
      <c r="K1889" s="58"/>
      <c r="L1889" s="58"/>
      <c r="M1889" s="58">
        <v>78</v>
      </c>
      <c r="N1889" s="58"/>
    </row>
    <row r="1890" spans="1:14" hidden="1" x14ac:dyDescent="0.25">
      <c r="A1890" t="s">
        <v>213</v>
      </c>
      <c r="B1890" s="58" t="s">
        <v>377</v>
      </c>
      <c r="C1890" s="58" t="s">
        <v>379</v>
      </c>
      <c r="D1890" s="58" t="s">
        <v>378</v>
      </c>
      <c r="E1890" s="58">
        <v>3</v>
      </c>
      <c r="F1890">
        <v>33</v>
      </c>
      <c r="G1890">
        <v>200</v>
      </c>
      <c r="H1890">
        <v>46</v>
      </c>
      <c r="I1890" s="58"/>
      <c r="J1890" s="58"/>
      <c r="K1890" s="58"/>
      <c r="L1890" s="58"/>
      <c r="M1890" s="58">
        <v>78</v>
      </c>
      <c r="N1890" s="58"/>
    </row>
    <row r="1891" spans="1:14" hidden="1" x14ac:dyDescent="0.25">
      <c r="A1891" t="s">
        <v>213</v>
      </c>
      <c r="B1891" s="58" t="s">
        <v>377</v>
      </c>
      <c r="C1891" s="58" t="s">
        <v>379</v>
      </c>
      <c r="D1891" s="58" t="s">
        <v>378</v>
      </c>
      <c r="E1891" s="58">
        <v>3</v>
      </c>
      <c r="F1891">
        <v>33</v>
      </c>
      <c r="G1891">
        <v>210</v>
      </c>
      <c r="H1891">
        <v>46</v>
      </c>
      <c r="I1891" s="58"/>
      <c r="J1891" s="58"/>
      <c r="K1891" s="58"/>
      <c r="L1891" s="58"/>
      <c r="M1891" s="58">
        <v>91</v>
      </c>
      <c r="N1891" s="58"/>
    </row>
    <row r="1892" spans="1:14" hidden="1" x14ac:dyDescent="0.25">
      <c r="A1892" t="s">
        <v>213</v>
      </c>
      <c r="B1892" s="58" t="s">
        <v>377</v>
      </c>
      <c r="C1892" s="58" t="s">
        <v>379</v>
      </c>
      <c r="D1892" s="58" t="s">
        <v>378</v>
      </c>
      <c r="E1892" s="58">
        <v>3</v>
      </c>
      <c r="F1892">
        <v>33</v>
      </c>
      <c r="G1892">
        <v>220</v>
      </c>
      <c r="H1892">
        <v>46</v>
      </c>
      <c r="I1892" s="58"/>
      <c r="J1892" s="58"/>
      <c r="K1892" s="58"/>
      <c r="L1892" s="58"/>
      <c r="M1892" s="58">
        <v>91</v>
      </c>
      <c r="N1892" s="58"/>
    </row>
    <row r="1893" spans="1:14" hidden="1" x14ac:dyDescent="0.25">
      <c r="A1893" t="s">
        <v>213</v>
      </c>
      <c r="B1893" s="58" t="s">
        <v>377</v>
      </c>
      <c r="C1893" s="58" t="s">
        <v>379</v>
      </c>
      <c r="D1893" s="58" t="s">
        <v>378</v>
      </c>
      <c r="E1893" s="58">
        <v>3</v>
      </c>
      <c r="F1893">
        <v>33</v>
      </c>
      <c r="G1893">
        <v>240</v>
      </c>
      <c r="H1893">
        <v>46</v>
      </c>
      <c r="I1893" s="58"/>
      <c r="J1893" s="58"/>
      <c r="K1893" s="58"/>
      <c r="L1893" s="58"/>
      <c r="M1893" s="58">
        <v>91</v>
      </c>
      <c r="N1893" s="58"/>
    </row>
    <row r="1894" spans="1:14" hidden="1" x14ac:dyDescent="0.25">
      <c r="A1894" t="s">
        <v>213</v>
      </c>
      <c r="B1894" s="58" t="s">
        <v>377</v>
      </c>
      <c r="C1894" s="58" t="s">
        <v>379</v>
      </c>
      <c r="D1894" s="58" t="s">
        <v>378</v>
      </c>
      <c r="E1894" s="58">
        <v>3</v>
      </c>
      <c r="F1894">
        <v>33</v>
      </c>
      <c r="G1894">
        <v>260</v>
      </c>
      <c r="H1894">
        <v>46</v>
      </c>
      <c r="I1894" s="58"/>
      <c r="J1894" s="58"/>
      <c r="K1894" s="58"/>
      <c r="L1894" s="58"/>
      <c r="M1894" s="58">
        <v>91</v>
      </c>
      <c r="N1894" s="58"/>
    </row>
    <row r="1895" spans="1:14" hidden="1" x14ac:dyDescent="0.25">
      <c r="A1895" t="s">
        <v>213</v>
      </c>
      <c r="B1895" s="58" t="s">
        <v>377</v>
      </c>
      <c r="C1895" s="58" t="s">
        <v>379</v>
      </c>
      <c r="D1895" s="58" t="s">
        <v>378</v>
      </c>
      <c r="E1895" s="58">
        <v>3</v>
      </c>
      <c r="F1895">
        <v>33</v>
      </c>
      <c r="G1895">
        <v>280</v>
      </c>
      <c r="H1895">
        <v>46</v>
      </c>
      <c r="I1895" s="58"/>
      <c r="J1895" s="58"/>
      <c r="K1895" s="58"/>
      <c r="L1895" s="58"/>
      <c r="M1895" s="58">
        <v>91</v>
      </c>
      <c r="N1895" s="58"/>
    </row>
    <row r="1896" spans="1:14" hidden="1" x14ac:dyDescent="0.25">
      <c r="A1896" t="s">
        <v>213</v>
      </c>
      <c r="B1896" s="58" t="s">
        <v>377</v>
      </c>
      <c r="C1896" s="58" t="s">
        <v>379</v>
      </c>
      <c r="D1896" s="58" t="s">
        <v>378</v>
      </c>
      <c r="E1896" s="58">
        <v>3</v>
      </c>
      <c r="F1896">
        <v>33</v>
      </c>
      <c r="G1896">
        <v>300</v>
      </c>
      <c r="H1896">
        <v>46</v>
      </c>
      <c r="I1896" s="58"/>
      <c r="J1896" s="58"/>
      <c r="K1896" s="58"/>
      <c r="L1896" s="58"/>
      <c r="M1896" s="58">
        <v>91</v>
      </c>
      <c r="N1896" s="58"/>
    </row>
    <row r="1897" spans="1:14" hidden="1" x14ac:dyDescent="0.25">
      <c r="A1897" t="s">
        <v>213</v>
      </c>
      <c r="B1897" s="58" t="s">
        <v>377</v>
      </c>
      <c r="C1897" s="58" t="s">
        <v>379</v>
      </c>
      <c r="D1897" s="58" t="s">
        <v>378</v>
      </c>
      <c r="E1897" s="58">
        <v>3</v>
      </c>
      <c r="F1897">
        <v>36</v>
      </c>
      <c r="G1897">
        <v>110</v>
      </c>
      <c r="H1897">
        <v>46</v>
      </c>
      <c r="I1897" s="58"/>
      <c r="J1897" s="58"/>
      <c r="K1897" s="58"/>
      <c r="L1897" s="58"/>
      <c r="M1897" s="58">
        <v>78</v>
      </c>
      <c r="N1897" s="58"/>
    </row>
    <row r="1898" spans="1:14" hidden="1" x14ac:dyDescent="0.25">
      <c r="A1898" t="s">
        <v>213</v>
      </c>
      <c r="B1898" s="58" t="s">
        <v>377</v>
      </c>
      <c r="C1898" s="58" t="s">
        <v>379</v>
      </c>
      <c r="D1898" s="58" t="s">
        <v>378</v>
      </c>
      <c r="E1898" s="58">
        <v>3</v>
      </c>
      <c r="F1898">
        <v>36</v>
      </c>
      <c r="G1898">
        <v>120</v>
      </c>
      <c r="H1898">
        <v>55</v>
      </c>
      <c r="I1898" s="58"/>
      <c r="J1898" s="58"/>
      <c r="K1898" s="58"/>
      <c r="L1898" s="58"/>
      <c r="M1898" s="58">
        <v>78</v>
      </c>
      <c r="N1898" s="58"/>
    </row>
    <row r="1899" spans="1:14" hidden="1" x14ac:dyDescent="0.25">
      <c r="A1899" t="s">
        <v>213</v>
      </c>
      <c r="B1899" s="58" t="s">
        <v>377</v>
      </c>
      <c r="C1899" s="58" t="s">
        <v>379</v>
      </c>
      <c r="D1899" s="58" t="s">
        <v>378</v>
      </c>
      <c r="E1899" s="58">
        <v>3</v>
      </c>
      <c r="F1899">
        <v>36</v>
      </c>
      <c r="G1899">
        <v>130</v>
      </c>
      <c r="H1899">
        <v>55</v>
      </c>
      <c r="I1899" s="58"/>
      <c r="J1899" s="58"/>
      <c r="K1899" s="58"/>
      <c r="L1899" s="58"/>
      <c r="M1899" s="58">
        <v>84</v>
      </c>
      <c r="N1899" s="58"/>
    </row>
    <row r="1900" spans="1:14" hidden="1" x14ac:dyDescent="0.25">
      <c r="A1900" t="s">
        <v>213</v>
      </c>
      <c r="B1900" s="58" t="s">
        <v>377</v>
      </c>
      <c r="C1900" s="58" t="s">
        <v>379</v>
      </c>
      <c r="D1900" s="58" t="s">
        <v>378</v>
      </c>
      <c r="E1900" s="58">
        <v>3</v>
      </c>
      <c r="F1900">
        <v>36</v>
      </c>
      <c r="G1900">
        <v>140</v>
      </c>
      <c r="H1900">
        <v>55</v>
      </c>
      <c r="I1900" s="58"/>
      <c r="J1900" s="58"/>
      <c r="K1900" s="58"/>
      <c r="L1900" s="58"/>
      <c r="M1900" s="58">
        <v>84</v>
      </c>
      <c r="N1900" s="58"/>
    </row>
    <row r="1901" spans="1:14" hidden="1" x14ac:dyDescent="0.25">
      <c r="A1901" t="s">
        <v>213</v>
      </c>
      <c r="B1901" s="58" t="s">
        <v>377</v>
      </c>
      <c r="C1901" s="58" t="s">
        <v>379</v>
      </c>
      <c r="D1901" s="58" t="s">
        <v>378</v>
      </c>
      <c r="E1901" s="58">
        <v>3</v>
      </c>
      <c r="F1901">
        <v>36</v>
      </c>
      <c r="G1901">
        <v>150</v>
      </c>
      <c r="H1901">
        <v>55</v>
      </c>
      <c r="I1901" s="58"/>
      <c r="J1901" s="58"/>
      <c r="K1901" s="58"/>
      <c r="L1901" s="58"/>
      <c r="M1901" s="58">
        <v>84</v>
      </c>
      <c r="N1901" s="58"/>
    </row>
    <row r="1902" spans="1:14" hidden="1" x14ac:dyDescent="0.25">
      <c r="A1902" t="s">
        <v>213</v>
      </c>
      <c r="B1902" s="58" t="s">
        <v>377</v>
      </c>
      <c r="C1902" s="58" t="s">
        <v>379</v>
      </c>
      <c r="D1902" s="58" t="s">
        <v>378</v>
      </c>
      <c r="E1902" s="58">
        <v>3</v>
      </c>
      <c r="F1902">
        <v>36</v>
      </c>
      <c r="G1902">
        <v>160</v>
      </c>
      <c r="H1902">
        <v>55</v>
      </c>
      <c r="I1902" s="58"/>
      <c r="J1902" s="58"/>
      <c r="K1902" s="58"/>
      <c r="L1902" s="58"/>
      <c r="M1902" s="58">
        <v>84</v>
      </c>
      <c r="N1902" s="58"/>
    </row>
    <row r="1903" spans="1:14" hidden="1" x14ac:dyDescent="0.25">
      <c r="A1903" t="s">
        <v>213</v>
      </c>
      <c r="B1903" s="58" t="s">
        <v>377</v>
      </c>
      <c r="C1903" s="58" t="s">
        <v>379</v>
      </c>
      <c r="D1903" s="58" t="s">
        <v>378</v>
      </c>
      <c r="E1903" s="58">
        <v>3</v>
      </c>
      <c r="F1903">
        <v>36</v>
      </c>
      <c r="G1903">
        <v>170</v>
      </c>
      <c r="H1903">
        <v>55</v>
      </c>
      <c r="I1903" s="58"/>
      <c r="J1903" s="58"/>
      <c r="K1903" s="58"/>
      <c r="L1903" s="58"/>
      <c r="M1903" s="58">
        <v>84</v>
      </c>
      <c r="N1903" s="58"/>
    </row>
    <row r="1904" spans="1:14" hidden="1" x14ac:dyDescent="0.25">
      <c r="A1904" t="s">
        <v>213</v>
      </c>
      <c r="B1904" s="58" t="s">
        <v>377</v>
      </c>
      <c r="C1904" s="58" t="s">
        <v>379</v>
      </c>
      <c r="D1904" s="58" t="s">
        <v>378</v>
      </c>
      <c r="E1904" s="58">
        <v>3</v>
      </c>
      <c r="F1904">
        <v>36</v>
      </c>
      <c r="G1904">
        <v>180</v>
      </c>
      <c r="H1904">
        <v>55</v>
      </c>
      <c r="I1904" s="58"/>
      <c r="J1904" s="58"/>
      <c r="K1904" s="58"/>
      <c r="L1904" s="58"/>
      <c r="M1904" s="58">
        <v>84</v>
      </c>
      <c r="N1904" s="58"/>
    </row>
    <row r="1905" spans="1:14" hidden="1" x14ac:dyDescent="0.25">
      <c r="A1905" t="s">
        <v>213</v>
      </c>
      <c r="B1905" s="58" t="s">
        <v>377</v>
      </c>
      <c r="C1905" s="58" t="s">
        <v>379</v>
      </c>
      <c r="D1905" s="58" t="s">
        <v>378</v>
      </c>
      <c r="E1905" s="58">
        <v>3</v>
      </c>
      <c r="F1905">
        <v>36</v>
      </c>
      <c r="G1905">
        <v>190</v>
      </c>
      <c r="H1905">
        <v>55</v>
      </c>
      <c r="I1905" s="58"/>
      <c r="J1905" s="58"/>
      <c r="K1905" s="58"/>
      <c r="L1905" s="58"/>
      <c r="M1905" s="58">
        <v>84</v>
      </c>
      <c r="N1905" s="58"/>
    </row>
    <row r="1906" spans="1:14" hidden="1" x14ac:dyDescent="0.25">
      <c r="A1906" t="s">
        <v>213</v>
      </c>
      <c r="B1906" s="58" t="s">
        <v>377</v>
      </c>
      <c r="C1906" s="58" t="s">
        <v>379</v>
      </c>
      <c r="D1906" s="58" t="s">
        <v>378</v>
      </c>
      <c r="E1906" s="58">
        <v>3</v>
      </c>
      <c r="F1906">
        <v>36</v>
      </c>
      <c r="G1906">
        <v>200</v>
      </c>
      <c r="H1906">
        <v>55</v>
      </c>
      <c r="I1906" s="58"/>
      <c r="J1906" s="58"/>
      <c r="K1906" s="58"/>
      <c r="L1906" s="58"/>
      <c r="M1906" s="58">
        <v>84</v>
      </c>
      <c r="N1906" s="58"/>
    </row>
    <row r="1907" spans="1:14" hidden="1" x14ac:dyDescent="0.25">
      <c r="A1907" t="s">
        <v>213</v>
      </c>
      <c r="B1907" s="58" t="s">
        <v>377</v>
      </c>
      <c r="C1907" s="58" t="s">
        <v>379</v>
      </c>
      <c r="D1907" s="58" t="s">
        <v>378</v>
      </c>
      <c r="E1907" s="58">
        <v>3</v>
      </c>
      <c r="F1907">
        <v>36</v>
      </c>
      <c r="G1907">
        <v>210</v>
      </c>
      <c r="H1907">
        <v>55</v>
      </c>
      <c r="I1907" s="58"/>
      <c r="J1907" s="58"/>
      <c r="K1907" s="58"/>
      <c r="L1907" s="58"/>
      <c r="M1907" s="58">
        <v>97</v>
      </c>
      <c r="N1907" s="58"/>
    </row>
    <row r="1908" spans="1:14" hidden="1" x14ac:dyDescent="0.25">
      <c r="A1908" t="s">
        <v>213</v>
      </c>
      <c r="B1908" s="58" t="s">
        <v>377</v>
      </c>
      <c r="C1908" s="58" t="s">
        <v>379</v>
      </c>
      <c r="D1908" s="58" t="s">
        <v>378</v>
      </c>
      <c r="E1908" s="58">
        <v>3</v>
      </c>
      <c r="F1908">
        <v>36</v>
      </c>
      <c r="G1908">
        <v>220</v>
      </c>
      <c r="H1908">
        <v>55</v>
      </c>
      <c r="I1908" s="58"/>
      <c r="J1908" s="58"/>
      <c r="K1908" s="58"/>
      <c r="L1908" s="58"/>
      <c r="M1908" s="58">
        <v>97</v>
      </c>
      <c r="N1908" s="58"/>
    </row>
    <row r="1909" spans="1:14" hidden="1" x14ac:dyDescent="0.25">
      <c r="A1909" t="s">
        <v>213</v>
      </c>
      <c r="B1909" s="58" t="s">
        <v>377</v>
      </c>
      <c r="C1909" s="58" t="s">
        <v>379</v>
      </c>
      <c r="D1909" s="58" t="s">
        <v>378</v>
      </c>
      <c r="E1909" s="58">
        <v>3</v>
      </c>
      <c r="F1909">
        <v>36</v>
      </c>
      <c r="G1909">
        <v>230</v>
      </c>
      <c r="H1909">
        <v>55</v>
      </c>
      <c r="I1909" s="58"/>
      <c r="J1909" s="58"/>
      <c r="K1909" s="58"/>
      <c r="L1909" s="58"/>
      <c r="M1909" s="58">
        <v>97</v>
      </c>
      <c r="N1909" s="58"/>
    </row>
    <row r="1910" spans="1:14" hidden="1" x14ac:dyDescent="0.25">
      <c r="A1910" t="s">
        <v>213</v>
      </c>
      <c r="B1910" s="58" t="s">
        <v>377</v>
      </c>
      <c r="C1910" s="58" t="s">
        <v>379</v>
      </c>
      <c r="D1910" s="58" t="s">
        <v>378</v>
      </c>
      <c r="E1910" s="58">
        <v>3</v>
      </c>
      <c r="F1910">
        <v>36</v>
      </c>
      <c r="G1910">
        <v>240</v>
      </c>
      <c r="H1910">
        <v>55</v>
      </c>
      <c r="I1910" s="58"/>
      <c r="J1910" s="58"/>
      <c r="K1910" s="58"/>
      <c r="L1910" s="58"/>
      <c r="M1910" s="58">
        <v>97</v>
      </c>
      <c r="N1910" s="58"/>
    </row>
    <row r="1911" spans="1:14" hidden="1" x14ac:dyDescent="0.25">
      <c r="A1911" t="s">
        <v>213</v>
      </c>
      <c r="B1911" s="58" t="s">
        <v>377</v>
      </c>
      <c r="C1911" s="58" t="s">
        <v>379</v>
      </c>
      <c r="D1911" s="58" t="s">
        <v>378</v>
      </c>
      <c r="E1911" s="58">
        <v>3</v>
      </c>
      <c r="F1911">
        <v>36</v>
      </c>
      <c r="G1911">
        <v>250</v>
      </c>
      <c r="H1911">
        <v>55</v>
      </c>
      <c r="I1911" s="58"/>
      <c r="J1911" s="58"/>
      <c r="K1911" s="58"/>
      <c r="L1911" s="58"/>
      <c r="M1911" s="58">
        <v>97</v>
      </c>
      <c r="N1911" s="58"/>
    </row>
    <row r="1912" spans="1:14" hidden="1" x14ac:dyDescent="0.25">
      <c r="A1912" t="s">
        <v>213</v>
      </c>
      <c r="B1912" s="58" t="s">
        <v>377</v>
      </c>
      <c r="C1912" s="58" t="s">
        <v>379</v>
      </c>
      <c r="D1912" s="58" t="s">
        <v>378</v>
      </c>
      <c r="E1912" s="58">
        <v>3</v>
      </c>
      <c r="F1912">
        <v>36</v>
      </c>
      <c r="G1912">
        <v>260</v>
      </c>
      <c r="H1912">
        <v>55</v>
      </c>
      <c r="I1912" s="58"/>
      <c r="J1912" s="58"/>
      <c r="K1912" s="58"/>
      <c r="L1912" s="58"/>
      <c r="M1912" s="58">
        <v>97</v>
      </c>
      <c r="N1912" s="58"/>
    </row>
    <row r="1913" spans="1:14" hidden="1" x14ac:dyDescent="0.25">
      <c r="A1913" t="s">
        <v>213</v>
      </c>
      <c r="B1913" s="58" t="s">
        <v>377</v>
      </c>
      <c r="C1913" s="58" t="s">
        <v>379</v>
      </c>
      <c r="D1913" s="58" t="s">
        <v>378</v>
      </c>
      <c r="E1913" s="58">
        <v>3</v>
      </c>
      <c r="F1913">
        <v>36</v>
      </c>
      <c r="G1913">
        <v>270</v>
      </c>
      <c r="H1913">
        <v>55</v>
      </c>
      <c r="I1913" s="58"/>
      <c r="J1913" s="58"/>
      <c r="K1913" s="58"/>
      <c r="L1913" s="58"/>
      <c r="M1913" s="58">
        <v>97</v>
      </c>
      <c r="N1913" s="58"/>
    </row>
    <row r="1914" spans="1:14" hidden="1" x14ac:dyDescent="0.25">
      <c r="A1914" t="s">
        <v>213</v>
      </c>
      <c r="B1914" s="58" t="s">
        <v>377</v>
      </c>
      <c r="C1914" s="58" t="s">
        <v>379</v>
      </c>
      <c r="D1914" s="58" t="s">
        <v>378</v>
      </c>
      <c r="E1914" s="58">
        <v>3</v>
      </c>
      <c r="F1914">
        <v>36</v>
      </c>
      <c r="G1914">
        <v>280</v>
      </c>
      <c r="H1914">
        <v>55</v>
      </c>
      <c r="I1914" s="58"/>
      <c r="J1914" s="58"/>
      <c r="K1914" s="58"/>
      <c r="L1914" s="58"/>
      <c r="M1914" s="58">
        <v>97</v>
      </c>
      <c r="N1914" s="58"/>
    </row>
    <row r="1915" spans="1:14" hidden="1" x14ac:dyDescent="0.25">
      <c r="A1915" t="s">
        <v>213</v>
      </c>
      <c r="B1915" s="58" t="s">
        <v>377</v>
      </c>
      <c r="C1915" s="58" t="s">
        <v>379</v>
      </c>
      <c r="D1915" s="58" t="s">
        <v>378</v>
      </c>
      <c r="E1915" s="58">
        <v>3</v>
      </c>
      <c r="F1915">
        <v>36</v>
      </c>
      <c r="G1915">
        <v>300</v>
      </c>
      <c r="H1915">
        <v>55</v>
      </c>
      <c r="I1915" s="58"/>
      <c r="J1915" s="58"/>
      <c r="K1915" s="58"/>
      <c r="L1915" s="58"/>
      <c r="M1915" s="58">
        <v>97</v>
      </c>
      <c r="N1915" s="58"/>
    </row>
    <row r="1916" spans="1:14" hidden="1" x14ac:dyDescent="0.25">
      <c r="A1916" t="s">
        <v>213</v>
      </c>
      <c r="B1916" s="58" t="s">
        <v>377</v>
      </c>
      <c r="C1916" s="58" t="s">
        <v>379</v>
      </c>
      <c r="D1916" s="58" t="s">
        <v>378</v>
      </c>
      <c r="E1916" s="58">
        <v>3</v>
      </c>
      <c r="F1916">
        <v>36</v>
      </c>
      <c r="G1916">
        <v>320</v>
      </c>
      <c r="H1916">
        <v>55</v>
      </c>
      <c r="I1916" s="58"/>
      <c r="J1916" s="58"/>
      <c r="K1916" s="58"/>
      <c r="L1916" s="58"/>
      <c r="M1916" s="58">
        <v>97</v>
      </c>
      <c r="N1916" s="58"/>
    </row>
    <row r="1917" spans="1:14" hidden="1" x14ac:dyDescent="0.25">
      <c r="A1917" t="s">
        <v>213</v>
      </c>
      <c r="B1917" s="58" t="s">
        <v>377</v>
      </c>
      <c r="C1917" s="58" t="s">
        <v>379</v>
      </c>
      <c r="D1917" s="58" t="s">
        <v>378</v>
      </c>
      <c r="E1917" s="58">
        <v>3</v>
      </c>
      <c r="F1917">
        <v>36</v>
      </c>
      <c r="G1917">
        <v>360</v>
      </c>
      <c r="H1917">
        <v>55</v>
      </c>
      <c r="I1917" s="58"/>
      <c r="J1917" s="58"/>
      <c r="K1917" s="58"/>
      <c r="L1917" s="58"/>
      <c r="M1917" s="58">
        <v>97</v>
      </c>
      <c r="N1917" s="58"/>
    </row>
    <row r="1918" spans="1:14" hidden="1" x14ac:dyDescent="0.25">
      <c r="A1918" t="s">
        <v>213</v>
      </c>
      <c r="B1918" s="58" t="s">
        <v>377</v>
      </c>
      <c r="C1918" s="58" t="s">
        <v>379</v>
      </c>
      <c r="D1918" s="58" t="s">
        <v>378</v>
      </c>
      <c r="E1918" s="58">
        <v>3</v>
      </c>
      <c r="F1918">
        <v>36</v>
      </c>
      <c r="G1918">
        <v>400</v>
      </c>
      <c r="H1918">
        <v>55</v>
      </c>
      <c r="I1918" s="58"/>
      <c r="J1918" s="58"/>
      <c r="K1918" s="58"/>
      <c r="L1918" s="58"/>
      <c r="M1918" s="58">
        <v>97</v>
      </c>
      <c r="N1918" s="58"/>
    </row>
    <row r="1919" spans="1:14" hidden="1" x14ac:dyDescent="0.25">
      <c r="A1919" t="s">
        <v>213</v>
      </c>
      <c r="B1919" s="58" t="s">
        <v>377</v>
      </c>
      <c r="C1919" s="58" t="s">
        <v>379</v>
      </c>
      <c r="D1919" s="58" t="s">
        <v>378</v>
      </c>
      <c r="E1919" s="58">
        <v>3</v>
      </c>
      <c r="F1919">
        <v>39</v>
      </c>
      <c r="G1919">
        <v>120</v>
      </c>
      <c r="H1919">
        <v>60</v>
      </c>
      <c r="I1919" s="58"/>
      <c r="J1919" s="58"/>
      <c r="K1919" s="58"/>
      <c r="L1919" s="58"/>
      <c r="M1919" s="58">
        <v>84</v>
      </c>
      <c r="N1919" s="58"/>
    </row>
    <row r="1920" spans="1:14" hidden="1" x14ac:dyDescent="0.25">
      <c r="A1920" t="s">
        <v>213</v>
      </c>
      <c r="B1920" s="58" t="s">
        <v>377</v>
      </c>
      <c r="C1920" s="58" t="s">
        <v>379</v>
      </c>
      <c r="D1920" s="58" t="s">
        <v>378</v>
      </c>
      <c r="E1920" s="58">
        <v>3</v>
      </c>
      <c r="F1920">
        <v>39</v>
      </c>
      <c r="G1920">
        <v>130</v>
      </c>
      <c r="H1920">
        <v>60</v>
      </c>
      <c r="I1920" s="58"/>
      <c r="J1920" s="58"/>
      <c r="K1920" s="58"/>
      <c r="L1920" s="58"/>
      <c r="M1920" s="58">
        <v>84</v>
      </c>
      <c r="N1920" s="58"/>
    </row>
    <row r="1921" spans="1:14" hidden="1" x14ac:dyDescent="0.25">
      <c r="A1921" t="s">
        <v>213</v>
      </c>
      <c r="B1921" s="58" t="s">
        <v>377</v>
      </c>
      <c r="C1921" s="58" t="s">
        <v>379</v>
      </c>
      <c r="D1921" s="58" t="s">
        <v>378</v>
      </c>
      <c r="E1921" s="58">
        <v>3</v>
      </c>
      <c r="F1921">
        <v>39</v>
      </c>
      <c r="G1921">
        <v>140</v>
      </c>
      <c r="H1921">
        <v>60</v>
      </c>
      <c r="I1921" s="58"/>
      <c r="J1921" s="58"/>
      <c r="K1921" s="58"/>
      <c r="L1921" s="58"/>
      <c r="M1921" s="58">
        <v>90</v>
      </c>
      <c r="N1921" s="58"/>
    </row>
    <row r="1922" spans="1:14" hidden="1" x14ac:dyDescent="0.25">
      <c r="A1922" t="s">
        <v>213</v>
      </c>
      <c r="B1922" s="58" t="s">
        <v>377</v>
      </c>
      <c r="C1922" s="58" t="s">
        <v>379</v>
      </c>
      <c r="D1922" s="58" t="s">
        <v>378</v>
      </c>
      <c r="E1922" s="58">
        <v>3</v>
      </c>
      <c r="F1922">
        <v>39</v>
      </c>
      <c r="G1922">
        <v>150</v>
      </c>
      <c r="H1922">
        <v>60</v>
      </c>
      <c r="I1922" s="58"/>
      <c r="J1922" s="58"/>
      <c r="K1922" s="58"/>
      <c r="L1922" s="58"/>
      <c r="M1922" s="58">
        <v>90</v>
      </c>
      <c r="N1922" s="58"/>
    </row>
    <row r="1923" spans="1:14" hidden="1" x14ac:dyDescent="0.25">
      <c r="A1923" t="s">
        <v>213</v>
      </c>
      <c r="B1923" s="58" t="s">
        <v>377</v>
      </c>
      <c r="C1923" s="58" t="s">
        <v>379</v>
      </c>
      <c r="D1923" s="58" t="s">
        <v>378</v>
      </c>
      <c r="E1923" s="58">
        <v>3</v>
      </c>
      <c r="F1923">
        <v>39</v>
      </c>
      <c r="G1923">
        <v>160</v>
      </c>
      <c r="H1923">
        <v>60</v>
      </c>
      <c r="I1923" s="58"/>
      <c r="J1923" s="58"/>
      <c r="K1923" s="58"/>
      <c r="L1923" s="58"/>
      <c r="M1923" s="58">
        <v>90</v>
      </c>
      <c r="N1923" s="58"/>
    </row>
    <row r="1924" spans="1:14" hidden="1" x14ac:dyDescent="0.25">
      <c r="A1924" t="s">
        <v>213</v>
      </c>
      <c r="B1924" s="58" t="s">
        <v>377</v>
      </c>
      <c r="C1924" s="58" t="s">
        <v>379</v>
      </c>
      <c r="D1924" s="58" t="s">
        <v>378</v>
      </c>
      <c r="E1924" s="58">
        <v>3</v>
      </c>
      <c r="F1924">
        <v>39</v>
      </c>
      <c r="G1924">
        <v>170</v>
      </c>
      <c r="H1924">
        <v>60</v>
      </c>
      <c r="I1924" s="58"/>
      <c r="J1924" s="58"/>
      <c r="K1924" s="58"/>
      <c r="L1924" s="58"/>
      <c r="M1924" s="58">
        <v>90</v>
      </c>
      <c r="N1924" s="58"/>
    </row>
    <row r="1925" spans="1:14" hidden="1" x14ac:dyDescent="0.25">
      <c r="A1925" t="s">
        <v>213</v>
      </c>
      <c r="B1925" s="58" t="s">
        <v>377</v>
      </c>
      <c r="C1925" s="58" t="s">
        <v>379</v>
      </c>
      <c r="D1925" s="58" t="s">
        <v>378</v>
      </c>
      <c r="E1925" s="58">
        <v>3</v>
      </c>
      <c r="F1925">
        <v>39</v>
      </c>
      <c r="G1925">
        <v>180</v>
      </c>
      <c r="H1925">
        <v>60</v>
      </c>
      <c r="I1925" s="58"/>
      <c r="J1925" s="58"/>
      <c r="K1925" s="58"/>
      <c r="L1925" s="58"/>
      <c r="M1925" s="58">
        <v>90</v>
      </c>
      <c r="N1925" s="58"/>
    </row>
    <row r="1926" spans="1:14" hidden="1" x14ac:dyDescent="0.25">
      <c r="A1926" t="s">
        <v>213</v>
      </c>
      <c r="B1926" s="58" t="s">
        <v>377</v>
      </c>
      <c r="C1926" s="58" t="s">
        <v>379</v>
      </c>
      <c r="D1926" s="58" t="s">
        <v>378</v>
      </c>
      <c r="E1926" s="58">
        <v>3</v>
      </c>
      <c r="F1926">
        <v>39</v>
      </c>
      <c r="G1926">
        <v>190</v>
      </c>
      <c r="H1926">
        <v>60</v>
      </c>
      <c r="I1926" s="58"/>
      <c r="J1926" s="58"/>
      <c r="K1926" s="58"/>
      <c r="L1926" s="58"/>
      <c r="M1926" s="58">
        <v>90</v>
      </c>
      <c r="N1926" s="58"/>
    </row>
    <row r="1927" spans="1:14" hidden="1" x14ac:dyDescent="0.25">
      <c r="A1927" t="s">
        <v>213</v>
      </c>
      <c r="B1927" s="58" t="s">
        <v>377</v>
      </c>
      <c r="C1927" s="58" t="s">
        <v>379</v>
      </c>
      <c r="D1927" s="58" t="s">
        <v>378</v>
      </c>
      <c r="E1927" s="58">
        <v>3</v>
      </c>
      <c r="F1927">
        <v>39</v>
      </c>
      <c r="G1927">
        <v>200</v>
      </c>
      <c r="H1927">
        <v>60</v>
      </c>
      <c r="I1927" s="58"/>
      <c r="J1927" s="58"/>
      <c r="K1927" s="58"/>
      <c r="L1927" s="58"/>
      <c r="M1927" s="58">
        <v>90</v>
      </c>
      <c r="N1927" s="58"/>
    </row>
    <row r="1928" spans="1:14" hidden="1" x14ac:dyDescent="0.25">
      <c r="A1928" t="s">
        <v>213</v>
      </c>
      <c r="B1928" s="58" t="s">
        <v>377</v>
      </c>
      <c r="C1928" s="58" t="s">
        <v>379</v>
      </c>
      <c r="D1928" s="58" t="s">
        <v>378</v>
      </c>
      <c r="E1928" s="58">
        <v>3</v>
      </c>
      <c r="F1928">
        <v>39</v>
      </c>
      <c r="G1928">
        <v>210</v>
      </c>
      <c r="H1928">
        <v>60</v>
      </c>
      <c r="I1928" s="58"/>
      <c r="J1928" s="58"/>
      <c r="K1928" s="58"/>
      <c r="L1928" s="58"/>
      <c r="M1928" s="58">
        <v>103</v>
      </c>
      <c r="N1928" s="58"/>
    </row>
    <row r="1929" spans="1:14" hidden="1" x14ac:dyDescent="0.25">
      <c r="A1929" t="s">
        <v>213</v>
      </c>
      <c r="B1929" s="58" t="s">
        <v>377</v>
      </c>
      <c r="C1929" s="58" t="s">
        <v>379</v>
      </c>
      <c r="D1929" s="58" t="s">
        <v>378</v>
      </c>
      <c r="E1929" s="58">
        <v>3</v>
      </c>
      <c r="F1929">
        <v>39</v>
      </c>
      <c r="G1929">
        <v>220</v>
      </c>
      <c r="H1929">
        <v>60</v>
      </c>
      <c r="I1929" s="58"/>
      <c r="J1929" s="58"/>
      <c r="K1929" s="58"/>
      <c r="L1929" s="58"/>
      <c r="M1929" s="58">
        <v>103</v>
      </c>
      <c r="N1929" s="58"/>
    </row>
    <row r="1930" spans="1:14" hidden="1" x14ac:dyDescent="0.25">
      <c r="A1930" t="s">
        <v>213</v>
      </c>
      <c r="B1930" s="58" t="s">
        <v>377</v>
      </c>
      <c r="C1930" s="58" t="s">
        <v>379</v>
      </c>
      <c r="D1930" s="58" t="s">
        <v>378</v>
      </c>
      <c r="E1930" s="58">
        <v>3</v>
      </c>
      <c r="F1930">
        <v>39</v>
      </c>
      <c r="G1930">
        <v>230</v>
      </c>
      <c r="H1930">
        <v>60</v>
      </c>
      <c r="I1930" s="58"/>
      <c r="J1930" s="58"/>
      <c r="K1930" s="58"/>
      <c r="L1930" s="58"/>
      <c r="M1930" s="58">
        <v>103</v>
      </c>
      <c r="N1930" s="58"/>
    </row>
    <row r="1931" spans="1:14" hidden="1" x14ac:dyDescent="0.25">
      <c r="A1931" t="s">
        <v>213</v>
      </c>
      <c r="B1931" s="58" t="s">
        <v>377</v>
      </c>
      <c r="C1931" s="58" t="s">
        <v>379</v>
      </c>
      <c r="D1931" s="58" t="s">
        <v>378</v>
      </c>
      <c r="E1931" s="58">
        <v>3</v>
      </c>
      <c r="F1931">
        <v>39</v>
      </c>
      <c r="G1931">
        <v>240</v>
      </c>
      <c r="H1931">
        <v>60</v>
      </c>
      <c r="I1931" s="58"/>
      <c r="J1931" s="58"/>
      <c r="K1931" s="58"/>
      <c r="L1931" s="58"/>
      <c r="M1931" s="58">
        <v>103</v>
      </c>
      <c r="N1931" s="58"/>
    </row>
    <row r="1932" spans="1:14" hidden="1" x14ac:dyDescent="0.25">
      <c r="A1932" t="s">
        <v>213</v>
      </c>
      <c r="B1932" s="58" t="s">
        <v>377</v>
      </c>
      <c r="C1932" s="58" t="s">
        <v>379</v>
      </c>
      <c r="D1932" s="58" t="s">
        <v>378</v>
      </c>
      <c r="E1932" s="58">
        <v>3</v>
      </c>
      <c r="F1932">
        <v>39</v>
      </c>
      <c r="G1932">
        <v>250</v>
      </c>
      <c r="H1932">
        <v>60</v>
      </c>
      <c r="I1932" s="58"/>
      <c r="J1932" s="58"/>
      <c r="K1932" s="58"/>
      <c r="L1932" s="58"/>
      <c r="M1932" s="58">
        <v>103</v>
      </c>
      <c r="N1932" s="58"/>
    </row>
    <row r="1933" spans="1:14" hidden="1" x14ac:dyDescent="0.25">
      <c r="A1933" t="s">
        <v>213</v>
      </c>
      <c r="B1933" s="58" t="s">
        <v>377</v>
      </c>
      <c r="C1933" s="58" t="s">
        <v>379</v>
      </c>
      <c r="D1933" s="58" t="s">
        <v>378</v>
      </c>
      <c r="E1933" s="58">
        <v>3</v>
      </c>
      <c r="F1933">
        <v>39</v>
      </c>
      <c r="G1933">
        <v>260</v>
      </c>
      <c r="H1933">
        <v>60</v>
      </c>
      <c r="I1933" s="58"/>
      <c r="J1933" s="58"/>
      <c r="K1933" s="58"/>
      <c r="L1933" s="58"/>
      <c r="M1933" s="58">
        <v>103</v>
      </c>
      <c r="N1933" s="58"/>
    </row>
    <row r="1934" spans="1:14" hidden="1" x14ac:dyDescent="0.25">
      <c r="A1934" t="s">
        <v>213</v>
      </c>
      <c r="B1934" s="58" t="s">
        <v>377</v>
      </c>
      <c r="C1934" s="58" t="s">
        <v>379</v>
      </c>
      <c r="D1934" s="58" t="s">
        <v>378</v>
      </c>
      <c r="E1934" s="58">
        <v>3</v>
      </c>
      <c r="F1934">
        <v>39</v>
      </c>
      <c r="G1934">
        <v>280</v>
      </c>
      <c r="H1934">
        <v>60</v>
      </c>
      <c r="I1934" s="58"/>
      <c r="J1934" s="58"/>
      <c r="K1934" s="58"/>
      <c r="L1934" s="58"/>
      <c r="M1934" s="58">
        <v>103</v>
      </c>
      <c r="N1934" s="58"/>
    </row>
    <row r="1935" spans="1:14" x14ac:dyDescent="0.25">
      <c r="A1935" t="s">
        <v>346</v>
      </c>
      <c r="B1935" s="68" t="s">
        <v>193</v>
      </c>
      <c r="C1935" s="68" t="s">
        <v>212</v>
      </c>
      <c r="D1935" s="68" t="s">
        <v>350</v>
      </c>
      <c r="E1935" s="68">
        <v>2</v>
      </c>
      <c r="F1935">
        <v>20</v>
      </c>
      <c r="G1935">
        <v>1000</v>
      </c>
      <c r="H1935">
        <v>20</v>
      </c>
      <c r="I1935" s="68">
        <v>340</v>
      </c>
      <c r="J1935" s="68">
        <v>0</v>
      </c>
      <c r="K1935" s="68">
        <v>0</v>
      </c>
      <c r="L1935" s="68">
        <v>0</v>
      </c>
      <c r="M1935" s="68"/>
      <c r="N1935" s="68"/>
    </row>
    <row r="1936" spans="1:14" x14ac:dyDescent="0.25">
      <c r="A1936" t="s">
        <v>346</v>
      </c>
      <c r="B1936" s="68" t="s">
        <v>193</v>
      </c>
      <c r="C1936" s="68" t="s">
        <v>212</v>
      </c>
      <c r="D1936" s="68" t="s">
        <v>350</v>
      </c>
      <c r="E1936" s="68">
        <v>2</v>
      </c>
      <c r="F1936">
        <v>20</v>
      </c>
      <c r="G1936">
        <v>400</v>
      </c>
      <c r="H1936">
        <v>20</v>
      </c>
      <c r="I1936" s="68">
        <v>340</v>
      </c>
      <c r="J1936" s="68">
        <v>0</v>
      </c>
      <c r="K1936" s="68">
        <v>0</v>
      </c>
      <c r="L1936" s="68">
        <v>0</v>
      </c>
      <c r="M1936" s="68"/>
      <c r="N1936" s="68"/>
    </row>
    <row r="1937" spans="1:14" x14ac:dyDescent="0.25">
      <c r="A1937" t="s">
        <v>346</v>
      </c>
      <c r="B1937" s="68" t="s">
        <v>193</v>
      </c>
      <c r="C1937" s="68" t="s">
        <v>212</v>
      </c>
      <c r="D1937" s="68" t="s">
        <v>350</v>
      </c>
      <c r="E1937" s="68">
        <v>2</v>
      </c>
      <c r="F1937">
        <v>20</v>
      </c>
      <c r="G1937">
        <v>360</v>
      </c>
      <c r="H1937">
        <v>20</v>
      </c>
      <c r="I1937" s="68">
        <v>340</v>
      </c>
      <c r="J1937" s="68">
        <v>0</v>
      </c>
      <c r="K1937" s="68">
        <v>0</v>
      </c>
      <c r="L1937" s="68">
        <v>0</v>
      </c>
      <c r="M1937" s="68"/>
      <c r="N1937" s="68"/>
    </row>
    <row r="1938" spans="1:14" x14ac:dyDescent="0.25">
      <c r="A1938" t="s">
        <v>346</v>
      </c>
      <c r="B1938" s="68" t="s">
        <v>193</v>
      </c>
      <c r="C1938" s="68" t="s">
        <v>212</v>
      </c>
      <c r="D1938" s="68" t="s">
        <v>350</v>
      </c>
      <c r="E1938" s="68">
        <v>2</v>
      </c>
      <c r="F1938">
        <v>20</v>
      </c>
      <c r="G1938">
        <v>320</v>
      </c>
      <c r="H1938">
        <v>20</v>
      </c>
      <c r="I1938" s="68">
        <v>340</v>
      </c>
      <c r="J1938" s="68">
        <v>0</v>
      </c>
      <c r="K1938" s="68">
        <v>0</v>
      </c>
      <c r="L1938" s="68">
        <v>0</v>
      </c>
      <c r="M1938" s="68"/>
      <c r="N1938" s="68"/>
    </row>
    <row r="1939" spans="1:14" x14ac:dyDescent="0.25">
      <c r="A1939" t="s">
        <v>346</v>
      </c>
      <c r="B1939" s="68" t="s">
        <v>193</v>
      </c>
      <c r="C1939" s="68" t="s">
        <v>212</v>
      </c>
      <c r="D1939" s="68" t="s">
        <v>350</v>
      </c>
      <c r="E1939" s="68">
        <v>2</v>
      </c>
      <c r="F1939">
        <v>20</v>
      </c>
      <c r="G1939">
        <v>300</v>
      </c>
      <c r="H1939">
        <v>20</v>
      </c>
      <c r="I1939" s="68">
        <v>340</v>
      </c>
      <c r="J1939" s="68">
        <v>0</v>
      </c>
      <c r="K1939" s="68">
        <v>0</v>
      </c>
      <c r="L1939" s="68">
        <v>0</v>
      </c>
      <c r="M1939" s="68"/>
      <c r="N1939" s="68"/>
    </row>
    <row r="1940" spans="1:14" x14ac:dyDescent="0.25">
      <c r="A1940" t="s">
        <v>346</v>
      </c>
      <c r="B1940" s="68" t="s">
        <v>193</v>
      </c>
      <c r="C1940" s="68" t="s">
        <v>212</v>
      </c>
      <c r="D1940" s="68" t="s">
        <v>350</v>
      </c>
      <c r="E1940" s="68">
        <v>2</v>
      </c>
      <c r="F1940">
        <v>20</v>
      </c>
      <c r="G1940">
        <v>280</v>
      </c>
      <c r="H1940">
        <v>20</v>
      </c>
      <c r="I1940" s="68">
        <v>340</v>
      </c>
      <c r="J1940" s="68">
        <v>0</v>
      </c>
      <c r="K1940" s="68">
        <v>0</v>
      </c>
      <c r="L1940" s="68">
        <v>0</v>
      </c>
      <c r="M1940" s="68"/>
      <c r="N1940" s="68"/>
    </row>
    <row r="1941" spans="1:14" x14ac:dyDescent="0.25">
      <c r="A1941" t="s">
        <v>346</v>
      </c>
      <c r="B1941" s="68" t="s">
        <v>193</v>
      </c>
      <c r="C1941" s="68" t="s">
        <v>212</v>
      </c>
      <c r="D1941" s="68" t="s">
        <v>350</v>
      </c>
      <c r="E1941" s="68">
        <v>2</v>
      </c>
      <c r="F1941">
        <v>20</v>
      </c>
      <c r="G1941">
        <v>260</v>
      </c>
      <c r="H1941">
        <v>20</v>
      </c>
      <c r="I1941" s="68">
        <v>340</v>
      </c>
      <c r="J1941" s="68">
        <v>0</v>
      </c>
      <c r="K1941" s="68">
        <v>0</v>
      </c>
      <c r="L1941" s="68">
        <v>0</v>
      </c>
      <c r="M1941" s="68"/>
      <c r="N1941" s="68"/>
    </row>
    <row r="1942" spans="1:14" x14ac:dyDescent="0.25">
      <c r="A1942" t="s">
        <v>346</v>
      </c>
      <c r="B1942" s="68" t="s">
        <v>193</v>
      </c>
      <c r="C1942" s="68" t="s">
        <v>212</v>
      </c>
      <c r="D1942" s="68" t="s">
        <v>350</v>
      </c>
      <c r="E1942" s="68">
        <v>2</v>
      </c>
      <c r="F1942">
        <v>20</v>
      </c>
      <c r="G1942">
        <v>240</v>
      </c>
      <c r="H1942">
        <v>20</v>
      </c>
      <c r="I1942" s="68">
        <v>340</v>
      </c>
      <c r="J1942" s="68">
        <v>0</v>
      </c>
      <c r="K1942" s="68">
        <v>0</v>
      </c>
      <c r="L1942" s="68">
        <v>0</v>
      </c>
      <c r="M1942" s="68"/>
      <c r="N1942" s="68"/>
    </row>
    <row r="1943" spans="1:14" x14ac:dyDescent="0.25">
      <c r="A1943" t="s">
        <v>346</v>
      </c>
      <c r="B1943" s="68" t="s">
        <v>193</v>
      </c>
      <c r="C1943" s="68" t="s">
        <v>212</v>
      </c>
      <c r="D1943" s="68" t="s">
        <v>350</v>
      </c>
      <c r="E1943" s="68">
        <v>2</v>
      </c>
      <c r="F1943">
        <v>20</v>
      </c>
      <c r="G1943">
        <v>220</v>
      </c>
      <c r="H1943">
        <v>20</v>
      </c>
      <c r="I1943" s="68">
        <v>340</v>
      </c>
      <c r="J1943" s="68">
        <v>0</v>
      </c>
      <c r="K1943" s="68">
        <v>0</v>
      </c>
      <c r="L1943" s="68">
        <v>0</v>
      </c>
      <c r="M1943" s="68"/>
      <c r="N1943" s="68"/>
    </row>
    <row r="1944" spans="1:14" x14ac:dyDescent="0.25">
      <c r="A1944" t="s">
        <v>346</v>
      </c>
      <c r="B1944" s="68" t="s">
        <v>193</v>
      </c>
      <c r="C1944" s="68" t="s">
        <v>212</v>
      </c>
      <c r="D1944" s="68" t="s">
        <v>350</v>
      </c>
      <c r="E1944" s="68">
        <v>2</v>
      </c>
      <c r="F1944">
        <v>20</v>
      </c>
      <c r="G1944">
        <v>200</v>
      </c>
      <c r="H1944">
        <v>20</v>
      </c>
      <c r="I1944" s="68">
        <v>340</v>
      </c>
      <c r="J1944" s="68">
        <v>0</v>
      </c>
      <c r="K1944" s="68">
        <v>0</v>
      </c>
      <c r="L1944" s="68">
        <v>0</v>
      </c>
      <c r="M1944" s="68"/>
      <c r="N1944" s="68"/>
    </row>
    <row r="1945" spans="1:14" x14ac:dyDescent="0.25">
      <c r="A1945" t="s">
        <v>346</v>
      </c>
      <c r="B1945" s="68" t="s">
        <v>193</v>
      </c>
      <c r="C1945" s="68" t="s">
        <v>212</v>
      </c>
      <c r="D1945" s="68" t="s">
        <v>350</v>
      </c>
      <c r="E1945" s="68">
        <v>2</v>
      </c>
      <c r="F1945">
        <v>20</v>
      </c>
      <c r="G1945">
        <v>190</v>
      </c>
      <c r="H1945">
        <v>20</v>
      </c>
      <c r="I1945" s="68">
        <v>340</v>
      </c>
      <c r="J1945" s="68">
        <v>0</v>
      </c>
      <c r="K1945" s="68">
        <v>0</v>
      </c>
      <c r="L1945" s="68">
        <v>0</v>
      </c>
      <c r="M1945" s="68"/>
      <c r="N1945" s="68"/>
    </row>
    <row r="1946" spans="1:14" x14ac:dyDescent="0.25">
      <c r="A1946" t="s">
        <v>346</v>
      </c>
      <c r="B1946" s="68" t="s">
        <v>193</v>
      </c>
      <c r="C1946" s="68" t="s">
        <v>212</v>
      </c>
      <c r="D1946" s="68" t="s">
        <v>350</v>
      </c>
      <c r="E1946" s="68">
        <v>2</v>
      </c>
      <c r="F1946">
        <v>20</v>
      </c>
      <c r="G1946">
        <v>180</v>
      </c>
      <c r="H1946">
        <v>20</v>
      </c>
      <c r="I1946" s="68">
        <v>340</v>
      </c>
      <c r="J1946" s="68">
        <v>0</v>
      </c>
      <c r="K1946" s="68">
        <v>0</v>
      </c>
      <c r="L1946" s="68">
        <v>0</v>
      </c>
      <c r="M1946" s="68"/>
      <c r="N1946" s="68"/>
    </row>
    <row r="1947" spans="1:14" x14ac:dyDescent="0.25">
      <c r="A1947" t="s">
        <v>346</v>
      </c>
      <c r="B1947" s="68" t="s">
        <v>193</v>
      </c>
      <c r="C1947" s="68" t="s">
        <v>212</v>
      </c>
      <c r="D1947" s="68" t="s">
        <v>350</v>
      </c>
      <c r="E1947" s="68">
        <v>2</v>
      </c>
      <c r="F1947">
        <v>20</v>
      </c>
      <c r="G1947">
        <v>160</v>
      </c>
      <c r="H1947">
        <v>20</v>
      </c>
      <c r="I1947" s="68">
        <v>340</v>
      </c>
      <c r="J1947" s="68">
        <v>0</v>
      </c>
      <c r="K1947" s="68">
        <v>0</v>
      </c>
      <c r="L1947" s="68">
        <v>0</v>
      </c>
      <c r="M1947" s="68"/>
      <c r="N1947" s="68"/>
    </row>
    <row r="1948" spans="1:14" x14ac:dyDescent="0.25">
      <c r="A1948" t="s">
        <v>346</v>
      </c>
      <c r="B1948" s="68" t="s">
        <v>193</v>
      </c>
      <c r="C1948" s="68" t="s">
        <v>212</v>
      </c>
      <c r="D1948" s="68" t="s">
        <v>350</v>
      </c>
      <c r="E1948" s="68">
        <v>2</v>
      </c>
      <c r="F1948">
        <v>20</v>
      </c>
      <c r="G1948">
        <v>140</v>
      </c>
      <c r="H1948">
        <v>20</v>
      </c>
      <c r="I1948" s="68">
        <v>340</v>
      </c>
      <c r="J1948" s="68">
        <v>0</v>
      </c>
      <c r="K1948" s="68">
        <v>0</v>
      </c>
      <c r="L1948" s="68">
        <v>0</v>
      </c>
      <c r="M1948" s="68"/>
      <c r="N1948" s="68"/>
    </row>
    <row r="1949" spans="1:14" x14ac:dyDescent="0.25">
      <c r="A1949" t="s">
        <v>346</v>
      </c>
      <c r="B1949" s="68" t="s">
        <v>193</v>
      </c>
      <c r="C1949" s="68" t="s">
        <v>212</v>
      </c>
      <c r="D1949" s="68" t="s">
        <v>350</v>
      </c>
      <c r="E1949" s="68">
        <v>2</v>
      </c>
      <c r="F1949">
        <v>20</v>
      </c>
      <c r="G1949">
        <v>120</v>
      </c>
      <c r="H1949">
        <v>20</v>
      </c>
      <c r="I1949" s="68">
        <v>340</v>
      </c>
      <c r="J1949" s="68">
        <v>0</v>
      </c>
      <c r="K1949" s="68">
        <v>0</v>
      </c>
      <c r="L1949" s="68">
        <v>0</v>
      </c>
      <c r="M1949" s="68"/>
      <c r="N1949" s="68"/>
    </row>
    <row r="1950" spans="1:14" x14ac:dyDescent="0.25">
      <c r="A1950" t="s">
        <v>346</v>
      </c>
      <c r="B1950" s="68" t="s">
        <v>193</v>
      </c>
      <c r="C1950" s="68" t="s">
        <v>212</v>
      </c>
      <c r="D1950" s="68" t="s">
        <v>350</v>
      </c>
      <c r="E1950" s="68">
        <v>2</v>
      </c>
      <c r="F1950">
        <v>16</v>
      </c>
      <c r="G1950">
        <v>1000</v>
      </c>
      <c r="H1950">
        <v>16</v>
      </c>
      <c r="I1950" s="68">
        <v>191</v>
      </c>
      <c r="J1950" s="68">
        <v>0</v>
      </c>
      <c r="K1950" s="68">
        <v>0</v>
      </c>
      <c r="L1950" s="68">
        <v>0</v>
      </c>
      <c r="M1950" s="68"/>
      <c r="N1950" s="68"/>
    </row>
    <row r="1951" spans="1:14" x14ac:dyDescent="0.25">
      <c r="A1951" t="s">
        <v>346</v>
      </c>
      <c r="B1951" s="68" t="s">
        <v>193</v>
      </c>
      <c r="C1951" s="68" t="s">
        <v>212</v>
      </c>
      <c r="D1951" s="68" t="s">
        <v>350</v>
      </c>
      <c r="E1951" s="68">
        <v>2</v>
      </c>
      <c r="F1951">
        <v>16</v>
      </c>
      <c r="G1951">
        <v>500</v>
      </c>
      <c r="H1951">
        <v>16</v>
      </c>
      <c r="I1951" s="68">
        <v>191</v>
      </c>
      <c r="J1951" s="68">
        <v>0</v>
      </c>
      <c r="K1951" s="68">
        <v>0</v>
      </c>
      <c r="L1951" s="68">
        <v>0</v>
      </c>
      <c r="M1951" s="68"/>
      <c r="N1951" s="68"/>
    </row>
    <row r="1952" spans="1:14" x14ac:dyDescent="0.25">
      <c r="A1952" t="s">
        <v>346</v>
      </c>
      <c r="B1952" s="68" t="s">
        <v>193</v>
      </c>
      <c r="C1952" s="68" t="s">
        <v>212</v>
      </c>
      <c r="D1952" s="68" t="s">
        <v>350</v>
      </c>
      <c r="E1952" s="68">
        <v>2</v>
      </c>
      <c r="F1952">
        <v>16</v>
      </c>
      <c r="G1952">
        <v>400</v>
      </c>
      <c r="H1952">
        <v>16</v>
      </c>
      <c r="I1952" s="68">
        <v>191</v>
      </c>
      <c r="J1952" s="68">
        <v>0</v>
      </c>
      <c r="K1952" s="68">
        <v>0</v>
      </c>
      <c r="L1952" s="68">
        <v>0</v>
      </c>
      <c r="M1952" s="68"/>
      <c r="N1952" s="68"/>
    </row>
    <row r="1953" spans="1:14" x14ac:dyDescent="0.25">
      <c r="A1953" t="s">
        <v>346</v>
      </c>
      <c r="B1953" s="68" t="s">
        <v>193</v>
      </c>
      <c r="C1953" s="68" t="s">
        <v>212</v>
      </c>
      <c r="D1953" s="68" t="s">
        <v>350</v>
      </c>
      <c r="E1953" s="68">
        <v>2</v>
      </c>
      <c r="F1953">
        <v>16</v>
      </c>
      <c r="G1953">
        <v>380</v>
      </c>
      <c r="H1953">
        <v>16</v>
      </c>
      <c r="I1953" s="68">
        <v>191</v>
      </c>
      <c r="J1953" s="68">
        <v>0</v>
      </c>
      <c r="K1953" s="68">
        <v>0</v>
      </c>
      <c r="L1953" s="68">
        <v>0</v>
      </c>
      <c r="M1953" s="68"/>
      <c r="N1953" s="68"/>
    </row>
    <row r="1954" spans="1:14" x14ac:dyDescent="0.25">
      <c r="A1954" t="s">
        <v>346</v>
      </c>
      <c r="B1954" s="68" t="s">
        <v>193</v>
      </c>
      <c r="C1954" s="68" t="s">
        <v>212</v>
      </c>
      <c r="D1954" s="68" t="s">
        <v>350</v>
      </c>
      <c r="E1954" s="68">
        <v>2</v>
      </c>
      <c r="F1954">
        <v>16</v>
      </c>
      <c r="G1954">
        <v>360</v>
      </c>
      <c r="H1954">
        <v>16</v>
      </c>
      <c r="I1954" s="68">
        <v>191</v>
      </c>
      <c r="J1954" s="68">
        <v>0</v>
      </c>
      <c r="K1954" s="68">
        <v>0</v>
      </c>
      <c r="L1954" s="68">
        <v>0</v>
      </c>
      <c r="M1954" s="68"/>
      <c r="N1954" s="68"/>
    </row>
    <row r="1955" spans="1:14" x14ac:dyDescent="0.25">
      <c r="A1955" t="s">
        <v>346</v>
      </c>
      <c r="B1955" s="68" t="s">
        <v>193</v>
      </c>
      <c r="C1955" s="68" t="s">
        <v>212</v>
      </c>
      <c r="D1955" s="68" t="s">
        <v>350</v>
      </c>
      <c r="E1955" s="68">
        <v>2</v>
      </c>
      <c r="F1955">
        <v>16</v>
      </c>
      <c r="G1955">
        <v>340</v>
      </c>
      <c r="H1955">
        <v>16</v>
      </c>
      <c r="I1955" s="68">
        <v>191</v>
      </c>
      <c r="J1955" s="68">
        <v>0</v>
      </c>
      <c r="K1955" s="68">
        <v>0</v>
      </c>
      <c r="L1955" s="68">
        <v>0</v>
      </c>
      <c r="M1955" s="68"/>
      <c r="N1955" s="68"/>
    </row>
    <row r="1956" spans="1:14" x14ac:dyDescent="0.25">
      <c r="A1956" t="s">
        <v>346</v>
      </c>
      <c r="B1956" s="68" t="s">
        <v>193</v>
      </c>
      <c r="C1956" s="68" t="s">
        <v>212</v>
      </c>
      <c r="D1956" s="68" t="s">
        <v>350</v>
      </c>
      <c r="E1956" s="68">
        <v>2</v>
      </c>
      <c r="F1956">
        <v>16</v>
      </c>
      <c r="G1956">
        <v>320</v>
      </c>
      <c r="H1956">
        <v>16</v>
      </c>
      <c r="I1956" s="68">
        <v>191</v>
      </c>
      <c r="J1956" s="68">
        <v>0</v>
      </c>
      <c r="K1956" s="68">
        <v>0</v>
      </c>
      <c r="L1956" s="68">
        <v>0</v>
      </c>
      <c r="M1956" s="68"/>
      <c r="N1956" s="68"/>
    </row>
    <row r="1957" spans="1:14" x14ac:dyDescent="0.25">
      <c r="A1957" t="s">
        <v>346</v>
      </c>
      <c r="B1957" s="68" t="s">
        <v>193</v>
      </c>
      <c r="C1957" s="68" t="s">
        <v>212</v>
      </c>
      <c r="D1957" s="68" t="s">
        <v>350</v>
      </c>
      <c r="E1957" s="68">
        <v>2</v>
      </c>
      <c r="F1957">
        <v>16</v>
      </c>
      <c r="G1957">
        <v>300</v>
      </c>
      <c r="H1957">
        <v>16</v>
      </c>
      <c r="I1957" s="68">
        <v>191</v>
      </c>
      <c r="J1957" s="68">
        <v>0</v>
      </c>
      <c r="K1957" s="68">
        <v>0</v>
      </c>
      <c r="L1957" s="68">
        <v>0</v>
      </c>
      <c r="M1957" s="68"/>
      <c r="N1957" s="68"/>
    </row>
    <row r="1958" spans="1:14" x14ac:dyDescent="0.25">
      <c r="A1958" t="s">
        <v>346</v>
      </c>
      <c r="B1958" s="68" t="s">
        <v>193</v>
      </c>
      <c r="C1958" s="68" t="s">
        <v>212</v>
      </c>
      <c r="D1958" s="68" t="s">
        <v>350</v>
      </c>
      <c r="E1958" s="68">
        <v>2</v>
      </c>
      <c r="F1958">
        <v>16</v>
      </c>
      <c r="G1958">
        <v>280</v>
      </c>
      <c r="H1958">
        <v>16</v>
      </c>
      <c r="I1958" s="68">
        <v>191</v>
      </c>
      <c r="J1958" s="68">
        <v>0</v>
      </c>
      <c r="K1958" s="68">
        <v>0</v>
      </c>
      <c r="L1958" s="68">
        <v>0</v>
      </c>
      <c r="M1958" s="68"/>
      <c r="N1958" s="68"/>
    </row>
    <row r="1959" spans="1:14" x14ac:dyDescent="0.25">
      <c r="A1959" t="s">
        <v>346</v>
      </c>
      <c r="B1959" s="68" t="s">
        <v>193</v>
      </c>
      <c r="C1959" s="68" t="s">
        <v>212</v>
      </c>
      <c r="D1959" s="68" t="s">
        <v>350</v>
      </c>
      <c r="E1959" s="68">
        <v>2</v>
      </c>
      <c r="F1959">
        <v>16</v>
      </c>
      <c r="G1959">
        <v>260</v>
      </c>
      <c r="H1959">
        <v>16</v>
      </c>
      <c r="I1959" s="68">
        <v>191</v>
      </c>
      <c r="J1959" s="68">
        <v>0</v>
      </c>
      <c r="K1959" s="68">
        <v>0</v>
      </c>
      <c r="L1959" s="68">
        <v>0</v>
      </c>
      <c r="M1959" s="68"/>
      <c r="N1959" s="68"/>
    </row>
    <row r="1960" spans="1:14" x14ac:dyDescent="0.25">
      <c r="A1960" t="s">
        <v>346</v>
      </c>
      <c r="B1960" s="68" t="s">
        <v>193</v>
      </c>
      <c r="C1960" s="68" t="s">
        <v>212</v>
      </c>
      <c r="D1960" s="68" t="s">
        <v>350</v>
      </c>
      <c r="E1960" s="68">
        <v>2</v>
      </c>
      <c r="F1960">
        <v>16</v>
      </c>
      <c r="G1960">
        <v>240</v>
      </c>
      <c r="H1960">
        <v>16</v>
      </c>
      <c r="I1960" s="68">
        <v>191</v>
      </c>
      <c r="J1960" s="68">
        <v>0</v>
      </c>
      <c r="K1960" s="68">
        <v>0</v>
      </c>
      <c r="L1960" s="68">
        <v>0</v>
      </c>
      <c r="M1960" s="68"/>
      <c r="N1960" s="68"/>
    </row>
    <row r="1961" spans="1:14" x14ac:dyDescent="0.25">
      <c r="A1961" t="s">
        <v>346</v>
      </c>
      <c r="B1961" s="68" t="s">
        <v>193</v>
      </c>
      <c r="C1961" s="68" t="s">
        <v>212</v>
      </c>
      <c r="D1961" s="68" t="s">
        <v>350</v>
      </c>
      <c r="E1961" s="68">
        <v>2</v>
      </c>
      <c r="F1961">
        <v>16</v>
      </c>
      <c r="G1961">
        <v>220</v>
      </c>
      <c r="H1961">
        <v>16</v>
      </c>
      <c r="I1961" s="68">
        <v>191</v>
      </c>
      <c r="J1961" s="68">
        <v>0</v>
      </c>
      <c r="K1961" s="68">
        <v>0</v>
      </c>
      <c r="L1961" s="68">
        <v>0</v>
      </c>
      <c r="M1961" s="68"/>
      <c r="N1961" s="68"/>
    </row>
    <row r="1962" spans="1:14" x14ac:dyDescent="0.25">
      <c r="A1962" t="s">
        <v>346</v>
      </c>
      <c r="B1962" s="68" t="s">
        <v>193</v>
      </c>
      <c r="C1962" s="68" t="s">
        <v>212</v>
      </c>
      <c r="D1962" s="68" t="s">
        <v>350</v>
      </c>
      <c r="E1962" s="68">
        <v>2</v>
      </c>
      <c r="F1962">
        <v>16</v>
      </c>
      <c r="G1962">
        <v>200</v>
      </c>
      <c r="H1962">
        <v>16</v>
      </c>
      <c r="I1962" s="68">
        <v>191</v>
      </c>
      <c r="J1962" s="68">
        <v>0</v>
      </c>
      <c r="K1962" s="68">
        <v>0</v>
      </c>
      <c r="L1962" s="68">
        <v>0</v>
      </c>
      <c r="M1962" s="68"/>
      <c r="N1962" s="68"/>
    </row>
    <row r="1963" spans="1:14" x14ac:dyDescent="0.25">
      <c r="A1963" t="s">
        <v>346</v>
      </c>
      <c r="B1963" s="68" t="s">
        <v>193</v>
      </c>
      <c r="C1963" s="68" t="s">
        <v>212</v>
      </c>
      <c r="D1963" s="68" t="s">
        <v>350</v>
      </c>
      <c r="E1963" s="68">
        <v>2</v>
      </c>
      <c r="F1963">
        <v>16</v>
      </c>
      <c r="G1963">
        <v>190</v>
      </c>
      <c r="H1963">
        <v>16</v>
      </c>
      <c r="I1963" s="68">
        <v>191</v>
      </c>
      <c r="J1963" s="68">
        <v>0</v>
      </c>
      <c r="K1963" s="68">
        <v>0</v>
      </c>
      <c r="L1963" s="68">
        <v>0</v>
      </c>
      <c r="M1963" s="68"/>
      <c r="N1963" s="68"/>
    </row>
    <row r="1964" spans="1:14" x14ac:dyDescent="0.25">
      <c r="A1964" t="s">
        <v>346</v>
      </c>
      <c r="B1964" s="68" t="s">
        <v>193</v>
      </c>
      <c r="C1964" s="68" t="s">
        <v>212</v>
      </c>
      <c r="D1964" s="68" t="s">
        <v>350</v>
      </c>
      <c r="E1964" s="68">
        <v>2</v>
      </c>
      <c r="F1964">
        <v>16</v>
      </c>
      <c r="G1964">
        <v>180</v>
      </c>
      <c r="H1964">
        <v>16</v>
      </c>
      <c r="I1964" s="68">
        <v>191</v>
      </c>
      <c r="J1964" s="68">
        <v>0</v>
      </c>
      <c r="K1964" s="68">
        <v>0</v>
      </c>
      <c r="L1964" s="68">
        <v>0</v>
      </c>
      <c r="M1964" s="68"/>
      <c r="N1964" s="68"/>
    </row>
    <row r="1965" spans="1:14" x14ac:dyDescent="0.25">
      <c r="A1965" t="s">
        <v>346</v>
      </c>
      <c r="B1965" s="68" t="s">
        <v>193</v>
      </c>
      <c r="C1965" s="68" t="s">
        <v>212</v>
      </c>
      <c r="D1965" s="68" t="s">
        <v>350</v>
      </c>
      <c r="E1965" s="68">
        <v>2</v>
      </c>
      <c r="F1965">
        <v>16</v>
      </c>
      <c r="G1965">
        <v>170</v>
      </c>
      <c r="H1965">
        <v>16</v>
      </c>
      <c r="I1965" s="68">
        <v>191</v>
      </c>
      <c r="J1965" s="68">
        <v>0</v>
      </c>
      <c r="K1965" s="68">
        <v>0</v>
      </c>
      <c r="L1965" s="68">
        <v>0</v>
      </c>
      <c r="M1965" s="68"/>
      <c r="N1965" s="68"/>
    </row>
    <row r="1966" spans="1:14" x14ac:dyDescent="0.25">
      <c r="A1966" t="s">
        <v>346</v>
      </c>
      <c r="B1966" s="68" t="s">
        <v>193</v>
      </c>
      <c r="C1966" s="68" t="s">
        <v>212</v>
      </c>
      <c r="D1966" s="68" t="s">
        <v>350</v>
      </c>
      <c r="E1966" s="68">
        <v>2</v>
      </c>
      <c r="F1966">
        <v>16</v>
      </c>
      <c r="G1966">
        <v>160</v>
      </c>
      <c r="H1966">
        <v>16</v>
      </c>
      <c r="I1966" s="68">
        <v>191</v>
      </c>
      <c r="J1966" s="68">
        <v>0</v>
      </c>
      <c r="K1966" s="68">
        <v>0</v>
      </c>
      <c r="L1966" s="68">
        <v>0</v>
      </c>
      <c r="M1966" s="68"/>
      <c r="N1966" s="68"/>
    </row>
    <row r="1967" spans="1:14" x14ac:dyDescent="0.25">
      <c r="A1967" t="s">
        <v>346</v>
      </c>
      <c r="B1967" s="68" t="s">
        <v>193</v>
      </c>
      <c r="C1967" s="68" t="s">
        <v>212</v>
      </c>
      <c r="D1967" s="68" t="s">
        <v>350</v>
      </c>
      <c r="E1967" s="68">
        <v>2</v>
      </c>
      <c r="F1967">
        <v>16</v>
      </c>
      <c r="G1967">
        <v>150</v>
      </c>
      <c r="H1967">
        <v>16</v>
      </c>
      <c r="I1967" s="68">
        <v>191</v>
      </c>
      <c r="J1967" s="68">
        <v>0</v>
      </c>
      <c r="K1967" s="68">
        <v>0</v>
      </c>
      <c r="L1967" s="68">
        <v>0</v>
      </c>
      <c r="M1967" s="68"/>
      <c r="N1967" s="68"/>
    </row>
    <row r="1968" spans="1:14" x14ac:dyDescent="0.25">
      <c r="A1968" t="s">
        <v>346</v>
      </c>
      <c r="B1968" s="68" t="s">
        <v>193</v>
      </c>
      <c r="C1968" s="68" t="s">
        <v>212</v>
      </c>
      <c r="D1968" s="68" t="s">
        <v>350</v>
      </c>
      <c r="E1968" s="68">
        <v>2</v>
      </c>
      <c r="F1968">
        <v>16</v>
      </c>
      <c r="G1968">
        <v>140</v>
      </c>
      <c r="H1968">
        <v>16</v>
      </c>
      <c r="I1968" s="68">
        <v>191</v>
      </c>
      <c r="J1968" s="68">
        <v>0</v>
      </c>
      <c r="K1968" s="68">
        <v>0</v>
      </c>
      <c r="L1968" s="68">
        <v>0</v>
      </c>
      <c r="M1968" s="68"/>
      <c r="N1968" s="68"/>
    </row>
    <row r="1969" spans="1:14" x14ac:dyDescent="0.25">
      <c r="A1969" t="s">
        <v>346</v>
      </c>
      <c r="B1969" s="68" t="s">
        <v>193</v>
      </c>
      <c r="C1969" s="68" t="s">
        <v>212</v>
      </c>
      <c r="D1969" s="68" t="s">
        <v>350</v>
      </c>
      <c r="E1969" s="68">
        <v>2</v>
      </c>
      <c r="F1969">
        <v>16</v>
      </c>
      <c r="G1969">
        <v>130</v>
      </c>
      <c r="H1969">
        <v>16</v>
      </c>
      <c r="I1969" s="68">
        <v>191</v>
      </c>
      <c r="J1969" s="68">
        <v>0</v>
      </c>
      <c r="K1969" s="68">
        <v>0</v>
      </c>
      <c r="L1969" s="68">
        <v>0</v>
      </c>
      <c r="M1969" s="68"/>
      <c r="N1969" s="68"/>
    </row>
    <row r="1970" spans="1:14" x14ac:dyDescent="0.25">
      <c r="A1970" t="s">
        <v>346</v>
      </c>
      <c r="B1970" s="68" t="s">
        <v>193</v>
      </c>
      <c r="C1970" s="68" t="s">
        <v>212</v>
      </c>
      <c r="D1970" s="68" t="s">
        <v>350</v>
      </c>
      <c r="E1970" s="68">
        <v>2</v>
      </c>
      <c r="F1970">
        <v>16</v>
      </c>
      <c r="G1970">
        <v>120</v>
      </c>
      <c r="H1970">
        <v>16</v>
      </c>
      <c r="I1970" s="68">
        <v>191</v>
      </c>
      <c r="J1970" s="68">
        <v>0</v>
      </c>
      <c r="K1970" s="68">
        <v>0</v>
      </c>
      <c r="L1970" s="68">
        <v>0</v>
      </c>
      <c r="M1970" s="68"/>
      <c r="N1970" s="68"/>
    </row>
    <row r="1971" spans="1:14" x14ac:dyDescent="0.25">
      <c r="A1971" t="s">
        <v>346</v>
      </c>
      <c r="B1971" s="68" t="s">
        <v>193</v>
      </c>
      <c r="C1971" s="68" t="s">
        <v>212</v>
      </c>
      <c r="D1971" s="68" t="s">
        <v>350</v>
      </c>
      <c r="E1971" s="68">
        <v>2</v>
      </c>
      <c r="F1971">
        <v>16</v>
      </c>
      <c r="G1971">
        <v>110</v>
      </c>
      <c r="H1971">
        <v>16</v>
      </c>
      <c r="I1971" s="68">
        <v>191</v>
      </c>
      <c r="J1971" s="68">
        <v>0</v>
      </c>
      <c r="K1971" s="68">
        <v>0</v>
      </c>
      <c r="L1971" s="68">
        <v>0</v>
      </c>
      <c r="M1971" s="68"/>
      <c r="N1971" s="68"/>
    </row>
    <row r="1972" spans="1:14" x14ac:dyDescent="0.25">
      <c r="A1972" t="s">
        <v>346</v>
      </c>
      <c r="B1972" s="68" t="s">
        <v>193</v>
      </c>
      <c r="C1972" s="68" t="s">
        <v>212</v>
      </c>
      <c r="D1972" s="68" t="s">
        <v>350</v>
      </c>
      <c r="E1972" s="68">
        <v>2</v>
      </c>
      <c r="F1972">
        <v>16</v>
      </c>
      <c r="G1972">
        <v>100</v>
      </c>
      <c r="H1972">
        <v>16</v>
      </c>
      <c r="I1972" s="68">
        <v>191</v>
      </c>
      <c r="J1972" s="68">
        <v>0</v>
      </c>
      <c r="K1972" s="68">
        <v>0</v>
      </c>
      <c r="L1972" s="68">
        <v>0</v>
      </c>
      <c r="M1972" s="68"/>
      <c r="N1972" s="68"/>
    </row>
    <row r="1973" spans="1:14" x14ac:dyDescent="0.25">
      <c r="A1973" t="s">
        <v>346</v>
      </c>
      <c r="B1973" s="68" t="s">
        <v>193</v>
      </c>
      <c r="C1973" s="68" t="s">
        <v>212</v>
      </c>
      <c r="D1973" s="68" t="s">
        <v>350</v>
      </c>
      <c r="E1973" s="68">
        <v>2</v>
      </c>
      <c r="F1973">
        <v>16</v>
      </c>
      <c r="G1973">
        <v>80</v>
      </c>
      <c r="H1973">
        <v>16</v>
      </c>
      <c r="I1973" s="68">
        <v>191</v>
      </c>
      <c r="J1973" s="68">
        <v>0</v>
      </c>
      <c r="K1973" s="68">
        <v>0</v>
      </c>
      <c r="L1973" s="68">
        <v>0</v>
      </c>
      <c r="M1973" s="68"/>
      <c r="N1973" s="68"/>
    </row>
    <row r="1974" spans="1:14" x14ac:dyDescent="0.25">
      <c r="A1974" t="s">
        <v>346</v>
      </c>
      <c r="B1974" s="68" t="s">
        <v>193</v>
      </c>
      <c r="C1974" s="68" t="s">
        <v>212</v>
      </c>
      <c r="D1974" s="68" t="s">
        <v>351</v>
      </c>
      <c r="E1974" s="68">
        <v>2</v>
      </c>
      <c r="F1974">
        <v>12</v>
      </c>
      <c r="G1974">
        <v>1000</v>
      </c>
      <c r="H1974">
        <v>12</v>
      </c>
      <c r="I1974" s="68">
        <v>69.099999999999994</v>
      </c>
      <c r="J1974" s="68">
        <v>0</v>
      </c>
      <c r="K1974" s="68">
        <v>0</v>
      </c>
      <c r="L1974" s="68">
        <v>0</v>
      </c>
      <c r="M1974" s="68"/>
      <c r="N1974" s="68"/>
    </row>
    <row r="1975" spans="1:14" x14ac:dyDescent="0.25">
      <c r="A1975" t="s">
        <v>346</v>
      </c>
      <c r="B1975" s="68" t="s">
        <v>193</v>
      </c>
      <c r="C1975" s="68" t="s">
        <v>212</v>
      </c>
      <c r="D1975" s="68" t="s">
        <v>351</v>
      </c>
      <c r="E1975" s="68">
        <v>2</v>
      </c>
      <c r="F1975">
        <v>12</v>
      </c>
      <c r="G1975">
        <v>340</v>
      </c>
      <c r="H1975">
        <v>12</v>
      </c>
      <c r="I1975" s="68">
        <v>69.099999999999994</v>
      </c>
      <c r="J1975" s="68">
        <v>0</v>
      </c>
      <c r="K1975" s="68">
        <v>0</v>
      </c>
      <c r="L1975" s="68">
        <v>0</v>
      </c>
      <c r="M1975" s="68"/>
      <c r="N1975" s="68"/>
    </row>
    <row r="1976" spans="1:14" x14ac:dyDescent="0.25">
      <c r="A1976" t="s">
        <v>346</v>
      </c>
      <c r="B1976" s="68" t="s">
        <v>193</v>
      </c>
      <c r="C1976" s="68" t="s">
        <v>212</v>
      </c>
      <c r="D1976" s="68" t="s">
        <v>351</v>
      </c>
      <c r="E1976" s="68">
        <v>2</v>
      </c>
      <c r="F1976">
        <v>12</v>
      </c>
      <c r="G1976">
        <v>320</v>
      </c>
      <c r="H1976">
        <v>12</v>
      </c>
      <c r="I1976" s="68">
        <v>69.099999999999994</v>
      </c>
      <c r="J1976" s="68">
        <v>0</v>
      </c>
      <c r="K1976" s="68">
        <v>0</v>
      </c>
      <c r="L1976" s="68">
        <v>0</v>
      </c>
      <c r="M1976" s="68"/>
      <c r="N1976" s="68"/>
    </row>
    <row r="1977" spans="1:14" x14ac:dyDescent="0.25">
      <c r="A1977" t="s">
        <v>346</v>
      </c>
      <c r="B1977" s="68" t="s">
        <v>193</v>
      </c>
      <c r="C1977" s="68" t="s">
        <v>212</v>
      </c>
      <c r="D1977" s="68" t="s">
        <v>351</v>
      </c>
      <c r="E1977" s="68">
        <v>2</v>
      </c>
      <c r="F1977">
        <v>12</v>
      </c>
      <c r="G1977">
        <v>280</v>
      </c>
      <c r="H1977">
        <v>12</v>
      </c>
      <c r="I1977" s="68">
        <v>69.099999999999994</v>
      </c>
      <c r="J1977" s="68">
        <v>0</v>
      </c>
      <c r="K1977" s="68">
        <v>0</v>
      </c>
      <c r="L1977" s="68">
        <v>0</v>
      </c>
      <c r="M1977" s="68"/>
      <c r="N1977" s="68"/>
    </row>
    <row r="1978" spans="1:14" x14ac:dyDescent="0.25">
      <c r="A1978" t="s">
        <v>346</v>
      </c>
      <c r="B1978" s="68" t="s">
        <v>193</v>
      </c>
      <c r="C1978" s="68" t="s">
        <v>212</v>
      </c>
      <c r="D1978" s="68" t="s">
        <v>351</v>
      </c>
      <c r="E1978" s="68">
        <v>2</v>
      </c>
      <c r="F1978">
        <v>12</v>
      </c>
      <c r="G1978">
        <v>260</v>
      </c>
      <c r="H1978">
        <v>12</v>
      </c>
      <c r="I1978" s="68">
        <v>69.099999999999994</v>
      </c>
      <c r="J1978" s="68">
        <v>0</v>
      </c>
      <c r="K1978" s="68">
        <v>0</v>
      </c>
      <c r="L1978" s="68">
        <v>0</v>
      </c>
      <c r="M1978" s="68"/>
      <c r="N1978" s="68"/>
    </row>
    <row r="1979" spans="1:14" x14ac:dyDescent="0.25">
      <c r="A1979" t="s">
        <v>346</v>
      </c>
      <c r="B1979" s="68" t="s">
        <v>193</v>
      </c>
      <c r="C1979" s="68" t="s">
        <v>212</v>
      </c>
      <c r="D1979" s="68" t="s">
        <v>351</v>
      </c>
      <c r="E1979" s="68">
        <v>2</v>
      </c>
      <c r="F1979">
        <v>12</v>
      </c>
      <c r="G1979">
        <v>240</v>
      </c>
      <c r="H1979">
        <v>12</v>
      </c>
      <c r="I1979" s="68">
        <v>69.099999999999994</v>
      </c>
      <c r="J1979" s="68">
        <v>0</v>
      </c>
      <c r="K1979" s="68">
        <v>0</v>
      </c>
      <c r="L1979" s="68">
        <v>0</v>
      </c>
      <c r="M1979" s="68"/>
      <c r="N1979" s="68"/>
    </row>
    <row r="1980" spans="1:14" x14ac:dyDescent="0.25">
      <c r="A1980" t="s">
        <v>346</v>
      </c>
      <c r="B1980" s="68" t="s">
        <v>193</v>
      </c>
      <c r="C1980" s="68" t="s">
        <v>212</v>
      </c>
      <c r="D1980" s="68" t="s">
        <v>351</v>
      </c>
      <c r="E1980" s="68">
        <v>2</v>
      </c>
      <c r="F1980">
        <v>12</v>
      </c>
      <c r="G1980">
        <v>220</v>
      </c>
      <c r="H1980">
        <v>12</v>
      </c>
      <c r="I1980" s="68">
        <v>69.099999999999994</v>
      </c>
      <c r="J1980" s="68">
        <v>0</v>
      </c>
      <c r="K1980" s="68">
        <v>0</v>
      </c>
      <c r="L1980" s="68">
        <v>0</v>
      </c>
      <c r="M1980" s="68"/>
      <c r="N1980" s="68"/>
    </row>
    <row r="1981" spans="1:14" x14ac:dyDescent="0.25">
      <c r="A1981" t="s">
        <v>346</v>
      </c>
      <c r="B1981" s="68" t="s">
        <v>193</v>
      </c>
      <c r="C1981" s="68" t="s">
        <v>212</v>
      </c>
      <c r="D1981" s="68" t="s">
        <v>351</v>
      </c>
      <c r="E1981" s="68">
        <v>2</v>
      </c>
      <c r="F1981">
        <v>12</v>
      </c>
      <c r="G1981">
        <v>200</v>
      </c>
      <c r="H1981">
        <v>12</v>
      </c>
      <c r="I1981" s="68">
        <v>69.099999999999994</v>
      </c>
      <c r="J1981" s="68">
        <v>0</v>
      </c>
      <c r="K1981" s="68">
        <v>0</v>
      </c>
      <c r="L1981" s="68">
        <v>0</v>
      </c>
      <c r="M1981" s="68"/>
      <c r="N1981" s="68"/>
    </row>
    <row r="1982" spans="1:14" x14ac:dyDescent="0.25">
      <c r="A1982" t="s">
        <v>346</v>
      </c>
      <c r="B1982" s="68" t="s">
        <v>193</v>
      </c>
      <c r="C1982" s="68" t="s">
        <v>212</v>
      </c>
      <c r="D1982" s="68" t="s">
        <v>351</v>
      </c>
      <c r="E1982" s="68">
        <v>2</v>
      </c>
      <c r="F1982">
        <v>12</v>
      </c>
      <c r="G1982">
        <v>180</v>
      </c>
      <c r="H1982">
        <v>12</v>
      </c>
      <c r="I1982" s="68">
        <v>69.099999999999994</v>
      </c>
      <c r="J1982" s="68">
        <v>0</v>
      </c>
      <c r="K1982" s="68">
        <v>0</v>
      </c>
      <c r="L1982" s="68">
        <v>0</v>
      </c>
      <c r="M1982" s="68"/>
      <c r="N1982" s="68"/>
    </row>
    <row r="1983" spans="1:14" x14ac:dyDescent="0.25">
      <c r="A1983" t="s">
        <v>346</v>
      </c>
      <c r="B1983" s="68" t="s">
        <v>193</v>
      </c>
      <c r="C1983" s="68" t="s">
        <v>212</v>
      </c>
      <c r="D1983" s="68" t="s">
        <v>351</v>
      </c>
      <c r="E1983" s="68">
        <v>2</v>
      </c>
      <c r="F1983">
        <v>12</v>
      </c>
      <c r="G1983">
        <v>170</v>
      </c>
      <c r="H1983">
        <v>12</v>
      </c>
      <c r="I1983" s="68">
        <v>69.099999999999994</v>
      </c>
      <c r="J1983" s="68">
        <v>0</v>
      </c>
      <c r="K1983" s="68">
        <v>0</v>
      </c>
      <c r="L1983" s="68">
        <v>0</v>
      </c>
      <c r="M1983" s="68"/>
      <c r="N1983" s="68"/>
    </row>
    <row r="1984" spans="1:14" x14ac:dyDescent="0.25">
      <c r="A1984" t="s">
        <v>346</v>
      </c>
      <c r="B1984" s="68" t="s">
        <v>193</v>
      </c>
      <c r="C1984" s="68" t="s">
        <v>212</v>
      </c>
      <c r="D1984" s="68" t="s">
        <v>351</v>
      </c>
      <c r="E1984" s="68">
        <v>2</v>
      </c>
      <c r="F1984">
        <v>12</v>
      </c>
      <c r="G1984">
        <v>160</v>
      </c>
      <c r="H1984">
        <v>12</v>
      </c>
      <c r="I1984" s="68">
        <v>69.099999999999994</v>
      </c>
      <c r="J1984" s="68">
        <v>0</v>
      </c>
      <c r="K1984" s="68">
        <v>0</v>
      </c>
      <c r="L1984" s="68">
        <v>0</v>
      </c>
      <c r="M1984" s="68"/>
      <c r="N1984" s="68"/>
    </row>
    <row r="1985" spans="1:16" x14ac:dyDescent="0.25">
      <c r="A1985" t="s">
        <v>346</v>
      </c>
      <c r="B1985" s="68" t="s">
        <v>193</v>
      </c>
      <c r="C1985" s="68" t="s">
        <v>212</v>
      </c>
      <c r="D1985" s="68" t="s">
        <v>351</v>
      </c>
      <c r="E1985" s="68">
        <v>2</v>
      </c>
      <c r="F1985">
        <v>12</v>
      </c>
      <c r="G1985">
        <v>150</v>
      </c>
      <c r="H1985">
        <v>12</v>
      </c>
      <c r="I1985" s="68">
        <v>69.099999999999994</v>
      </c>
      <c r="J1985" s="68">
        <v>0</v>
      </c>
      <c r="K1985" s="68">
        <v>0</v>
      </c>
      <c r="L1985" s="68">
        <v>0</v>
      </c>
      <c r="M1985" s="68"/>
      <c r="N1985" s="68"/>
    </row>
    <row r="1986" spans="1:16" x14ac:dyDescent="0.25">
      <c r="A1986" t="s">
        <v>346</v>
      </c>
      <c r="B1986" s="68" t="s">
        <v>193</v>
      </c>
      <c r="C1986" s="68" t="s">
        <v>212</v>
      </c>
      <c r="D1986" s="68" t="s">
        <v>351</v>
      </c>
      <c r="E1986" s="68">
        <v>2</v>
      </c>
      <c r="F1986">
        <v>12</v>
      </c>
      <c r="G1986">
        <v>140</v>
      </c>
      <c r="H1986">
        <v>12</v>
      </c>
      <c r="I1986" s="68">
        <v>69.099999999999994</v>
      </c>
      <c r="J1986" s="68">
        <v>0</v>
      </c>
      <c r="K1986" s="68">
        <v>0</v>
      </c>
      <c r="L1986" s="68">
        <v>0</v>
      </c>
      <c r="M1986" s="68"/>
      <c r="N1986" s="68"/>
    </row>
    <row r="1987" spans="1:16" x14ac:dyDescent="0.25">
      <c r="A1987" t="s">
        <v>346</v>
      </c>
      <c r="B1987" s="68" t="s">
        <v>193</v>
      </c>
      <c r="C1987" s="68" t="s">
        <v>212</v>
      </c>
      <c r="D1987" s="68" t="s">
        <v>351</v>
      </c>
      <c r="E1987" s="68">
        <v>2</v>
      </c>
      <c r="F1987">
        <v>12</v>
      </c>
      <c r="G1987">
        <v>130</v>
      </c>
      <c r="H1987">
        <v>12</v>
      </c>
      <c r="I1987" s="68">
        <v>69.099999999999994</v>
      </c>
      <c r="J1987" s="68">
        <v>0</v>
      </c>
      <c r="K1987" s="68">
        <v>0</v>
      </c>
      <c r="L1987" s="68">
        <v>0</v>
      </c>
      <c r="M1987" s="68"/>
      <c r="N1987" s="68"/>
    </row>
    <row r="1988" spans="1:16" x14ac:dyDescent="0.25">
      <c r="A1988" t="s">
        <v>346</v>
      </c>
      <c r="B1988" s="68" t="s">
        <v>193</v>
      </c>
      <c r="C1988" s="68" t="s">
        <v>212</v>
      </c>
      <c r="D1988" s="68" t="s">
        <v>351</v>
      </c>
      <c r="E1988" s="68">
        <v>2</v>
      </c>
      <c r="F1988">
        <v>12</v>
      </c>
      <c r="G1988">
        <v>120</v>
      </c>
      <c r="H1988">
        <v>12</v>
      </c>
      <c r="I1988" s="68">
        <v>69.099999999999994</v>
      </c>
      <c r="J1988" s="68">
        <v>0</v>
      </c>
      <c r="K1988" s="68">
        <v>0</v>
      </c>
      <c r="L1988" s="68">
        <v>0</v>
      </c>
      <c r="M1988" s="68"/>
      <c r="N1988" s="68"/>
    </row>
    <row r="1989" spans="1:16" x14ac:dyDescent="0.25">
      <c r="A1989" t="s">
        <v>346</v>
      </c>
      <c r="B1989" s="68" t="s">
        <v>193</v>
      </c>
      <c r="C1989" s="68" t="s">
        <v>212</v>
      </c>
      <c r="D1989" s="68" t="s">
        <v>351</v>
      </c>
      <c r="E1989" s="68">
        <v>2</v>
      </c>
      <c r="F1989">
        <v>12</v>
      </c>
      <c r="G1989">
        <v>110</v>
      </c>
      <c r="H1989">
        <v>12</v>
      </c>
      <c r="I1989" s="68">
        <v>69.099999999999994</v>
      </c>
      <c r="J1989" s="68">
        <v>0</v>
      </c>
      <c r="K1989" s="68">
        <v>0</v>
      </c>
      <c r="L1989" s="68">
        <v>0</v>
      </c>
      <c r="M1989" s="68"/>
      <c r="N1989" s="68"/>
    </row>
    <row r="1990" spans="1:16" x14ac:dyDescent="0.25">
      <c r="A1990" t="s">
        <v>346</v>
      </c>
      <c r="B1990" s="68" t="s">
        <v>193</v>
      </c>
      <c r="C1990" s="68" t="s">
        <v>212</v>
      </c>
      <c r="D1990" s="68" t="s">
        <v>351</v>
      </c>
      <c r="E1990" s="68">
        <v>2</v>
      </c>
      <c r="F1990">
        <v>12</v>
      </c>
      <c r="G1990">
        <v>100</v>
      </c>
      <c r="H1990">
        <v>12</v>
      </c>
      <c r="I1990" s="68">
        <v>69.099999999999994</v>
      </c>
      <c r="J1990" s="68">
        <v>0</v>
      </c>
      <c r="K1990" s="68">
        <v>0</v>
      </c>
      <c r="L1990" s="68">
        <v>0</v>
      </c>
      <c r="M1990" s="68"/>
      <c r="N1990" s="68"/>
    </row>
    <row r="1991" spans="1:16" x14ac:dyDescent="0.25">
      <c r="A1991" t="s">
        <v>346</v>
      </c>
      <c r="B1991" s="68" t="s">
        <v>193</v>
      </c>
      <c r="C1991" s="68" t="s">
        <v>212</v>
      </c>
      <c r="D1991" s="68" t="s">
        <v>351</v>
      </c>
      <c r="E1991" s="68">
        <v>2</v>
      </c>
      <c r="F1991">
        <v>12</v>
      </c>
      <c r="G1991">
        <v>90</v>
      </c>
      <c r="H1991">
        <v>12</v>
      </c>
      <c r="I1991" s="68">
        <v>69.099999999999994</v>
      </c>
      <c r="J1991" s="68">
        <v>0</v>
      </c>
      <c r="K1991" s="68">
        <v>0</v>
      </c>
      <c r="L1991" s="68">
        <v>0</v>
      </c>
      <c r="M1991" s="68"/>
      <c r="N1991" s="68"/>
    </row>
    <row r="1992" spans="1:16" x14ac:dyDescent="0.25">
      <c r="A1992" t="s">
        <v>346</v>
      </c>
      <c r="B1992" s="68" t="s">
        <v>193</v>
      </c>
      <c r="C1992" s="68" t="s">
        <v>212</v>
      </c>
      <c r="D1992" s="68" t="s">
        <v>351</v>
      </c>
      <c r="E1992" s="68">
        <v>2</v>
      </c>
      <c r="F1992">
        <v>12</v>
      </c>
      <c r="G1992">
        <v>80</v>
      </c>
      <c r="H1992">
        <v>12</v>
      </c>
      <c r="I1992" s="68">
        <v>69.099999999999994</v>
      </c>
      <c r="J1992" s="68">
        <v>0</v>
      </c>
      <c r="K1992" s="68">
        <v>0</v>
      </c>
      <c r="L1992" s="68">
        <v>0</v>
      </c>
      <c r="M1992" s="68"/>
      <c r="N1992" s="68"/>
    </row>
    <row r="1993" spans="1:16" x14ac:dyDescent="0.25">
      <c r="A1993" t="s">
        <v>346</v>
      </c>
      <c r="B1993" s="68" t="s">
        <v>193</v>
      </c>
      <c r="C1993" s="68" t="s">
        <v>212</v>
      </c>
      <c r="D1993" s="68" t="s">
        <v>351</v>
      </c>
      <c r="E1993" s="68">
        <v>2</v>
      </c>
      <c r="F1993">
        <v>12</v>
      </c>
      <c r="G1993">
        <v>70</v>
      </c>
      <c r="H1993">
        <v>12</v>
      </c>
      <c r="I1993" s="68">
        <v>69.099999999999994</v>
      </c>
      <c r="J1993" s="68">
        <v>0</v>
      </c>
      <c r="K1993" s="68">
        <v>0</v>
      </c>
      <c r="L1993" s="68">
        <v>0</v>
      </c>
      <c r="M1993" s="68"/>
      <c r="N1993" s="68"/>
    </row>
    <row r="1994" spans="1:16" x14ac:dyDescent="0.25">
      <c r="A1994" t="s">
        <v>346</v>
      </c>
      <c r="B1994" s="68" t="s">
        <v>193</v>
      </c>
      <c r="C1994" s="68" t="s">
        <v>212</v>
      </c>
      <c r="D1994" s="68" t="s">
        <v>351</v>
      </c>
      <c r="E1994" s="68">
        <v>2</v>
      </c>
      <c r="F1994">
        <v>12</v>
      </c>
      <c r="G1994">
        <v>60</v>
      </c>
      <c r="H1994">
        <v>12</v>
      </c>
      <c r="I1994" s="68">
        <v>69.099999999999994</v>
      </c>
      <c r="J1994" s="68">
        <v>0</v>
      </c>
      <c r="K1994" s="68">
        <v>0</v>
      </c>
      <c r="L1994" s="68">
        <v>0</v>
      </c>
      <c r="M1994" s="68"/>
      <c r="N1994" s="68"/>
    </row>
    <row r="1995" spans="1:16" x14ac:dyDescent="0.25">
      <c r="A1995" t="s">
        <v>346</v>
      </c>
      <c r="B1995" s="68" t="s">
        <v>193</v>
      </c>
      <c r="C1995" s="68" t="s">
        <v>212</v>
      </c>
      <c r="D1995" s="68" t="s">
        <v>351</v>
      </c>
      <c r="E1995" s="68">
        <v>2</v>
      </c>
      <c r="F1995">
        <v>8</v>
      </c>
      <c r="G1995">
        <v>140</v>
      </c>
      <c r="H1995">
        <v>8</v>
      </c>
      <c r="I1995" s="68">
        <v>24.1</v>
      </c>
      <c r="J1995" s="68">
        <v>0</v>
      </c>
      <c r="K1995" s="68">
        <v>0</v>
      </c>
      <c r="L1995" s="68">
        <v>0</v>
      </c>
      <c r="M1995" s="68"/>
      <c r="N1995" s="68"/>
    </row>
    <row r="1996" spans="1:16" x14ac:dyDescent="0.25">
      <c r="A1996" t="s">
        <v>346</v>
      </c>
      <c r="B1996" s="68" t="s">
        <v>193</v>
      </c>
      <c r="C1996" s="68" t="s">
        <v>212</v>
      </c>
      <c r="D1996" s="68" t="s">
        <v>351</v>
      </c>
      <c r="E1996" s="68">
        <v>2</v>
      </c>
      <c r="F1996">
        <v>8</v>
      </c>
      <c r="G1996">
        <v>120</v>
      </c>
      <c r="H1996">
        <v>8</v>
      </c>
      <c r="I1996" s="68">
        <v>24.1</v>
      </c>
      <c r="J1996" s="68">
        <v>0</v>
      </c>
      <c r="K1996" s="68">
        <v>0</v>
      </c>
      <c r="L1996" s="68">
        <v>0</v>
      </c>
      <c r="M1996" s="68"/>
      <c r="N1996" s="68"/>
    </row>
    <row r="1997" spans="1:16" x14ac:dyDescent="0.25">
      <c r="A1997" t="s">
        <v>346</v>
      </c>
      <c r="B1997" s="68" t="s">
        <v>193</v>
      </c>
      <c r="C1997" s="68" t="s">
        <v>212</v>
      </c>
      <c r="D1997" s="68" t="s">
        <v>351</v>
      </c>
      <c r="E1997" s="68">
        <v>2</v>
      </c>
      <c r="F1997">
        <v>8</v>
      </c>
      <c r="G1997">
        <v>100</v>
      </c>
      <c r="H1997">
        <v>8</v>
      </c>
      <c r="I1997" s="68">
        <v>24.1</v>
      </c>
      <c r="J1997" s="68">
        <v>0</v>
      </c>
      <c r="K1997" s="68">
        <v>0</v>
      </c>
      <c r="L1997" s="68">
        <v>0</v>
      </c>
      <c r="M1997" s="68"/>
      <c r="N1997" s="68"/>
    </row>
    <row r="1998" spans="1:16" x14ac:dyDescent="0.25">
      <c r="A1998" t="s">
        <v>346</v>
      </c>
      <c r="B1998" s="68" t="s">
        <v>193</v>
      </c>
      <c r="C1998" s="68" t="s">
        <v>212</v>
      </c>
      <c r="D1998" s="68" t="s">
        <v>351</v>
      </c>
      <c r="E1998" s="68">
        <v>2</v>
      </c>
      <c r="F1998">
        <v>8</v>
      </c>
      <c r="G1998">
        <v>80</v>
      </c>
      <c r="H1998">
        <v>8</v>
      </c>
      <c r="I1998" s="68">
        <v>24.1</v>
      </c>
      <c r="J1998" s="68">
        <v>0</v>
      </c>
      <c r="K1998" s="68">
        <v>0</v>
      </c>
      <c r="L1998" s="68">
        <v>0</v>
      </c>
      <c r="M1998" s="68"/>
      <c r="N1998" s="68"/>
    </row>
    <row r="1999" spans="1:16" x14ac:dyDescent="0.25">
      <c r="A1999" t="s">
        <v>346</v>
      </c>
      <c r="B1999" s="68" t="s">
        <v>193</v>
      </c>
      <c r="C1999" s="68" t="s">
        <v>212</v>
      </c>
      <c r="D1999" s="68" t="s">
        <v>351</v>
      </c>
      <c r="E1999" s="68">
        <v>2</v>
      </c>
      <c r="F1999">
        <v>8</v>
      </c>
      <c r="G1999">
        <v>60</v>
      </c>
      <c r="H1999">
        <v>8</v>
      </c>
      <c r="I1999" s="68">
        <v>24.1</v>
      </c>
      <c r="J1999" s="68">
        <v>0</v>
      </c>
      <c r="K1999" s="68">
        <v>0</v>
      </c>
      <c r="L1999" s="68">
        <v>0</v>
      </c>
      <c r="M1999" s="68"/>
      <c r="N1999" s="68"/>
    </row>
    <row r="2000" spans="1:16" x14ac:dyDescent="0.25">
      <c r="A2000" t="s">
        <v>346</v>
      </c>
      <c r="B2000" s="68" t="s">
        <v>193</v>
      </c>
      <c r="C2000" s="68" t="s">
        <v>199</v>
      </c>
      <c r="D2000" s="77" t="s">
        <v>234</v>
      </c>
      <c r="E2000" s="68">
        <v>2</v>
      </c>
      <c r="F2000">
        <v>7.5</v>
      </c>
      <c r="G2000">
        <v>235</v>
      </c>
      <c r="H2000">
        <v>11</v>
      </c>
      <c r="I2000" s="68">
        <v>75</v>
      </c>
      <c r="J2000" s="68">
        <v>0</v>
      </c>
      <c r="K2000" s="68">
        <v>0</v>
      </c>
      <c r="L2000" s="68">
        <v>0</v>
      </c>
      <c r="M2000" s="68">
        <v>220</v>
      </c>
      <c r="N2000" s="68"/>
      <c r="P2000">
        <v>240</v>
      </c>
    </row>
    <row r="2001" spans="1:16" x14ac:dyDescent="0.25">
      <c r="A2001" t="s">
        <v>346</v>
      </c>
      <c r="B2001" s="68" t="s">
        <v>193</v>
      </c>
      <c r="C2001" s="68" t="s">
        <v>199</v>
      </c>
      <c r="D2001" s="77" t="s">
        <v>234</v>
      </c>
      <c r="E2001" s="68">
        <v>2</v>
      </c>
      <c r="F2001">
        <v>7.5</v>
      </c>
      <c r="G2001">
        <v>215</v>
      </c>
      <c r="H2001">
        <v>11</v>
      </c>
      <c r="I2001" s="68">
        <v>75</v>
      </c>
      <c r="J2001" s="68">
        <v>0</v>
      </c>
      <c r="K2001" s="68">
        <v>0</v>
      </c>
      <c r="L2001" s="68">
        <v>0</v>
      </c>
      <c r="M2001" s="68">
        <v>200</v>
      </c>
      <c r="N2001" s="68"/>
      <c r="P2001">
        <v>240</v>
      </c>
    </row>
    <row r="2002" spans="1:16" x14ac:dyDescent="0.25">
      <c r="A2002" t="s">
        <v>346</v>
      </c>
      <c r="B2002" s="68" t="s">
        <v>193</v>
      </c>
      <c r="C2002" s="68" t="s">
        <v>199</v>
      </c>
      <c r="D2002" s="77" t="s">
        <v>234</v>
      </c>
      <c r="E2002" s="68">
        <v>2</v>
      </c>
      <c r="F2002">
        <v>7.5</v>
      </c>
      <c r="G2002">
        <v>195</v>
      </c>
      <c r="H2002">
        <v>11</v>
      </c>
      <c r="I2002" s="68">
        <v>75</v>
      </c>
      <c r="J2002" s="68">
        <v>0</v>
      </c>
      <c r="K2002" s="68">
        <v>0</v>
      </c>
      <c r="L2002" s="68">
        <v>0</v>
      </c>
      <c r="M2002" s="68">
        <v>180</v>
      </c>
      <c r="N2002" s="68"/>
      <c r="P2002">
        <v>220</v>
      </c>
    </row>
    <row r="2003" spans="1:16" x14ac:dyDescent="0.25">
      <c r="A2003" t="s">
        <v>346</v>
      </c>
      <c r="B2003" s="68" t="s">
        <v>193</v>
      </c>
      <c r="C2003" s="68" t="s">
        <v>199</v>
      </c>
      <c r="D2003" s="77" t="s">
        <v>234</v>
      </c>
      <c r="E2003" s="68">
        <v>2</v>
      </c>
      <c r="F2003">
        <v>7.5</v>
      </c>
      <c r="G2003">
        <v>175</v>
      </c>
      <c r="H2003">
        <v>11</v>
      </c>
      <c r="I2003" s="68">
        <v>75</v>
      </c>
      <c r="J2003" s="68">
        <v>0</v>
      </c>
      <c r="K2003" s="68">
        <v>0</v>
      </c>
      <c r="L2003" s="68">
        <v>0</v>
      </c>
      <c r="M2003" s="68">
        <v>160</v>
      </c>
      <c r="N2003" s="68"/>
      <c r="P2003">
        <v>200</v>
      </c>
    </row>
    <row r="2004" spans="1:16" x14ac:dyDescent="0.25">
      <c r="A2004" t="s">
        <v>346</v>
      </c>
      <c r="B2004" s="68" t="s">
        <v>193</v>
      </c>
      <c r="C2004" s="68" t="s">
        <v>199</v>
      </c>
      <c r="D2004" s="77" t="s">
        <v>234</v>
      </c>
      <c r="E2004" s="68">
        <v>2</v>
      </c>
      <c r="F2004">
        <v>7.5</v>
      </c>
      <c r="G2004">
        <v>155</v>
      </c>
      <c r="H2004">
        <v>11</v>
      </c>
      <c r="I2004" s="68">
        <v>75</v>
      </c>
      <c r="J2004" s="68">
        <v>0</v>
      </c>
      <c r="K2004" s="68">
        <v>0</v>
      </c>
      <c r="L2004" s="68">
        <v>0</v>
      </c>
      <c r="M2004" s="68">
        <v>140</v>
      </c>
      <c r="N2004" s="68"/>
      <c r="P2004">
        <v>180</v>
      </c>
    </row>
    <row r="2005" spans="1:16" x14ac:dyDescent="0.25">
      <c r="A2005" t="s">
        <v>346</v>
      </c>
      <c r="B2005" s="68" t="s">
        <v>193</v>
      </c>
      <c r="C2005" s="68" t="s">
        <v>199</v>
      </c>
      <c r="D2005" s="77" t="s">
        <v>234</v>
      </c>
      <c r="E2005" s="68">
        <v>2</v>
      </c>
      <c r="F2005">
        <v>7.5</v>
      </c>
      <c r="G2005">
        <v>135</v>
      </c>
      <c r="H2005">
        <v>11</v>
      </c>
      <c r="I2005" s="68">
        <v>75</v>
      </c>
      <c r="J2005" s="68">
        <v>0</v>
      </c>
      <c r="K2005" s="68">
        <v>0</v>
      </c>
      <c r="L2005" s="68">
        <v>0</v>
      </c>
      <c r="M2005" s="68">
        <v>120</v>
      </c>
      <c r="N2005" s="68"/>
      <c r="P2005">
        <v>160</v>
      </c>
    </row>
    <row r="2006" spans="1:16" x14ac:dyDescent="0.25">
      <c r="A2006" t="s">
        <v>346</v>
      </c>
      <c r="B2006" s="68" t="s">
        <v>193</v>
      </c>
      <c r="C2006" s="68" t="s">
        <v>199</v>
      </c>
      <c r="D2006" s="77" t="s">
        <v>234</v>
      </c>
      <c r="E2006" s="68">
        <v>2</v>
      </c>
      <c r="F2006">
        <v>7.5</v>
      </c>
      <c r="G2006">
        <v>115</v>
      </c>
      <c r="H2006">
        <v>11</v>
      </c>
      <c r="I2006" s="68">
        <v>75</v>
      </c>
      <c r="J2006" s="68">
        <v>0</v>
      </c>
      <c r="K2006" s="68">
        <v>0</v>
      </c>
      <c r="L2006" s="68">
        <v>0</v>
      </c>
      <c r="M2006" s="68">
        <v>100</v>
      </c>
      <c r="N2006" s="68"/>
      <c r="P2006">
        <v>140</v>
      </c>
    </row>
    <row r="2007" spans="1:16" x14ac:dyDescent="0.25">
      <c r="A2007" t="s">
        <v>346</v>
      </c>
      <c r="B2007" s="68" t="s">
        <v>193</v>
      </c>
      <c r="C2007" s="68" t="s">
        <v>199</v>
      </c>
      <c r="D2007" s="77" t="s">
        <v>234</v>
      </c>
      <c r="E2007" s="68">
        <v>2</v>
      </c>
      <c r="F2007">
        <v>7.5</v>
      </c>
      <c r="G2007">
        <v>95</v>
      </c>
      <c r="H2007">
        <v>11</v>
      </c>
      <c r="I2007" s="68">
        <v>75</v>
      </c>
      <c r="J2007" s="68">
        <v>0</v>
      </c>
      <c r="K2007" s="68">
        <v>0</v>
      </c>
      <c r="L2007" s="68">
        <v>0</v>
      </c>
      <c r="M2007" s="68">
        <v>80</v>
      </c>
      <c r="N2007" s="68"/>
      <c r="P2007">
        <v>120</v>
      </c>
    </row>
    <row r="2008" spans="1:16" x14ac:dyDescent="0.25">
      <c r="A2008" t="s">
        <v>346</v>
      </c>
      <c r="B2008" s="68" t="s">
        <v>193</v>
      </c>
      <c r="C2008" s="68" t="s">
        <v>349</v>
      </c>
      <c r="D2008" s="77" t="s">
        <v>234</v>
      </c>
      <c r="E2008" s="68">
        <v>2</v>
      </c>
      <c r="F2008">
        <v>7.5</v>
      </c>
      <c r="G2008">
        <v>75</v>
      </c>
      <c r="H2008">
        <v>11</v>
      </c>
      <c r="I2008" s="68">
        <v>42</v>
      </c>
      <c r="J2008" s="68">
        <v>0</v>
      </c>
      <c r="K2008" s="68">
        <v>0</v>
      </c>
      <c r="L2008" s="68">
        <v>0</v>
      </c>
      <c r="M2008" s="68">
        <v>67</v>
      </c>
      <c r="N2008" s="68"/>
      <c r="P2008">
        <v>100</v>
      </c>
    </row>
    <row r="2009" spans="1:16" x14ac:dyDescent="0.25">
      <c r="A2009" t="s">
        <v>346</v>
      </c>
      <c r="B2009" s="68" t="s">
        <v>193</v>
      </c>
      <c r="C2009" s="68" t="s">
        <v>349</v>
      </c>
      <c r="D2009" s="77" t="s">
        <v>234</v>
      </c>
      <c r="E2009" s="68">
        <v>2</v>
      </c>
      <c r="F2009">
        <v>7.5</v>
      </c>
      <c r="G2009">
        <v>55</v>
      </c>
      <c r="H2009">
        <v>11</v>
      </c>
      <c r="I2009" s="68">
        <v>42</v>
      </c>
      <c r="J2009" s="68">
        <v>0</v>
      </c>
      <c r="K2009" s="68">
        <v>0</v>
      </c>
      <c r="L2009" s="68">
        <v>0</v>
      </c>
      <c r="M2009" s="68">
        <v>47</v>
      </c>
      <c r="N2009" s="68"/>
      <c r="P2009">
        <v>80</v>
      </c>
    </row>
    <row r="2010" spans="1:16" x14ac:dyDescent="0.25">
      <c r="A2010" t="s">
        <v>346</v>
      </c>
      <c r="B2010" s="68" t="s">
        <v>352</v>
      </c>
      <c r="C2010" s="68" t="s">
        <v>353</v>
      </c>
      <c r="D2010" s="68" t="s">
        <v>411</v>
      </c>
      <c r="E2010" s="68">
        <v>3</v>
      </c>
      <c r="F2010">
        <v>8</v>
      </c>
      <c r="G2010">
        <v>1000</v>
      </c>
      <c r="H2010">
        <v>8</v>
      </c>
      <c r="I2010" s="69">
        <f>0.3*520*F2010^2.6/1000</f>
        <v>34.766307295794007</v>
      </c>
      <c r="J2010" s="68">
        <v>0</v>
      </c>
      <c r="K2010" s="68">
        <v>0</v>
      </c>
      <c r="L2010" s="68">
        <v>0</v>
      </c>
      <c r="M2010" s="68"/>
      <c r="N2010" s="68"/>
    </row>
    <row r="2011" spans="1:16" x14ac:dyDescent="0.25">
      <c r="A2011" t="s">
        <v>346</v>
      </c>
      <c r="B2011" s="68" t="s">
        <v>352</v>
      </c>
      <c r="C2011" s="68" t="s">
        <v>353</v>
      </c>
      <c r="D2011" s="68" t="s">
        <v>411</v>
      </c>
      <c r="E2011" s="68">
        <v>3</v>
      </c>
      <c r="F2011">
        <v>10</v>
      </c>
      <c r="G2011">
        <v>1000</v>
      </c>
      <c r="H2011">
        <v>10</v>
      </c>
      <c r="I2011" s="69">
        <f t="shared" ref="I2011:I2022" si="0">0.3*520*F2011^2.6/1000</f>
        <v>62.104718606345628</v>
      </c>
      <c r="J2011" s="68">
        <v>0</v>
      </c>
      <c r="K2011" s="68">
        <v>0</v>
      </c>
      <c r="L2011" s="68">
        <v>0</v>
      </c>
      <c r="M2011" s="68"/>
      <c r="N2011" s="68"/>
    </row>
    <row r="2012" spans="1:16" x14ac:dyDescent="0.25">
      <c r="A2012" t="s">
        <v>346</v>
      </c>
      <c r="B2012" s="68" t="s">
        <v>352</v>
      </c>
      <c r="C2012" s="68" t="s">
        <v>353</v>
      </c>
      <c r="D2012" s="68" t="s">
        <v>411</v>
      </c>
      <c r="E2012" s="68">
        <v>3</v>
      </c>
      <c r="F2012">
        <v>12</v>
      </c>
      <c r="G2012">
        <v>1000</v>
      </c>
      <c r="H2012">
        <v>12</v>
      </c>
      <c r="I2012" s="69">
        <f t="shared" si="0"/>
        <v>99.769050273016987</v>
      </c>
      <c r="J2012" s="68">
        <v>0</v>
      </c>
      <c r="K2012" s="68">
        <v>0</v>
      </c>
      <c r="L2012" s="68">
        <v>0</v>
      </c>
      <c r="M2012" s="68"/>
      <c r="N2012" s="68"/>
    </row>
    <row r="2013" spans="1:16" x14ac:dyDescent="0.25">
      <c r="A2013" t="s">
        <v>346</v>
      </c>
      <c r="B2013" s="68" t="s">
        <v>352</v>
      </c>
      <c r="C2013" s="68" t="s">
        <v>353</v>
      </c>
      <c r="D2013" s="68" t="s">
        <v>411</v>
      </c>
      <c r="E2013" s="68">
        <v>3</v>
      </c>
      <c r="F2013">
        <v>16</v>
      </c>
      <c r="G2013">
        <v>1000</v>
      </c>
      <c r="H2013">
        <v>16</v>
      </c>
      <c r="I2013" s="69">
        <f t="shared" si="0"/>
        <v>210.78347169850522</v>
      </c>
      <c r="J2013" s="68">
        <v>0</v>
      </c>
      <c r="K2013" s="68">
        <v>0</v>
      </c>
      <c r="L2013" s="68">
        <v>0</v>
      </c>
      <c r="M2013" s="68"/>
      <c r="N2013" s="68"/>
    </row>
    <row r="2014" spans="1:16" x14ac:dyDescent="0.25">
      <c r="A2014" t="s">
        <v>346</v>
      </c>
      <c r="B2014" s="68" t="s">
        <v>352</v>
      </c>
      <c r="C2014" s="68" t="s">
        <v>353</v>
      </c>
      <c r="D2014" s="68" t="s">
        <v>411</v>
      </c>
      <c r="E2014" s="68">
        <v>3</v>
      </c>
      <c r="F2014">
        <v>20</v>
      </c>
      <c r="G2014">
        <v>1000</v>
      </c>
      <c r="H2014">
        <v>20</v>
      </c>
      <c r="I2014" s="69">
        <f t="shared" si="0"/>
        <v>376.53260340041828</v>
      </c>
      <c r="J2014" s="68">
        <v>0</v>
      </c>
      <c r="K2014" s="68">
        <v>0</v>
      </c>
      <c r="L2014" s="68">
        <v>0</v>
      </c>
      <c r="M2014" s="68"/>
      <c r="N2014" s="68"/>
    </row>
    <row r="2015" spans="1:16" x14ac:dyDescent="0.25">
      <c r="A2015" t="s">
        <v>346</v>
      </c>
      <c r="B2015" s="68" t="s">
        <v>352</v>
      </c>
      <c r="C2015" s="68" t="s">
        <v>353</v>
      </c>
      <c r="D2015" s="68" t="s">
        <v>411</v>
      </c>
      <c r="E2015" s="68">
        <v>3</v>
      </c>
      <c r="F2015">
        <v>22</v>
      </c>
      <c r="G2015">
        <v>1000</v>
      </c>
      <c r="H2015">
        <v>22</v>
      </c>
      <c r="I2015" s="69">
        <f t="shared" si="0"/>
        <v>482.41807180760566</v>
      </c>
      <c r="J2015" s="68">
        <v>0</v>
      </c>
      <c r="K2015" s="68">
        <v>0</v>
      </c>
      <c r="L2015" s="68">
        <v>0</v>
      </c>
      <c r="M2015" s="68"/>
      <c r="N2015" s="68"/>
    </row>
    <row r="2016" spans="1:16" x14ac:dyDescent="0.25">
      <c r="A2016" t="s">
        <v>346</v>
      </c>
      <c r="B2016" s="68" t="s">
        <v>352</v>
      </c>
      <c r="C2016" s="68" t="s">
        <v>353</v>
      </c>
      <c r="D2016" s="68" t="s">
        <v>411</v>
      </c>
      <c r="E2016" s="68">
        <v>3</v>
      </c>
      <c r="F2016">
        <v>25</v>
      </c>
      <c r="G2016">
        <v>1000</v>
      </c>
      <c r="H2016">
        <v>25</v>
      </c>
      <c r="I2016" s="69">
        <f t="shared" si="0"/>
        <v>672.61820996234201</v>
      </c>
      <c r="J2016" s="68">
        <v>0</v>
      </c>
      <c r="K2016" s="68">
        <v>0</v>
      </c>
      <c r="L2016" s="68">
        <v>0</v>
      </c>
      <c r="M2016" s="68"/>
      <c r="N2016" s="68"/>
    </row>
    <row r="2017" spans="1:15" x14ac:dyDescent="0.25">
      <c r="A2017" t="s">
        <v>346</v>
      </c>
      <c r="B2017" s="68" t="s">
        <v>409</v>
      </c>
      <c r="C2017" s="68" t="s">
        <v>410</v>
      </c>
      <c r="D2017" s="68" t="s">
        <v>411</v>
      </c>
      <c r="E2017" s="68">
        <v>3</v>
      </c>
      <c r="F2017">
        <v>10</v>
      </c>
      <c r="G2017">
        <v>1000</v>
      </c>
      <c r="H2017">
        <v>10</v>
      </c>
      <c r="I2017" s="69">
        <f t="shared" si="0"/>
        <v>62.104718606345628</v>
      </c>
      <c r="J2017" s="68">
        <v>0</v>
      </c>
      <c r="K2017" s="68">
        <v>0</v>
      </c>
      <c r="L2017" s="68">
        <v>0</v>
      </c>
      <c r="M2017" s="68"/>
      <c r="N2017" s="68"/>
    </row>
    <row r="2018" spans="1:15" x14ac:dyDescent="0.25">
      <c r="A2018" t="s">
        <v>346</v>
      </c>
      <c r="B2018" s="68" t="s">
        <v>409</v>
      </c>
      <c r="C2018" s="68" t="s">
        <v>410</v>
      </c>
      <c r="D2018" s="68" t="s">
        <v>411</v>
      </c>
      <c r="E2018" s="68">
        <v>3</v>
      </c>
      <c r="F2018">
        <v>12</v>
      </c>
      <c r="G2018">
        <v>1000</v>
      </c>
      <c r="H2018">
        <v>12</v>
      </c>
      <c r="I2018" s="69">
        <f t="shared" si="0"/>
        <v>99.769050273016987</v>
      </c>
      <c r="J2018" s="68">
        <v>0</v>
      </c>
      <c r="K2018" s="68">
        <v>0</v>
      </c>
      <c r="L2018" s="68">
        <v>0</v>
      </c>
      <c r="M2018" s="68"/>
      <c r="N2018" s="68"/>
    </row>
    <row r="2019" spans="1:15" x14ac:dyDescent="0.25">
      <c r="A2019" t="s">
        <v>346</v>
      </c>
      <c r="B2019" s="68" t="s">
        <v>409</v>
      </c>
      <c r="C2019" s="68" t="s">
        <v>410</v>
      </c>
      <c r="D2019" s="68" t="s">
        <v>411</v>
      </c>
      <c r="E2019" s="68">
        <v>3</v>
      </c>
      <c r="F2019">
        <v>13</v>
      </c>
      <c r="G2019">
        <v>1000</v>
      </c>
      <c r="H2019">
        <v>13</v>
      </c>
      <c r="I2019" s="69">
        <f t="shared" si="0"/>
        <v>122.85060917783089</v>
      </c>
      <c r="J2019" s="68">
        <v>0</v>
      </c>
      <c r="K2019" s="68">
        <v>0</v>
      </c>
      <c r="L2019" s="68">
        <v>0</v>
      </c>
      <c r="M2019" s="68"/>
      <c r="N2019" s="68"/>
    </row>
    <row r="2020" spans="1:15" x14ac:dyDescent="0.25">
      <c r="A2020" t="s">
        <v>346</v>
      </c>
      <c r="B2020" s="68" t="s">
        <v>409</v>
      </c>
      <c r="C2020" s="68" t="s">
        <v>410</v>
      </c>
      <c r="D2020" s="68" t="s">
        <v>411</v>
      </c>
      <c r="E2020" s="68">
        <v>3</v>
      </c>
      <c r="F2020">
        <v>16</v>
      </c>
      <c r="G2020">
        <v>1000</v>
      </c>
      <c r="H2020">
        <v>16</v>
      </c>
      <c r="I2020" s="69">
        <f t="shared" si="0"/>
        <v>210.78347169850522</v>
      </c>
      <c r="J2020" s="68">
        <v>0</v>
      </c>
      <c r="K2020" s="68">
        <v>0</v>
      </c>
      <c r="L2020" s="68">
        <v>0</v>
      </c>
      <c r="M2020" s="68"/>
      <c r="N2020" s="68"/>
    </row>
    <row r="2021" spans="1:15" x14ac:dyDescent="0.25">
      <c r="A2021" t="s">
        <v>346</v>
      </c>
      <c r="B2021" s="68" t="s">
        <v>409</v>
      </c>
      <c r="C2021" s="68" t="s">
        <v>410</v>
      </c>
      <c r="D2021" s="68" t="s">
        <v>411</v>
      </c>
      <c r="E2021" s="68">
        <v>3</v>
      </c>
      <c r="F2021">
        <v>20</v>
      </c>
      <c r="G2021">
        <v>1000</v>
      </c>
      <c r="H2021">
        <v>20</v>
      </c>
      <c r="I2021" s="69">
        <f t="shared" si="0"/>
        <v>376.53260340041828</v>
      </c>
      <c r="J2021" s="68">
        <v>0</v>
      </c>
      <c r="K2021" s="68">
        <v>0</v>
      </c>
      <c r="L2021" s="68">
        <v>0</v>
      </c>
      <c r="M2021" s="68"/>
      <c r="N2021" s="68"/>
    </row>
    <row r="2022" spans="1:15" x14ac:dyDescent="0.25">
      <c r="A2022" t="s">
        <v>346</v>
      </c>
      <c r="B2022" s="68" t="s">
        <v>409</v>
      </c>
      <c r="C2022" s="68" t="s">
        <v>410</v>
      </c>
      <c r="D2022" s="68" t="s">
        <v>411</v>
      </c>
      <c r="E2022" s="68">
        <v>3</v>
      </c>
      <c r="F2022">
        <v>25</v>
      </c>
      <c r="G2022">
        <v>1000</v>
      </c>
      <c r="H2022">
        <v>25</v>
      </c>
      <c r="I2022" s="69">
        <f t="shared" si="0"/>
        <v>672.61820996234201</v>
      </c>
      <c r="J2022" s="68">
        <v>0</v>
      </c>
      <c r="K2022" s="68">
        <v>0</v>
      </c>
      <c r="L2022" s="68">
        <v>0</v>
      </c>
      <c r="M2022" s="68"/>
      <c r="N2022" s="68"/>
    </row>
    <row r="2023" spans="1:15" x14ac:dyDescent="0.25">
      <c r="A2023" t="s">
        <v>346</v>
      </c>
      <c r="B2023" s="68" t="s">
        <v>408</v>
      </c>
      <c r="C2023" s="68" t="s">
        <v>406</v>
      </c>
      <c r="D2023" s="68" t="s">
        <v>412</v>
      </c>
      <c r="E2023" s="68">
        <v>2</v>
      </c>
      <c r="F2023">
        <v>7</v>
      </c>
      <c r="G2023">
        <v>1000</v>
      </c>
      <c r="H2023">
        <v>7</v>
      </c>
      <c r="I2023" s="69">
        <f>0.3*360*F2023^2.6/1000</f>
        <v>17.008995236697277</v>
      </c>
      <c r="J2023" s="68">
        <v>0</v>
      </c>
      <c r="K2023" s="68">
        <v>0</v>
      </c>
      <c r="L2023" s="68">
        <v>0</v>
      </c>
      <c r="M2023" s="68"/>
      <c r="N2023" s="68"/>
      <c r="O2023">
        <v>360</v>
      </c>
    </row>
    <row r="2024" spans="1:15" x14ac:dyDescent="0.25">
      <c r="A2024" t="s">
        <v>346</v>
      </c>
      <c r="B2024" s="68" t="s">
        <v>408</v>
      </c>
      <c r="C2024" s="68" t="s">
        <v>406</v>
      </c>
      <c r="D2024" s="68" t="s">
        <v>412</v>
      </c>
      <c r="E2024" s="68">
        <v>2</v>
      </c>
      <c r="F2024">
        <v>8</v>
      </c>
      <c r="G2024">
        <v>1000</v>
      </c>
      <c r="H2024">
        <v>8</v>
      </c>
      <c r="I2024" s="69">
        <f t="shared" ref="I2024:I2032" si="1">0.3*360*F2024^2.6/1000</f>
        <v>24.068981974011237</v>
      </c>
      <c r="J2024" s="68">
        <v>0</v>
      </c>
      <c r="K2024" s="68">
        <v>0</v>
      </c>
      <c r="L2024" s="68">
        <v>0</v>
      </c>
      <c r="M2024" s="68"/>
      <c r="N2024" s="68"/>
      <c r="O2024">
        <v>360</v>
      </c>
    </row>
    <row r="2025" spans="1:15" x14ac:dyDescent="0.25">
      <c r="A2025" t="s">
        <v>346</v>
      </c>
      <c r="B2025" s="68" t="s">
        <v>408</v>
      </c>
      <c r="C2025" s="68" t="s">
        <v>406</v>
      </c>
      <c r="D2025" s="68" t="s">
        <v>412</v>
      </c>
      <c r="E2025" s="68">
        <v>2</v>
      </c>
      <c r="F2025">
        <v>10</v>
      </c>
      <c r="G2025">
        <v>1000</v>
      </c>
      <c r="H2025">
        <v>10</v>
      </c>
      <c r="I2025" s="69">
        <f t="shared" si="1"/>
        <v>42.995574419777739</v>
      </c>
      <c r="J2025" s="68">
        <v>0</v>
      </c>
      <c r="K2025" s="68">
        <v>0</v>
      </c>
      <c r="L2025" s="68">
        <v>0</v>
      </c>
      <c r="M2025" s="68"/>
      <c r="N2025" s="68"/>
      <c r="O2025">
        <v>360</v>
      </c>
    </row>
    <row r="2026" spans="1:15" x14ac:dyDescent="0.25">
      <c r="A2026" t="s">
        <v>346</v>
      </c>
      <c r="B2026" s="68" t="s">
        <v>408</v>
      </c>
      <c r="C2026" s="68" t="s">
        <v>406</v>
      </c>
      <c r="D2026" s="68" t="s">
        <v>412</v>
      </c>
      <c r="E2026" s="68">
        <v>2</v>
      </c>
      <c r="F2026">
        <v>12</v>
      </c>
      <c r="G2026">
        <v>1000</v>
      </c>
      <c r="H2026">
        <v>12</v>
      </c>
      <c r="I2026" s="69">
        <f t="shared" si="1"/>
        <v>69.070880958242526</v>
      </c>
      <c r="J2026" s="68">
        <v>0</v>
      </c>
      <c r="K2026" s="68">
        <v>0</v>
      </c>
      <c r="L2026" s="68">
        <v>0</v>
      </c>
      <c r="M2026" s="68"/>
      <c r="N2026" s="68"/>
      <c r="O2026">
        <v>360</v>
      </c>
    </row>
    <row r="2027" spans="1:15" x14ac:dyDescent="0.25">
      <c r="A2027" t="s">
        <v>346</v>
      </c>
      <c r="B2027" s="68" t="s">
        <v>408</v>
      </c>
      <c r="C2027" s="68" t="s">
        <v>406</v>
      </c>
      <c r="D2027" s="68" t="s">
        <v>412</v>
      </c>
      <c r="E2027" s="68">
        <v>2</v>
      </c>
      <c r="F2027">
        <v>16</v>
      </c>
      <c r="G2027">
        <v>1000</v>
      </c>
      <c r="H2027">
        <v>16</v>
      </c>
      <c r="I2027" s="69">
        <f t="shared" si="1"/>
        <v>145.92701886819592</v>
      </c>
      <c r="J2027" s="68">
        <v>0</v>
      </c>
      <c r="K2027" s="68">
        <v>0</v>
      </c>
      <c r="L2027" s="68">
        <v>0</v>
      </c>
      <c r="M2027" s="68"/>
      <c r="N2027" s="68"/>
      <c r="O2027">
        <v>360</v>
      </c>
    </row>
    <row r="2028" spans="1:15" x14ac:dyDescent="0.25">
      <c r="A2028" t="s">
        <v>346</v>
      </c>
      <c r="B2028" s="68" t="s">
        <v>408</v>
      </c>
      <c r="C2028" s="68" t="s">
        <v>406</v>
      </c>
      <c r="D2028" s="68" t="s">
        <v>412</v>
      </c>
      <c r="E2028" s="68">
        <v>2</v>
      </c>
      <c r="F2028">
        <v>20</v>
      </c>
      <c r="G2028">
        <v>1000</v>
      </c>
      <c r="H2028">
        <v>20</v>
      </c>
      <c r="I2028" s="69">
        <f t="shared" si="1"/>
        <v>260.67641773875113</v>
      </c>
      <c r="J2028" s="68">
        <v>0</v>
      </c>
      <c r="K2028" s="68">
        <v>0</v>
      </c>
      <c r="L2028" s="68">
        <v>0</v>
      </c>
      <c r="M2028" s="68"/>
      <c r="N2028" s="68"/>
      <c r="O2028">
        <v>360</v>
      </c>
    </row>
    <row r="2029" spans="1:15" x14ac:dyDescent="0.25">
      <c r="A2029" t="s">
        <v>346</v>
      </c>
      <c r="B2029" s="68" t="s">
        <v>408</v>
      </c>
      <c r="C2029" s="68" t="s">
        <v>406</v>
      </c>
      <c r="D2029" s="68" t="s">
        <v>412</v>
      </c>
      <c r="E2029" s="68">
        <v>2</v>
      </c>
      <c r="F2029">
        <v>22</v>
      </c>
      <c r="G2029">
        <v>1000</v>
      </c>
      <c r="H2029">
        <v>22</v>
      </c>
      <c r="I2029" s="69">
        <f t="shared" si="1"/>
        <v>333.98174202065007</v>
      </c>
      <c r="J2029" s="68">
        <v>0</v>
      </c>
      <c r="K2029" s="68">
        <v>0</v>
      </c>
      <c r="L2029" s="68">
        <v>0</v>
      </c>
      <c r="M2029" s="68"/>
      <c r="N2029" s="68"/>
      <c r="O2029">
        <v>360</v>
      </c>
    </row>
    <row r="2030" spans="1:15" x14ac:dyDescent="0.25">
      <c r="A2030" t="s">
        <v>346</v>
      </c>
      <c r="B2030" s="68" t="s">
        <v>408</v>
      </c>
      <c r="C2030" s="68" t="s">
        <v>406</v>
      </c>
      <c r="D2030" s="68" t="s">
        <v>412</v>
      </c>
      <c r="E2030" s="68">
        <v>2</v>
      </c>
      <c r="F2030">
        <v>24</v>
      </c>
      <c r="G2030">
        <v>1000</v>
      </c>
      <c r="H2030">
        <v>24</v>
      </c>
      <c r="I2030" s="69">
        <f t="shared" si="1"/>
        <v>418.7675141275036</v>
      </c>
      <c r="J2030" s="68">
        <v>0</v>
      </c>
      <c r="K2030" s="68">
        <v>0</v>
      </c>
      <c r="L2030" s="68">
        <v>0</v>
      </c>
      <c r="M2030" s="68"/>
      <c r="N2030" s="68"/>
      <c r="O2030">
        <v>360</v>
      </c>
    </row>
    <row r="2031" spans="1:15" x14ac:dyDescent="0.25">
      <c r="A2031" t="s">
        <v>346</v>
      </c>
      <c r="B2031" s="68" t="s">
        <v>408</v>
      </c>
      <c r="C2031" s="68" t="s">
        <v>406</v>
      </c>
      <c r="D2031" s="68" t="s">
        <v>412</v>
      </c>
      <c r="E2031" s="68">
        <v>2</v>
      </c>
      <c r="F2031">
        <v>25</v>
      </c>
      <c r="G2031">
        <v>1000</v>
      </c>
      <c r="H2031">
        <v>25</v>
      </c>
      <c r="I2031" s="69">
        <f t="shared" si="1"/>
        <v>465.65876074315986</v>
      </c>
      <c r="J2031" s="68">
        <v>0</v>
      </c>
      <c r="K2031" s="68">
        <v>0</v>
      </c>
      <c r="L2031" s="68">
        <v>0</v>
      </c>
      <c r="M2031" s="68"/>
      <c r="N2031" s="68"/>
      <c r="O2031">
        <v>360</v>
      </c>
    </row>
    <row r="2032" spans="1:15" x14ac:dyDescent="0.25">
      <c r="A2032" t="s">
        <v>346</v>
      </c>
      <c r="B2032" s="68" t="s">
        <v>408</v>
      </c>
      <c r="C2032" s="68" t="s">
        <v>406</v>
      </c>
      <c r="D2032" s="68" t="s">
        <v>412</v>
      </c>
      <c r="E2032" s="68">
        <v>2</v>
      </c>
      <c r="F2032">
        <v>28</v>
      </c>
      <c r="G2032">
        <v>1000</v>
      </c>
      <c r="H2032">
        <v>28</v>
      </c>
      <c r="I2032" s="69">
        <f t="shared" si="1"/>
        <v>625.22255515349036</v>
      </c>
      <c r="J2032" s="68">
        <v>0</v>
      </c>
      <c r="K2032" s="68">
        <v>0</v>
      </c>
      <c r="L2032" s="68">
        <v>0</v>
      </c>
      <c r="M2032" s="68"/>
      <c r="N2032" s="68"/>
      <c r="O2032">
        <v>360</v>
      </c>
    </row>
    <row r="2033" spans="1:15" x14ac:dyDescent="0.25">
      <c r="A2033" t="s">
        <v>346</v>
      </c>
      <c r="B2033" s="68" t="s">
        <v>408</v>
      </c>
      <c r="C2033" s="68" t="s">
        <v>407</v>
      </c>
      <c r="D2033" s="68" t="s">
        <v>413</v>
      </c>
      <c r="E2033" s="68">
        <v>2</v>
      </c>
      <c r="F2033">
        <v>10</v>
      </c>
      <c r="G2033">
        <v>1000</v>
      </c>
      <c r="H2033">
        <v>10</v>
      </c>
      <c r="I2033" s="69">
        <f>0.3*490*F2033^2.6/1000</f>
        <v>58.52175407136415</v>
      </c>
      <c r="J2033" s="68">
        <v>0</v>
      </c>
      <c r="K2033" s="68">
        <v>0</v>
      </c>
      <c r="L2033" s="68">
        <v>0</v>
      </c>
      <c r="M2033" s="68"/>
      <c r="N2033" s="68"/>
      <c r="O2033">
        <v>490</v>
      </c>
    </row>
    <row r="2034" spans="1:15" x14ac:dyDescent="0.25">
      <c r="A2034" t="s">
        <v>346</v>
      </c>
      <c r="B2034" s="68" t="s">
        <v>408</v>
      </c>
      <c r="C2034" s="68" t="s">
        <v>407</v>
      </c>
      <c r="D2034" s="68" t="s">
        <v>413</v>
      </c>
      <c r="E2034" s="68">
        <v>2</v>
      </c>
      <c r="F2034">
        <v>12</v>
      </c>
      <c r="G2034">
        <v>1000</v>
      </c>
      <c r="H2034">
        <v>12</v>
      </c>
      <c r="I2034" s="69">
        <f t="shared" ref="I2034:I2040" si="2">0.3*490*F2034^2.6/1000</f>
        <v>94.013143526496776</v>
      </c>
      <c r="J2034" s="68">
        <v>0</v>
      </c>
      <c r="K2034" s="68">
        <v>0</v>
      </c>
      <c r="L2034" s="68">
        <v>0</v>
      </c>
      <c r="M2034" s="68"/>
      <c r="N2034" s="68"/>
      <c r="O2034">
        <v>490</v>
      </c>
    </row>
    <row r="2035" spans="1:15" x14ac:dyDescent="0.25">
      <c r="A2035" t="s">
        <v>346</v>
      </c>
      <c r="B2035" s="68" t="s">
        <v>408</v>
      </c>
      <c r="C2035" s="68" t="s">
        <v>407</v>
      </c>
      <c r="D2035" s="68" t="s">
        <v>413</v>
      </c>
      <c r="E2035" s="68">
        <v>2</v>
      </c>
      <c r="F2035">
        <v>16</v>
      </c>
      <c r="G2035">
        <v>1000</v>
      </c>
      <c r="H2035">
        <v>16</v>
      </c>
      <c r="I2035" s="69">
        <f t="shared" si="2"/>
        <v>198.62288679282221</v>
      </c>
      <c r="J2035" s="68">
        <v>0</v>
      </c>
      <c r="K2035" s="68">
        <v>0</v>
      </c>
      <c r="L2035" s="68">
        <v>0</v>
      </c>
      <c r="M2035" s="68"/>
      <c r="N2035" s="68"/>
      <c r="O2035">
        <v>490</v>
      </c>
    </row>
    <row r="2036" spans="1:15" x14ac:dyDescent="0.25">
      <c r="A2036" t="s">
        <v>346</v>
      </c>
      <c r="B2036" s="68" t="s">
        <v>408</v>
      </c>
      <c r="C2036" s="68" t="s">
        <v>407</v>
      </c>
      <c r="D2036" s="68" t="s">
        <v>413</v>
      </c>
      <c r="E2036" s="68">
        <v>2</v>
      </c>
      <c r="F2036">
        <v>20</v>
      </c>
      <c r="G2036">
        <v>1000</v>
      </c>
      <c r="H2036">
        <v>20</v>
      </c>
      <c r="I2036" s="69">
        <f t="shared" si="2"/>
        <v>354.80956858885571</v>
      </c>
      <c r="J2036" s="68">
        <v>0</v>
      </c>
      <c r="K2036" s="68">
        <v>0</v>
      </c>
      <c r="L2036" s="68">
        <v>0</v>
      </c>
      <c r="M2036" s="68"/>
      <c r="N2036" s="68"/>
      <c r="O2036">
        <v>490</v>
      </c>
    </row>
    <row r="2037" spans="1:15" x14ac:dyDescent="0.25">
      <c r="A2037" t="s">
        <v>346</v>
      </c>
      <c r="B2037" s="68" t="s">
        <v>408</v>
      </c>
      <c r="C2037" s="68" t="s">
        <v>407</v>
      </c>
      <c r="D2037" s="68" t="s">
        <v>413</v>
      </c>
      <c r="E2037" s="68">
        <v>2</v>
      </c>
      <c r="F2037">
        <v>22</v>
      </c>
      <c r="G2037">
        <v>1000</v>
      </c>
      <c r="H2037">
        <v>22</v>
      </c>
      <c r="I2037" s="69">
        <f t="shared" si="2"/>
        <v>454.58625997255149</v>
      </c>
      <c r="J2037" s="68">
        <v>0</v>
      </c>
      <c r="K2037" s="68">
        <v>0</v>
      </c>
      <c r="L2037" s="68">
        <v>0</v>
      </c>
      <c r="M2037" s="68"/>
      <c r="N2037" s="68"/>
      <c r="O2037">
        <v>490</v>
      </c>
    </row>
    <row r="2038" spans="1:15" x14ac:dyDescent="0.25">
      <c r="A2038" t="s">
        <v>346</v>
      </c>
      <c r="B2038" s="68" t="s">
        <v>408</v>
      </c>
      <c r="C2038" s="68" t="s">
        <v>407</v>
      </c>
      <c r="D2038" s="68" t="s">
        <v>413</v>
      </c>
      <c r="E2038" s="68">
        <v>2</v>
      </c>
      <c r="F2038">
        <v>24</v>
      </c>
      <c r="G2038">
        <v>1000</v>
      </c>
      <c r="H2038">
        <v>24</v>
      </c>
      <c r="I2038" s="69">
        <f t="shared" si="2"/>
        <v>569.98911645132432</v>
      </c>
      <c r="J2038" s="68">
        <v>0</v>
      </c>
      <c r="K2038" s="68">
        <v>0</v>
      </c>
      <c r="L2038" s="68">
        <v>0</v>
      </c>
      <c r="M2038" s="68"/>
      <c r="N2038" s="68"/>
      <c r="O2038">
        <v>490</v>
      </c>
    </row>
    <row r="2039" spans="1:15" x14ac:dyDescent="0.25">
      <c r="A2039" t="s">
        <v>346</v>
      </c>
      <c r="B2039" s="68" t="s">
        <v>408</v>
      </c>
      <c r="C2039" s="68" t="s">
        <v>407</v>
      </c>
      <c r="D2039" s="68" t="s">
        <v>413</v>
      </c>
      <c r="E2039" s="68">
        <v>2</v>
      </c>
      <c r="F2039">
        <v>25</v>
      </c>
      <c r="G2039">
        <v>1000</v>
      </c>
      <c r="H2039">
        <v>25</v>
      </c>
      <c r="I2039" s="69">
        <f t="shared" si="2"/>
        <v>633.81331323374536</v>
      </c>
      <c r="J2039" s="68">
        <v>0</v>
      </c>
      <c r="K2039" s="68">
        <v>0</v>
      </c>
      <c r="L2039" s="68">
        <v>0</v>
      </c>
      <c r="M2039" s="68"/>
      <c r="N2039" s="68"/>
      <c r="O2039">
        <v>490</v>
      </c>
    </row>
    <row r="2040" spans="1:15" x14ac:dyDescent="0.25">
      <c r="A2040" t="s">
        <v>346</v>
      </c>
      <c r="B2040" s="68" t="s">
        <v>408</v>
      </c>
      <c r="C2040" s="68" t="s">
        <v>407</v>
      </c>
      <c r="D2040" s="68" t="s">
        <v>413</v>
      </c>
      <c r="E2040" s="68">
        <v>2</v>
      </c>
      <c r="F2040">
        <v>28</v>
      </c>
      <c r="G2040">
        <v>1000</v>
      </c>
      <c r="H2040">
        <v>28</v>
      </c>
      <c r="I2040" s="69">
        <f t="shared" si="2"/>
        <v>850.99736673669531</v>
      </c>
      <c r="J2040" s="68">
        <v>0</v>
      </c>
      <c r="K2040" s="68">
        <v>0</v>
      </c>
      <c r="L2040" s="68">
        <v>0</v>
      </c>
      <c r="M2040" s="68"/>
      <c r="N2040" s="68"/>
      <c r="O2040">
        <v>490</v>
      </c>
    </row>
    <row r="2041" spans="1:15" x14ac:dyDescent="0.25">
      <c r="A2041" t="s">
        <v>346</v>
      </c>
      <c r="B2041" s="68" t="s">
        <v>420</v>
      </c>
      <c r="C2041" s="68" t="s">
        <v>421</v>
      </c>
      <c r="D2041" s="68" t="s">
        <v>422</v>
      </c>
      <c r="E2041" s="68">
        <v>2</v>
      </c>
      <c r="F2041">
        <v>8</v>
      </c>
      <c r="G2041">
        <v>60</v>
      </c>
      <c r="H2041">
        <v>8</v>
      </c>
      <c r="I2041" s="69">
        <v>22.7</v>
      </c>
      <c r="J2041" s="68">
        <v>0</v>
      </c>
      <c r="K2041" s="68">
        <v>0</v>
      </c>
      <c r="L2041" s="68">
        <v>0</v>
      </c>
      <c r="M2041" s="68"/>
      <c r="N2041" s="68"/>
    </row>
    <row r="2042" spans="1:15" x14ac:dyDescent="0.25">
      <c r="A2042" t="s">
        <v>346</v>
      </c>
      <c r="B2042" s="68" t="s">
        <v>420</v>
      </c>
      <c r="C2042" s="68" t="s">
        <v>421</v>
      </c>
      <c r="D2042" s="68" t="s">
        <v>422</v>
      </c>
      <c r="E2042" s="68">
        <v>2</v>
      </c>
      <c r="F2042">
        <v>8</v>
      </c>
      <c r="G2042">
        <v>80</v>
      </c>
      <c r="H2042">
        <v>8</v>
      </c>
      <c r="I2042" s="69">
        <v>22.7</v>
      </c>
      <c r="J2042" s="68">
        <v>0</v>
      </c>
      <c r="K2042" s="68">
        <v>0</v>
      </c>
      <c r="L2042" s="68">
        <v>0</v>
      </c>
      <c r="M2042" s="68"/>
      <c r="N2042" s="68"/>
    </row>
    <row r="2043" spans="1:15" x14ac:dyDescent="0.25">
      <c r="A2043" t="s">
        <v>346</v>
      </c>
      <c r="B2043" s="68" t="s">
        <v>420</v>
      </c>
      <c r="C2043" s="68" t="s">
        <v>421</v>
      </c>
      <c r="D2043" s="68" t="s">
        <v>422</v>
      </c>
      <c r="E2043" s="68">
        <v>2</v>
      </c>
      <c r="F2043">
        <v>8</v>
      </c>
      <c r="G2043">
        <v>100</v>
      </c>
      <c r="H2043">
        <v>8</v>
      </c>
      <c r="I2043" s="69">
        <v>22.7</v>
      </c>
      <c r="J2043" s="68">
        <v>0</v>
      </c>
      <c r="K2043" s="68">
        <v>0</v>
      </c>
      <c r="L2043" s="68">
        <v>0</v>
      </c>
      <c r="M2043" s="68"/>
      <c r="N2043" s="68"/>
    </row>
    <row r="2044" spans="1:15" x14ac:dyDescent="0.25">
      <c r="A2044" t="s">
        <v>346</v>
      </c>
      <c r="B2044" s="68" t="s">
        <v>420</v>
      </c>
      <c r="C2044" s="68" t="s">
        <v>421</v>
      </c>
      <c r="D2044" s="68" t="s">
        <v>422</v>
      </c>
      <c r="E2044" s="68">
        <v>2</v>
      </c>
      <c r="F2044">
        <v>8</v>
      </c>
      <c r="G2044">
        <v>115</v>
      </c>
      <c r="H2044">
        <v>8</v>
      </c>
      <c r="I2044" s="69">
        <v>22.7</v>
      </c>
      <c r="J2044" s="68">
        <v>0</v>
      </c>
      <c r="K2044" s="68">
        <v>0</v>
      </c>
      <c r="L2044" s="68">
        <v>0</v>
      </c>
      <c r="M2044" s="68"/>
      <c r="N2044" s="68"/>
    </row>
    <row r="2045" spans="1:15" x14ac:dyDescent="0.25">
      <c r="A2045" t="s">
        <v>346</v>
      </c>
      <c r="B2045" s="68" t="s">
        <v>420</v>
      </c>
      <c r="C2045" s="68" t="s">
        <v>421</v>
      </c>
      <c r="D2045" s="68" t="s">
        <v>422</v>
      </c>
      <c r="E2045" s="68">
        <v>2</v>
      </c>
      <c r="F2045">
        <v>8</v>
      </c>
      <c r="G2045">
        <v>120</v>
      </c>
      <c r="H2045">
        <v>8</v>
      </c>
      <c r="I2045" s="69">
        <v>22.7</v>
      </c>
      <c r="J2045" s="68">
        <v>0</v>
      </c>
      <c r="K2045" s="68">
        <v>0</v>
      </c>
      <c r="L2045" s="68">
        <v>0</v>
      </c>
      <c r="M2045" s="68"/>
      <c r="N2045" s="68"/>
    </row>
    <row r="2046" spans="1:15" x14ac:dyDescent="0.25">
      <c r="A2046" t="s">
        <v>346</v>
      </c>
      <c r="B2046" s="68" t="s">
        <v>420</v>
      </c>
      <c r="C2046" s="68" t="s">
        <v>421</v>
      </c>
      <c r="D2046" s="68" t="s">
        <v>422</v>
      </c>
      <c r="E2046" s="68">
        <v>2</v>
      </c>
      <c r="F2046">
        <v>8</v>
      </c>
      <c r="G2046">
        <v>140</v>
      </c>
      <c r="H2046">
        <v>8</v>
      </c>
      <c r="I2046" s="69">
        <v>22.7</v>
      </c>
      <c r="J2046" s="68">
        <v>0</v>
      </c>
      <c r="K2046" s="68">
        <v>0</v>
      </c>
      <c r="L2046" s="68">
        <v>0</v>
      </c>
      <c r="M2046" s="68"/>
      <c r="N2046" s="68"/>
    </row>
    <row r="2047" spans="1:15" x14ac:dyDescent="0.25">
      <c r="A2047" t="s">
        <v>346</v>
      </c>
      <c r="B2047" s="68" t="s">
        <v>420</v>
      </c>
      <c r="C2047" s="68" t="s">
        <v>421</v>
      </c>
      <c r="D2047" s="68" t="s">
        <v>422</v>
      </c>
      <c r="E2047" s="68">
        <v>2</v>
      </c>
      <c r="F2047">
        <v>8</v>
      </c>
      <c r="G2047">
        <v>160</v>
      </c>
      <c r="H2047">
        <v>8</v>
      </c>
      <c r="I2047" s="69">
        <v>22.7</v>
      </c>
      <c r="J2047" s="68">
        <v>0</v>
      </c>
      <c r="K2047" s="68">
        <v>0</v>
      </c>
      <c r="L2047" s="68">
        <v>0</v>
      </c>
      <c r="M2047" s="68"/>
      <c r="N2047" s="68"/>
    </row>
    <row r="2048" spans="1:15" x14ac:dyDescent="0.25">
      <c r="A2048" t="s">
        <v>346</v>
      </c>
      <c r="B2048" s="68" t="s">
        <v>420</v>
      </c>
      <c r="C2048" s="68" t="s">
        <v>421</v>
      </c>
      <c r="D2048" s="68" t="s">
        <v>422</v>
      </c>
      <c r="E2048" s="68">
        <v>2</v>
      </c>
      <c r="F2048">
        <v>8</v>
      </c>
      <c r="G2048">
        <v>180</v>
      </c>
      <c r="H2048">
        <v>8</v>
      </c>
      <c r="I2048" s="69">
        <v>22.7</v>
      </c>
      <c r="J2048" s="68">
        <v>0</v>
      </c>
      <c r="K2048" s="68">
        <v>0</v>
      </c>
      <c r="L2048" s="68">
        <v>0</v>
      </c>
      <c r="M2048" s="68"/>
      <c r="N2048" s="68"/>
    </row>
    <row r="2049" spans="1:14" x14ac:dyDescent="0.25">
      <c r="A2049" t="s">
        <v>346</v>
      </c>
      <c r="B2049" s="68" t="s">
        <v>420</v>
      </c>
      <c r="C2049" s="68" t="s">
        <v>421</v>
      </c>
      <c r="D2049" s="68" t="s">
        <v>422</v>
      </c>
      <c r="E2049" s="68">
        <v>2</v>
      </c>
      <c r="F2049">
        <v>8</v>
      </c>
      <c r="G2049">
        <v>200</v>
      </c>
      <c r="H2049">
        <v>8</v>
      </c>
      <c r="I2049" s="69">
        <v>22.7</v>
      </c>
      <c r="J2049" s="68">
        <v>0</v>
      </c>
      <c r="K2049" s="68">
        <v>0</v>
      </c>
      <c r="L2049" s="68">
        <v>0</v>
      </c>
      <c r="M2049" s="68"/>
      <c r="N2049" s="68"/>
    </row>
    <row r="2050" spans="1:14" x14ac:dyDescent="0.25">
      <c r="A2050" t="s">
        <v>346</v>
      </c>
      <c r="B2050" s="68" t="s">
        <v>420</v>
      </c>
      <c r="C2050" s="68" t="s">
        <v>421</v>
      </c>
      <c r="D2050" s="68" t="s">
        <v>422</v>
      </c>
      <c r="E2050" s="68">
        <v>2</v>
      </c>
      <c r="F2050">
        <v>10</v>
      </c>
      <c r="G2050">
        <v>60</v>
      </c>
      <c r="H2050">
        <v>10</v>
      </c>
      <c r="I2050" s="69">
        <v>40.6</v>
      </c>
      <c r="J2050" s="68">
        <v>0</v>
      </c>
      <c r="K2050" s="68">
        <v>0</v>
      </c>
      <c r="L2050" s="68">
        <v>0</v>
      </c>
      <c r="M2050" s="68"/>
      <c r="N2050" s="68"/>
    </row>
    <row r="2051" spans="1:14" x14ac:dyDescent="0.25">
      <c r="A2051" t="s">
        <v>346</v>
      </c>
      <c r="B2051" s="68" t="s">
        <v>420</v>
      </c>
      <c r="C2051" s="68" t="s">
        <v>421</v>
      </c>
      <c r="D2051" s="68" t="s">
        <v>422</v>
      </c>
      <c r="E2051" s="68">
        <v>2</v>
      </c>
      <c r="F2051">
        <v>10</v>
      </c>
      <c r="G2051">
        <v>80</v>
      </c>
      <c r="H2051">
        <v>10</v>
      </c>
      <c r="I2051" s="69">
        <v>40.6</v>
      </c>
      <c r="J2051" s="68">
        <v>0</v>
      </c>
      <c r="K2051" s="68">
        <v>0</v>
      </c>
      <c r="L2051" s="68">
        <v>0</v>
      </c>
      <c r="M2051" s="68"/>
      <c r="N2051" s="68"/>
    </row>
    <row r="2052" spans="1:14" x14ac:dyDescent="0.25">
      <c r="A2052" t="s">
        <v>346</v>
      </c>
      <c r="B2052" s="68" t="s">
        <v>420</v>
      </c>
      <c r="C2052" s="68" t="s">
        <v>421</v>
      </c>
      <c r="D2052" s="68" t="s">
        <v>422</v>
      </c>
      <c r="E2052" s="68">
        <v>2</v>
      </c>
      <c r="F2052">
        <v>10</v>
      </c>
      <c r="G2052">
        <v>100</v>
      </c>
      <c r="H2052">
        <v>10</v>
      </c>
      <c r="I2052" s="69">
        <v>40.6</v>
      </c>
      <c r="J2052" s="68">
        <v>0</v>
      </c>
      <c r="K2052" s="68">
        <v>0</v>
      </c>
      <c r="L2052" s="68">
        <v>0</v>
      </c>
      <c r="M2052" s="68"/>
      <c r="N2052" s="68"/>
    </row>
    <row r="2053" spans="1:14" x14ac:dyDescent="0.25">
      <c r="A2053" t="s">
        <v>346</v>
      </c>
      <c r="B2053" s="68" t="s">
        <v>420</v>
      </c>
      <c r="C2053" s="68" t="s">
        <v>421</v>
      </c>
      <c r="D2053" s="68" t="s">
        <v>422</v>
      </c>
      <c r="E2053" s="68">
        <v>2</v>
      </c>
      <c r="F2053">
        <v>10</v>
      </c>
      <c r="G2053">
        <v>120</v>
      </c>
      <c r="H2053">
        <v>10</v>
      </c>
      <c r="I2053" s="69">
        <v>40.6</v>
      </c>
      <c r="J2053" s="68">
        <v>0</v>
      </c>
      <c r="K2053" s="68">
        <v>0</v>
      </c>
      <c r="L2053" s="68">
        <v>0</v>
      </c>
      <c r="M2053" s="68"/>
      <c r="N2053" s="68"/>
    </row>
    <row r="2054" spans="1:14" x14ac:dyDescent="0.25">
      <c r="A2054" t="s">
        <v>346</v>
      </c>
      <c r="B2054" s="68" t="s">
        <v>420</v>
      </c>
      <c r="C2054" s="68" t="s">
        <v>421</v>
      </c>
      <c r="D2054" s="68" t="s">
        <v>422</v>
      </c>
      <c r="E2054" s="68">
        <v>2</v>
      </c>
      <c r="F2054">
        <v>10</v>
      </c>
      <c r="G2054">
        <v>140</v>
      </c>
      <c r="H2054">
        <v>10</v>
      </c>
      <c r="I2054" s="69">
        <v>40.6</v>
      </c>
      <c r="J2054" s="68">
        <v>0</v>
      </c>
      <c r="K2054" s="68">
        <v>0</v>
      </c>
      <c r="L2054" s="68">
        <v>0</v>
      </c>
      <c r="M2054" s="68"/>
      <c r="N2054" s="68"/>
    </row>
    <row r="2055" spans="1:14" x14ac:dyDescent="0.25">
      <c r="A2055" t="s">
        <v>346</v>
      </c>
      <c r="B2055" s="68" t="s">
        <v>420</v>
      </c>
      <c r="C2055" s="68" t="s">
        <v>421</v>
      </c>
      <c r="D2055" s="68" t="s">
        <v>422</v>
      </c>
      <c r="E2055" s="68">
        <v>2</v>
      </c>
      <c r="F2055">
        <v>12</v>
      </c>
      <c r="G2055">
        <v>60</v>
      </c>
      <c r="H2055">
        <v>12</v>
      </c>
      <c r="I2055" s="69">
        <v>65.2</v>
      </c>
      <c r="J2055" s="68">
        <v>0</v>
      </c>
      <c r="K2055" s="68">
        <v>0</v>
      </c>
      <c r="L2055" s="68">
        <v>0</v>
      </c>
      <c r="M2055" s="68"/>
      <c r="N2055" s="68"/>
    </row>
    <row r="2056" spans="1:14" x14ac:dyDescent="0.25">
      <c r="A2056" t="s">
        <v>346</v>
      </c>
      <c r="B2056" s="68" t="s">
        <v>420</v>
      </c>
      <c r="C2056" s="68" t="s">
        <v>421</v>
      </c>
      <c r="D2056" s="68" t="s">
        <v>422</v>
      </c>
      <c r="E2056" s="68">
        <v>2</v>
      </c>
      <c r="F2056">
        <v>12</v>
      </c>
      <c r="G2056">
        <v>80</v>
      </c>
      <c r="H2056">
        <v>12</v>
      </c>
      <c r="I2056" s="69">
        <v>65.2</v>
      </c>
      <c r="J2056" s="68">
        <v>0</v>
      </c>
      <c r="K2056" s="68">
        <v>0</v>
      </c>
      <c r="L2056" s="68">
        <v>0</v>
      </c>
      <c r="M2056" s="68"/>
      <c r="N2056" s="68"/>
    </row>
    <row r="2057" spans="1:14" x14ac:dyDescent="0.25">
      <c r="A2057" t="s">
        <v>346</v>
      </c>
      <c r="B2057" s="68" t="s">
        <v>420</v>
      </c>
      <c r="C2057" s="68" t="s">
        <v>421</v>
      </c>
      <c r="D2057" s="68" t="s">
        <v>422</v>
      </c>
      <c r="E2057" s="68">
        <v>2</v>
      </c>
      <c r="F2057">
        <v>12</v>
      </c>
      <c r="G2057">
        <v>100</v>
      </c>
      <c r="H2057">
        <v>12</v>
      </c>
      <c r="I2057" s="69">
        <v>65.2</v>
      </c>
      <c r="J2057" s="68">
        <v>0</v>
      </c>
      <c r="K2057" s="68">
        <v>0</v>
      </c>
      <c r="L2057" s="68">
        <v>0</v>
      </c>
      <c r="M2057" s="68"/>
      <c r="N2057" s="68"/>
    </row>
    <row r="2058" spans="1:14" x14ac:dyDescent="0.25">
      <c r="A2058" t="s">
        <v>346</v>
      </c>
      <c r="B2058" s="68" t="s">
        <v>420</v>
      </c>
      <c r="C2058" s="68" t="s">
        <v>421</v>
      </c>
      <c r="D2058" s="68" t="s">
        <v>422</v>
      </c>
      <c r="E2058" s="68">
        <v>2</v>
      </c>
      <c r="F2058">
        <v>12</v>
      </c>
      <c r="G2058">
        <v>110</v>
      </c>
      <c r="H2058">
        <v>12</v>
      </c>
      <c r="I2058" s="69">
        <v>65.2</v>
      </c>
      <c r="J2058" s="68">
        <v>0</v>
      </c>
      <c r="K2058" s="68">
        <v>0</v>
      </c>
      <c r="L2058" s="68">
        <v>0</v>
      </c>
      <c r="M2058" s="68"/>
      <c r="N2058" s="68"/>
    </row>
    <row r="2059" spans="1:14" x14ac:dyDescent="0.25">
      <c r="A2059" t="s">
        <v>346</v>
      </c>
      <c r="B2059" s="68" t="s">
        <v>420</v>
      </c>
      <c r="C2059" s="68" t="s">
        <v>421</v>
      </c>
      <c r="D2059" s="68" t="s">
        <v>422</v>
      </c>
      <c r="E2059" s="68">
        <v>2</v>
      </c>
      <c r="F2059">
        <v>12</v>
      </c>
      <c r="G2059">
        <v>115</v>
      </c>
      <c r="H2059">
        <v>12</v>
      </c>
      <c r="I2059" s="69">
        <v>65.2</v>
      </c>
      <c r="J2059" s="68">
        <v>0</v>
      </c>
      <c r="K2059" s="68">
        <v>0</v>
      </c>
      <c r="L2059" s="68">
        <v>0</v>
      </c>
      <c r="M2059" s="68"/>
      <c r="N2059" s="68"/>
    </row>
    <row r="2060" spans="1:14" x14ac:dyDescent="0.25">
      <c r="A2060" t="s">
        <v>346</v>
      </c>
      <c r="B2060" s="68" t="s">
        <v>420</v>
      </c>
      <c r="C2060" s="68" t="s">
        <v>421</v>
      </c>
      <c r="D2060" s="68" t="s">
        <v>422</v>
      </c>
      <c r="E2060" s="68">
        <v>2</v>
      </c>
      <c r="F2060">
        <v>12</v>
      </c>
      <c r="G2060">
        <v>120</v>
      </c>
      <c r="H2060">
        <v>12</v>
      </c>
      <c r="I2060" s="69">
        <v>65.2</v>
      </c>
      <c r="J2060" s="68">
        <v>0</v>
      </c>
      <c r="K2060" s="68">
        <v>0</v>
      </c>
      <c r="L2060" s="68">
        <v>0</v>
      </c>
      <c r="M2060" s="68"/>
      <c r="N2060" s="68"/>
    </row>
    <row r="2061" spans="1:14" x14ac:dyDescent="0.25">
      <c r="A2061" t="s">
        <v>346</v>
      </c>
      <c r="B2061" s="68" t="s">
        <v>420</v>
      </c>
      <c r="C2061" s="68" t="s">
        <v>421</v>
      </c>
      <c r="D2061" s="68" t="s">
        <v>422</v>
      </c>
      <c r="E2061" s="68">
        <v>2</v>
      </c>
      <c r="F2061">
        <v>12</v>
      </c>
      <c r="G2061">
        <v>130</v>
      </c>
      <c r="H2061">
        <v>12</v>
      </c>
      <c r="I2061" s="69">
        <v>65.2</v>
      </c>
      <c r="J2061" s="68">
        <v>0</v>
      </c>
      <c r="K2061" s="68">
        <v>0</v>
      </c>
      <c r="L2061" s="68">
        <v>0</v>
      </c>
      <c r="M2061" s="68"/>
      <c r="N2061" s="68"/>
    </row>
    <row r="2062" spans="1:14" x14ac:dyDescent="0.25">
      <c r="A2062" t="s">
        <v>346</v>
      </c>
      <c r="B2062" s="68" t="s">
        <v>420</v>
      </c>
      <c r="C2062" s="68" t="s">
        <v>421</v>
      </c>
      <c r="D2062" s="68" t="s">
        <v>422</v>
      </c>
      <c r="E2062" s="68">
        <v>2</v>
      </c>
      <c r="F2062">
        <v>12</v>
      </c>
      <c r="G2062">
        <v>140</v>
      </c>
      <c r="H2062">
        <v>12</v>
      </c>
      <c r="I2062" s="69">
        <v>65.2</v>
      </c>
      <c r="J2062" s="68">
        <v>0</v>
      </c>
      <c r="K2062" s="68">
        <v>0</v>
      </c>
      <c r="L2062" s="68">
        <v>0</v>
      </c>
      <c r="M2062" s="68"/>
      <c r="N2062" s="68"/>
    </row>
    <row r="2063" spans="1:14" x14ac:dyDescent="0.25">
      <c r="A2063" t="s">
        <v>346</v>
      </c>
      <c r="B2063" s="68" t="s">
        <v>420</v>
      </c>
      <c r="C2063" s="68" t="s">
        <v>421</v>
      </c>
      <c r="D2063" s="68" t="s">
        <v>422</v>
      </c>
      <c r="E2063" s="68">
        <v>2</v>
      </c>
      <c r="F2063">
        <v>12</v>
      </c>
      <c r="G2063">
        <v>160</v>
      </c>
      <c r="H2063">
        <v>12</v>
      </c>
      <c r="I2063" s="69">
        <v>65.2</v>
      </c>
      <c r="J2063" s="68">
        <v>0</v>
      </c>
      <c r="K2063" s="68">
        <v>0</v>
      </c>
      <c r="L2063" s="68">
        <v>0</v>
      </c>
      <c r="M2063" s="68"/>
      <c r="N2063" s="68"/>
    </row>
    <row r="2064" spans="1:14" x14ac:dyDescent="0.25">
      <c r="A2064" t="s">
        <v>346</v>
      </c>
      <c r="B2064" s="68" t="s">
        <v>420</v>
      </c>
      <c r="C2064" s="68" t="s">
        <v>421</v>
      </c>
      <c r="D2064" s="68" t="s">
        <v>422</v>
      </c>
      <c r="E2064" s="68">
        <v>2</v>
      </c>
      <c r="F2064">
        <v>12</v>
      </c>
      <c r="G2064">
        <v>180</v>
      </c>
      <c r="H2064">
        <v>12</v>
      </c>
      <c r="I2064" s="69">
        <v>65.2</v>
      </c>
      <c r="J2064" s="68">
        <v>0</v>
      </c>
      <c r="K2064" s="68">
        <v>0</v>
      </c>
      <c r="L2064" s="68">
        <v>0</v>
      </c>
      <c r="M2064" s="68"/>
      <c r="N2064" s="68"/>
    </row>
    <row r="2065" spans="1:14" x14ac:dyDescent="0.25">
      <c r="A2065" t="s">
        <v>346</v>
      </c>
      <c r="B2065" s="68" t="s">
        <v>420</v>
      </c>
      <c r="C2065" s="68" t="s">
        <v>421</v>
      </c>
      <c r="D2065" s="68" t="s">
        <v>422</v>
      </c>
      <c r="E2065" s="68">
        <v>2</v>
      </c>
      <c r="F2065">
        <v>12</v>
      </c>
      <c r="G2065">
        <v>200</v>
      </c>
      <c r="H2065">
        <v>12</v>
      </c>
      <c r="I2065" s="69">
        <v>65.2</v>
      </c>
      <c r="J2065" s="68">
        <v>0</v>
      </c>
      <c r="K2065" s="68">
        <v>0</v>
      </c>
      <c r="L2065" s="68">
        <v>0</v>
      </c>
      <c r="M2065" s="68"/>
      <c r="N2065" s="68"/>
    </row>
    <row r="2066" spans="1:14" x14ac:dyDescent="0.25">
      <c r="A2066" t="s">
        <v>346</v>
      </c>
      <c r="B2066" s="68" t="s">
        <v>420</v>
      </c>
      <c r="C2066" s="68" t="s">
        <v>421</v>
      </c>
      <c r="D2066" s="68" t="s">
        <v>422</v>
      </c>
      <c r="E2066" s="68">
        <v>2</v>
      </c>
      <c r="F2066">
        <v>16</v>
      </c>
      <c r="G2066">
        <v>120</v>
      </c>
      <c r="H2066">
        <v>16</v>
      </c>
      <c r="I2066" s="69">
        <v>137.80000000000001</v>
      </c>
      <c r="J2066" s="68">
        <v>0</v>
      </c>
      <c r="K2066" s="68">
        <v>0</v>
      </c>
      <c r="L2066" s="68">
        <v>0</v>
      </c>
      <c r="M2066" s="68"/>
      <c r="N2066" s="68"/>
    </row>
    <row r="2067" spans="1:14" x14ac:dyDescent="0.25">
      <c r="A2067" t="s">
        <v>346</v>
      </c>
      <c r="B2067" s="68" t="s">
        <v>420</v>
      </c>
      <c r="C2067" s="68" t="s">
        <v>421</v>
      </c>
      <c r="D2067" s="68" t="s">
        <v>422</v>
      </c>
      <c r="E2067" s="68">
        <v>2</v>
      </c>
      <c r="F2067">
        <v>16</v>
      </c>
      <c r="G2067">
        <v>140</v>
      </c>
      <c r="H2067">
        <v>16</v>
      </c>
      <c r="I2067" s="69">
        <v>137.80000000000001</v>
      </c>
      <c r="J2067" s="68">
        <v>0</v>
      </c>
      <c r="K2067" s="68">
        <v>0</v>
      </c>
      <c r="L2067" s="68">
        <v>0</v>
      </c>
      <c r="M2067" s="68"/>
      <c r="N2067" s="68"/>
    </row>
    <row r="2068" spans="1:14" x14ac:dyDescent="0.25">
      <c r="A2068" t="s">
        <v>346</v>
      </c>
      <c r="B2068" s="68" t="s">
        <v>420</v>
      </c>
      <c r="C2068" s="68" t="s">
        <v>421</v>
      </c>
      <c r="D2068" s="68" t="s">
        <v>422</v>
      </c>
      <c r="E2068" s="68">
        <v>2</v>
      </c>
      <c r="F2068">
        <v>16</v>
      </c>
      <c r="G2068">
        <v>150</v>
      </c>
      <c r="H2068">
        <v>16</v>
      </c>
      <c r="I2068" s="69">
        <v>137.80000000000001</v>
      </c>
      <c r="J2068" s="68">
        <v>0</v>
      </c>
      <c r="K2068" s="68">
        <v>0</v>
      </c>
      <c r="L2068" s="68">
        <v>0</v>
      </c>
      <c r="M2068" s="68"/>
      <c r="N2068" s="68"/>
    </row>
    <row r="2069" spans="1:14" x14ac:dyDescent="0.25">
      <c r="A2069" t="s">
        <v>346</v>
      </c>
      <c r="B2069" s="68" t="s">
        <v>420</v>
      </c>
      <c r="C2069" s="68" t="s">
        <v>421</v>
      </c>
      <c r="D2069" s="68" t="s">
        <v>422</v>
      </c>
      <c r="E2069" s="68">
        <v>2</v>
      </c>
      <c r="F2069">
        <v>16</v>
      </c>
      <c r="G2069">
        <v>160</v>
      </c>
      <c r="H2069">
        <v>16</v>
      </c>
      <c r="I2069" s="69">
        <v>137.80000000000001</v>
      </c>
      <c r="J2069" s="68">
        <v>0</v>
      </c>
      <c r="K2069" s="68">
        <v>0</v>
      </c>
      <c r="L2069" s="68">
        <v>0</v>
      </c>
      <c r="M2069" s="68"/>
      <c r="N2069" s="68"/>
    </row>
    <row r="2070" spans="1:14" x14ac:dyDescent="0.25">
      <c r="A2070" t="s">
        <v>346</v>
      </c>
      <c r="B2070" s="68" t="s">
        <v>420</v>
      </c>
      <c r="C2070" s="68" t="s">
        <v>421</v>
      </c>
      <c r="D2070" s="68" t="s">
        <v>422</v>
      </c>
      <c r="E2070" s="68">
        <v>2</v>
      </c>
      <c r="F2070">
        <v>16</v>
      </c>
      <c r="G2070">
        <v>180</v>
      </c>
      <c r="H2070">
        <v>16</v>
      </c>
      <c r="I2070" s="69">
        <v>137.80000000000001</v>
      </c>
      <c r="J2070" s="68">
        <v>0</v>
      </c>
      <c r="K2070" s="68">
        <v>0</v>
      </c>
      <c r="L2070" s="68">
        <v>0</v>
      </c>
      <c r="M2070" s="68"/>
      <c r="N2070" s="68"/>
    </row>
    <row r="2071" spans="1:14" x14ac:dyDescent="0.25">
      <c r="A2071" t="s">
        <v>346</v>
      </c>
      <c r="B2071" s="68" t="s">
        <v>420</v>
      </c>
      <c r="C2071" s="68" t="s">
        <v>421</v>
      </c>
      <c r="D2071" s="68" t="s">
        <v>422</v>
      </c>
      <c r="E2071" s="68">
        <v>2</v>
      </c>
      <c r="F2071">
        <v>16</v>
      </c>
      <c r="G2071">
        <v>200</v>
      </c>
      <c r="H2071">
        <v>16</v>
      </c>
      <c r="I2071" s="69">
        <v>137.80000000000001</v>
      </c>
      <c r="J2071" s="68">
        <v>0</v>
      </c>
      <c r="K2071" s="68">
        <v>0</v>
      </c>
      <c r="L2071" s="68">
        <v>0</v>
      </c>
      <c r="M2071" s="68"/>
      <c r="N2071" s="68"/>
    </row>
    <row r="2072" spans="1:14" x14ac:dyDescent="0.25">
      <c r="A2072" t="s">
        <v>346</v>
      </c>
      <c r="B2072" s="68" t="s">
        <v>420</v>
      </c>
      <c r="C2072" s="68" t="s">
        <v>421</v>
      </c>
      <c r="D2072" s="68" t="s">
        <v>422</v>
      </c>
      <c r="E2072" s="68">
        <v>2</v>
      </c>
      <c r="F2072">
        <v>16</v>
      </c>
      <c r="G2072">
        <v>250</v>
      </c>
      <c r="H2072">
        <v>16</v>
      </c>
      <c r="I2072" s="69">
        <v>137.80000000000001</v>
      </c>
      <c r="J2072" s="68">
        <v>0</v>
      </c>
      <c r="K2072" s="68">
        <v>0</v>
      </c>
      <c r="L2072" s="68">
        <v>0</v>
      </c>
      <c r="M2072" s="68"/>
      <c r="N2072" s="68"/>
    </row>
    <row r="2073" spans="1:14" x14ac:dyDescent="0.25">
      <c r="A2073" t="s">
        <v>346</v>
      </c>
      <c r="B2073" s="68" t="s">
        <v>420</v>
      </c>
      <c r="C2073" s="68" t="s">
        <v>423</v>
      </c>
      <c r="D2073" s="68" t="s">
        <v>422</v>
      </c>
      <c r="E2073" s="68">
        <v>3</v>
      </c>
      <c r="F2073">
        <v>8</v>
      </c>
      <c r="G2073">
        <v>80</v>
      </c>
      <c r="H2073">
        <v>8</v>
      </c>
      <c r="I2073" s="69">
        <v>22.7</v>
      </c>
      <c r="J2073" s="68">
        <v>0</v>
      </c>
      <c r="K2073" s="68">
        <v>0</v>
      </c>
      <c r="L2073" s="68">
        <v>0</v>
      </c>
      <c r="M2073" s="68"/>
      <c r="N2073" s="68"/>
    </row>
    <row r="2074" spans="1:14" x14ac:dyDescent="0.25">
      <c r="A2074" t="s">
        <v>346</v>
      </c>
      <c r="B2074" s="68" t="s">
        <v>420</v>
      </c>
      <c r="C2074" s="68" t="s">
        <v>423</v>
      </c>
      <c r="D2074" s="68" t="s">
        <v>422</v>
      </c>
      <c r="E2074" s="68">
        <v>3</v>
      </c>
      <c r="F2074">
        <v>8</v>
      </c>
      <c r="G2074">
        <v>90</v>
      </c>
      <c r="H2074">
        <v>8</v>
      </c>
      <c r="I2074" s="69">
        <v>22.7</v>
      </c>
      <c r="J2074" s="68">
        <v>0</v>
      </c>
      <c r="K2074" s="68">
        <v>0</v>
      </c>
      <c r="L2074" s="68">
        <v>0</v>
      </c>
      <c r="M2074" s="68"/>
      <c r="N2074" s="68"/>
    </row>
    <row r="2075" spans="1:14" x14ac:dyDescent="0.25">
      <c r="A2075" t="s">
        <v>346</v>
      </c>
      <c r="B2075" s="68" t="s">
        <v>420</v>
      </c>
      <c r="C2075" s="68" t="s">
        <v>423</v>
      </c>
      <c r="D2075" s="68" t="s">
        <v>422</v>
      </c>
      <c r="E2075" s="68">
        <v>3</v>
      </c>
      <c r="F2075">
        <v>8</v>
      </c>
      <c r="G2075">
        <v>100</v>
      </c>
      <c r="H2075">
        <v>8</v>
      </c>
      <c r="I2075" s="69">
        <v>22.7</v>
      </c>
      <c r="J2075" s="68">
        <v>0</v>
      </c>
      <c r="K2075" s="68">
        <v>0</v>
      </c>
      <c r="L2075" s="68">
        <v>0</v>
      </c>
      <c r="M2075" s="68"/>
      <c r="N2075" s="68"/>
    </row>
    <row r="2076" spans="1:14" x14ac:dyDescent="0.25">
      <c r="A2076" t="s">
        <v>346</v>
      </c>
      <c r="B2076" s="68" t="s">
        <v>420</v>
      </c>
      <c r="C2076" s="68" t="s">
        <v>423</v>
      </c>
      <c r="D2076" s="68" t="s">
        <v>422</v>
      </c>
      <c r="E2076" s="68">
        <v>3</v>
      </c>
      <c r="F2076">
        <v>8</v>
      </c>
      <c r="G2076">
        <v>115</v>
      </c>
      <c r="H2076">
        <v>8</v>
      </c>
      <c r="I2076" s="69">
        <v>22.7</v>
      </c>
      <c r="J2076" s="68">
        <v>0</v>
      </c>
      <c r="K2076" s="68">
        <v>0</v>
      </c>
      <c r="L2076" s="68">
        <v>0</v>
      </c>
      <c r="M2076" s="68"/>
      <c r="N2076" s="68"/>
    </row>
    <row r="2077" spans="1:14" x14ac:dyDescent="0.25">
      <c r="A2077" t="s">
        <v>346</v>
      </c>
      <c r="B2077" s="68" t="s">
        <v>420</v>
      </c>
      <c r="C2077" s="68" t="s">
        <v>423</v>
      </c>
      <c r="D2077" s="68" t="s">
        <v>422</v>
      </c>
      <c r="E2077" s="68">
        <v>3</v>
      </c>
      <c r="F2077">
        <v>8</v>
      </c>
      <c r="G2077">
        <v>120</v>
      </c>
      <c r="H2077">
        <v>8</v>
      </c>
      <c r="I2077" s="69">
        <v>22.7</v>
      </c>
      <c r="J2077" s="68">
        <v>0</v>
      </c>
      <c r="K2077" s="68">
        <v>0</v>
      </c>
      <c r="L2077" s="68">
        <v>0</v>
      </c>
      <c r="M2077" s="68"/>
      <c r="N2077" s="68"/>
    </row>
    <row r="2078" spans="1:14" x14ac:dyDescent="0.25">
      <c r="A2078" t="s">
        <v>346</v>
      </c>
      <c r="B2078" s="68" t="s">
        <v>420</v>
      </c>
      <c r="C2078" s="68" t="s">
        <v>423</v>
      </c>
      <c r="D2078" s="68" t="s">
        <v>422</v>
      </c>
      <c r="E2078" s="68">
        <v>3</v>
      </c>
      <c r="F2078">
        <v>8</v>
      </c>
      <c r="G2078">
        <v>140</v>
      </c>
      <c r="H2078">
        <v>8</v>
      </c>
      <c r="I2078" s="69">
        <v>22.7</v>
      </c>
      <c r="J2078" s="68">
        <v>0</v>
      </c>
      <c r="K2078" s="68">
        <v>0</v>
      </c>
      <c r="L2078" s="68">
        <v>0</v>
      </c>
      <c r="M2078" s="68"/>
      <c r="N2078" s="68"/>
    </row>
    <row r="2079" spans="1:14" x14ac:dyDescent="0.25">
      <c r="A2079" t="s">
        <v>346</v>
      </c>
      <c r="B2079" s="68" t="s">
        <v>420</v>
      </c>
      <c r="C2079" s="68" t="s">
        <v>423</v>
      </c>
      <c r="D2079" s="68" t="s">
        <v>422</v>
      </c>
      <c r="E2079" s="68">
        <v>3</v>
      </c>
      <c r="F2079">
        <v>12</v>
      </c>
      <c r="G2079">
        <v>120</v>
      </c>
      <c r="H2079">
        <v>12</v>
      </c>
      <c r="I2079" s="69">
        <v>65.2</v>
      </c>
      <c r="J2079" s="68">
        <v>0</v>
      </c>
      <c r="K2079" s="68">
        <v>0</v>
      </c>
      <c r="L2079" s="68">
        <v>0</v>
      </c>
      <c r="M2079" s="68"/>
      <c r="N2079" s="68"/>
    </row>
    <row r="2080" spans="1:14" x14ac:dyDescent="0.25">
      <c r="A2080" t="s">
        <v>346</v>
      </c>
      <c r="B2080" s="68" t="s">
        <v>420</v>
      </c>
      <c r="C2080" s="68" t="s">
        <v>423</v>
      </c>
      <c r="D2080" s="68" t="s">
        <v>422</v>
      </c>
      <c r="E2080" s="68">
        <v>3</v>
      </c>
      <c r="F2080">
        <v>12</v>
      </c>
      <c r="G2080">
        <v>140</v>
      </c>
      <c r="H2080">
        <v>12</v>
      </c>
      <c r="I2080" s="69">
        <v>65.2</v>
      </c>
      <c r="J2080" s="68">
        <v>0</v>
      </c>
      <c r="K2080" s="68">
        <v>0</v>
      </c>
      <c r="L2080" s="68">
        <v>0</v>
      </c>
      <c r="M2080" s="68"/>
      <c r="N2080" s="68"/>
    </row>
    <row r="2081" spans="1:14" x14ac:dyDescent="0.25">
      <c r="A2081" t="s">
        <v>346</v>
      </c>
      <c r="B2081" s="68" t="s">
        <v>420</v>
      </c>
      <c r="C2081" s="68" t="s">
        <v>423</v>
      </c>
      <c r="D2081" s="68" t="s">
        <v>422</v>
      </c>
      <c r="E2081" s="68">
        <v>3</v>
      </c>
      <c r="F2081">
        <v>16</v>
      </c>
      <c r="G2081">
        <v>100</v>
      </c>
      <c r="H2081">
        <v>16</v>
      </c>
      <c r="I2081" s="69">
        <v>137.80000000000001</v>
      </c>
      <c r="J2081" s="68">
        <v>0</v>
      </c>
      <c r="K2081" s="68">
        <v>0</v>
      </c>
      <c r="L2081" s="68">
        <v>0</v>
      </c>
      <c r="M2081" s="68"/>
      <c r="N2081" s="68"/>
    </row>
    <row r="2082" spans="1:14" hidden="1" x14ac:dyDescent="0.25">
      <c r="A2082" t="s">
        <v>344</v>
      </c>
      <c r="B2082" t="s">
        <v>376</v>
      </c>
      <c r="C2082" t="s">
        <v>466</v>
      </c>
      <c r="D2082" t="s">
        <v>467</v>
      </c>
      <c r="E2082">
        <v>3</v>
      </c>
      <c r="F2082">
        <v>6</v>
      </c>
      <c r="G2082">
        <v>40</v>
      </c>
      <c r="H2082">
        <v>13.5</v>
      </c>
      <c r="I2082">
        <v>12.35</v>
      </c>
      <c r="J2082">
        <v>17.32</v>
      </c>
      <c r="K2082">
        <v>27.19</v>
      </c>
      <c r="L2082">
        <v>14.01</v>
      </c>
      <c r="M2082">
        <v>33</v>
      </c>
    </row>
    <row r="2083" spans="1:14" hidden="1" x14ac:dyDescent="0.25">
      <c r="A2083" t="s">
        <v>344</v>
      </c>
      <c r="B2083" t="s">
        <v>376</v>
      </c>
      <c r="C2083" t="s">
        <v>466</v>
      </c>
      <c r="D2083" t="s">
        <v>467</v>
      </c>
      <c r="E2083">
        <v>3</v>
      </c>
      <c r="F2083">
        <v>6</v>
      </c>
      <c r="G2083">
        <v>50</v>
      </c>
      <c r="H2083">
        <v>13.5</v>
      </c>
      <c r="I2083">
        <v>12.35</v>
      </c>
      <c r="J2083">
        <v>17.32</v>
      </c>
      <c r="K2083">
        <v>27.19</v>
      </c>
      <c r="L2083">
        <v>14.01</v>
      </c>
      <c r="M2083">
        <v>43</v>
      </c>
    </row>
    <row r="2084" spans="1:14" hidden="1" x14ac:dyDescent="0.25">
      <c r="A2084" t="s">
        <v>344</v>
      </c>
      <c r="B2084" t="s">
        <v>376</v>
      </c>
      <c r="C2084" t="s">
        <v>466</v>
      </c>
      <c r="D2084" t="s">
        <v>467</v>
      </c>
      <c r="E2084">
        <v>3</v>
      </c>
      <c r="F2084">
        <v>6</v>
      </c>
      <c r="G2084">
        <v>60</v>
      </c>
      <c r="H2084">
        <v>13.5</v>
      </c>
      <c r="I2084">
        <v>12.35</v>
      </c>
      <c r="J2084">
        <v>17.32</v>
      </c>
      <c r="K2084">
        <v>27.19</v>
      </c>
      <c r="L2084">
        <v>14.01</v>
      </c>
      <c r="M2084">
        <v>30</v>
      </c>
      <c r="N2084">
        <v>5</v>
      </c>
    </row>
    <row r="2085" spans="1:14" hidden="1" x14ac:dyDescent="0.25">
      <c r="A2085" t="s">
        <v>344</v>
      </c>
      <c r="B2085" t="s">
        <v>376</v>
      </c>
      <c r="C2085" t="s">
        <v>466</v>
      </c>
      <c r="D2085" t="s">
        <v>467</v>
      </c>
      <c r="E2085">
        <v>3</v>
      </c>
      <c r="F2085">
        <v>6</v>
      </c>
      <c r="G2085">
        <v>70</v>
      </c>
      <c r="H2085">
        <v>13.5</v>
      </c>
      <c r="I2085">
        <v>12.35</v>
      </c>
      <c r="J2085">
        <v>17.32</v>
      </c>
      <c r="K2085">
        <v>27.19</v>
      </c>
      <c r="L2085">
        <v>14.01</v>
      </c>
      <c r="M2085">
        <v>42</v>
      </c>
      <c r="N2085">
        <v>10.199999999999999</v>
      </c>
    </row>
    <row r="2086" spans="1:14" hidden="1" x14ac:dyDescent="0.25">
      <c r="A2086" t="s">
        <v>344</v>
      </c>
      <c r="B2086" t="s">
        <v>376</v>
      </c>
      <c r="C2086" t="s">
        <v>466</v>
      </c>
      <c r="D2086" t="s">
        <v>467</v>
      </c>
      <c r="E2086">
        <v>3</v>
      </c>
      <c r="F2086">
        <v>6</v>
      </c>
      <c r="G2086">
        <v>80</v>
      </c>
      <c r="H2086">
        <v>13.5</v>
      </c>
      <c r="I2086">
        <v>12.35</v>
      </c>
      <c r="J2086">
        <v>17.32</v>
      </c>
      <c r="K2086">
        <v>27.19</v>
      </c>
      <c r="L2086">
        <v>14.01</v>
      </c>
      <c r="M2086">
        <v>48</v>
      </c>
      <c r="N2086">
        <v>10.199999999999999</v>
      </c>
    </row>
    <row r="2087" spans="1:14" hidden="1" x14ac:dyDescent="0.25">
      <c r="A2087" t="s">
        <v>344</v>
      </c>
      <c r="B2087" t="s">
        <v>376</v>
      </c>
      <c r="C2087" t="s">
        <v>466</v>
      </c>
      <c r="D2087" t="s">
        <v>467</v>
      </c>
      <c r="E2087">
        <v>3</v>
      </c>
      <c r="F2087">
        <v>6</v>
      </c>
      <c r="G2087">
        <v>90</v>
      </c>
      <c r="H2087">
        <v>13.5</v>
      </c>
      <c r="I2087">
        <v>12.35</v>
      </c>
      <c r="J2087">
        <v>17.32</v>
      </c>
      <c r="K2087">
        <v>27.19</v>
      </c>
      <c r="L2087">
        <v>14.01</v>
      </c>
      <c r="M2087">
        <v>55</v>
      </c>
      <c r="N2087">
        <v>10.199999999999999</v>
      </c>
    </row>
    <row r="2088" spans="1:14" hidden="1" x14ac:dyDescent="0.25">
      <c r="A2088" t="s">
        <v>344</v>
      </c>
      <c r="B2088" t="s">
        <v>376</v>
      </c>
      <c r="C2088" t="s">
        <v>466</v>
      </c>
      <c r="D2088" t="s">
        <v>467</v>
      </c>
      <c r="E2088">
        <v>3</v>
      </c>
      <c r="F2088">
        <v>6</v>
      </c>
      <c r="G2088">
        <v>100</v>
      </c>
      <c r="H2088">
        <v>13.5</v>
      </c>
      <c r="I2088">
        <v>12.35</v>
      </c>
      <c r="J2088">
        <v>17.32</v>
      </c>
      <c r="K2088">
        <v>27.19</v>
      </c>
      <c r="L2088">
        <v>14.01</v>
      </c>
      <c r="M2088">
        <v>60</v>
      </c>
      <c r="N2088">
        <v>10.199999999999999</v>
      </c>
    </row>
    <row r="2089" spans="1:14" hidden="1" x14ac:dyDescent="0.25">
      <c r="A2089" t="s">
        <v>344</v>
      </c>
      <c r="B2089" t="s">
        <v>376</v>
      </c>
      <c r="C2089" t="s">
        <v>466</v>
      </c>
      <c r="D2089" t="s">
        <v>467</v>
      </c>
      <c r="E2089">
        <v>3</v>
      </c>
      <c r="F2089">
        <v>6</v>
      </c>
      <c r="G2089">
        <v>120</v>
      </c>
      <c r="H2089">
        <v>13.5</v>
      </c>
      <c r="I2089">
        <v>12.35</v>
      </c>
      <c r="J2089">
        <v>17.32</v>
      </c>
      <c r="K2089">
        <v>27.19</v>
      </c>
      <c r="L2089">
        <v>14.01</v>
      </c>
      <c r="M2089">
        <v>60</v>
      </c>
      <c r="N2089">
        <v>10.199999999999999</v>
      </c>
    </row>
    <row r="2090" spans="1:14" hidden="1" x14ac:dyDescent="0.25">
      <c r="A2090" t="s">
        <v>344</v>
      </c>
      <c r="B2090" t="s">
        <v>376</v>
      </c>
      <c r="C2090" t="s">
        <v>466</v>
      </c>
      <c r="D2090" t="s">
        <v>467</v>
      </c>
      <c r="E2090">
        <v>3</v>
      </c>
      <c r="F2090">
        <v>6</v>
      </c>
      <c r="G2090">
        <v>140</v>
      </c>
      <c r="H2090">
        <v>13.5</v>
      </c>
      <c r="I2090">
        <v>12.35</v>
      </c>
      <c r="J2090">
        <v>17.32</v>
      </c>
      <c r="K2090">
        <v>27.19</v>
      </c>
      <c r="L2090">
        <v>14.01</v>
      </c>
      <c r="M2090">
        <v>70</v>
      </c>
      <c r="N2090">
        <v>10.199999999999999</v>
      </c>
    </row>
    <row r="2091" spans="1:14" hidden="1" x14ac:dyDescent="0.25">
      <c r="A2091" t="s">
        <v>344</v>
      </c>
      <c r="B2091" t="s">
        <v>376</v>
      </c>
      <c r="C2091" t="s">
        <v>466</v>
      </c>
      <c r="D2091" t="s">
        <v>467</v>
      </c>
      <c r="E2091">
        <v>3</v>
      </c>
      <c r="F2091">
        <v>8</v>
      </c>
      <c r="G2091">
        <v>50</v>
      </c>
      <c r="H2091">
        <v>20.5</v>
      </c>
      <c r="I2091">
        <v>24.789000000000001</v>
      </c>
      <c r="J2091">
        <v>15.7</v>
      </c>
      <c r="K2091">
        <v>23.7</v>
      </c>
      <c r="L2091">
        <v>24.85</v>
      </c>
      <c r="M2091">
        <v>50</v>
      </c>
    </row>
    <row r="2092" spans="1:14" hidden="1" x14ac:dyDescent="0.25">
      <c r="A2092" t="s">
        <v>344</v>
      </c>
      <c r="B2092" t="s">
        <v>376</v>
      </c>
      <c r="C2092" t="s">
        <v>466</v>
      </c>
      <c r="D2092" t="s">
        <v>467</v>
      </c>
      <c r="E2092">
        <v>3</v>
      </c>
      <c r="F2092">
        <v>8</v>
      </c>
      <c r="G2092">
        <v>60</v>
      </c>
      <c r="H2092">
        <v>20.5</v>
      </c>
      <c r="I2092">
        <v>24.789000000000001</v>
      </c>
      <c r="J2092">
        <v>15.7</v>
      </c>
      <c r="K2092">
        <v>23.7</v>
      </c>
      <c r="L2092">
        <v>24.85</v>
      </c>
      <c r="M2092">
        <v>60</v>
      </c>
    </row>
    <row r="2093" spans="1:14" hidden="1" x14ac:dyDescent="0.25">
      <c r="A2093" t="s">
        <v>344</v>
      </c>
      <c r="B2093" t="s">
        <v>376</v>
      </c>
      <c r="C2093" t="s">
        <v>466</v>
      </c>
      <c r="D2093" t="s">
        <v>467</v>
      </c>
      <c r="E2093">
        <v>3</v>
      </c>
      <c r="F2093">
        <v>8</v>
      </c>
      <c r="G2093">
        <v>70</v>
      </c>
      <c r="H2093">
        <v>20.5</v>
      </c>
      <c r="I2093">
        <v>24.789000000000001</v>
      </c>
      <c r="J2093">
        <v>15.7</v>
      </c>
      <c r="K2093">
        <v>23.7</v>
      </c>
      <c r="L2093">
        <v>24.85</v>
      </c>
      <c r="M2093">
        <v>70</v>
      </c>
    </row>
    <row r="2094" spans="1:14" hidden="1" x14ac:dyDescent="0.25">
      <c r="A2094" t="s">
        <v>344</v>
      </c>
      <c r="B2094" t="s">
        <v>376</v>
      </c>
      <c r="C2094" t="s">
        <v>466</v>
      </c>
      <c r="D2094" t="s">
        <v>467</v>
      </c>
      <c r="E2094">
        <v>3</v>
      </c>
      <c r="F2094">
        <v>8</v>
      </c>
      <c r="G2094">
        <v>80</v>
      </c>
      <c r="H2094">
        <v>20.5</v>
      </c>
      <c r="I2094">
        <v>24.789000000000001</v>
      </c>
      <c r="J2094">
        <v>15.7</v>
      </c>
      <c r="K2094">
        <v>23.7</v>
      </c>
      <c r="L2094">
        <v>24.85</v>
      </c>
      <c r="M2094">
        <v>42</v>
      </c>
      <c r="N2094">
        <v>10.199999999999999</v>
      </c>
    </row>
    <row r="2095" spans="1:14" hidden="1" x14ac:dyDescent="0.25">
      <c r="A2095" t="s">
        <v>344</v>
      </c>
      <c r="B2095" t="s">
        <v>376</v>
      </c>
      <c r="C2095" t="s">
        <v>466</v>
      </c>
      <c r="D2095" t="s">
        <v>467</v>
      </c>
      <c r="E2095">
        <v>3</v>
      </c>
      <c r="F2095">
        <v>8</v>
      </c>
      <c r="G2095">
        <v>100</v>
      </c>
      <c r="H2095">
        <v>20.5</v>
      </c>
      <c r="I2095">
        <v>24.789000000000001</v>
      </c>
      <c r="J2095">
        <v>15.7</v>
      </c>
      <c r="K2095">
        <v>23.7</v>
      </c>
      <c r="L2095">
        <v>24.85</v>
      </c>
      <c r="M2095">
        <v>55</v>
      </c>
      <c r="N2095">
        <v>10.199999999999999</v>
      </c>
    </row>
    <row r="2096" spans="1:14" hidden="1" x14ac:dyDescent="0.25">
      <c r="A2096" t="s">
        <v>344</v>
      </c>
      <c r="B2096" t="s">
        <v>376</v>
      </c>
      <c r="C2096" t="s">
        <v>466</v>
      </c>
      <c r="D2096" t="s">
        <v>467</v>
      </c>
      <c r="E2096">
        <v>3</v>
      </c>
      <c r="F2096">
        <v>8</v>
      </c>
      <c r="G2096">
        <v>120</v>
      </c>
      <c r="H2096">
        <v>20.5</v>
      </c>
      <c r="I2096">
        <v>24.789000000000001</v>
      </c>
      <c r="J2096">
        <v>15.7</v>
      </c>
      <c r="K2096">
        <v>23.7</v>
      </c>
      <c r="L2096">
        <v>24.85</v>
      </c>
      <c r="M2096">
        <v>70</v>
      </c>
      <c r="N2096">
        <v>10.199999999999999</v>
      </c>
    </row>
    <row r="2097" spans="1:14" hidden="1" x14ac:dyDescent="0.25">
      <c r="A2097" t="s">
        <v>344</v>
      </c>
      <c r="B2097" t="s">
        <v>376</v>
      </c>
      <c r="C2097" t="s">
        <v>466</v>
      </c>
      <c r="D2097" t="s">
        <v>467</v>
      </c>
      <c r="E2097">
        <v>3</v>
      </c>
      <c r="F2097">
        <v>8</v>
      </c>
      <c r="G2097">
        <v>140</v>
      </c>
      <c r="H2097">
        <v>20.5</v>
      </c>
      <c r="I2097">
        <v>24.789000000000001</v>
      </c>
      <c r="J2097">
        <v>15.7</v>
      </c>
      <c r="K2097">
        <v>23.7</v>
      </c>
      <c r="L2097">
        <v>24.85</v>
      </c>
      <c r="M2097">
        <v>70</v>
      </c>
      <c r="N2097">
        <v>10.199999999999999</v>
      </c>
    </row>
    <row r="2098" spans="1:14" hidden="1" x14ac:dyDescent="0.25">
      <c r="A2098" t="s">
        <v>344</v>
      </c>
      <c r="B2098" t="s">
        <v>376</v>
      </c>
      <c r="C2098" t="s">
        <v>466</v>
      </c>
      <c r="D2098" t="s">
        <v>467</v>
      </c>
      <c r="E2098">
        <v>3</v>
      </c>
      <c r="F2098">
        <v>8</v>
      </c>
      <c r="G2098">
        <v>160</v>
      </c>
      <c r="H2098">
        <v>20.5</v>
      </c>
      <c r="I2098">
        <v>24.789000000000001</v>
      </c>
      <c r="J2098">
        <v>15.7</v>
      </c>
      <c r="K2098">
        <v>23.7</v>
      </c>
      <c r="L2098">
        <v>24.85</v>
      </c>
      <c r="M2098">
        <v>70</v>
      </c>
      <c r="N2098">
        <v>10.199999999999999</v>
      </c>
    </row>
    <row r="2099" spans="1:14" hidden="1" x14ac:dyDescent="0.25">
      <c r="A2099" t="s">
        <v>344</v>
      </c>
      <c r="B2099" t="s">
        <v>376</v>
      </c>
      <c r="C2099" t="s">
        <v>466</v>
      </c>
      <c r="D2099" t="s">
        <v>467</v>
      </c>
      <c r="E2099">
        <v>3</v>
      </c>
      <c r="F2099">
        <v>8</v>
      </c>
      <c r="G2099">
        <v>180</v>
      </c>
      <c r="H2099">
        <v>20.5</v>
      </c>
      <c r="I2099">
        <v>24.789000000000001</v>
      </c>
      <c r="J2099">
        <v>15.7</v>
      </c>
      <c r="K2099">
        <v>23.7</v>
      </c>
      <c r="L2099">
        <v>24.85</v>
      </c>
      <c r="M2099">
        <v>70</v>
      </c>
      <c r="N2099">
        <v>10.199999999999999</v>
      </c>
    </row>
    <row r="2100" spans="1:14" hidden="1" x14ac:dyDescent="0.25">
      <c r="A2100" t="s">
        <v>344</v>
      </c>
      <c r="B2100" t="s">
        <v>376</v>
      </c>
      <c r="C2100" t="s">
        <v>466</v>
      </c>
      <c r="D2100" t="s">
        <v>467</v>
      </c>
      <c r="E2100">
        <v>3</v>
      </c>
      <c r="F2100">
        <v>8</v>
      </c>
      <c r="G2100">
        <v>200</v>
      </c>
      <c r="H2100">
        <v>20.5</v>
      </c>
      <c r="I2100">
        <v>24.789000000000001</v>
      </c>
      <c r="J2100">
        <v>15.7</v>
      </c>
      <c r="K2100">
        <v>23.7</v>
      </c>
      <c r="L2100">
        <v>24.85</v>
      </c>
      <c r="M2100">
        <v>70</v>
      </c>
      <c r="N2100">
        <v>10.199999999999999</v>
      </c>
    </row>
    <row r="2101" spans="1:14" hidden="1" x14ac:dyDescent="0.25">
      <c r="A2101" t="s">
        <v>344</v>
      </c>
      <c r="B2101" t="s">
        <v>376</v>
      </c>
      <c r="C2101" t="s">
        <v>466</v>
      </c>
      <c r="D2101" t="s">
        <v>467</v>
      </c>
      <c r="E2101">
        <v>3</v>
      </c>
      <c r="F2101">
        <v>8</v>
      </c>
      <c r="G2101">
        <v>220</v>
      </c>
      <c r="H2101">
        <v>20.5</v>
      </c>
      <c r="I2101">
        <v>24.789000000000001</v>
      </c>
      <c r="J2101">
        <v>15.7</v>
      </c>
      <c r="K2101">
        <v>23.7</v>
      </c>
      <c r="L2101">
        <v>24.85</v>
      </c>
      <c r="M2101">
        <v>70</v>
      </c>
      <c r="N2101">
        <v>10.199999999999999</v>
      </c>
    </row>
    <row r="2102" spans="1:14" hidden="1" x14ac:dyDescent="0.25">
      <c r="A2102" t="s">
        <v>344</v>
      </c>
      <c r="B2102" t="s">
        <v>376</v>
      </c>
      <c r="C2102" t="s">
        <v>466</v>
      </c>
      <c r="D2102" t="s">
        <v>467</v>
      </c>
      <c r="E2102">
        <v>3</v>
      </c>
      <c r="F2102">
        <v>8</v>
      </c>
      <c r="G2102">
        <v>260</v>
      </c>
      <c r="H2102">
        <v>20.5</v>
      </c>
      <c r="I2102">
        <v>24.789000000000001</v>
      </c>
      <c r="J2102">
        <v>15.7</v>
      </c>
      <c r="K2102">
        <v>23.7</v>
      </c>
      <c r="L2102">
        <v>24.85</v>
      </c>
      <c r="M2102">
        <v>70</v>
      </c>
      <c r="N2102">
        <v>10.199999999999999</v>
      </c>
    </row>
    <row r="2103" spans="1:14" hidden="1" x14ac:dyDescent="0.25">
      <c r="A2103" t="s">
        <v>344</v>
      </c>
      <c r="B2103" t="s">
        <v>376</v>
      </c>
      <c r="C2103" t="s">
        <v>466</v>
      </c>
      <c r="D2103" t="s">
        <v>467</v>
      </c>
      <c r="E2103">
        <v>3</v>
      </c>
      <c r="F2103">
        <v>8</v>
      </c>
      <c r="G2103">
        <v>300</v>
      </c>
      <c r="H2103">
        <v>20.5</v>
      </c>
      <c r="I2103">
        <v>24.789000000000001</v>
      </c>
      <c r="J2103">
        <v>15.7</v>
      </c>
      <c r="K2103">
        <v>23.7</v>
      </c>
      <c r="L2103">
        <v>24.85</v>
      </c>
      <c r="M2103">
        <v>70</v>
      </c>
      <c r="N2103">
        <v>10.199999999999999</v>
      </c>
    </row>
    <row r="2104" spans="1:14" hidden="1" x14ac:dyDescent="0.25">
      <c r="A2104" t="s">
        <v>344</v>
      </c>
      <c r="B2104" t="s">
        <v>376</v>
      </c>
      <c r="C2104" t="s">
        <v>466</v>
      </c>
      <c r="D2104" t="s">
        <v>467</v>
      </c>
      <c r="E2104">
        <v>3</v>
      </c>
      <c r="F2104">
        <v>8</v>
      </c>
      <c r="G2104">
        <v>340</v>
      </c>
      <c r="H2104">
        <v>20.5</v>
      </c>
      <c r="I2104">
        <v>24.789000000000001</v>
      </c>
      <c r="J2104">
        <v>15.7</v>
      </c>
      <c r="K2104">
        <v>23.7</v>
      </c>
      <c r="L2104">
        <v>24.85</v>
      </c>
      <c r="M2104">
        <v>70</v>
      </c>
      <c r="N2104">
        <v>10.199999999999999</v>
      </c>
    </row>
    <row r="2105" spans="1:14" hidden="1" x14ac:dyDescent="0.25">
      <c r="A2105" t="s">
        <v>344</v>
      </c>
      <c r="B2105" t="s">
        <v>482</v>
      </c>
      <c r="C2105" t="s">
        <v>483</v>
      </c>
      <c r="D2105" t="s">
        <v>478</v>
      </c>
      <c r="E2105">
        <v>2</v>
      </c>
      <c r="F2105" s="83">
        <v>5.2</v>
      </c>
      <c r="G2105">
        <v>80</v>
      </c>
      <c r="H2105">
        <v>6.4</v>
      </c>
      <c r="I2105">
        <v>10</v>
      </c>
      <c r="J2105">
        <v>15.5</v>
      </c>
      <c r="K2105">
        <v>12</v>
      </c>
      <c r="L2105">
        <v>13</v>
      </c>
      <c r="M2105">
        <f>G2105-5.5</f>
        <v>74.5</v>
      </c>
      <c r="N2105" s="74"/>
    </row>
    <row r="2106" spans="1:14" hidden="1" x14ac:dyDescent="0.25">
      <c r="A2106" t="s">
        <v>344</v>
      </c>
      <c r="B2106" t="s">
        <v>482</v>
      </c>
      <c r="C2106" t="s">
        <v>483</v>
      </c>
      <c r="D2106" t="s">
        <v>478</v>
      </c>
      <c r="E2106">
        <v>2</v>
      </c>
      <c r="F2106" s="83">
        <v>5.2</v>
      </c>
      <c r="G2106">
        <v>100</v>
      </c>
      <c r="H2106">
        <v>6.4</v>
      </c>
      <c r="I2106">
        <v>10</v>
      </c>
      <c r="J2106">
        <v>15.5</v>
      </c>
      <c r="K2106">
        <v>12</v>
      </c>
      <c r="L2106">
        <v>13</v>
      </c>
      <c r="M2106">
        <f t="shared" ref="M2106:M2109" si="3">G2106-5.5</f>
        <v>94.5</v>
      </c>
      <c r="N2106" s="74"/>
    </row>
    <row r="2107" spans="1:14" hidden="1" x14ac:dyDescent="0.25">
      <c r="A2107" t="s">
        <v>344</v>
      </c>
      <c r="B2107" t="s">
        <v>482</v>
      </c>
      <c r="C2107" t="s">
        <v>483</v>
      </c>
      <c r="D2107" t="s">
        <v>478</v>
      </c>
      <c r="E2107">
        <v>2</v>
      </c>
      <c r="F2107" s="83">
        <v>5.2</v>
      </c>
      <c r="G2107">
        <v>120</v>
      </c>
      <c r="H2107">
        <v>6.4</v>
      </c>
      <c r="I2107">
        <v>10</v>
      </c>
      <c r="J2107">
        <v>15.5</v>
      </c>
      <c r="K2107">
        <v>12</v>
      </c>
      <c r="L2107">
        <v>13</v>
      </c>
      <c r="M2107">
        <f t="shared" si="3"/>
        <v>114.5</v>
      </c>
      <c r="N2107" s="74"/>
    </row>
    <row r="2108" spans="1:14" hidden="1" x14ac:dyDescent="0.25">
      <c r="A2108" t="s">
        <v>344</v>
      </c>
      <c r="B2108" t="s">
        <v>482</v>
      </c>
      <c r="C2108" t="s">
        <v>483</v>
      </c>
      <c r="D2108" t="s">
        <v>478</v>
      </c>
      <c r="E2108">
        <v>2</v>
      </c>
      <c r="F2108" s="83">
        <v>5.2</v>
      </c>
      <c r="G2108">
        <v>140</v>
      </c>
      <c r="H2108">
        <v>6.4</v>
      </c>
      <c r="I2108">
        <v>10</v>
      </c>
      <c r="J2108">
        <v>15.5</v>
      </c>
      <c r="K2108">
        <v>12</v>
      </c>
      <c r="L2108">
        <v>13</v>
      </c>
      <c r="M2108">
        <f t="shared" si="3"/>
        <v>134.5</v>
      </c>
      <c r="N2108" s="74"/>
    </row>
    <row r="2109" spans="1:14" hidden="1" x14ac:dyDescent="0.25">
      <c r="A2109" t="s">
        <v>344</v>
      </c>
      <c r="B2109" t="s">
        <v>482</v>
      </c>
      <c r="C2109" t="s">
        <v>483</v>
      </c>
      <c r="D2109" t="s">
        <v>478</v>
      </c>
      <c r="E2109">
        <v>2</v>
      </c>
      <c r="F2109" s="83">
        <v>5.2</v>
      </c>
      <c r="G2109">
        <v>160</v>
      </c>
      <c r="H2109">
        <v>6.4</v>
      </c>
      <c r="I2109">
        <v>10</v>
      </c>
      <c r="J2109">
        <v>15.5</v>
      </c>
      <c r="K2109">
        <v>12</v>
      </c>
      <c r="L2109">
        <v>13</v>
      </c>
      <c r="M2109">
        <f t="shared" si="3"/>
        <v>154.5</v>
      </c>
      <c r="N2109" s="74"/>
    </row>
    <row r="2110" spans="1:14" hidden="1" x14ac:dyDescent="0.25">
      <c r="A2110" t="s">
        <v>344</v>
      </c>
      <c r="B2110" t="s">
        <v>482</v>
      </c>
      <c r="C2110" t="s">
        <v>483</v>
      </c>
      <c r="D2110" t="s">
        <v>478</v>
      </c>
      <c r="E2110">
        <v>2</v>
      </c>
      <c r="F2110" s="66">
        <v>5.9</v>
      </c>
      <c r="G2110">
        <v>80</v>
      </c>
      <c r="H2110">
        <v>8</v>
      </c>
      <c r="I2110">
        <v>10</v>
      </c>
      <c r="J2110">
        <v>15.5</v>
      </c>
      <c r="K2110">
        <v>12</v>
      </c>
      <c r="L2110">
        <v>17</v>
      </c>
      <c r="M2110">
        <f>G2110-5.5</f>
        <v>74.5</v>
      </c>
      <c r="N2110" s="74"/>
    </row>
    <row r="2111" spans="1:14" hidden="1" x14ac:dyDescent="0.25">
      <c r="A2111" t="s">
        <v>344</v>
      </c>
      <c r="B2111" t="s">
        <v>482</v>
      </c>
      <c r="C2111" t="s">
        <v>483</v>
      </c>
      <c r="D2111" t="s">
        <v>478</v>
      </c>
      <c r="E2111">
        <v>2</v>
      </c>
      <c r="F2111" s="66">
        <v>5.9</v>
      </c>
      <c r="G2111">
        <v>100</v>
      </c>
      <c r="H2111">
        <v>8</v>
      </c>
      <c r="I2111">
        <v>15</v>
      </c>
      <c r="J2111">
        <v>15.5</v>
      </c>
      <c r="K2111">
        <v>12</v>
      </c>
      <c r="L2111">
        <v>17</v>
      </c>
      <c r="M2111">
        <f t="shared" ref="M2111:M2116" si="4">G2111-5.5</f>
        <v>94.5</v>
      </c>
      <c r="N2111" s="74"/>
    </row>
    <row r="2112" spans="1:14" hidden="1" x14ac:dyDescent="0.25">
      <c r="A2112" t="s">
        <v>344</v>
      </c>
      <c r="B2112" t="s">
        <v>482</v>
      </c>
      <c r="C2112" t="s">
        <v>483</v>
      </c>
      <c r="D2112" t="s">
        <v>478</v>
      </c>
      <c r="E2112">
        <v>2</v>
      </c>
      <c r="F2112" s="66">
        <v>5.9</v>
      </c>
      <c r="G2112">
        <v>120</v>
      </c>
      <c r="H2112">
        <v>8</v>
      </c>
      <c r="I2112">
        <v>15</v>
      </c>
      <c r="J2112">
        <v>15.5</v>
      </c>
      <c r="K2112">
        <v>12</v>
      </c>
      <c r="L2112">
        <v>17</v>
      </c>
      <c r="M2112">
        <f t="shared" si="4"/>
        <v>114.5</v>
      </c>
      <c r="N2112" s="74"/>
    </row>
    <row r="2113" spans="1:14" hidden="1" x14ac:dyDescent="0.25">
      <c r="A2113" t="s">
        <v>344</v>
      </c>
      <c r="B2113" t="s">
        <v>482</v>
      </c>
      <c r="C2113" t="s">
        <v>483</v>
      </c>
      <c r="D2113" t="s">
        <v>478</v>
      </c>
      <c r="E2113">
        <v>2</v>
      </c>
      <c r="F2113" s="66">
        <v>5.9</v>
      </c>
      <c r="G2113">
        <v>140</v>
      </c>
      <c r="H2113">
        <v>8</v>
      </c>
      <c r="I2113">
        <v>15</v>
      </c>
      <c r="J2113">
        <v>15.5</v>
      </c>
      <c r="K2113">
        <v>12</v>
      </c>
      <c r="L2113">
        <v>17</v>
      </c>
      <c r="M2113">
        <f t="shared" si="4"/>
        <v>134.5</v>
      </c>
      <c r="N2113" s="74"/>
    </row>
    <row r="2114" spans="1:14" hidden="1" x14ac:dyDescent="0.25">
      <c r="A2114" t="s">
        <v>344</v>
      </c>
      <c r="B2114" t="s">
        <v>482</v>
      </c>
      <c r="C2114" t="s">
        <v>483</v>
      </c>
      <c r="D2114" t="s">
        <v>478</v>
      </c>
      <c r="E2114">
        <v>2</v>
      </c>
      <c r="F2114" s="66">
        <v>5.9</v>
      </c>
      <c r="G2114">
        <v>160</v>
      </c>
      <c r="H2114">
        <v>8</v>
      </c>
      <c r="I2114">
        <v>15</v>
      </c>
      <c r="J2114">
        <v>15.5</v>
      </c>
      <c r="K2114">
        <v>12</v>
      </c>
      <c r="L2114">
        <v>17</v>
      </c>
      <c r="M2114">
        <f t="shared" si="4"/>
        <v>154.5</v>
      </c>
      <c r="N2114" s="74"/>
    </row>
    <row r="2115" spans="1:14" hidden="1" x14ac:dyDescent="0.25">
      <c r="A2115" t="s">
        <v>344</v>
      </c>
      <c r="B2115" t="s">
        <v>482</v>
      </c>
      <c r="C2115" t="s">
        <v>483</v>
      </c>
      <c r="D2115" t="s">
        <v>478</v>
      </c>
      <c r="E2115">
        <v>2</v>
      </c>
      <c r="F2115" s="66">
        <v>5.9</v>
      </c>
      <c r="G2115">
        <v>180</v>
      </c>
      <c r="H2115">
        <v>8</v>
      </c>
      <c r="I2115">
        <v>15</v>
      </c>
      <c r="J2115">
        <v>15.5</v>
      </c>
      <c r="K2115">
        <v>12</v>
      </c>
      <c r="L2115">
        <v>17</v>
      </c>
      <c r="M2115">
        <f t="shared" si="4"/>
        <v>174.5</v>
      </c>
      <c r="N2115" s="74"/>
    </row>
    <row r="2116" spans="1:14" hidden="1" x14ac:dyDescent="0.25">
      <c r="A2116" t="s">
        <v>344</v>
      </c>
      <c r="B2116" t="s">
        <v>482</v>
      </c>
      <c r="C2116" t="s">
        <v>483</v>
      </c>
      <c r="D2116" t="s">
        <v>478</v>
      </c>
      <c r="E2116">
        <v>2</v>
      </c>
      <c r="F2116" s="66">
        <v>5.9</v>
      </c>
      <c r="G2116">
        <v>200</v>
      </c>
      <c r="H2116">
        <v>8</v>
      </c>
      <c r="I2116">
        <v>15</v>
      </c>
      <c r="J2116">
        <v>15.5</v>
      </c>
      <c r="K2116">
        <v>12</v>
      </c>
      <c r="L2116">
        <v>17</v>
      </c>
      <c r="M2116">
        <f t="shared" si="4"/>
        <v>194.5</v>
      </c>
      <c r="N2116" s="74"/>
    </row>
    <row r="2117" spans="1:14" hidden="1" x14ac:dyDescent="0.25">
      <c r="A2117" t="s">
        <v>344</v>
      </c>
      <c r="B2117" t="s">
        <v>482</v>
      </c>
      <c r="C2117" t="s">
        <v>483</v>
      </c>
      <c r="D2117" t="s">
        <v>478</v>
      </c>
      <c r="E2117">
        <v>2</v>
      </c>
      <c r="F2117">
        <v>6.5</v>
      </c>
      <c r="G2117">
        <v>80</v>
      </c>
      <c r="H2117">
        <v>8</v>
      </c>
      <c r="I2117">
        <v>15</v>
      </c>
      <c r="J2117">
        <v>11.4</v>
      </c>
      <c r="K2117">
        <v>12</v>
      </c>
      <c r="L2117">
        <v>17</v>
      </c>
      <c r="M2117">
        <f>G2117-5.5</f>
        <v>74.5</v>
      </c>
    </row>
    <row r="2118" spans="1:14" hidden="1" x14ac:dyDescent="0.25">
      <c r="A2118" t="s">
        <v>344</v>
      </c>
      <c r="B2118" t="s">
        <v>482</v>
      </c>
      <c r="C2118" t="s">
        <v>483</v>
      </c>
      <c r="D2118" t="s">
        <v>478</v>
      </c>
      <c r="E2118">
        <v>2</v>
      </c>
      <c r="F2118">
        <v>6.5</v>
      </c>
      <c r="G2118">
        <v>100</v>
      </c>
      <c r="H2118">
        <v>8</v>
      </c>
      <c r="I2118">
        <v>15</v>
      </c>
      <c r="J2118">
        <v>11.4</v>
      </c>
      <c r="K2118">
        <v>12</v>
      </c>
      <c r="L2118">
        <v>17</v>
      </c>
      <c r="M2118">
        <f t="shared" ref="M2118:M2126" si="5">G2118-5.5</f>
        <v>94.5</v>
      </c>
    </row>
    <row r="2119" spans="1:14" hidden="1" x14ac:dyDescent="0.25">
      <c r="A2119" t="s">
        <v>344</v>
      </c>
      <c r="B2119" t="s">
        <v>482</v>
      </c>
      <c r="C2119" t="s">
        <v>483</v>
      </c>
      <c r="D2119" t="s">
        <v>478</v>
      </c>
      <c r="E2119">
        <v>2</v>
      </c>
      <c r="F2119">
        <v>6.5</v>
      </c>
      <c r="G2119">
        <v>120</v>
      </c>
      <c r="H2119">
        <v>8</v>
      </c>
      <c r="I2119">
        <v>15</v>
      </c>
      <c r="J2119">
        <v>11.4</v>
      </c>
      <c r="K2119">
        <v>12</v>
      </c>
      <c r="L2119">
        <v>17</v>
      </c>
      <c r="M2119">
        <f t="shared" si="5"/>
        <v>114.5</v>
      </c>
    </row>
    <row r="2120" spans="1:14" hidden="1" x14ac:dyDescent="0.25">
      <c r="A2120" t="s">
        <v>344</v>
      </c>
      <c r="B2120" t="s">
        <v>482</v>
      </c>
      <c r="C2120" t="s">
        <v>483</v>
      </c>
      <c r="D2120" t="s">
        <v>478</v>
      </c>
      <c r="E2120">
        <v>2</v>
      </c>
      <c r="F2120">
        <v>6.5</v>
      </c>
      <c r="G2120">
        <v>140</v>
      </c>
      <c r="H2120">
        <v>8</v>
      </c>
      <c r="I2120">
        <v>15</v>
      </c>
      <c r="J2120">
        <v>11.4</v>
      </c>
      <c r="K2120">
        <v>12</v>
      </c>
      <c r="L2120">
        <v>17</v>
      </c>
      <c r="M2120">
        <f t="shared" si="5"/>
        <v>134.5</v>
      </c>
    </row>
    <row r="2121" spans="1:14" hidden="1" x14ac:dyDescent="0.25">
      <c r="A2121" t="s">
        <v>344</v>
      </c>
      <c r="B2121" t="s">
        <v>482</v>
      </c>
      <c r="C2121" t="s">
        <v>483</v>
      </c>
      <c r="D2121" t="s">
        <v>478</v>
      </c>
      <c r="E2121">
        <v>2</v>
      </c>
      <c r="F2121">
        <v>6.5</v>
      </c>
      <c r="G2121">
        <v>160</v>
      </c>
      <c r="H2121">
        <v>8</v>
      </c>
      <c r="I2121">
        <v>15</v>
      </c>
      <c r="J2121">
        <v>11.4</v>
      </c>
      <c r="K2121">
        <v>12</v>
      </c>
      <c r="L2121">
        <v>17</v>
      </c>
      <c r="M2121">
        <f t="shared" si="5"/>
        <v>154.5</v>
      </c>
    </row>
    <row r="2122" spans="1:14" hidden="1" x14ac:dyDescent="0.25">
      <c r="A2122" t="s">
        <v>344</v>
      </c>
      <c r="B2122" t="s">
        <v>482</v>
      </c>
      <c r="C2122" t="s">
        <v>483</v>
      </c>
      <c r="D2122" t="s">
        <v>478</v>
      </c>
      <c r="E2122">
        <v>2</v>
      </c>
      <c r="F2122">
        <v>6.5</v>
      </c>
      <c r="G2122">
        <v>195</v>
      </c>
      <c r="H2122">
        <v>8</v>
      </c>
      <c r="I2122">
        <v>15</v>
      </c>
      <c r="J2122">
        <v>11.4</v>
      </c>
      <c r="K2122">
        <v>12</v>
      </c>
      <c r="L2122">
        <v>17</v>
      </c>
      <c r="M2122">
        <f t="shared" si="5"/>
        <v>189.5</v>
      </c>
    </row>
    <row r="2123" spans="1:14" hidden="1" x14ac:dyDescent="0.25">
      <c r="A2123" t="s">
        <v>344</v>
      </c>
      <c r="B2123" t="s">
        <v>482</v>
      </c>
      <c r="C2123" t="s">
        <v>483</v>
      </c>
      <c r="D2123" t="s">
        <v>478</v>
      </c>
      <c r="E2123">
        <v>2</v>
      </c>
      <c r="F2123">
        <v>6.5</v>
      </c>
      <c r="G2123">
        <v>200</v>
      </c>
      <c r="H2123">
        <v>8</v>
      </c>
      <c r="I2123">
        <v>15</v>
      </c>
      <c r="J2123">
        <v>11.4</v>
      </c>
      <c r="K2123">
        <v>12</v>
      </c>
      <c r="L2123">
        <v>17</v>
      </c>
      <c r="M2123">
        <f t="shared" si="5"/>
        <v>194.5</v>
      </c>
    </row>
    <row r="2124" spans="1:14" hidden="1" x14ac:dyDescent="0.25">
      <c r="A2124" t="s">
        <v>344</v>
      </c>
      <c r="B2124" t="s">
        <v>482</v>
      </c>
      <c r="C2124" t="s">
        <v>483</v>
      </c>
      <c r="D2124" t="s">
        <v>478</v>
      </c>
      <c r="E2124">
        <v>2</v>
      </c>
      <c r="F2124">
        <v>6.5</v>
      </c>
      <c r="G2124">
        <v>220</v>
      </c>
      <c r="H2124">
        <v>8</v>
      </c>
      <c r="I2124">
        <v>15</v>
      </c>
      <c r="J2124">
        <v>11.4</v>
      </c>
      <c r="K2124">
        <v>12</v>
      </c>
      <c r="L2124">
        <v>17</v>
      </c>
      <c r="M2124">
        <f t="shared" si="5"/>
        <v>214.5</v>
      </c>
    </row>
    <row r="2125" spans="1:14" hidden="1" x14ac:dyDescent="0.25">
      <c r="A2125" t="s">
        <v>344</v>
      </c>
      <c r="B2125" t="s">
        <v>482</v>
      </c>
      <c r="C2125" t="s">
        <v>483</v>
      </c>
      <c r="D2125" t="s">
        <v>478</v>
      </c>
      <c r="E2125">
        <v>2</v>
      </c>
      <c r="F2125">
        <v>6.5</v>
      </c>
      <c r="G2125">
        <v>240</v>
      </c>
      <c r="H2125">
        <v>8</v>
      </c>
      <c r="I2125">
        <v>15</v>
      </c>
      <c r="J2125">
        <v>11.4</v>
      </c>
      <c r="K2125">
        <v>12</v>
      </c>
      <c r="L2125">
        <v>17</v>
      </c>
      <c r="M2125">
        <f t="shared" si="5"/>
        <v>234.5</v>
      </c>
    </row>
    <row r="2126" spans="1:14" hidden="1" x14ac:dyDescent="0.25">
      <c r="A2126" t="s">
        <v>344</v>
      </c>
      <c r="B2126" t="s">
        <v>482</v>
      </c>
      <c r="C2126" t="s">
        <v>483</v>
      </c>
      <c r="D2126" t="s">
        <v>478</v>
      </c>
      <c r="E2126">
        <v>2</v>
      </c>
      <c r="F2126">
        <v>6.5</v>
      </c>
      <c r="G2126">
        <v>260</v>
      </c>
      <c r="H2126">
        <v>8</v>
      </c>
      <c r="I2126">
        <v>15</v>
      </c>
      <c r="J2126">
        <v>11.4</v>
      </c>
      <c r="K2126">
        <v>12</v>
      </c>
      <c r="L2126">
        <v>17</v>
      </c>
      <c r="M2126">
        <f t="shared" si="5"/>
        <v>254.5</v>
      </c>
    </row>
    <row r="2127" spans="1:14" hidden="1" x14ac:dyDescent="0.25">
      <c r="A2127" t="s">
        <v>344</v>
      </c>
      <c r="B2127" t="s">
        <v>482</v>
      </c>
      <c r="C2127" t="s">
        <v>483</v>
      </c>
      <c r="D2127" t="s">
        <v>478</v>
      </c>
      <c r="E2127">
        <v>2</v>
      </c>
      <c r="F2127">
        <v>8</v>
      </c>
      <c r="G2127">
        <v>155</v>
      </c>
      <c r="H2127">
        <v>10</v>
      </c>
      <c r="I2127">
        <v>25</v>
      </c>
      <c r="J2127">
        <v>11.1</v>
      </c>
      <c r="K2127">
        <v>12</v>
      </c>
      <c r="L2127">
        <v>25</v>
      </c>
      <c r="M2127">
        <f>G2127-6.5</f>
        <v>148.5</v>
      </c>
    </row>
    <row r="2128" spans="1:14" hidden="1" x14ac:dyDescent="0.25">
      <c r="A2128" t="s">
        <v>344</v>
      </c>
      <c r="B2128" t="s">
        <v>482</v>
      </c>
      <c r="C2128" t="s">
        <v>483</v>
      </c>
      <c r="D2128" t="s">
        <v>478</v>
      </c>
      <c r="E2128">
        <v>2</v>
      </c>
      <c r="F2128">
        <v>8</v>
      </c>
      <c r="G2128">
        <v>195</v>
      </c>
      <c r="H2128">
        <v>10</v>
      </c>
      <c r="I2128">
        <v>25</v>
      </c>
      <c r="J2128">
        <v>11.1</v>
      </c>
      <c r="K2128">
        <v>12</v>
      </c>
      <c r="L2128">
        <v>25</v>
      </c>
      <c r="M2128">
        <f t="shared" ref="M2128:M2156" si="6">G2128-6.5</f>
        <v>188.5</v>
      </c>
    </row>
    <row r="2129" spans="1:13" hidden="1" x14ac:dyDescent="0.25">
      <c r="A2129" t="s">
        <v>344</v>
      </c>
      <c r="B2129" t="s">
        <v>482</v>
      </c>
      <c r="C2129" t="s">
        <v>483</v>
      </c>
      <c r="D2129" t="s">
        <v>478</v>
      </c>
      <c r="E2129">
        <v>2</v>
      </c>
      <c r="F2129">
        <v>8</v>
      </c>
      <c r="G2129">
        <v>220</v>
      </c>
      <c r="H2129">
        <v>10</v>
      </c>
      <c r="I2129">
        <v>25</v>
      </c>
      <c r="J2129">
        <v>11.1</v>
      </c>
      <c r="K2129">
        <v>12</v>
      </c>
      <c r="L2129">
        <v>25</v>
      </c>
      <c r="M2129">
        <f t="shared" si="6"/>
        <v>213.5</v>
      </c>
    </row>
    <row r="2130" spans="1:13" hidden="1" x14ac:dyDescent="0.25">
      <c r="A2130" t="s">
        <v>344</v>
      </c>
      <c r="B2130" t="s">
        <v>482</v>
      </c>
      <c r="C2130" t="s">
        <v>483</v>
      </c>
      <c r="D2130" t="s">
        <v>478</v>
      </c>
      <c r="E2130">
        <v>2</v>
      </c>
      <c r="F2130">
        <v>8</v>
      </c>
      <c r="G2130">
        <v>245</v>
      </c>
      <c r="H2130">
        <v>10</v>
      </c>
      <c r="I2130">
        <v>25</v>
      </c>
      <c r="J2130">
        <v>11.1</v>
      </c>
      <c r="K2130">
        <v>12</v>
      </c>
      <c r="L2130">
        <v>25</v>
      </c>
      <c r="M2130">
        <f t="shared" si="6"/>
        <v>238.5</v>
      </c>
    </row>
    <row r="2131" spans="1:13" hidden="1" x14ac:dyDescent="0.25">
      <c r="A2131" t="s">
        <v>344</v>
      </c>
      <c r="B2131" t="s">
        <v>482</v>
      </c>
      <c r="C2131" t="s">
        <v>483</v>
      </c>
      <c r="D2131" t="s">
        <v>478</v>
      </c>
      <c r="E2131">
        <v>2</v>
      </c>
      <c r="F2131">
        <v>8</v>
      </c>
      <c r="G2131">
        <v>295</v>
      </c>
      <c r="H2131">
        <v>10</v>
      </c>
      <c r="I2131">
        <v>25</v>
      </c>
      <c r="J2131">
        <v>11.1</v>
      </c>
      <c r="K2131">
        <v>12</v>
      </c>
      <c r="L2131">
        <v>25</v>
      </c>
      <c r="M2131">
        <f t="shared" si="6"/>
        <v>288.5</v>
      </c>
    </row>
    <row r="2132" spans="1:13" hidden="1" x14ac:dyDescent="0.25">
      <c r="A2132" t="s">
        <v>344</v>
      </c>
      <c r="B2132" t="s">
        <v>482</v>
      </c>
      <c r="C2132" t="s">
        <v>483</v>
      </c>
      <c r="D2132" t="s">
        <v>478</v>
      </c>
      <c r="E2132">
        <v>2</v>
      </c>
      <c r="F2132">
        <v>8</v>
      </c>
      <c r="G2132">
        <v>330</v>
      </c>
      <c r="H2132">
        <v>10</v>
      </c>
      <c r="I2132">
        <v>25</v>
      </c>
      <c r="J2132">
        <v>11.1</v>
      </c>
      <c r="K2132">
        <v>12</v>
      </c>
      <c r="L2132">
        <v>25</v>
      </c>
      <c r="M2132">
        <f t="shared" si="6"/>
        <v>323.5</v>
      </c>
    </row>
    <row r="2133" spans="1:13" hidden="1" x14ac:dyDescent="0.25">
      <c r="A2133" t="s">
        <v>344</v>
      </c>
      <c r="B2133" t="s">
        <v>482</v>
      </c>
      <c r="C2133" t="s">
        <v>483</v>
      </c>
      <c r="D2133" t="s">
        <v>478</v>
      </c>
      <c r="E2133">
        <v>2</v>
      </c>
      <c r="F2133">
        <v>8</v>
      </c>
      <c r="G2133">
        <v>375</v>
      </c>
      <c r="H2133">
        <v>10</v>
      </c>
      <c r="I2133">
        <v>25</v>
      </c>
      <c r="J2133">
        <v>11.1</v>
      </c>
      <c r="K2133">
        <v>12</v>
      </c>
      <c r="L2133">
        <v>25</v>
      </c>
      <c r="M2133">
        <f t="shared" si="6"/>
        <v>368.5</v>
      </c>
    </row>
    <row r="2134" spans="1:13" hidden="1" x14ac:dyDescent="0.25">
      <c r="A2134" t="s">
        <v>344</v>
      </c>
      <c r="B2134" t="s">
        <v>482</v>
      </c>
      <c r="C2134" t="s">
        <v>483</v>
      </c>
      <c r="D2134" t="s">
        <v>478</v>
      </c>
      <c r="E2134">
        <v>2</v>
      </c>
      <c r="F2134">
        <v>8</v>
      </c>
      <c r="G2134">
        <v>400</v>
      </c>
      <c r="H2134">
        <v>10</v>
      </c>
      <c r="I2134">
        <v>25</v>
      </c>
      <c r="J2134">
        <v>11.1</v>
      </c>
      <c r="K2134">
        <v>12</v>
      </c>
      <c r="L2134">
        <v>25</v>
      </c>
      <c r="M2134">
        <f t="shared" si="6"/>
        <v>393.5</v>
      </c>
    </row>
    <row r="2135" spans="1:13" hidden="1" x14ac:dyDescent="0.25">
      <c r="A2135" t="s">
        <v>344</v>
      </c>
      <c r="B2135" t="s">
        <v>482</v>
      </c>
      <c r="C2135" t="s">
        <v>483</v>
      </c>
      <c r="D2135" t="s">
        <v>478</v>
      </c>
      <c r="E2135">
        <v>2</v>
      </c>
      <c r="F2135">
        <v>8</v>
      </c>
      <c r="G2135">
        <v>430</v>
      </c>
      <c r="H2135">
        <v>10</v>
      </c>
      <c r="I2135">
        <v>25</v>
      </c>
      <c r="J2135">
        <v>11.1</v>
      </c>
      <c r="K2135">
        <v>12</v>
      </c>
      <c r="L2135">
        <v>25</v>
      </c>
      <c r="M2135">
        <f t="shared" si="6"/>
        <v>423.5</v>
      </c>
    </row>
    <row r="2136" spans="1:13" hidden="1" x14ac:dyDescent="0.25">
      <c r="A2136" t="s">
        <v>344</v>
      </c>
      <c r="B2136" t="s">
        <v>482</v>
      </c>
      <c r="C2136" t="s">
        <v>483</v>
      </c>
      <c r="D2136" t="s">
        <v>478</v>
      </c>
      <c r="E2136">
        <v>2</v>
      </c>
      <c r="F2136">
        <v>8</v>
      </c>
      <c r="G2136">
        <v>480</v>
      </c>
      <c r="H2136">
        <v>10</v>
      </c>
      <c r="I2136">
        <v>25</v>
      </c>
      <c r="J2136">
        <v>11.1</v>
      </c>
      <c r="K2136">
        <v>12</v>
      </c>
      <c r="L2136">
        <v>25</v>
      </c>
      <c r="M2136">
        <f t="shared" si="6"/>
        <v>473.5</v>
      </c>
    </row>
    <row r="2137" spans="1:13" hidden="1" x14ac:dyDescent="0.25">
      <c r="A2137" t="s">
        <v>344</v>
      </c>
      <c r="B2137" t="s">
        <v>482</v>
      </c>
      <c r="C2137" t="s">
        <v>483</v>
      </c>
      <c r="D2137" t="s">
        <v>478</v>
      </c>
      <c r="E2137">
        <v>2</v>
      </c>
      <c r="F2137">
        <v>8</v>
      </c>
      <c r="G2137">
        <v>530</v>
      </c>
      <c r="H2137">
        <v>10</v>
      </c>
      <c r="I2137">
        <v>25</v>
      </c>
      <c r="J2137">
        <v>11.1</v>
      </c>
      <c r="K2137">
        <v>12</v>
      </c>
      <c r="L2137">
        <v>25</v>
      </c>
      <c r="M2137">
        <f t="shared" si="6"/>
        <v>523.5</v>
      </c>
    </row>
    <row r="2138" spans="1:13" hidden="1" x14ac:dyDescent="0.25">
      <c r="A2138" t="s">
        <v>344</v>
      </c>
      <c r="B2138" t="s">
        <v>482</v>
      </c>
      <c r="C2138" t="s">
        <v>483</v>
      </c>
      <c r="D2138" t="s">
        <v>478</v>
      </c>
      <c r="E2138">
        <v>2</v>
      </c>
      <c r="F2138">
        <v>8</v>
      </c>
      <c r="G2138">
        <v>580</v>
      </c>
      <c r="H2138">
        <v>10</v>
      </c>
      <c r="I2138">
        <v>25</v>
      </c>
      <c r="J2138">
        <v>11.1</v>
      </c>
      <c r="K2138">
        <v>12</v>
      </c>
      <c r="L2138">
        <v>25</v>
      </c>
      <c r="M2138">
        <f t="shared" si="6"/>
        <v>573.5</v>
      </c>
    </row>
    <row r="2139" spans="1:13" hidden="1" x14ac:dyDescent="0.25">
      <c r="A2139" t="s">
        <v>344</v>
      </c>
      <c r="B2139" t="s">
        <v>482</v>
      </c>
      <c r="C2139" t="s">
        <v>483</v>
      </c>
      <c r="D2139" t="s">
        <v>478</v>
      </c>
      <c r="E2139">
        <v>2</v>
      </c>
      <c r="F2139">
        <v>10</v>
      </c>
      <c r="G2139">
        <v>195</v>
      </c>
      <c r="H2139">
        <v>13</v>
      </c>
      <c r="I2139">
        <v>40</v>
      </c>
      <c r="J2139">
        <v>10.8</v>
      </c>
      <c r="K2139">
        <v>12</v>
      </c>
      <c r="L2139">
        <v>33</v>
      </c>
      <c r="M2139">
        <f t="shared" si="6"/>
        <v>188.5</v>
      </c>
    </row>
    <row r="2140" spans="1:13" hidden="1" x14ac:dyDescent="0.25">
      <c r="A2140" t="s">
        <v>344</v>
      </c>
      <c r="B2140" t="s">
        <v>482</v>
      </c>
      <c r="C2140" t="s">
        <v>483</v>
      </c>
      <c r="D2140" t="s">
        <v>478</v>
      </c>
      <c r="E2140">
        <v>2</v>
      </c>
      <c r="F2140">
        <v>10</v>
      </c>
      <c r="G2140">
        <v>220</v>
      </c>
      <c r="H2140">
        <v>13</v>
      </c>
      <c r="I2140">
        <v>40</v>
      </c>
      <c r="J2140">
        <v>10.8</v>
      </c>
      <c r="K2140">
        <v>12</v>
      </c>
      <c r="L2140">
        <v>33</v>
      </c>
      <c r="M2140">
        <f t="shared" si="6"/>
        <v>213.5</v>
      </c>
    </row>
    <row r="2141" spans="1:13" hidden="1" x14ac:dyDescent="0.25">
      <c r="A2141" t="s">
        <v>344</v>
      </c>
      <c r="B2141" t="s">
        <v>482</v>
      </c>
      <c r="C2141" t="s">
        <v>483</v>
      </c>
      <c r="D2141" t="s">
        <v>478</v>
      </c>
      <c r="E2141">
        <v>2</v>
      </c>
      <c r="F2141">
        <v>10</v>
      </c>
      <c r="G2141">
        <v>245</v>
      </c>
      <c r="H2141">
        <v>13</v>
      </c>
      <c r="I2141">
        <v>40</v>
      </c>
      <c r="J2141">
        <v>10.8</v>
      </c>
      <c r="K2141">
        <v>12</v>
      </c>
      <c r="L2141">
        <v>33</v>
      </c>
      <c r="M2141">
        <f t="shared" si="6"/>
        <v>238.5</v>
      </c>
    </row>
    <row r="2142" spans="1:13" hidden="1" x14ac:dyDescent="0.25">
      <c r="A2142" t="s">
        <v>344</v>
      </c>
      <c r="B2142" t="s">
        <v>482</v>
      </c>
      <c r="C2142" t="s">
        <v>483</v>
      </c>
      <c r="D2142" t="s">
        <v>478</v>
      </c>
      <c r="E2142">
        <v>2</v>
      </c>
      <c r="F2142">
        <v>10</v>
      </c>
      <c r="G2142">
        <v>270</v>
      </c>
      <c r="H2142">
        <v>13</v>
      </c>
      <c r="I2142">
        <v>40</v>
      </c>
      <c r="J2142">
        <v>10.8</v>
      </c>
      <c r="K2142">
        <v>12</v>
      </c>
      <c r="L2142">
        <v>33</v>
      </c>
      <c r="M2142">
        <f t="shared" si="6"/>
        <v>263.5</v>
      </c>
    </row>
    <row r="2143" spans="1:13" hidden="1" x14ac:dyDescent="0.25">
      <c r="A2143" t="s">
        <v>344</v>
      </c>
      <c r="B2143" t="s">
        <v>482</v>
      </c>
      <c r="C2143" t="s">
        <v>483</v>
      </c>
      <c r="D2143" t="s">
        <v>478</v>
      </c>
      <c r="E2143">
        <v>2</v>
      </c>
      <c r="F2143">
        <v>10</v>
      </c>
      <c r="G2143">
        <v>300</v>
      </c>
      <c r="H2143">
        <v>13</v>
      </c>
      <c r="I2143">
        <v>40</v>
      </c>
      <c r="J2143">
        <v>10.8</v>
      </c>
      <c r="K2143">
        <v>12</v>
      </c>
      <c r="L2143">
        <v>33</v>
      </c>
      <c r="M2143">
        <f t="shared" si="6"/>
        <v>293.5</v>
      </c>
    </row>
    <row r="2144" spans="1:13" hidden="1" x14ac:dyDescent="0.25">
      <c r="A2144" t="s">
        <v>344</v>
      </c>
      <c r="B2144" t="s">
        <v>482</v>
      </c>
      <c r="C2144" t="s">
        <v>483</v>
      </c>
      <c r="D2144" t="s">
        <v>478</v>
      </c>
      <c r="E2144">
        <v>2</v>
      </c>
      <c r="F2144">
        <v>10</v>
      </c>
      <c r="G2144">
        <v>330</v>
      </c>
      <c r="H2144">
        <v>13</v>
      </c>
      <c r="I2144">
        <v>40</v>
      </c>
      <c r="J2144">
        <v>10.8</v>
      </c>
      <c r="K2144">
        <v>12</v>
      </c>
      <c r="L2144">
        <v>33</v>
      </c>
      <c r="M2144">
        <f t="shared" si="6"/>
        <v>323.5</v>
      </c>
    </row>
    <row r="2145" spans="1:13" hidden="1" x14ac:dyDescent="0.25">
      <c r="A2145" t="s">
        <v>344</v>
      </c>
      <c r="B2145" t="s">
        <v>482</v>
      </c>
      <c r="C2145" t="s">
        <v>483</v>
      </c>
      <c r="D2145" t="s">
        <v>478</v>
      </c>
      <c r="E2145">
        <v>2</v>
      </c>
      <c r="F2145">
        <v>10</v>
      </c>
      <c r="G2145">
        <v>360</v>
      </c>
      <c r="H2145">
        <v>13</v>
      </c>
      <c r="I2145">
        <v>40</v>
      </c>
      <c r="J2145">
        <v>10.8</v>
      </c>
      <c r="K2145">
        <v>12</v>
      </c>
      <c r="L2145">
        <v>33</v>
      </c>
      <c r="M2145">
        <f t="shared" si="6"/>
        <v>353.5</v>
      </c>
    </row>
    <row r="2146" spans="1:13" hidden="1" x14ac:dyDescent="0.25">
      <c r="A2146" t="s">
        <v>344</v>
      </c>
      <c r="B2146" t="s">
        <v>482</v>
      </c>
      <c r="C2146" t="s">
        <v>483</v>
      </c>
      <c r="D2146" t="s">
        <v>478</v>
      </c>
      <c r="E2146">
        <v>2</v>
      </c>
      <c r="F2146">
        <v>10</v>
      </c>
      <c r="G2146">
        <v>400</v>
      </c>
      <c r="H2146">
        <v>13</v>
      </c>
      <c r="I2146">
        <v>40</v>
      </c>
      <c r="J2146">
        <v>10.8</v>
      </c>
      <c r="K2146">
        <v>12</v>
      </c>
      <c r="L2146">
        <v>33</v>
      </c>
      <c r="M2146">
        <f t="shared" si="6"/>
        <v>393.5</v>
      </c>
    </row>
    <row r="2147" spans="1:13" hidden="1" x14ac:dyDescent="0.25">
      <c r="A2147" t="s">
        <v>344</v>
      </c>
      <c r="B2147" t="s">
        <v>482</v>
      </c>
      <c r="C2147" t="s">
        <v>483</v>
      </c>
      <c r="D2147" t="s">
        <v>478</v>
      </c>
      <c r="E2147">
        <v>2</v>
      </c>
      <c r="F2147">
        <v>10</v>
      </c>
      <c r="G2147">
        <v>450</v>
      </c>
      <c r="H2147">
        <v>13</v>
      </c>
      <c r="I2147">
        <v>40</v>
      </c>
      <c r="J2147">
        <v>10.8</v>
      </c>
      <c r="K2147">
        <v>12</v>
      </c>
      <c r="L2147">
        <v>33</v>
      </c>
      <c r="M2147">
        <f t="shared" si="6"/>
        <v>443.5</v>
      </c>
    </row>
    <row r="2148" spans="1:13" hidden="1" x14ac:dyDescent="0.25">
      <c r="A2148" t="s">
        <v>344</v>
      </c>
      <c r="B2148" t="s">
        <v>482</v>
      </c>
      <c r="C2148" t="s">
        <v>483</v>
      </c>
      <c r="D2148" t="s">
        <v>478</v>
      </c>
      <c r="E2148">
        <v>2</v>
      </c>
      <c r="F2148">
        <v>10</v>
      </c>
      <c r="G2148">
        <v>500</v>
      </c>
      <c r="H2148">
        <v>13</v>
      </c>
      <c r="I2148">
        <v>40</v>
      </c>
      <c r="J2148">
        <v>10.8</v>
      </c>
      <c r="K2148">
        <v>12</v>
      </c>
      <c r="L2148">
        <v>33</v>
      </c>
      <c r="M2148">
        <f t="shared" si="6"/>
        <v>493.5</v>
      </c>
    </row>
    <row r="2149" spans="1:13" hidden="1" x14ac:dyDescent="0.25">
      <c r="A2149" t="s">
        <v>344</v>
      </c>
      <c r="B2149" t="s">
        <v>482</v>
      </c>
      <c r="C2149" t="s">
        <v>483</v>
      </c>
      <c r="D2149" t="s">
        <v>478</v>
      </c>
      <c r="E2149">
        <v>2</v>
      </c>
      <c r="F2149">
        <v>10</v>
      </c>
      <c r="G2149">
        <v>550</v>
      </c>
      <c r="H2149">
        <v>13</v>
      </c>
      <c r="I2149">
        <v>40</v>
      </c>
      <c r="J2149">
        <v>10.8</v>
      </c>
      <c r="K2149">
        <v>12</v>
      </c>
      <c r="L2149">
        <v>33</v>
      </c>
      <c r="M2149">
        <f t="shared" si="6"/>
        <v>543.5</v>
      </c>
    </row>
    <row r="2150" spans="1:13" hidden="1" x14ac:dyDescent="0.25">
      <c r="A2150" t="s">
        <v>344</v>
      </c>
      <c r="B2150" t="s">
        <v>482</v>
      </c>
      <c r="C2150" t="s">
        <v>483</v>
      </c>
      <c r="D2150" t="s">
        <v>478</v>
      </c>
      <c r="E2150">
        <v>2</v>
      </c>
      <c r="F2150">
        <v>10</v>
      </c>
      <c r="G2150">
        <v>600</v>
      </c>
      <c r="H2150">
        <v>13</v>
      </c>
      <c r="I2150">
        <v>40</v>
      </c>
      <c r="J2150">
        <v>10.8</v>
      </c>
      <c r="K2150">
        <v>12</v>
      </c>
      <c r="L2150">
        <v>33</v>
      </c>
      <c r="M2150">
        <f t="shared" si="6"/>
        <v>593.5</v>
      </c>
    </row>
    <row r="2151" spans="1:13" hidden="1" x14ac:dyDescent="0.25">
      <c r="A2151" t="s">
        <v>344</v>
      </c>
      <c r="B2151" t="s">
        <v>482</v>
      </c>
      <c r="C2151" t="s">
        <v>483</v>
      </c>
      <c r="D2151" t="s">
        <v>478</v>
      </c>
      <c r="E2151">
        <v>2</v>
      </c>
      <c r="F2151">
        <v>10</v>
      </c>
      <c r="G2151">
        <v>650</v>
      </c>
      <c r="H2151">
        <v>13</v>
      </c>
      <c r="I2151">
        <v>40</v>
      </c>
      <c r="J2151">
        <v>10.8</v>
      </c>
      <c r="K2151">
        <v>12</v>
      </c>
      <c r="L2151">
        <v>33</v>
      </c>
      <c r="M2151">
        <f t="shared" si="6"/>
        <v>643.5</v>
      </c>
    </row>
    <row r="2152" spans="1:13" hidden="1" x14ac:dyDescent="0.25">
      <c r="A2152" t="s">
        <v>344</v>
      </c>
      <c r="B2152" t="s">
        <v>482</v>
      </c>
      <c r="C2152" t="s">
        <v>483</v>
      </c>
      <c r="D2152" t="s">
        <v>478</v>
      </c>
      <c r="E2152">
        <v>2</v>
      </c>
      <c r="F2152">
        <v>10</v>
      </c>
      <c r="G2152">
        <v>700</v>
      </c>
      <c r="H2152">
        <v>13</v>
      </c>
      <c r="I2152">
        <v>40</v>
      </c>
      <c r="J2152">
        <v>10.8</v>
      </c>
      <c r="K2152">
        <v>12</v>
      </c>
      <c r="L2152">
        <v>33</v>
      </c>
      <c r="M2152">
        <f t="shared" si="6"/>
        <v>693.5</v>
      </c>
    </row>
    <row r="2153" spans="1:13" hidden="1" x14ac:dyDescent="0.25">
      <c r="A2153" t="s">
        <v>344</v>
      </c>
      <c r="B2153" t="s">
        <v>482</v>
      </c>
      <c r="C2153" t="s">
        <v>483</v>
      </c>
      <c r="D2153" t="s">
        <v>478</v>
      </c>
      <c r="E2153">
        <v>2</v>
      </c>
      <c r="F2153">
        <v>10</v>
      </c>
      <c r="G2153">
        <v>750</v>
      </c>
      <c r="H2153">
        <v>13</v>
      </c>
      <c r="I2153">
        <v>40</v>
      </c>
      <c r="J2153">
        <v>10.8</v>
      </c>
      <c r="K2153">
        <v>12</v>
      </c>
      <c r="L2153">
        <v>33</v>
      </c>
      <c r="M2153">
        <f t="shared" si="6"/>
        <v>743.5</v>
      </c>
    </row>
    <row r="2154" spans="1:13" hidden="1" x14ac:dyDescent="0.25">
      <c r="A2154" t="s">
        <v>344</v>
      </c>
      <c r="B2154" t="s">
        <v>482</v>
      </c>
      <c r="C2154" t="s">
        <v>483</v>
      </c>
      <c r="D2154" t="s">
        <v>478</v>
      </c>
      <c r="E2154">
        <v>2</v>
      </c>
      <c r="F2154">
        <v>10</v>
      </c>
      <c r="G2154">
        <v>800</v>
      </c>
      <c r="H2154">
        <v>13</v>
      </c>
      <c r="I2154">
        <v>40</v>
      </c>
      <c r="J2154">
        <v>10.8</v>
      </c>
      <c r="K2154">
        <v>12</v>
      </c>
      <c r="L2154">
        <v>33</v>
      </c>
      <c r="M2154">
        <f t="shared" si="6"/>
        <v>793.5</v>
      </c>
    </row>
    <row r="2155" spans="1:13" hidden="1" x14ac:dyDescent="0.25">
      <c r="A2155" t="s">
        <v>344</v>
      </c>
      <c r="B2155" t="s">
        <v>482</v>
      </c>
      <c r="C2155" t="s">
        <v>483</v>
      </c>
      <c r="D2155" t="s">
        <v>478</v>
      </c>
      <c r="E2155">
        <v>2</v>
      </c>
      <c r="F2155">
        <v>10</v>
      </c>
      <c r="G2155">
        <v>900</v>
      </c>
      <c r="H2155">
        <v>13</v>
      </c>
      <c r="I2155">
        <v>40</v>
      </c>
      <c r="J2155">
        <v>10.8</v>
      </c>
      <c r="K2155">
        <v>12</v>
      </c>
      <c r="L2155">
        <v>33</v>
      </c>
      <c r="M2155">
        <f t="shared" si="6"/>
        <v>893.5</v>
      </c>
    </row>
    <row r="2156" spans="1:13" hidden="1" x14ac:dyDescent="0.25">
      <c r="A2156" t="s">
        <v>344</v>
      </c>
      <c r="B2156" t="s">
        <v>482</v>
      </c>
      <c r="C2156" t="s">
        <v>483</v>
      </c>
      <c r="D2156" t="s">
        <v>478</v>
      </c>
      <c r="E2156">
        <v>2</v>
      </c>
      <c r="F2156">
        <v>10</v>
      </c>
      <c r="G2156">
        <v>1000</v>
      </c>
      <c r="H2156">
        <v>13</v>
      </c>
      <c r="I2156">
        <v>40</v>
      </c>
      <c r="J2156">
        <v>10.8</v>
      </c>
      <c r="K2156">
        <v>12</v>
      </c>
      <c r="L2156">
        <v>33</v>
      </c>
      <c r="M2156">
        <f t="shared" si="6"/>
        <v>993.5</v>
      </c>
    </row>
    <row r="2157" spans="1:13" hidden="1" x14ac:dyDescent="0.25">
      <c r="A2157" t="s">
        <v>344</v>
      </c>
      <c r="B2157" t="s">
        <v>482</v>
      </c>
      <c r="C2157" t="s">
        <v>485</v>
      </c>
      <c r="D2157" t="s">
        <v>479</v>
      </c>
      <c r="E2157">
        <v>2</v>
      </c>
      <c r="F2157">
        <v>5.2</v>
      </c>
      <c r="G2157">
        <v>80</v>
      </c>
      <c r="H2157">
        <v>6.4</v>
      </c>
      <c r="I2157">
        <v>10</v>
      </c>
      <c r="J2157">
        <v>15.5</v>
      </c>
      <c r="K2157">
        <v>12</v>
      </c>
      <c r="L2157">
        <v>13</v>
      </c>
      <c r="M2157">
        <f>G2157-5.5</f>
        <v>74.5</v>
      </c>
    </row>
    <row r="2158" spans="1:13" hidden="1" x14ac:dyDescent="0.25">
      <c r="A2158" t="s">
        <v>344</v>
      </c>
      <c r="B2158" t="s">
        <v>482</v>
      </c>
      <c r="C2158" t="s">
        <v>485</v>
      </c>
      <c r="D2158" t="s">
        <v>479</v>
      </c>
      <c r="E2158">
        <v>2</v>
      </c>
      <c r="F2158">
        <v>5.2</v>
      </c>
      <c r="G2158">
        <v>100</v>
      </c>
      <c r="H2158">
        <v>6.4</v>
      </c>
      <c r="I2158">
        <v>10</v>
      </c>
      <c r="J2158">
        <v>15.5</v>
      </c>
      <c r="K2158">
        <v>12</v>
      </c>
      <c r="L2158">
        <v>13</v>
      </c>
      <c r="M2158">
        <f t="shared" ref="M2158:M2165" si="7">G2158-5.5</f>
        <v>94.5</v>
      </c>
    </row>
    <row r="2159" spans="1:13" hidden="1" x14ac:dyDescent="0.25">
      <c r="A2159" t="s">
        <v>344</v>
      </c>
      <c r="B2159" t="s">
        <v>482</v>
      </c>
      <c r="C2159" t="s">
        <v>485</v>
      </c>
      <c r="D2159" t="s">
        <v>479</v>
      </c>
      <c r="E2159">
        <v>2</v>
      </c>
      <c r="F2159">
        <v>5.2</v>
      </c>
      <c r="G2159">
        <v>120</v>
      </c>
      <c r="H2159">
        <v>6.4</v>
      </c>
      <c r="I2159">
        <v>10</v>
      </c>
      <c r="J2159">
        <v>15.5</v>
      </c>
      <c r="K2159">
        <v>12</v>
      </c>
      <c r="L2159">
        <v>13</v>
      </c>
      <c r="M2159">
        <f t="shared" si="7"/>
        <v>114.5</v>
      </c>
    </row>
    <row r="2160" spans="1:13" hidden="1" x14ac:dyDescent="0.25">
      <c r="A2160" t="s">
        <v>344</v>
      </c>
      <c r="B2160" t="s">
        <v>482</v>
      </c>
      <c r="C2160" t="s">
        <v>485</v>
      </c>
      <c r="D2160" t="s">
        <v>479</v>
      </c>
      <c r="E2160">
        <v>2</v>
      </c>
      <c r="F2160">
        <v>5.2</v>
      </c>
      <c r="G2160">
        <v>140</v>
      </c>
      <c r="H2160">
        <v>6.4</v>
      </c>
      <c r="I2160">
        <v>10</v>
      </c>
      <c r="J2160">
        <v>15.5</v>
      </c>
      <c r="K2160">
        <v>12</v>
      </c>
      <c r="L2160">
        <v>13</v>
      </c>
      <c r="M2160">
        <f t="shared" si="7"/>
        <v>134.5</v>
      </c>
    </row>
    <row r="2161" spans="1:13" hidden="1" x14ac:dyDescent="0.25">
      <c r="A2161" t="s">
        <v>344</v>
      </c>
      <c r="B2161" t="s">
        <v>482</v>
      </c>
      <c r="C2161" t="s">
        <v>485</v>
      </c>
      <c r="D2161" t="s">
        <v>479</v>
      </c>
      <c r="E2161">
        <v>2</v>
      </c>
      <c r="F2161">
        <v>5.2</v>
      </c>
      <c r="G2161">
        <v>160</v>
      </c>
      <c r="H2161">
        <v>6.4</v>
      </c>
      <c r="I2161">
        <v>10</v>
      </c>
      <c r="J2161">
        <v>15.5</v>
      </c>
      <c r="K2161">
        <v>12</v>
      </c>
      <c r="L2161">
        <v>13</v>
      </c>
      <c r="M2161">
        <f t="shared" si="7"/>
        <v>154.5</v>
      </c>
    </row>
    <row r="2162" spans="1:13" hidden="1" x14ac:dyDescent="0.25">
      <c r="A2162" t="s">
        <v>344</v>
      </c>
      <c r="B2162" t="s">
        <v>482</v>
      </c>
      <c r="C2162" t="s">
        <v>485</v>
      </c>
      <c r="D2162" t="s">
        <v>479</v>
      </c>
      <c r="E2162">
        <v>2</v>
      </c>
      <c r="F2162">
        <v>6.5</v>
      </c>
      <c r="G2162">
        <v>80</v>
      </c>
      <c r="H2162">
        <v>11.5</v>
      </c>
      <c r="I2162">
        <v>15</v>
      </c>
      <c r="J2162">
        <v>15.5</v>
      </c>
      <c r="K2162">
        <v>12</v>
      </c>
      <c r="L2162">
        <v>17</v>
      </c>
      <c r="M2162">
        <f t="shared" si="7"/>
        <v>74.5</v>
      </c>
    </row>
    <row r="2163" spans="1:13" hidden="1" x14ac:dyDescent="0.25">
      <c r="A2163" t="s">
        <v>344</v>
      </c>
      <c r="B2163" t="s">
        <v>482</v>
      </c>
      <c r="C2163" t="s">
        <v>485</v>
      </c>
      <c r="D2163" t="s">
        <v>479</v>
      </c>
      <c r="E2163">
        <v>2</v>
      </c>
      <c r="F2163">
        <v>6.5</v>
      </c>
      <c r="G2163">
        <v>100</v>
      </c>
      <c r="H2163">
        <v>11.5</v>
      </c>
      <c r="I2163">
        <v>15</v>
      </c>
      <c r="J2163">
        <v>15.5</v>
      </c>
      <c r="K2163">
        <v>12</v>
      </c>
      <c r="L2163">
        <v>17</v>
      </c>
      <c r="M2163">
        <f t="shared" si="7"/>
        <v>94.5</v>
      </c>
    </row>
    <row r="2164" spans="1:13" hidden="1" x14ac:dyDescent="0.25">
      <c r="A2164" t="s">
        <v>344</v>
      </c>
      <c r="B2164" t="s">
        <v>482</v>
      </c>
      <c r="C2164" t="s">
        <v>485</v>
      </c>
      <c r="D2164" t="s">
        <v>479</v>
      </c>
      <c r="E2164">
        <v>2</v>
      </c>
      <c r="F2164">
        <v>6.5</v>
      </c>
      <c r="G2164">
        <v>120</v>
      </c>
      <c r="H2164">
        <v>11.5</v>
      </c>
      <c r="I2164">
        <v>15</v>
      </c>
      <c r="J2164">
        <v>15.5</v>
      </c>
      <c r="K2164">
        <v>12</v>
      </c>
      <c r="L2164">
        <v>17</v>
      </c>
      <c r="M2164">
        <f t="shared" si="7"/>
        <v>114.5</v>
      </c>
    </row>
    <row r="2165" spans="1:13" hidden="1" x14ac:dyDescent="0.25">
      <c r="A2165" t="s">
        <v>344</v>
      </c>
      <c r="B2165" t="s">
        <v>482</v>
      </c>
      <c r="C2165" t="s">
        <v>485</v>
      </c>
      <c r="D2165" t="s">
        <v>479</v>
      </c>
      <c r="E2165">
        <v>2</v>
      </c>
      <c r="F2165">
        <v>6.5</v>
      </c>
      <c r="G2165">
        <v>140</v>
      </c>
      <c r="H2165">
        <v>11.5</v>
      </c>
      <c r="I2165">
        <v>15</v>
      </c>
      <c r="J2165">
        <v>15.5</v>
      </c>
      <c r="K2165">
        <v>12</v>
      </c>
      <c r="L2165">
        <v>17</v>
      </c>
      <c r="M2165">
        <f t="shared" si="7"/>
        <v>134.5</v>
      </c>
    </row>
    <row r="2166" spans="1:13" hidden="1" x14ac:dyDescent="0.25">
      <c r="A2166" t="s">
        <v>344</v>
      </c>
      <c r="B2166" t="s">
        <v>482</v>
      </c>
      <c r="C2166" t="s">
        <v>485</v>
      </c>
      <c r="D2166" t="s">
        <v>479</v>
      </c>
      <c r="E2166">
        <v>2</v>
      </c>
      <c r="F2166">
        <v>8</v>
      </c>
      <c r="G2166">
        <v>95</v>
      </c>
      <c r="H2166">
        <v>14.5</v>
      </c>
      <c r="I2166">
        <v>25</v>
      </c>
      <c r="J2166">
        <v>12.5</v>
      </c>
      <c r="K2166">
        <v>12</v>
      </c>
      <c r="L2166">
        <v>25</v>
      </c>
      <c r="M2166">
        <f>G2166-7.4</f>
        <v>87.6</v>
      </c>
    </row>
    <row r="2167" spans="1:13" hidden="1" x14ac:dyDescent="0.25">
      <c r="A2167" t="s">
        <v>344</v>
      </c>
      <c r="B2167" t="s">
        <v>482</v>
      </c>
      <c r="C2167" t="s">
        <v>485</v>
      </c>
      <c r="D2167" t="s">
        <v>479</v>
      </c>
      <c r="E2167">
        <v>2</v>
      </c>
      <c r="F2167">
        <v>8</v>
      </c>
      <c r="G2167">
        <v>125</v>
      </c>
      <c r="H2167">
        <v>14.5</v>
      </c>
      <c r="I2167">
        <v>25</v>
      </c>
      <c r="J2167">
        <v>12.5</v>
      </c>
      <c r="K2167">
        <v>12</v>
      </c>
      <c r="L2167">
        <v>25</v>
      </c>
      <c r="M2167">
        <f t="shared" ref="M2167:M2179" si="8">G2167-7.4</f>
        <v>117.6</v>
      </c>
    </row>
    <row r="2168" spans="1:13" hidden="1" x14ac:dyDescent="0.25">
      <c r="A2168" t="s">
        <v>344</v>
      </c>
      <c r="B2168" t="s">
        <v>482</v>
      </c>
      <c r="C2168" t="s">
        <v>485</v>
      </c>
      <c r="D2168" t="s">
        <v>479</v>
      </c>
      <c r="E2168">
        <v>2</v>
      </c>
      <c r="F2168">
        <v>8</v>
      </c>
      <c r="G2168">
        <v>155</v>
      </c>
      <c r="H2168">
        <v>14.5</v>
      </c>
      <c r="I2168">
        <v>25</v>
      </c>
      <c r="J2168">
        <v>12.5</v>
      </c>
      <c r="K2168">
        <v>12</v>
      </c>
      <c r="L2168">
        <v>25</v>
      </c>
      <c r="M2168">
        <f t="shared" si="8"/>
        <v>147.6</v>
      </c>
    </row>
    <row r="2169" spans="1:13" hidden="1" x14ac:dyDescent="0.25">
      <c r="A2169" t="s">
        <v>344</v>
      </c>
      <c r="B2169" t="s">
        <v>482</v>
      </c>
      <c r="C2169" t="s">
        <v>485</v>
      </c>
      <c r="D2169" t="s">
        <v>479</v>
      </c>
      <c r="E2169">
        <v>2</v>
      </c>
      <c r="F2169">
        <v>8</v>
      </c>
      <c r="G2169">
        <v>195</v>
      </c>
      <c r="H2169">
        <v>14.5</v>
      </c>
      <c r="I2169">
        <v>25</v>
      </c>
      <c r="J2169">
        <v>12.5</v>
      </c>
      <c r="K2169">
        <v>12</v>
      </c>
      <c r="L2169">
        <v>25</v>
      </c>
      <c r="M2169">
        <f t="shared" si="8"/>
        <v>187.6</v>
      </c>
    </row>
    <row r="2170" spans="1:13" hidden="1" x14ac:dyDescent="0.25">
      <c r="A2170" t="s">
        <v>344</v>
      </c>
      <c r="B2170" t="s">
        <v>482</v>
      </c>
      <c r="C2170" t="s">
        <v>485</v>
      </c>
      <c r="D2170" t="s">
        <v>479</v>
      </c>
      <c r="E2170">
        <v>2</v>
      </c>
      <c r="F2170">
        <v>8</v>
      </c>
      <c r="G2170">
        <v>220</v>
      </c>
      <c r="H2170">
        <v>14.5</v>
      </c>
      <c r="I2170">
        <v>25</v>
      </c>
      <c r="J2170">
        <v>12.5</v>
      </c>
      <c r="K2170">
        <v>12</v>
      </c>
      <c r="L2170">
        <v>25</v>
      </c>
      <c r="M2170">
        <f t="shared" si="8"/>
        <v>212.6</v>
      </c>
    </row>
    <row r="2171" spans="1:13" hidden="1" x14ac:dyDescent="0.25">
      <c r="A2171" t="s">
        <v>344</v>
      </c>
      <c r="B2171" t="s">
        <v>482</v>
      </c>
      <c r="C2171" t="s">
        <v>485</v>
      </c>
      <c r="D2171" t="s">
        <v>479</v>
      </c>
      <c r="E2171">
        <v>2</v>
      </c>
      <c r="F2171">
        <v>8</v>
      </c>
      <c r="G2171">
        <v>245</v>
      </c>
      <c r="H2171">
        <v>14.5</v>
      </c>
      <c r="I2171">
        <v>25</v>
      </c>
      <c r="J2171">
        <v>12.5</v>
      </c>
      <c r="K2171">
        <v>12</v>
      </c>
      <c r="L2171">
        <v>25</v>
      </c>
      <c r="M2171">
        <f t="shared" si="8"/>
        <v>237.6</v>
      </c>
    </row>
    <row r="2172" spans="1:13" hidden="1" x14ac:dyDescent="0.25">
      <c r="A2172" t="s">
        <v>344</v>
      </c>
      <c r="B2172" t="s">
        <v>482</v>
      </c>
      <c r="C2172" t="s">
        <v>485</v>
      </c>
      <c r="D2172" t="s">
        <v>479</v>
      </c>
      <c r="E2172">
        <v>2</v>
      </c>
      <c r="F2172">
        <v>8</v>
      </c>
      <c r="G2172">
        <v>270</v>
      </c>
      <c r="H2172">
        <v>14.5</v>
      </c>
      <c r="I2172">
        <v>25</v>
      </c>
      <c r="J2172">
        <v>12.5</v>
      </c>
      <c r="K2172">
        <v>12</v>
      </c>
      <c r="L2172">
        <v>25</v>
      </c>
      <c r="M2172">
        <f t="shared" si="8"/>
        <v>262.60000000000002</v>
      </c>
    </row>
    <row r="2173" spans="1:13" hidden="1" x14ac:dyDescent="0.25">
      <c r="A2173" t="s">
        <v>344</v>
      </c>
      <c r="B2173" t="s">
        <v>482</v>
      </c>
      <c r="C2173" t="s">
        <v>485</v>
      </c>
      <c r="D2173" t="s">
        <v>479</v>
      </c>
      <c r="E2173">
        <v>2</v>
      </c>
      <c r="F2173">
        <v>8</v>
      </c>
      <c r="G2173">
        <v>295</v>
      </c>
      <c r="H2173">
        <v>14.5</v>
      </c>
      <c r="I2173">
        <v>25</v>
      </c>
      <c r="J2173">
        <v>12.5</v>
      </c>
      <c r="K2173">
        <v>12</v>
      </c>
      <c r="L2173">
        <v>25</v>
      </c>
      <c r="M2173">
        <f t="shared" si="8"/>
        <v>287.60000000000002</v>
      </c>
    </row>
    <row r="2174" spans="1:13" hidden="1" x14ac:dyDescent="0.25">
      <c r="A2174" t="s">
        <v>344</v>
      </c>
      <c r="B2174" t="s">
        <v>482</v>
      </c>
      <c r="C2174" t="s">
        <v>485</v>
      </c>
      <c r="D2174" t="s">
        <v>479</v>
      </c>
      <c r="E2174">
        <v>2</v>
      </c>
      <c r="F2174">
        <v>8</v>
      </c>
      <c r="G2174">
        <v>330</v>
      </c>
      <c r="H2174">
        <v>14.5</v>
      </c>
      <c r="I2174">
        <v>25</v>
      </c>
      <c r="J2174">
        <v>12.5</v>
      </c>
      <c r="K2174">
        <v>12</v>
      </c>
      <c r="L2174">
        <v>25</v>
      </c>
      <c r="M2174">
        <f t="shared" si="8"/>
        <v>322.60000000000002</v>
      </c>
    </row>
    <row r="2175" spans="1:13" hidden="1" x14ac:dyDescent="0.25">
      <c r="A2175" t="s">
        <v>344</v>
      </c>
      <c r="B2175" t="s">
        <v>482</v>
      </c>
      <c r="C2175" t="s">
        <v>485</v>
      </c>
      <c r="D2175" t="s">
        <v>479</v>
      </c>
      <c r="E2175">
        <v>2</v>
      </c>
      <c r="F2175">
        <v>8</v>
      </c>
      <c r="G2175">
        <v>375</v>
      </c>
      <c r="H2175">
        <v>14.5</v>
      </c>
      <c r="I2175">
        <v>25</v>
      </c>
      <c r="J2175">
        <v>12.5</v>
      </c>
      <c r="K2175">
        <v>12</v>
      </c>
      <c r="L2175">
        <v>25</v>
      </c>
      <c r="M2175">
        <f t="shared" si="8"/>
        <v>367.6</v>
      </c>
    </row>
    <row r="2176" spans="1:13" hidden="1" x14ac:dyDescent="0.25">
      <c r="A2176" t="s">
        <v>344</v>
      </c>
      <c r="B2176" t="s">
        <v>482</v>
      </c>
      <c r="C2176" t="s">
        <v>485</v>
      </c>
      <c r="D2176" t="s">
        <v>479</v>
      </c>
      <c r="E2176">
        <v>2</v>
      </c>
      <c r="F2176">
        <v>8</v>
      </c>
      <c r="G2176">
        <v>400</v>
      </c>
      <c r="H2176">
        <v>14.5</v>
      </c>
      <c r="I2176">
        <v>25</v>
      </c>
      <c r="J2176">
        <v>12.5</v>
      </c>
      <c r="K2176">
        <v>12</v>
      </c>
      <c r="L2176">
        <v>25</v>
      </c>
      <c r="M2176">
        <f t="shared" si="8"/>
        <v>392.6</v>
      </c>
    </row>
    <row r="2177" spans="1:13" hidden="1" x14ac:dyDescent="0.25">
      <c r="A2177" t="s">
        <v>344</v>
      </c>
      <c r="B2177" t="s">
        <v>482</v>
      </c>
      <c r="C2177" t="s">
        <v>485</v>
      </c>
      <c r="D2177" t="s">
        <v>479</v>
      </c>
      <c r="E2177">
        <v>2</v>
      </c>
      <c r="F2177">
        <v>8</v>
      </c>
      <c r="G2177">
        <v>430</v>
      </c>
      <c r="H2177">
        <v>14.5</v>
      </c>
      <c r="I2177">
        <v>25</v>
      </c>
      <c r="J2177">
        <v>12.5</v>
      </c>
      <c r="K2177">
        <v>12</v>
      </c>
      <c r="L2177">
        <v>25</v>
      </c>
      <c r="M2177">
        <f t="shared" si="8"/>
        <v>422.6</v>
      </c>
    </row>
    <row r="2178" spans="1:13" hidden="1" x14ac:dyDescent="0.25">
      <c r="A2178" t="s">
        <v>344</v>
      </c>
      <c r="B2178" t="s">
        <v>482</v>
      </c>
      <c r="C2178" t="s">
        <v>485</v>
      </c>
      <c r="D2178" t="s">
        <v>479</v>
      </c>
      <c r="E2178">
        <v>2</v>
      </c>
      <c r="F2178">
        <v>8</v>
      </c>
      <c r="G2178">
        <v>480</v>
      </c>
      <c r="H2178">
        <v>14.5</v>
      </c>
      <c r="I2178">
        <v>25</v>
      </c>
      <c r="J2178">
        <v>12.5</v>
      </c>
      <c r="K2178">
        <v>12</v>
      </c>
      <c r="L2178">
        <v>25</v>
      </c>
      <c r="M2178">
        <f t="shared" si="8"/>
        <v>472.6</v>
      </c>
    </row>
    <row r="2179" spans="1:13" hidden="1" x14ac:dyDescent="0.25">
      <c r="A2179" t="s">
        <v>344</v>
      </c>
      <c r="B2179" t="s">
        <v>482</v>
      </c>
      <c r="C2179" t="s">
        <v>485</v>
      </c>
      <c r="D2179" t="s">
        <v>479</v>
      </c>
      <c r="E2179">
        <v>2</v>
      </c>
      <c r="F2179">
        <v>8</v>
      </c>
      <c r="G2179">
        <v>545</v>
      </c>
      <c r="H2179">
        <v>14.5</v>
      </c>
      <c r="I2179">
        <v>25</v>
      </c>
      <c r="J2179">
        <v>12.5</v>
      </c>
      <c r="K2179">
        <v>12</v>
      </c>
      <c r="L2179">
        <v>25</v>
      </c>
      <c r="M2179">
        <f t="shared" si="8"/>
        <v>537.6</v>
      </c>
    </row>
    <row r="2180" spans="1:13" hidden="1" x14ac:dyDescent="0.25">
      <c r="A2180" t="s">
        <v>344</v>
      </c>
      <c r="B2180" t="s">
        <v>482</v>
      </c>
      <c r="C2180" t="s">
        <v>485</v>
      </c>
      <c r="D2180" t="s">
        <v>479</v>
      </c>
      <c r="E2180">
        <v>2</v>
      </c>
      <c r="F2180">
        <v>10</v>
      </c>
      <c r="G2180">
        <v>125</v>
      </c>
      <c r="H2180">
        <v>17.8</v>
      </c>
      <c r="I2180">
        <v>40</v>
      </c>
      <c r="J2180">
        <v>11.5</v>
      </c>
      <c r="K2180">
        <v>12</v>
      </c>
      <c r="L2180">
        <v>33</v>
      </c>
      <c r="M2180">
        <v>113</v>
      </c>
    </row>
    <row r="2181" spans="1:13" hidden="1" x14ac:dyDescent="0.25">
      <c r="A2181" t="s">
        <v>344</v>
      </c>
      <c r="B2181" t="s">
        <v>482</v>
      </c>
      <c r="C2181" t="s">
        <v>485</v>
      </c>
      <c r="D2181" t="s">
        <v>479</v>
      </c>
      <c r="E2181">
        <v>2</v>
      </c>
      <c r="F2181">
        <v>10</v>
      </c>
      <c r="G2181">
        <v>155</v>
      </c>
      <c r="H2181">
        <v>17.8</v>
      </c>
      <c r="I2181">
        <v>40</v>
      </c>
      <c r="J2181">
        <v>11.5</v>
      </c>
      <c r="K2181">
        <v>12</v>
      </c>
      <c r="L2181">
        <v>33</v>
      </c>
      <c r="M2181">
        <v>143</v>
      </c>
    </row>
    <row r="2182" spans="1:13" hidden="1" x14ac:dyDescent="0.25">
      <c r="A2182" t="s">
        <v>344</v>
      </c>
      <c r="B2182" t="s">
        <v>482</v>
      </c>
      <c r="C2182" t="s">
        <v>485</v>
      </c>
      <c r="D2182" t="s">
        <v>479</v>
      </c>
      <c r="E2182">
        <v>2</v>
      </c>
      <c r="F2182">
        <v>10</v>
      </c>
      <c r="G2182">
        <v>195</v>
      </c>
      <c r="H2182">
        <v>17.8</v>
      </c>
      <c r="I2182">
        <v>40</v>
      </c>
      <c r="J2182">
        <v>11.5</v>
      </c>
      <c r="K2182">
        <v>12</v>
      </c>
      <c r="L2182">
        <v>33</v>
      </c>
      <c r="M2182">
        <v>183</v>
      </c>
    </row>
    <row r="2183" spans="1:13" hidden="1" x14ac:dyDescent="0.25">
      <c r="A2183" t="s">
        <v>344</v>
      </c>
      <c r="B2183" t="s">
        <v>482</v>
      </c>
      <c r="C2183" t="s">
        <v>485</v>
      </c>
      <c r="D2183" t="s">
        <v>479</v>
      </c>
      <c r="E2183">
        <v>2</v>
      </c>
      <c r="F2183">
        <v>10</v>
      </c>
      <c r="G2183">
        <v>220</v>
      </c>
      <c r="H2183">
        <v>17.8</v>
      </c>
      <c r="I2183">
        <v>40</v>
      </c>
      <c r="J2183">
        <v>11.5</v>
      </c>
      <c r="K2183">
        <v>12</v>
      </c>
      <c r="L2183">
        <v>33</v>
      </c>
      <c r="M2183">
        <v>208</v>
      </c>
    </row>
    <row r="2184" spans="1:13" hidden="1" x14ac:dyDescent="0.25">
      <c r="A2184" t="s">
        <v>344</v>
      </c>
      <c r="B2184" t="s">
        <v>482</v>
      </c>
      <c r="C2184" t="s">
        <v>485</v>
      </c>
      <c r="D2184" t="s">
        <v>479</v>
      </c>
      <c r="E2184">
        <v>2</v>
      </c>
      <c r="F2184">
        <v>10</v>
      </c>
      <c r="G2184">
        <v>245</v>
      </c>
      <c r="H2184">
        <v>17.8</v>
      </c>
      <c r="I2184">
        <v>40</v>
      </c>
      <c r="J2184">
        <v>11.5</v>
      </c>
      <c r="K2184">
        <v>12</v>
      </c>
      <c r="L2184">
        <v>33</v>
      </c>
      <c r="M2184">
        <v>233</v>
      </c>
    </row>
    <row r="2185" spans="1:13" hidden="1" x14ac:dyDescent="0.25">
      <c r="A2185" t="s">
        <v>344</v>
      </c>
      <c r="B2185" t="s">
        <v>482</v>
      </c>
      <c r="C2185" t="s">
        <v>485</v>
      </c>
      <c r="D2185" t="s">
        <v>479</v>
      </c>
      <c r="E2185">
        <v>2</v>
      </c>
      <c r="F2185">
        <v>10</v>
      </c>
      <c r="G2185">
        <v>270</v>
      </c>
      <c r="H2185">
        <v>17.8</v>
      </c>
      <c r="I2185">
        <v>40</v>
      </c>
      <c r="J2185">
        <v>11.5</v>
      </c>
      <c r="K2185">
        <v>12</v>
      </c>
      <c r="L2185">
        <v>33</v>
      </c>
      <c r="M2185">
        <v>258</v>
      </c>
    </row>
    <row r="2186" spans="1:13" hidden="1" x14ac:dyDescent="0.25">
      <c r="A2186" t="s">
        <v>344</v>
      </c>
      <c r="B2186" t="s">
        <v>482</v>
      </c>
      <c r="C2186" t="s">
        <v>485</v>
      </c>
      <c r="D2186" t="s">
        <v>479</v>
      </c>
      <c r="E2186">
        <v>2</v>
      </c>
      <c r="F2186">
        <v>10</v>
      </c>
      <c r="G2186">
        <v>300</v>
      </c>
      <c r="H2186">
        <v>17.8</v>
      </c>
      <c r="I2186">
        <v>40</v>
      </c>
      <c r="J2186">
        <v>11.5</v>
      </c>
      <c r="K2186">
        <v>12</v>
      </c>
      <c r="L2186">
        <v>33</v>
      </c>
      <c r="M2186">
        <v>277</v>
      </c>
    </row>
    <row r="2187" spans="1:13" hidden="1" x14ac:dyDescent="0.25">
      <c r="A2187" t="s">
        <v>344</v>
      </c>
      <c r="B2187" t="s">
        <v>482</v>
      </c>
      <c r="C2187" t="s">
        <v>485</v>
      </c>
      <c r="D2187" t="s">
        <v>479</v>
      </c>
      <c r="E2187">
        <v>2</v>
      </c>
      <c r="F2187">
        <v>10</v>
      </c>
      <c r="G2187">
        <v>330</v>
      </c>
      <c r="H2187">
        <v>17.8</v>
      </c>
      <c r="I2187">
        <v>40</v>
      </c>
      <c r="J2187">
        <v>11.5</v>
      </c>
      <c r="K2187">
        <v>12</v>
      </c>
      <c r="L2187">
        <v>33</v>
      </c>
      <c r="M2187">
        <v>307</v>
      </c>
    </row>
    <row r="2188" spans="1:13" hidden="1" x14ac:dyDescent="0.25">
      <c r="A2188" t="s">
        <v>344</v>
      </c>
      <c r="B2188" t="s">
        <v>482</v>
      </c>
      <c r="C2188" t="s">
        <v>485</v>
      </c>
      <c r="D2188" t="s">
        <v>479</v>
      </c>
      <c r="E2188">
        <v>2</v>
      </c>
      <c r="F2188">
        <v>10</v>
      </c>
      <c r="G2188">
        <v>360</v>
      </c>
      <c r="H2188">
        <v>17.8</v>
      </c>
      <c r="I2188">
        <v>40</v>
      </c>
      <c r="J2188">
        <v>11.5</v>
      </c>
      <c r="K2188">
        <v>12</v>
      </c>
      <c r="L2188">
        <v>33</v>
      </c>
      <c r="M2188">
        <v>337</v>
      </c>
    </row>
    <row r="2189" spans="1:13" hidden="1" x14ac:dyDescent="0.25">
      <c r="A2189" t="s">
        <v>344</v>
      </c>
      <c r="B2189" t="s">
        <v>482</v>
      </c>
      <c r="C2189" t="s">
        <v>485</v>
      </c>
      <c r="D2189" t="s">
        <v>479</v>
      </c>
      <c r="E2189">
        <v>2</v>
      </c>
      <c r="F2189">
        <v>10</v>
      </c>
      <c r="G2189">
        <v>400</v>
      </c>
      <c r="H2189">
        <v>17.8</v>
      </c>
      <c r="I2189">
        <v>40</v>
      </c>
      <c r="J2189">
        <v>11.5</v>
      </c>
      <c r="K2189">
        <v>12</v>
      </c>
      <c r="L2189">
        <v>33</v>
      </c>
      <c r="M2189">
        <v>377</v>
      </c>
    </row>
    <row r="2190" spans="1:13" hidden="1" x14ac:dyDescent="0.25">
      <c r="A2190" t="s">
        <v>344</v>
      </c>
      <c r="B2190" t="s">
        <v>482</v>
      </c>
      <c r="C2190" t="s">
        <v>485</v>
      </c>
      <c r="D2190" t="s">
        <v>479</v>
      </c>
      <c r="E2190">
        <v>2</v>
      </c>
      <c r="F2190">
        <v>10</v>
      </c>
      <c r="G2190">
        <v>450</v>
      </c>
      <c r="H2190">
        <v>17.8</v>
      </c>
      <c r="I2190">
        <v>40</v>
      </c>
      <c r="J2190">
        <v>11.5</v>
      </c>
      <c r="K2190">
        <v>12</v>
      </c>
      <c r="L2190">
        <v>33</v>
      </c>
      <c r="M2190">
        <v>427</v>
      </c>
    </row>
    <row r="2191" spans="1:13" hidden="1" x14ac:dyDescent="0.25">
      <c r="A2191" t="s">
        <v>344</v>
      </c>
      <c r="B2191" t="s">
        <v>482</v>
      </c>
      <c r="C2191" t="s">
        <v>485</v>
      </c>
      <c r="D2191" t="s">
        <v>479</v>
      </c>
      <c r="E2191">
        <v>2</v>
      </c>
      <c r="F2191">
        <v>10</v>
      </c>
      <c r="G2191">
        <v>500</v>
      </c>
      <c r="H2191">
        <v>17.8</v>
      </c>
      <c r="I2191">
        <v>40</v>
      </c>
      <c r="J2191">
        <v>11.5</v>
      </c>
      <c r="K2191">
        <v>12</v>
      </c>
      <c r="L2191">
        <v>33</v>
      </c>
      <c r="M2191">
        <v>477</v>
      </c>
    </row>
    <row r="2192" spans="1:13" hidden="1" x14ac:dyDescent="0.25">
      <c r="A2192" t="s">
        <v>344</v>
      </c>
      <c r="B2192" t="s">
        <v>482</v>
      </c>
      <c r="C2192" t="s">
        <v>485</v>
      </c>
      <c r="D2192" t="s">
        <v>479</v>
      </c>
      <c r="E2192">
        <v>2</v>
      </c>
      <c r="F2192">
        <v>10</v>
      </c>
      <c r="G2192">
        <v>550</v>
      </c>
      <c r="H2192">
        <v>17.8</v>
      </c>
      <c r="I2192">
        <v>40</v>
      </c>
      <c r="J2192">
        <v>11.5</v>
      </c>
      <c r="K2192">
        <v>12</v>
      </c>
      <c r="L2192">
        <v>33</v>
      </c>
      <c r="M2192">
        <v>527</v>
      </c>
    </row>
    <row r="2193" spans="1:13" hidden="1" x14ac:dyDescent="0.25">
      <c r="A2193" t="s">
        <v>344</v>
      </c>
      <c r="B2193" t="s">
        <v>482</v>
      </c>
      <c r="C2193" t="s">
        <v>485</v>
      </c>
      <c r="D2193" t="s">
        <v>479</v>
      </c>
      <c r="E2193">
        <v>2</v>
      </c>
      <c r="F2193">
        <v>10</v>
      </c>
      <c r="G2193">
        <v>600</v>
      </c>
      <c r="H2193">
        <v>17.8</v>
      </c>
      <c r="I2193">
        <v>40</v>
      </c>
      <c r="J2193">
        <v>11.5</v>
      </c>
      <c r="K2193">
        <v>12</v>
      </c>
      <c r="L2193">
        <v>33</v>
      </c>
      <c r="M2193">
        <v>577</v>
      </c>
    </row>
    <row r="2194" spans="1:13" hidden="1" x14ac:dyDescent="0.25">
      <c r="A2194" t="s">
        <v>344</v>
      </c>
      <c r="B2194" t="s">
        <v>482</v>
      </c>
      <c r="C2194" t="s">
        <v>485</v>
      </c>
      <c r="D2194" t="s">
        <v>479</v>
      </c>
      <c r="E2194">
        <v>2</v>
      </c>
      <c r="F2194">
        <v>10</v>
      </c>
      <c r="G2194">
        <v>650</v>
      </c>
      <c r="H2194">
        <v>17.8</v>
      </c>
      <c r="I2194">
        <v>40</v>
      </c>
      <c r="J2194">
        <v>11.5</v>
      </c>
      <c r="K2194">
        <v>12</v>
      </c>
      <c r="L2194">
        <v>33</v>
      </c>
      <c r="M2194">
        <v>627</v>
      </c>
    </row>
    <row r="2195" spans="1:13" hidden="1" x14ac:dyDescent="0.25">
      <c r="A2195" t="s">
        <v>344</v>
      </c>
      <c r="B2195" t="s">
        <v>482</v>
      </c>
      <c r="C2195" t="s">
        <v>485</v>
      </c>
      <c r="D2195" t="s">
        <v>479</v>
      </c>
      <c r="E2195">
        <v>2</v>
      </c>
      <c r="F2195">
        <v>10</v>
      </c>
      <c r="G2195">
        <v>700</v>
      </c>
      <c r="H2195">
        <v>17.8</v>
      </c>
      <c r="I2195">
        <v>40</v>
      </c>
      <c r="J2195">
        <v>11.5</v>
      </c>
      <c r="K2195">
        <v>12</v>
      </c>
      <c r="L2195">
        <v>33</v>
      </c>
      <c r="M2195">
        <v>677</v>
      </c>
    </row>
    <row r="2196" spans="1:13" hidden="1" x14ac:dyDescent="0.25">
      <c r="A2196" t="s">
        <v>344</v>
      </c>
      <c r="B2196" t="s">
        <v>482</v>
      </c>
      <c r="C2196" t="s">
        <v>485</v>
      </c>
      <c r="D2196" t="s">
        <v>479</v>
      </c>
      <c r="E2196">
        <v>2</v>
      </c>
      <c r="F2196">
        <v>10</v>
      </c>
      <c r="G2196">
        <v>750</v>
      </c>
      <c r="H2196">
        <v>17.8</v>
      </c>
      <c r="I2196">
        <v>40</v>
      </c>
      <c r="J2196">
        <v>11.5</v>
      </c>
      <c r="K2196">
        <v>12</v>
      </c>
      <c r="L2196">
        <v>33</v>
      </c>
      <c r="M2196">
        <v>727</v>
      </c>
    </row>
    <row r="2197" spans="1:13" hidden="1" x14ac:dyDescent="0.25">
      <c r="A2197" t="s">
        <v>344</v>
      </c>
      <c r="B2197" t="s">
        <v>482</v>
      </c>
      <c r="C2197" t="s">
        <v>485</v>
      </c>
      <c r="D2197" t="s">
        <v>479</v>
      </c>
      <c r="E2197">
        <v>2</v>
      </c>
      <c r="F2197">
        <v>10</v>
      </c>
      <c r="G2197">
        <v>800</v>
      </c>
      <c r="H2197">
        <v>17.8</v>
      </c>
      <c r="I2197">
        <v>40</v>
      </c>
      <c r="J2197">
        <v>11.5</v>
      </c>
      <c r="K2197">
        <v>12</v>
      </c>
      <c r="L2197">
        <v>33</v>
      </c>
      <c r="M2197">
        <v>777</v>
      </c>
    </row>
    <row r="2198" spans="1:13" hidden="1" x14ac:dyDescent="0.25">
      <c r="A2198" t="s">
        <v>344</v>
      </c>
      <c r="B2198" t="s">
        <v>482</v>
      </c>
      <c r="C2198" t="s">
        <v>485</v>
      </c>
      <c r="D2198" t="s">
        <v>479</v>
      </c>
      <c r="E2198">
        <v>2</v>
      </c>
      <c r="F2198">
        <v>10</v>
      </c>
      <c r="G2198">
        <v>900</v>
      </c>
      <c r="H2198">
        <v>17.8</v>
      </c>
      <c r="I2198">
        <v>40</v>
      </c>
      <c r="J2198">
        <v>11.5</v>
      </c>
      <c r="K2198">
        <v>12</v>
      </c>
      <c r="L2198">
        <v>33</v>
      </c>
      <c r="M2198">
        <v>877</v>
      </c>
    </row>
    <row r="2199" spans="1:13" hidden="1" x14ac:dyDescent="0.25">
      <c r="A2199" t="s">
        <v>344</v>
      </c>
      <c r="B2199" t="s">
        <v>482</v>
      </c>
      <c r="C2199" t="s">
        <v>485</v>
      </c>
      <c r="D2199" t="s">
        <v>479</v>
      </c>
      <c r="E2199">
        <v>2</v>
      </c>
      <c r="F2199">
        <v>10</v>
      </c>
      <c r="G2199">
        <v>1000</v>
      </c>
      <c r="H2199">
        <v>17.8</v>
      </c>
      <c r="I2199">
        <v>40</v>
      </c>
      <c r="J2199">
        <v>11.5</v>
      </c>
      <c r="K2199">
        <v>12</v>
      </c>
      <c r="L2199">
        <v>33</v>
      </c>
      <c r="M2199">
        <v>977</v>
      </c>
    </row>
    <row r="2200" spans="1:13" hidden="1" x14ac:dyDescent="0.25">
      <c r="A2200" t="s">
        <v>344</v>
      </c>
      <c r="B2200" t="s">
        <v>482</v>
      </c>
      <c r="C2200" t="s">
        <v>486</v>
      </c>
      <c r="D2200" t="s">
        <v>479</v>
      </c>
      <c r="E2200">
        <v>2</v>
      </c>
      <c r="F2200">
        <v>11.3</v>
      </c>
      <c r="G2200">
        <v>175</v>
      </c>
      <c r="H2200">
        <v>18</v>
      </c>
      <c r="I2200">
        <v>70</v>
      </c>
      <c r="J2200">
        <v>10.8</v>
      </c>
      <c r="K2200">
        <v>12</v>
      </c>
      <c r="L2200">
        <v>50</v>
      </c>
      <c r="M2200">
        <f>G2200-7</f>
        <v>168</v>
      </c>
    </row>
    <row r="2201" spans="1:13" hidden="1" x14ac:dyDescent="0.25">
      <c r="A2201" t="s">
        <v>344</v>
      </c>
      <c r="B2201" t="s">
        <v>482</v>
      </c>
      <c r="C2201" t="s">
        <v>486</v>
      </c>
      <c r="D2201" t="s">
        <v>479</v>
      </c>
      <c r="E2201">
        <v>2</v>
      </c>
      <c r="F2201">
        <v>11.3</v>
      </c>
      <c r="G2201">
        <v>195</v>
      </c>
      <c r="H2201">
        <v>18</v>
      </c>
      <c r="I2201">
        <v>70</v>
      </c>
      <c r="J2201">
        <v>10.8</v>
      </c>
      <c r="K2201">
        <v>12</v>
      </c>
      <c r="L2201">
        <v>50</v>
      </c>
      <c r="M2201">
        <f t="shared" ref="M2201:M2204" si="9">G2201-7</f>
        <v>188</v>
      </c>
    </row>
    <row r="2202" spans="1:13" hidden="1" x14ac:dyDescent="0.25">
      <c r="A2202" t="s">
        <v>344</v>
      </c>
      <c r="B2202" t="s">
        <v>482</v>
      </c>
      <c r="C2202" t="s">
        <v>486</v>
      </c>
      <c r="D2202" t="s">
        <v>479</v>
      </c>
      <c r="E2202">
        <v>2</v>
      </c>
      <c r="F2202">
        <v>11.3</v>
      </c>
      <c r="G2202">
        <v>225</v>
      </c>
      <c r="H2202">
        <v>18</v>
      </c>
      <c r="I2202">
        <v>70</v>
      </c>
      <c r="J2202">
        <v>10.8</v>
      </c>
      <c r="K2202">
        <v>12</v>
      </c>
      <c r="L2202">
        <v>50</v>
      </c>
      <c r="M2202">
        <f t="shared" si="9"/>
        <v>218</v>
      </c>
    </row>
    <row r="2203" spans="1:13" hidden="1" x14ac:dyDescent="0.25">
      <c r="A2203" t="s">
        <v>344</v>
      </c>
      <c r="B2203" t="s">
        <v>482</v>
      </c>
      <c r="C2203" t="s">
        <v>486</v>
      </c>
      <c r="D2203" t="s">
        <v>479</v>
      </c>
      <c r="E2203">
        <v>2</v>
      </c>
      <c r="F2203">
        <v>11.3</v>
      </c>
      <c r="G2203">
        <v>250</v>
      </c>
      <c r="H2203">
        <v>18</v>
      </c>
      <c r="I2203">
        <v>70</v>
      </c>
      <c r="J2203">
        <v>10.8</v>
      </c>
      <c r="K2203">
        <v>12</v>
      </c>
      <c r="L2203">
        <v>50</v>
      </c>
      <c r="M2203">
        <f t="shared" si="9"/>
        <v>243</v>
      </c>
    </row>
    <row r="2204" spans="1:13" hidden="1" x14ac:dyDescent="0.25">
      <c r="A2204" t="s">
        <v>344</v>
      </c>
      <c r="B2204" t="s">
        <v>482</v>
      </c>
      <c r="C2204" t="s">
        <v>486</v>
      </c>
      <c r="D2204" t="s">
        <v>479</v>
      </c>
      <c r="E2204">
        <v>2</v>
      </c>
      <c r="F2204">
        <v>11.3</v>
      </c>
      <c r="G2204">
        <v>275</v>
      </c>
      <c r="H2204">
        <v>18</v>
      </c>
      <c r="I2204">
        <v>70</v>
      </c>
      <c r="J2204">
        <v>10.8</v>
      </c>
      <c r="K2204">
        <v>12</v>
      </c>
      <c r="L2204">
        <v>50</v>
      </c>
      <c r="M2204">
        <f t="shared" si="9"/>
        <v>268</v>
      </c>
    </row>
    <row r="2205" spans="1:13" hidden="1" x14ac:dyDescent="0.25">
      <c r="A2205" t="s">
        <v>344</v>
      </c>
      <c r="B2205" t="s">
        <v>482</v>
      </c>
      <c r="C2205" t="s">
        <v>486</v>
      </c>
      <c r="D2205" t="s">
        <v>479</v>
      </c>
      <c r="E2205">
        <v>2</v>
      </c>
      <c r="F2205">
        <v>11.3</v>
      </c>
      <c r="G2205">
        <v>300</v>
      </c>
      <c r="H2205">
        <v>18</v>
      </c>
      <c r="I2205">
        <v>70</v>
      </c>
      <c r="J2205">
        <v>10.8</v>
      </c>
      <c r="K2205">
        <v>12</v>
      </c>
      <c r="L2205">
        <v>50</v>
      </c>
      <c r="M2205">
        <f>G2205-7</f>
        <v>293</v>
      </c>
    </row>
    <row r="2206" spans="1:13" hidden="1" x14ac:dyDescent="0.25">
      <c r="A2206" t="s">
        <v>344</v>
      </c>
      <c r="B2206" t="s">
        <v>482</v>
      </c>
      <c r="C2206" t="s">
        <v>486</v>
      </c>
      <c r="D2206" t="s">
        <v>479</v>
      </c>
      <c r="E2206">
        <v>2</v>
      </c>
      <c r="F2206">
        <v>11.3</v>
      </c>
      <c r="G2206">
        <v>340</v>
      </c>
      <c r="H2206">
        <v>18</v>
      </c>
      <c r="I2206">
        <v>70</v>
      </c>
      <c r="J2206">
        <v>10.8</v>
      </c>
      <c r="K2206">
        <v>12</v>
      </c>
      <c r="L2206">
        <v>50</v>
      </c>
      <c r="M2206">
        <f t="shared" ref="M2206:M2219" si="10">G2206-7</f>
        <v>333</v>
      </c>
    </row>
    <row r="2207" spans="1:13" hidden="1" x14ac:dyDescent="0.25">
      <c r="A2207" t="s">
        <v>344</v>
      </c>
      <c r="B2207" t="s">
        <v>482</v>
      </c>
      <c r="C2207" t="s">
        <v>486</v>
      </c>
      <c r="D2207" t="s">
        <v>479</v>
      </c>
      <c r="E2207">
        <v>2</v>
      </c>
      <c r="F2207">
        <v>11.3</v>
      </c>
      <c r="G2207">
        <v>380</v>
      </c>
      <c r="H2207">
        <v>18</v>
      </c>
      <c r="I2207">
        <v>70</v>
      </c>
      <c r="J2207">
        <v>10.8</v>
      </c>
      <c r="K2207">
        <v>12</v>
      </c>
      <c r="L2207">
        <v>50</v>
      </c>
      <c r="M2207">
        <f t="shared" si="10"/>
        <v>373</v>
      </c>
    </row>
    <row r="2208" spans="1:13" hidden="1" x14ac:dyDescent="0.25">
      <c r="A2208" t="s">
        <v>344</v>
      </c>
      <c r="B2208" t="s">
        <v>482</v>
      </c>
      <c r="C2208" t="s">
        <v>486</v>
      </c>
      <c r="D2208" t="s">
        <v>479</v>
      </c>
      <c r="E2208">
        <v>2</v>
      </c>
      <c r="F2208">
        <v>11.3</v>
      </c>
      <c r="G2208">
        <v>420</v>
      </c>
      <c r="H2208">
        <v>18</v>
      </c>
      <c r="I2208">
        <v>70</v>
      </c>
      <c r="J2208">
        <v>10.8</v>
      </c>
      <c r="K2208">
        <v>12</v>
      </c>
      <c r="L2208">
        <v>50</v>
      </c>
      <c r="M2208">
        <f t="shared" si="10"/>
        <v>413</v>
      </c>
    </row>
    <row r="2209" spans="1:13" hidden="1" x14ac:dyDescent="0.25">
      <c r="A2209" t="s">
        <v>344</v>
      </c>
      <c r="B2209" t="s">
        <v>482</v>
      </c>
      <c r="C2209" t="s">
        <v>486</v>
      </c>
      <c r="D2209" t="s">
        <v>479</v>
      </c>
      <c r="E2209">
        <v>2</v>
      </c>
      <c r="F2209">
        <v>11.3</v>
      </c>
      <c r="G2209">
        <v>460</v>
      </c>
      <c r="H2209">
        <v>18</v>
      </c>
      <c r="I2209">
        <v>70</v>
      </c>
      <c r="J2209">
        <v>10.8</v>
      </c>
      <c r="K2209">
        <v>12</v>
      </c>
      <c r="L2209">
        <v>50</v>
      </c>
      <c r="M2209">
        <f t="shared" si="10"/>
        <v>453</v>
      </c>
    </row>
    <row r="2210" spans="1:13" hidden="1" x14ac:dyDescent="0.25">
      <c r="A2210" t="s">
        <v>344</v>
      </c>
      <c r="B2210" t="s">
        <v>482</v>
      </c>
      <c r="C2210" t="s">
        <v>486</v>
      </c>
      <c r="D2210" t="s">
        <v>479</v>
      </c>
      <c r="E2210">
        <v>2</v>
      </c>
      <c r="F2210">
        <v>11.3</v>
      </c>
      <c r="G2210">
        <v>500</v>
      </c>
      <c r="H2210">
        <v>18</v>
      </c>
      <c r="I2210">
        <v>70</v>
      </c>
      <c r="J2210">
        <v>10.8</v>
      </c>
      <c r="K2210">
        <v>12</v>
      </c>
      <c r="L2210">
        <v>50</v>
      </c>
      <c r="M2210">
        <f t="shared" si="10"/>
        <v>493</v>
      </c>
    </row>
    <row r="2211" spans="1:13" hidden="1" x14ac:dyDescent="0.25">
      <c r="A2211" t="s">
        <v>344</v>
      </c>
      <c r="B2211" t="s">
        <v>482</v>
      </c>
      <c r="C2211" t="s">
        <v>486</v>
      </c>
      <c r="D2211" t="s">
        <v>479</v>
      </c>
      <c r="E2211">
        <v>2</v>
      </c>
      <c r="F2211">
        <v>11.3</v>
      </c>
      <c r="G2211">
        <v>540</v>
      </c>
      <c r="H2211">
        <v>18</v>
      </c>
      <c r="I2211">
        <v>70</v>
      </c>
      <c r="J2211">
        <v>10.8</v>
      </c>
      <c r="K2211">
        <v>12</v>
      </c>
      <c r="L2211">
        <v>50</v>
      </c>
      <c r="M2211">
        <f t="shared" si="10"/>
        <v>533</v>
      </c>
    </row>
    <row r="2212" spans="1:13" hidden="1" x14ac:dyDescent="0.25">
      <c r="A2212" t="s">
        <v>344</v>
      </c>
      <c r="B2212" t="s">
        <v>482</v>
      </c>
      <c r="C2212" t="s">
        <v>486</v>
      </c>
      <c r="D2212" t="s">
        <v>479</v>
      </c>
      <c r="E2212">
        <v>2</v>
      </c>
      <c r="F2212">
        <v>11.3</v>
      </c>
      <c r="G2212">
        <v>580</v>
      </c>
      <c r="H2212">
        <v>18</v>
      </c>
      <c r="I2212">
        <v>70</v>
      </c>
      <c r="J2212">
        <v>10.8</v>
      </c>
      <c r="K2212">
        <v>12</v>
      </c>
      <c r="L2212">
        <v>50</v>
      </c>
      <c r="M2212">
        <f t="shared" si="10"/>
        <v>573</v>
      </c>
    </row>
    <row r="2213" spans="1:13" hidden="1" x14ac:dyDescent="0.25">
      <c r="A2213" t="s">
        <v>344</v>
      </c>
      <c r="B2213" t="s">
        <v>482</v>
      </c>
      <c r="C2213" t="s">
        <v>486</v>
      </c>
      <c r="D2213" t="s">
        <v>479</v>
      </c>
      <c r="E2213">
        <v>2</v>
      </c>
      <c r="F2213">
        <v>11.3</v>
      </c>
      <c r="G2213">
        <v>620</v>
      </c>
      <c r="H2213">
        <v>18</v>
      </c>
      <c r="I2213">
        <v>70</v>
      </c>
      <c r="J2213">
        <v>10.8</v>
      </c>
      <c r="K2213">
        <v>12</v>
      </c>
      <c r="L2213">
        <v>50</v>
      </c>
      <c r="M2213">
        <f t="shared" si="10"/>
        <v>613</v>
      </c>
    </row>
    <row r="2214" spans="1:13" hidden="1" x14ac:dyDescent="0.25">
      <c r="A2214" t="s">
        <v>344</v>
      </c>
      <c r="B2214" t="s">
        <v>482</v>
      </c>
      <c r="C2214" t="s">
        <v>486</v>
      </c>
      <c r="D2214" t="s">
        <v>479</v>
      </c>
      <c r="E2214">
        <v>2</v>
      </c>
      <c r="F2214">
        <v>11.3</v>
      </c>
      <c r="G2214">
        <v>660</v>
      </c>
      <c r="H2214">
        <v>18</v>
      </c>
      <c r="I2214">
        <v>70</v>
      </c>
      <c r="J2214">
        <v>10.8</v>
      </c>
      <c r="K2214">
        <v>12</v>
      </c>
      <c r="L2214">
        <v>50</v>
      </c>
      <c r="M2214">
        <f t="shared" si="10"/>
        <v>653</v>
      </c>
    </row>
    <row r="2215" spans="1:13" hidden="1" x14ac:dyDescent="0.25">
      <c r="A2215" t="s">
        <v>344</v>
      </c>
      <c r="B2215" t="s">
        <v>482</v>
      </c>
      <c r="C2215" t="s">
        <v>486</v>
      </c>
      <c r="D2215" t="s">
        <v>479</v>
      </c>
      <c r="E2215">
        <v>2</v>
      </c>
      <c r="F2215">
        <v>11.3</v>
      </c>
      <c r="G2215">
        <v>700</v>
      </c>
      <c r="H2215">
        <v>18</v>
      </c>
      <c r="I2215">
        <v>70</v>
      </c>
      <c r="J2215">
        <v>10.8</v>
      </c>
      <c r="K2215">
        <v>12</v>
      </c>
      <c r="L2215">
        <v>50</v>
      </c>
      <c r="M2215">
        <f t="shared" si="10"/>
        <v>693</v>
      </c>
    </row>
    <row r="2216" spans="1:13" hidden="1" x14ac:dyDescent="0.25">
      <c r="A2216" t="s">
        <v>344</v>
      </c>
      <c r="B2216" t="s">
        <v>482</v>
      </c>
      <c r="C2216" t="s">
        <v>486</v>
      </c>
      <c r="D2216" t="s">
        <v>479</v>
      </c>
      <c r="E2216">
        <v>2</v>
      </c>
      <c r="F2216">
        <v>11.3</v>
      </c>
      <c r="G2216">
        <v>750</v>
      </c>
      <c r="H2216">
        <v>18</v>
      </c>
      <c r="I2216">
        <v>70</v>
      </c>
      <c r="J2216">
        <v>10.8</v>
      </c>
      <c r="K2216">
        <v>12</v>
      </c>
      <c r="L2216">
        <v>50</v>
      </c>
      <c r="M2216">
        <f t="shared" si="10"/>
        <v>743</v>
      </c>
    </row>
    <row r="2217" spans="1:13" hidden="1" x14ac:dyDescent="0.25">
      <c r="A2217" t="s">
        <v>344</v>
      </c>
      <c r="B2217" t="s">
        <v>482</v>
      </c>
      <c r="C2217" t="s">
        <v>486</v>
      </c>
      <c r="D2217" t="s">
        <v>479</v>
      </c>
      <c r="E2217">
        <v>2</v>
      </c>
      <c r="F2217">
        <v>11.3</v>
      </c>
      <c r="G2217">
        <v>800</v>
      </c>
      <c r="H2217">
        <v>18</v>
      </c>
      <c r="I2217">
        <v>70</v>
      </c>
      <c r="J2217">
        <v>10.8</v>
      </c>
      <c r="K2217">
        <v>12</v>
      </c>
      <c r="L2217">
        <v>50</v>
      </c>
      <c r="M2217">
        <f t="shared" si="10"/>
        <v>793</v>
      </c>
    </row>
    <row r="2218" spans="1:13" hidden="1" x14ac:dyDescent="0.25">
      <c r="A2218" t="s">
        <v>344</v>
      </c>
      <c r="B2218" t="s">
        <v>482</v>
      </c>
      <c r="C2218" t="s">
        <v>486</v>
      </c>
      <c r="D2218" t="s">
        <v>479</v>
      </c>
      <c r="E2218">
        <v>2</v>
      </c>
      <c r="F2218">
        <v>11.3</v>
      </c>
      <c r="G2218">
        <v>900</v>
      </c>
      <c r="H2218">
        <v>18</v>
      </c>
      <c r="I2218">
        <v>70</v>
      </c>
      <c r="J2218">
        <v>10.8</v>
      </c>
      <c r="K2218">
        <v>12</v>
      </c>
      <c r="L2218">
        <v>50</v>
      </c>
      <c r="M2218">
        <f t="shared" si="10"/>
        <v>893</v>
      </c>
    </row>
    <row r="2219" spans="1:13" hidden="1" x14ac:dyDescent="0.25">
      <c r="A2219" t="s">
        <v>344</v>
      </c>
      <c r="B2219" t="s">
        <v>482</v>
      </c>
      <c r="C2219" t="s">
        <v>486</v>
      </c>
      <c r="D2219" t="s">
        <v>479</v>
      </c>
      <c r="E2219">
        <v>2</v>
      </c>
      <c r="F2219">
        <v>11.3</v>
      </c>
      <c r="G2219">
        <v>1000</v>
      </c>
      <c r="H2219">
        <v>18</v>
      </c>
      <c r="I2219">
        <v>70</v>
      </c>
      <c r="J2219">
        <v>10.8</v>
      </c>
      <c r="K2219">
        <v>12</v>
      </c>
      <c r="L2219">
        <v>50</v>
      </c>
      <c r="M2219">
        <f t="shared" si="10"/>
        <v>993</v>
      </c>
    </row>
    <row r="2220" spans="1:13" hidden="1" x14ac:dyDescent="0.25">
      <c r="A2220" t="s">
        <v>344</v>
      </c>
      <c r="B2220" t="s">
        <v>482</v>
      </c>
      <c r="C2220" t="s">
        <v>474</v>
      </c>
      <c r="D2220" t="s">
        <v>472</v>
      </c>
      <c r="E2220">
        <v>3</v>
      </c>
      <c r="F2220">
        <v>8</v>
      </c>
      <c r="G2220">
        <v>95</v>
      </c>
      <c r="H2220">
        <v>14.5</v>
      </c>
      <c r="I2220">
        <v>16</v>
      </c>
      <c r="J2220">
        <v>11.1</v>
      </c>
      <c r="K2220">
        <v>12</v>
      </c>
      <c r="L2220">
        <v>14</v>
      </c>
      <c r="M2220">
        <f>G2220-7.4</f>
        <v>87.6</v>
      </c>
    </row>
    <row r="2221" spans="1:13" hidden="1" x14ac:dyDescent="0.25">
      <c r="A2221" t="s">
        <v>344</v>
      </c>
      <c r="B2221" t="s">
        <v>482</v>
      </c>
      <c r="C2221" t="s">
        <v>474</v>
      </c>
      <c r="D2221" t="s">
        <v>472</v>
      </c>
      <c r="E2221">
        <v>3</v>
      </c>
      <c r="F2221">
        <v>8</v>
      </c>
      <c r="G2221">
        <v>125</v>
      </c>
      <c r="H2221">
        <v>14.5</v>
      </c>
      <c r="I2221">
        <v>16</v>
      </c>
      <c r="J2221">
        <v>11.1</v>
      </c>
      <c r="K2221">
        <v>12</v>
      </c>
      <c r="L2221">
        <v>14</v>
      </c>
      <c r="M2221">
        <f t="shared" ref="M2221:M2223" si="11">G2221-7.4</f>
        <v>117.6</v>
      </c>
    </row>
    <row r="2222" spans="1:13" hidden="1" x14ac:dyDescent="0.25">
      <c r="A2222" t="s">
        <v>344</v>
      </c>
      <c r="B2222" t="s">
        <v>482</v>
      </c>
      <c r="C2222" t="s">
        <v>474</v>
      </c>
      <c r="D2222" t="s">
        <v>472</v>
      </c>
      <c r="E2222">
        <v>3</v>
      </c>
      <c r="F2222">
        <v>8</v>
      </c>
      <c r="G2222">
        <v>155</v>
      </c>
      <c r="H2222">
        <v>14.5</v>
      </c>
      <c r="I2222">
        <v>16</v>
      </c>
      <c r="J2222">
        <v>11.1</v>
      </c>
      <c r="K2222">
        <v>12</v>
      </c>
      <c r="L2222">
        <v>14</v>
      </c>
      <c r="M2222">
        <f t="shared" si="11"/>
        <v>147.6</v>
      </c>
    </row>
    <row r="2223" spans="1:13" hidden="1" x14ac:dyDescent="0.25">
      <c r="A2223" t="s">
        <v>344</v>
      </c>
      <c r="B2223" t="s">
        <v>482</v>
      </c>
      <c r="C2223" t="s">
        <v>474</v>
      </c>
      <c r="D2223" t="s">
        <v>472</v>
      </c>
      <c r="E2223">
        <v>3</v>
      </c>
      <c r="F2223">
        <v>8</v>
      </c>
      <c r="G2223">
        <v>195</v>
      </c>
      <c r="H2223">
        <v>14.5</v>
      </c>
      <c r="I2223">
        <v>16</v>
      </c>
      <c r="J2223">
        <v>11.1</v>
      </c>
      <c r="K2223">
        <v>12</v>
      </c>
      <c r="L2223">
        <v>14</v>
      </c>
      <c r="M2223">
        <f t="shared" si="11"/>
        <v>187.6</v>
      </c>
    </row>
    <row r="2224" spans="1:13" hidden="1" x14ac:dyDescent="0.25">
      <c r="A2224" t="s">
        <v>344</v>
      </c>
      <c r="B2224" t="s">
        <v>482</v>
      </c>
      <c r="C2224" t="s">
        <v>475</v>
      </c>
      <c r="D2224" t="s">
        <v>472</v>
      </c>
      <c r="E2224">
        <v>3</v>
      </c>
      <c r="F2224">
        <v>10</v>
      </c>
      <c r="G2224">
        <v>160</v>
      </c>
      <c r="H2224">
        <v>17.8</v>
      </c>
      <c r="I2224">
        <v>26</v>
      </c>
      <c r="J2224">
        <v>11.5</v>
      </c>
      <c r="K2224">
        <v>12</v>
      </c>
      <c r="L2224">
        <v>20</v>
      </c>
      <c r="M2224">
        <f>G2224-7.7</f>
        <v>152.30000000000001</v>
      </c>
    </row>
    <row r="2225" spans="1:13" hidden="1" x14ac:dyDescent="0.25">
      <c r="A2225" t="s">
        <v>344</v>
      </c>
      <c r="B2225" t="s">
        <v>482</v>
      </c>
      <c r="C2225" t="s">
        <v>475</v>
      </c>
      <c r="D2225" t="s">
        <v>472</v>
      </c>
      <c r="E2225">
        <v>3</v>
      </c>
      <c r="F2225">
        <v>10</v>
      </c>
      <c r="G2225">
        <v>200</v>
      </c>
      <c r="H2225">
        <v>17.8</v>
      </c>
      <c r="I2225">
        <v>26</v>
      </c>
      <c r="J2225">
        <v>11.5</v>
      </c>
      <c r="K2225">
        <v>12</v>
      </c>
      <c r="L2225">
        <v>20</v>
      </c>
      <c r="M2225">
        <f t="shared" ref="M2225:M2234" si="12">G2225-7.7</f>
        <v>192.3</v>
      </c>
    </row>
    <row r="2226" spans="1:13" hidden="1" x14ac:dyDescent="0.25">
      <c r="A2226" t="s">
        <v>344</v>
      </c>
      <c r="B2226" t="s">
        <v>482</v>
      </c>
      <c r="C2226" t="s">
        <v>475</v>
      </c>
      <c r="D2226" t="s">
        <v>472</v>
      </c>
      <c r="E2226">
        <v>3</v>
      </c>
      <c r="F2226">
        <v>10</v>
      </c>
      <c r="G2226">
        <v>220</v>
      </c>
      <c r="H2226">
        <v>17.8</v>
      </c>
      <c r="I2226">
        <v>26</v>
      </c>
      <c r="J2226">
        <v>11.5</v>
      </c>
      <c r="K2226">
        <v>12</v>
      </c>
      <c r="L2226">
        <v>20</v>
      </c>
      <c r="M2226">
        <f t="shared" si="12"/>
        <v>212.3</v>
      </c>
    </row>
    <row r="2227" spans="1:13" hidden="1" x14ac:dyDescent="0.25">
      <c r="A2227" t="s">
        <v>344</v>
      </c>
      <c r="B2227" t="s">
        <v>482</v>
      </c>
      <c r="C2227" t="s">
        <v>475</v>
      </c>
      <c r="D2227" t="s">
        <v>472</v>
      </c>
      <c r="E2227">
        <v>3</v>
      </c>
      <c r="F2227">
        <v>10</v>
      </c>
      <c r="G2227">
        <v>240</v>
      </c>
      <c r="H2227">
        <v>17.8</v>
      </c>
      <c r="I2227">
        <v>26</v>
      </c>
      <c r="J2227">
        <v>11.5</v>
      </c>
      <c r="K2227">
        <v>12</v>
      </c>
      <c r="L2227">
        <v>20</v>
      </c>
      <c r="M2227">
        <f t="shared" si="12"/>
        <v>232.3</v>
      </c>
    </row>
    <row r="2228" spans="1:13" hidden="1" x14ac:dyDescent="0.25">
      <c r="A2228" t="s">
        <v>344</v>
      </c>
      <c r="B2228" t="s">
        <v>482</v>
      </c>
      <c r="C2228" t="s">
        <v>475</v>
      </c>
      <c r="D2228" t="s">
        <v>472</v>
      </c>
      <c r="E2228">
        <v>3</v>
      </c>
      <c r="F2228">
        <v>10</v>
      </c>
      <c r="G2228">
        <v>260</v>
      </c>
      <c r="H2228">
        <v>17.8</v>
      </c>
      <c r="I2228">
        <v>26</v>
      </c>
      <c r="J2228">
        <v>11.5</v>
      </c>
      <c r="K2228">
        <v>12</v>
      </c>
      <c r="L2228">
        <v>20</v>
      </c>
      <c r="M2228">
        <f t="shared" si="12"/>
        <v>252.3</v>
      </c>
    </row>
    <row r="2229" spans="1:13" hidden="1" x14ac:dyDescent="0.25">
      <c r="A2229" t="s">
        <v>344</v>
      </c>
      <c r="B2229" t="s">
        <v>482</v>
      </c>
      <c r="C2229" t="s">
        <v>475</v>
      </c>
      <c r="D2229" t="s">
        <v>472</v>
      </c>
      <c r="E2229">
        <v>3</v>
      </c>
      <c r="F2229">
        <v>10</v>
      </c>
      <c r="G2229">
        <v>280</v>
      </c>
      <c r="H2229">
        <v>17.8</v>
      </c>
      <c r="I2229">
        <v>26</v>
      </c>
      <c r="J2229">
        <v>11.5</v>
      </c>
      <c r="K2229">
        <v>12</v>
      </c>
      <c r="L2229">
        <v>20</v>
      </c>
      <c r="M2229">
        <f t="shared" si="12"/>
        <v>272.3</v>
      </c>
    </row>
    <row r="2230" spans="1:13" hidden="1" x14ac:dyDescent="0.25">
      <c r="A2230" t="s">
        <v>344</v>
      </c>
      <c r="B2230" t="s">
        <v>482</v>
      </c>
      <c r="C2230" t="s">
        <v>475</v>
      </c>
      <c r="D2230" t="s">
        <v>472</v>
      </c>
      <c r="E2230">
        <v>3</v>
      </c>
      <c r="F2230">
        <v>10</v>
      </c>
      <c r="G2230">
        <v>300</v>
      </c>
      <c r="H2230">
        <v>17.8</v>
      </c>
      <c r="I2230">
        <v>26</v>
      </c>
      <c r="J2230">
        <v>11.5</v>
      </c>
      <c r="K2230">
        <v>12</v>
      </c>
      <c r="L2230">
        <v>20</v>
      </c>
      <c r="M2230">
        <f t="shared" si="12"/>
        <v>292.3</v>
      </c>
    </row>
    <row r="2231" spans="1:13" hidden="1" x14ac:dyDescent="0.25">
      <c r="A2231" t="s">
        <v>344</v>
      </c>
      <c r="B2231" t="s">
        <v>482</v>
      </c>
      <c r="C2231" t="s">
        <v>475</v>
      </c>
      <c r="D2231" t="s">
        <v>472</v>
      </c>
      <c r="E2231">
        <v>3</v>
      </c>
      <c r="F2231">
        <v>10</v>
      </c>
      <c r="G2231">
        <v>350</v>
      </c>
      <c r="H2231">
        <v>17.8</v>
      </c>
      <c r="I2231">
        <v>26</v>
      </c>
      <c r="J2231">
        <v>11.5</v>
      </c>
      <c r="K2231">
        <v>12</v>
      </c>
      <c r="L2231">
        <v>20</v>
      </c>
      <c r="M2231">
        <f t="shared" si="12"/>
        <v>342.3</v>
      </c>
    </row>
    <row r="2232" spans="1:13" hidden="1" x14ac:dyDescent="0.25">
      <c r="A2232" t="s">
        <v>344</v>
      </c>
      <c r="B2232" t="s">
        <v>482</v>
      </c>
      <c r="C2232" t="s">
        <v>475</v>
      </c>
      <c r="D2232" t="s">
        <v>472</v>
      </c>
      <c r="E2232">
        <v>3</v>
      </c>
      <c r="F2232">
        <v>10</v>
      </c>
      <c r="G2232">
        <v>400</v>
      </c>
      <c r="H2232">
        <v>17.8</v>
      </c>
      <c r="I2232">
        <v>26</v>
      </c>
      <c r="J2232">
        <v>11.5</v>
      </c>
      <c r="K2232">
        <v>12</v>
      </c>
      <c r="L2232">
        <v>20</v>
      </c>
      <c r="M2232">
        <f t="shared" si="12"/>
        <v>392.3</v>
      </c>
    </row>
    <row r="2233" spans="1:13" hidden="1" x14ac:dyDescent="0.25">
      <c r="A2233" t="s">
        <v>344</v>
      </c>
      <c r="B2233" t="s">
        <v>482</v>
      </c>
      <c r="C2233" t="s">
        <v>475</v>
      </c>
      <c r="D2233" t="s">
        <v>472</v>
      </c>
      <c r="E2233">
        <v>3</v>
      </c>
      <c r="F2233">
        <v>10</v>
      </c>
      <c r="G2233">
        <v>450</v>
      </c>
      <c r="H2233">
        <v>17.8</v>
      </c>
      <c r="I2233">
        <v>26</v>
      </c>
      <c r="J2233">
        <v>11.5</v>
      </c>
      <c r="K2233">
        <v>12</v>
      </c>
      <c r="L2233">
        <v>20</v>
      </c>
      <c r="M2233">
        <f t="shared" si="12"/>
        <v>442.3</v>
      </c>
    </row>
    <row r="2234" spans="1:13" hidden="1" x14ac:dyDescent="0.25">
      <c r="A2234" t="s">
        <v>344</v>
      </c>
      <c r="B2234" t="s">
        <v>482</v>
      </c>
      <c r="C2234" t="s">
        <v>475</v>
      </c>
      <c r="D2234" t="s">
        <v>472</v>
      </c>
      <c r="E2234">
        <v>3</v>
      </c>
      <c r="F2234">
        <v>10</v>
      </c>
      <c r="G2234">
        <v>500</v>
      </c>
      <c r="H2234">
        <v>17.8</v>
      </c>
      <c r="I2234">
        <v>26</v>
      </c>
      <c r="J2234">
        <v>11.5</v>
      </c>
      <c r="K2234">
        <v>12</v>
      </c>
      <c r="L2234">
        <v>20</v>
      </c>
      <c r="M2234">
        <f t="shared" si="12"/>
        <v>492.3</v>
      </c>
    </row>
    <row r="2235" spans="1:13" hidden="1" x14ac:dyDescent="0.25">
      <c r="A2235" t="s">
        <v>344</v>
      </c>
      <c r="B2235" t="s">
        <v>482</v>
      </c>
      <c r="C2235" t="s">
        <v>484</v>
      </c>
      <c r="D2235" t="s">
        <v>473</v>
      </c>
      <c r="E2235">
        <v>3</v>
      </c>
      <c r="F2235">
        <v>6.5</v>
      </c>
      <c r="G2235">
        <v>140</v>
      </c>
      <c r="H2235">
        <v>8</v>
      </c>
      <c r="I2235">
        <v>10</v>
      </c>
      <c r="J2235">
        <v>11.4</v>
      </c>
      <c r="K2235">
        <v>12</v>
      </c>
      <c r="L2235">
        <v>10</v>
      </c>
      <c r="M2235">
        <f>G2235-5.5</f>
        <v>134.5</v>
      </c>
    </row>
    <row r="2236" spans="1:13" hidden="1" x14ac:dyDescent="0.25">
      <c r="A2236" t="s">
        <v>344</v>
      </c>
      <c r="B2236" t="s">
        <v>482</v>
      </c>
      <c r="C2236" t="s">
        <v>484</v>
      </c>
      <c r="D2236" t="s">
        <v>473</v>
      </c>
      <c r="E2236">
        <v>3</v>
      </c>
      <c r="F2236">
        <v>6.5</v>
      </c>
      <c r="G2236">
        <v>160</v>
      </c>
      <c r="H2236">
        <v>8</v>
      </c>
      <c r="I2236">
        <v>10</v>
      </c>
      <c r="J2236">
        <v>11.4</v>
      </c>
      <c r="K2236">
        <v>12</v>
      </c>
      <c r="L2236">
        <v>10</v>
      </c>
      <c r="M2236">
        <f t="shared" ref="M2236:M2237" si="13">G2236-5.5</f>
        <v>154.5</v>
      </c>
    </row>
    <row r="2237" spans="1:13" hidden="1" x14ac:dyDescent="0.25">
      <c r="A2237" t="s">
        <v>344</v>
      </c>
      <c r="B2237" t="s">
        <v>482</v>
      </c>
      <c r="C2237" t="s">
        <v>484</v>
      </c>
      <c r="D2237" t="s">
        <v>473</v>
      </c>
      <c r="E2237">
        <v>3</v>
      </c>
      <c r="F2237">
        <v>6.5</v>
      </c>
      <c r="G2237">
        <v>195</v>
      </c>
      <c r="H2237">
        <v>8</v>
      </c>
      <c r="I2237">
        <v>10</v>
      </c>
      <c r="J2237">
        <v>11.4</v>
      </c>
      <c r="K2237">
        <v>12</v>
      </c>
      <c r="L2237">
        <v>10</v>
      </c>
      <c r="M2237">
        <f t="shared" si="13"/>
        <v>189.5</v>
      </c>
    </row>
    <row r="2238" spans="1:13" hidden="1" x14ac:dyDescent="0.25">
      <c r="A2238" t="s">
        <v>344</v>
      </c>
      <c r="B2238" t="s">
        <v>482</v>
      </c>
      <c r="C2238" t="s">
        <v>484</v>
      </c>
      <c r="D2238" t="s">
        <v>473</v>
      </c>
      <c r="E2238">
        <v>3</v>
      </c>
      <c r="F2238">
        <v>8</v>
      </c>
      <c r="G2238">
        <v>155</v>
      </c>
      <c r="H2238">
        <v>10</v>
      </c>
      <c r="I2238">
        <v>16</v>
      </c>
      <c r="J2238">
        <v>11.1</v>
      </c>
      <c r="K2238">
        <v>12</v>
      </c>
      <c r="L2238">
        <v>14</v>
      </c>
      <c r="M2238">
        <f>G2238-6.5</f>
        <v>148.5</v>
      </c>
    </row>
    <row r="2239" spans="1:13" hidden="1" x14ac:dyDescent="0.25">
      <c r="A2239" t="s">
        <v>344</v>
      </c>
      <c r="B2239" t="s">
        <v>482</v>
      </c>
      <c r="C2239" t="s">
        <v>484</v>
      </c>
      <c r="D2239" t="s">
        <v>473</v>
      </c>
      <c r="E2239">
        <v>3</v>
      </c>
      <c r="F2239">
        <v>8</v>
      </c>
      <c r="G2239">
        <v>195</v>
      </c>
      <c r="H2239">
        <v>10</v>
      </c>
      <c r="I2239">
        <v>16</v>
      </c>
      <c r="J2239">
        <v>11.1</v>
      </c>
      <c r="K2239">
        <v>12</v>
      </c>
      <c r="L2239">
        <v>14</v>
      </c>
      <c r="M2239">
        <f t="shared" ref="M2239:M2246" si="14">G2239-6.5</f>
        <v>188.5</v>
      </c>
    </row>
    <row r="2240" spans="1:13" hidden="1" x14ac:dyDescent="0.25">
      <c r="A2240" t="s">
        <v>344</v>
      </c>
      <c r="B2240" t="s">
        <v>482</v>
      </c>
      <c r="C2240" t="s">
        <v>484</v>
      </c>
      <c r="D2240" t="s">
        <v>473</v>
      </c>
      <c r="E2240">
        <v>3</v>
      </c>
      <c r="F2240">
        <v>8</v>
      </c>
      <c r="G2240">
        <v>220</v>
      </c>
      <c r="H2240">
        <v>10</v>
      </c>
      <c r="I2240">
        <v>16</v>
      </c>
      <c r="J2240">
        <v>11.1</v>
      </c>
      <c r="K2240">
        <v>12</v>
      </c>
      <c r="L2240">
        <v>14</v>
      </c>
      <c r="M2240">
        <f t="shared" si="14"/>
        <v>213.5</v>
      </c>
    </row>
    <row r="2241" spans="1:13" hidden="1" x14ac:dyDescent="0.25">
      <c r="A2241" t="s">
        <v>344</v>
      </c>
      <c r="B2241" t="s">
        <v>482</v>
      </c>
      <c r="C2241" t="s">
        <v>484</v>
      </c>
      <c r="D2241" t="s">
        <v>473</v>
      </c>
      <c r="E2241">
        <v>3</v>
      </c>
      <c r="F2241">
        <v>8</v>
      </c>
      <c r="G2241">
        <v>245</v>
      </c>
      <c r="H2241">
        <v>10</v>
      </c>
      <c r="I2241">
        <v>16</v>
      </c>
      <c r="J2241">
        <v>11.1</v>
      </c>
      <c r="K2241">
        <v>12</v>
      </c>
      <c r="L2241">
        <v>14</v>
      </c>
      <c r="M2241">
        <f t="shared" si="14"/>
        <v>238.5</v>
      </c>
    </row>
    <row r="2242" spans="1:13" hidden="1" x14ac:dyDescent="0.25">
      <c r="A2242" t="s">
        <v>344</v>
      </c>
      <c r="B2242" t="s">
        <v>482</v>
      </c>
      <c r="C2242" t="s">
        <v>484</v>
      </c>
      <c r="D2242" t="s">
        <v>473</v>
      </c>
      <c r="E2242">
        <v>3</v>
      </c>
      <c r="F2242">
        <v>8</v>
      </c>
      <c r="G2242">
        <v>270</v>
      </c>
      <c r="H2242">
        <v>10</v>
      </c>
      <c r="I2242">
        <v>16</v>
      </c>
      <c r="J2242">
        <v>11.1</v>
      </c>
      <c r="K2242">
        <v>12</v>
      </c>
      <c r="L2242">
        <v>14</v>
      </c>
      <c r="M2242">
        <f t="shared" si="14"/>
        <v>263.5</v>
      </c>
    </row>
    <row r="2243" spans="1:13" hidden="1" x14ac:dyDescent="0.25">
      <c r="A2243" t="s">
        <v>344</v>
      </c>
      <c r="B2243" t="s">
        <v>482</v>
      </c>
      <c r="C2243" t="s">
        <v>484</v>
      </c>
      <c r="D2243" t="s">
        <v>473</v>
      </c>
      <c r="E2243">
        <v>3</v>
      </c>
      <c r="F2243">
        <v>8</v>
      </c>
      <c r="G2243">
        <v>295</v>
      </c>
      <c r="H2243">
        <v>10</v>
      </c>
      <c r="I2243">
        <v>16</v>
      </c>
      <c r="J2243">
        <v>11.1</v>
      </c>
      <c r="K2243">
        <v>12</v>
      </c>
      <c r="L2243">
        <v>14</v>
      </c>
      <c r="M2243">
        <f t="shared" si="14"/>
        <v>288.5</v>
      </c>
    </row>
    <row r="2244" spans="1:13" hidden="1" x14ac:dyDescent="0.25">
      <c r="A2244" t="s">
        <v>344</v>
      </c>
      <c r="B2244" t="s">
        <v>482</v>
      </c>
      <c r="C2244" t="s">
        <v>484</v>
      </c>
      <c r="D2244" t="s">
        <v>473</v>
      </c>
      <c r="E2244">
        <v>3</v>
      </c>
      <c r="F2244">
        <v>8</v>
      </c>
      <c r="G2244">
        <v>330</v>
      </c>
      <c r="H2244">
        <v>10</v>
      </c>
      <c r="I2244">
        <v>16</v>
      </c>
      <c r="J2244">
        <v>11.1</v>
      </c>
      <c r="K2244">
        <v>12</v>
      </c>
      <c r="L2244">
        <v>14</v>
      </c>
      <c r="M2244">
        <f t="shared" si="14"/>
        <v>323.5</v>
      </c>
    </row>
    <row r="2245" spans="1:13" hidden="1" x14ac:dyDescent="0.25">
      <c r="A2245" t="s">
        <v>344</v>
      </c>
      <c r="B2245" t="s">
        <v>482</v>
      </c>
      <c r="C2245" t="s">
        <v>484</v>
      </c>
      <c r="D2245" t="s">
        <v>473</v>
      </c>
      <c r="E2245">
        <v>3</v>
      </c>
      <c r="F2245">
        <v>8</v>
      </c>
      <c r="G2245">
        <v>375</v>
      </c>
      <c r="H2245">
        <v>10</v>
      </c>
      <c r="I2245">
        <v>16</v>
      </c>
      <c r="J2245">
        <v>11.1</v>
      </c>
      <c r="K2245">
        <v>12</v>
      </c>
      <c r="L2245">
        <v>14</v>
      </c>
      <c r="M2245">
        <f t="shared" si="14"/>
        <v>368.5</v>
      </c>
    </row>
    <row r="2246" spans="1:13" hidden="1" x14ac:dyDescent="0.25">
      <c r="A2246" t="s">
        <v>344</v>
      </c>
      <c r="B2246" t="s">
        <v>482</v>
      </c>
      <c r="C2246" t="s">
        <v>484</v>
      </c>
      <c r="D2246" t="s">
        <v>473</v>
      </c>
      <c r="E2246">
        <v>3</v>
      </c>
      <c r="F2246">
        <v>8</v>
      </c>
      <c r="G2246">
        <v>400</v>
      </c>
      <c r="H2246">
        <v>10</v>
      </c>
      <c r="I2246">
        <v>16</v>
      </c>
      <c r="J2246">
        <v>11.1</v>
      </c>
      <c r="K2246">
        <v>12</v>
      </c>
      <c r="L2246">
        <v>14</v>
      </c>
      <c r="M2246">
        <f t="shared" si="14"/>
        <v>393.5</v>
      </c>
    </row>
    <row r="2247" spans="1:13" hidden="1" x14ac:dyDescent="0.25">
      <c r="A2247" t="s">
        <v>344</v>
      </c>
      <c r="B2247" t="s">
        <v>482</v>
      </c>
      <c r="C2247" t="s">
        <v>476</v>
      </c>
      <c r="D2247" t="s">
        <v>477</v>
      </c>
      <c r="E2247">
        <v>2</v>
      </c>
      <c r="F2247">
        <v>13</v>
      </c>
      <c r="G2247">
        <v>300</v>
      </c>
      <c r="H2247">
        <v>18</v>
      </c>
      <c r="I2247">
        <v>120</v>
      </c>
      <c r="J2247">
        <v>10.8</v>
      </c>
      <c r="K2247">
        <v>12</v>
      </c>
      <c r="L2247">
        <v>75</v>
      </c>
      <c r="M2247">
        <f>G2247-10-3*5.6</f>
        <v>273.2</v>
      </c>
    </row>
    <row r="2248" spans="1:13" hidden="1" x14ac:dyDescent="0.25">
      <c r="A2248" t="s">
        <v>344</v>
      </c>
      <c r="B2248" t="s">
        <v>482</v>
      </c>
      <c r="C2248" t="s">
        <v>476</v>
      </c>
      <c r="D2248" t="s">
        <v>477</v>
      </c>
      <c r="E2248">
        <v>2</v>
      </c>
      <c r="F2248">
        <v>13</v>
      </c>
      <c r="G2248">
        <v>320</v>
      </c>
      <c r="H2248">
        <v>18</v>
      </c>
      <c r="I2248">
        <v>120</v>
      </c>
      <c r="J2248">
        <v>10.8</v>
      </c>
      <c r="K2248">
        <v>12</v>
      </c>
      <c r="L2248">
        <v>75</v>
      </c>
      <c r="M2248">
        <f t="shared" ref="M2248:M2265" si="15">G2248-10-3*5.6</f>
        <v>293.2</v>
      </c>
    </row>
    <row r="2249" spans="1:13" hidden="1" x14ac:dyDescent="0.25">
      <c r="A2249" t="s">
        <v>344</v>
      </c>
      <c r="B2249" t="s">
        <v>482</v>
      </c>
      <c r="C2249" t="s">
        <v>476</v>
      </c>
      <c r="D2249" t="s">
        <v>477</v>
      </c>
      <c r="E2249">
        <v>2</v>
      </c>
      <c r="F2249">
        <v>13</v>
      </c>
      <c r="G2249">
        <v>340</v>
      </c>
      <c r="H2249">
        <v>18</v>
      </c>
      <c r="I2249">
        <v>120</v>
      </c>
      <c r="J2249">
        <v>10.8</v>
      </c>
      <c r="K2249">
        <v>12</v>
      </c>
      <c r="L2249">
        <v>75</v>
      </c>
      <c r="M2249">
        <f t="shared" si="15"/>
        <v>313.2</v>
      </c>
    </row>
    <row r="2250" spans="1:13" hidden="1" x14ac:dyDescent="0.25">
      <c r="A2250" t="s">
        <v>344</v>
      </c>
      <c r="B2250" t="s">
        <v>482</v>
      </c>
      <c r="C2250" t="s">
        <v>476</v>
      </c>
      <c r="D2250" t="s">
        <v>477</v>
      </c>
      <c r="E2250">
        <v>2</v>
      </c>
      <c r="F2250">
        <v>13</v>
      </c>
      <c r="G2250">
        <v>360</v>
      </c>
      <c r="H2250">
        <v>18</v>
      </c>
      <c r="I2250">
        <v>120</v>
      </c>
      <c r="J2250">
        <v>10.8</v>
      </c>
      <c r="K2250">
        <v>12</v>
      </c>
      <c r="L2250">
        <v>75</v>
      </c>
      <c r="M2250">
        <f t="shared" si="15"/>
        <v>333.2</v>
      </c>
    </row>
    <row r="2251" spans="1:13" hidden="1" x14ac:dyDescent="0.25">
      <c r="A2251" t="s">
        <v>344</v>
      </c>
      <c r="B2251" t="s">
        <v>482</v>
      </c>
      <c r="C2251" t="s">
        <v>476</v>
      </c>
      <c r="D2251" t="s">
        <v>477</v>
      </c>
      <c r="E2251">
        <v>2</v>
      </c>
      <c r="F2251">
        <v>13</v>
      </c>
      <c r="G2251">
        <v>380</v>
      </c>
      <c r="H2251">
        <v>18</v>
      </c>
      <c r="I2251">
        <v>120</v>
      </c>
      <c r="J2251">
        <v>10.8</v>
      </c>
      <c r="K2251">
        <v>12</v>
      </c>
      <c r="L2251">
        <v>75</v>
      </c>
      <c r="M2251">
        <f t="shared" si="15"/>
        <v>353.2</v>
      </c>
    </row>
    <row r="2252" spans="1:13" hidden="1" x14ac:dyDescent="0.25">
      <c r="A2252" t="s">
        <v>344</v>
      </c>
      <c r="B2252" t="s">
        <v>482</v>
      </c>
      <c r="C2252" t="s">
        <v>476</v>
      </c>
      <c r="D2252" t="s">
        <v>477</v>
      </c>
      <c r="E2252">
        <v>2</v>
      </c>
      <c r="F2252">
        <v>13</v>
      </c>
      <c r="G2252">
        <v>420</v>
      </c>
      <c r="H2252">
        <v>18</v>
      </c>
      <c r="I2252">
        <v>120</v>
      </c>
      <c r="J2252">
        <v>10.8</v>
      </c>
      <c r="K2252">
        <v>12</v>
      </c>
      <c r="L2252">
        <v>75</v>
      </c>
      <c r="M2252">
        <f t="shared" si="15"/>
        <v>393.2</v>
      </c>
    </row>
    <row r="2253" spans="1:13" hidden="1" x14ac:dyDescent="0.25">
      <c r="A2253" t="s">
        <v>344</v>
      </c>
      <c r="B2253" t="s">
        <v>482</v>
      </c>
      <c r="C2253" t="s">
        <v>476</v>
      </c>
      <c r="D2253" t="s">
        <v>477</v>
      </c>
      <c r="E2253">
        <v>2</v>
      </c>
      <c r="F2253">
        <v>13</v>
      </c>
      <c r="G2253">
        <v>460</v>
      </c>
      <c r="H2253">
        <v>18</v>
      </c>
      <c r="I2253">
        <v>120</v>
      </c>
      <c r="J2253">
        <v>10.8</v>
      </c>
      <c r="K2253">
        <v>12</v>
      </c>
      <c r="L2253">
        <v>75</v>
      </c>
      <c r="M2253">
        <f t="shared" si="15"/>
        <v>433.2</v>
      </c>
    </row>
    <row r="2254" spans="1:13" hidden="1" x14ac:dyDescent="0.25">
      <c r="A2254" t="s">
        <v>344</v>
      </c>
      <c r="B2254" t="s">
        <v>482</v>
      </c>
      <c r="C2254" t="s">
        <v>476</v>
      </c>
      <c r="D2254" t="s">
        <v>477</v>
      </c>
      <c r="E2254">
        <v>2</v>
      </c>
      <c r="F2254">
        <v>13</v>
      </c>
      <c r="G2254">
        <v>500</v>
      </c>
      <c r="H2254">
        <v>18</v>
      </c>
      <c r="I2254">
        <v>120</v>
      </c>
      <c r="J2254">
        <v>10.8</v>
      </c>
      <c r="K2254">
        <v>12</v>
      </c>
      <c r="L2254">
        <v>75</v>
      </c>
      <c r="M2254">
        <f t="shared" si="15"/>
        <v>473.2</v>
      </c>
    </row>
    <row r="2255" spans="1:13" hidden="1" x14ac:dyDescent="0.25">
      <c r="A2255" t="s">
        <v>344</v>
      </c>
      <c r="B2255" t="s">
        <v>482</v>
      </c>
      <c r="C2255" t="s">
        <v>476</v>
      </c>
      <c r="D2255" t="s">
        <v>477</v>
      </c>
      <c r="E2255">
        <v>2</v>
      </c>
      <c r="F2255">
        <v>13</v>
      </c>
      <c r="G2255">
        <v>540</v>
      </c>
      <c r="H2255">
        <v>18</v>
      </c>
      <c r="I2255">
        <v>120</v>
      </c>
      <c r="J2255">
        <v>10.8</v>
      </c>
      <c r="K2255">
        <v>12</v>
      </c>
      <c r="L2255">
        <v>75</v>
      </c>
      <c r="M2255">
        <f t="shared" si="15"/>
        <v>513.20000000000005</v>
      </c>
    </row>
    <row r="2256" spans="1:13" hidden="1" x14ac:dyDescent="0.25">
      <c r="A2256" t="s">
        <v>344</v>
      </c>
      <c r="B2256" t="s">
        <v>482</v>
      </c>
      <c r="C2256" t="s">
        <v>476</v>
      </c>
      <c r="D2256" t="s">
        <v>477</v>
      </c>
      <c r="E2256">
        <v>2</v>
      </c>
      <c r="F2256">
        <v>13</v>
      </c>
      <c r="G2256">
        <v>580</v>
      </c>
      <c r="H2256">
        <v>18</v>
      </c>
      <c r="I2256">
        <v>120</v>
      </c>
      <c r="J2256">
        <v>10.8</v>
      </c>
      <c r="K2256">
        <v>12</v>
      </c>
      <c r="L2256">
        <v>75</v>
      </c>
      <c r="M2256">
        <f t="shared" si="15"/>
        <v>553.20000000000005</v>
      </c>
    </row>
    <row r="2257" spans="1:14" hidden="1" x14ac:dyDescent="0.25">
      <c r="A2257" t="s">
        <v>344</v>
      </c>
      <c r="B2257" t="s">
        <v>482</v>
      </c>
      <c r="C2257" t="s">
        <v>476</v>
      </c>
      <c r="D2257" t="s">
        <v>477</v>
      </c>
      <c r="E2257">
        <v>2</v>
      </c>
      <c r="F2257">
        <v>13</v>
      </c>
      <c r="G2257">
        <v>620</v>
      </c>
      <c r="H2257">
        <v>18</v>
      </c>
      <c r="I2257">
        <v>120</v>
      </c>
      <c r="J2257">
        <v>10.8</v>
      </c>
      <c r="K2257">
        <v>12</v>
      </c>
      <c r="L2257">
        <v>75</v>
      </c>
      <c r="M2257">
        <f t="shared" si="15"/>
        <v>593.20000000000005</v>
      </c>
    </row>
    <row r="2258" spans="1:14" hidden="1" x14ac:dyDescent="0.25">
      <c r="A2258" t="s">
        <v>344</v>
      </c>
      <c r="B2258" t="s">
        <v>482</v>
      </c>
      <c r="C2258" t="s">
        <v>476</v>
      </c>
      <c r="D2258" t="s">
        <v>477</v>
      </c>
      <c r="E2258">
        <v>2</v>
      </c>
      <c r="F2258">
        <v>13</v>
      </c>
      <c r="G2258">
        <v>660</v>
      </c>
      <c r="H2258">
        <v>18</v>
      </c>
      <c r="I2258">
        <v>120</v>
      </c>
      <c r="J2258">
        <v>10.8</v>
      </c>
      <c r="K2258">
        <v>12</v>
      </c>
      <c r="L2258">
        <v>75</v>
      </c>
      <c r="M2258">
        <f t="shared" si="15"/>
        <v>633.20000000000005</v>
      </c>
    </row>
    <row r="2259" spans="1:14" hidden="1" x14ac:dyDescent="0.25">
      <c r="A2259" t="s">
        <v>344</v>
      </c>
      <c r="B2259" t="s">
        <v>482</v>
      </c>
      <c r="C2259" t="s">
        <v>476</v>
      </c>
      <c r="D2259" t="s">
        <v>477</v>
      </c>
      <c r="E2259">
        <v>2</v>
      </c>
      <c r="F2259">
        <v>13</v>
      </c>
      <c r="G2259">
        <v>700</v>
      </c>
      <c r="H2259">
        <v>18</v>
      </c>
      <c r="I2259">
        <v>120</v>
      </c>
      <c r="J2259">
        <v>10.8</v>
      </c>
      <c r="K2259">
        <v>12</v>
      </c>
      <c r="L2259">
        <v>75</v>
      </c>
      <c r="M2259">
        <f t="shared" si="15"/>
        <v>673.2</v>
      </c>
    </row>
    <row r="2260" spans="1:14" hidden="1" x14ac:dyDescent="0.25">
      <c r="A2260" t="s">
        <v>344</v>
      </c>
      <c r="B2260" t="s">
        <v>482</v>
      </c>
      <c r="C2260" t="s">
        <v>476</v>
      </c>
      <c r="D2260" t="s">
        <v>477</v>
      </c>
      <c r="E2260">
        <v>2</v>
      </c>
      <c r="F2260">
        <v>13</v>
      </c>
      <c r="G2260">
        <v>750</v>
      </c>
      <c r="H2260">
        <v>18</v>
      </c>
      <c r="I2260">
        <v>120</v>
      </c>
      <c r="J2260">
        <v>10.8</v>
      </c>
      <c r="K2260">
        <v>12</v>
      </c>
      <c r="L2260">
        <v>75</v>
      </c>
      <c r="M2260">
        <f t="shared" si="15"/>
        <v>723.2</v>
      </c>
    </row>
    <row r="2261" spans="1:14" hidden="1" x14ac:dyDescent="0.25">
      <c r="A2261" t="s">
        <v>344</v>
      </c>
      <c r="B2261" t="s">
        <v>482</v>
      </c>
      <c r="C2261" t="s">
        <v>476</v>
      </c>
      <c r="D2261" t="s">
        <v>477</v>
      </c>
      <c r="E2261">
        <v>2</v>
      </c>
      <c r="F2261">
        <v>13</v>
      </c>
      <c r="G2261">
        <v>800</v>
      </c>
      <c r="H2261">
        <v>18</v>
      </c>
      <c r="I2261">
        <v>120</v>
      </c>
      <c r="J2261">
        <v>10.8</v>
      </c>
      <c r="K2261">
        <v>12</v>
      </c>
      <c r="L2261">
        <v>75</v>
      </c>
      <c r="M2261">
        <f t="shared" si="15"/>
        <v>773.2</v>
      </c>
    </row>
    <row r="2262" spans="1:14" hidden="1" x14ac:dyDescent="0.25">
      <c r="A2262" t="s">
        <v>344</v>
      </c>
      <c r="B2262" t="s">
        <v>482</v>
      </c>
      <c r="C2262" t="s">
        <v>476</v>
      </c>
      <c r="D2262" t="s">
        <v>477</v>
      </c>
      <c r="E2262">
        <v>2</v>
      </c>
      <c r="F2262">
        <v>13</v>
      </c>
      <c r="G2262">
        <v>900</v>
      </c>
      <c r="H2262">
        <v>18</v>
      </c>
      <c r="I2262">
        <v>120</v>
      </c>
      <c r="J2262">
        <v>10.8</v>
      </c>
      <c r="K2262">
        <v>12</v>
      </c>
      <c r="L2262">
        <v>75</v>
      </c>
      <c r="M2262">
        <f t="shared" si="15"/>
        <v>873.2</v>
      </c>
    </row>
    <row r="2263" spans="1:14" hidden="1" x14ac:dyDescent="0.25">
      <c r="A2263" t="s">
        <v>344</v>
      </c>
      <c r="B2263" t="s">
        <v>482</v>
      </c>
      <c r="C2263" t="s">
        <v>476</v>
      </c>
      <c r="D2263" t="s">
        <v>477</v>
      </c>
      <c r="E2263">
        <v>2</v>
      </c>
      <c r="F2263">
        <v>13</v>
      </c>
      <c r="G2263">
        <v>1000</v>
      </c>
      <c r="H2263">
        <v>18</v>
      </c>
      <c r="I2263">
        <v>120</v>
      </c>
      <c r="J2263">
        <v>10.8</v>
      </c>
      <c r="K2263">
        <v>12</v>
      </c>
      <c r="L2263">
        <v>75</v>
      </c>
      <c r="M2263">
        <f t="shared" si="15"/>
        <v>973.2</v>
      </c>
    </row>
    <row r="2264" spans="1:14" hidden="1" x14ac:dyDescent="0.25">
      <c r="A2264" t="s">
        <v>344</v>
      </c>
      <c r="B2264" t="s">
        <v>482</v>
      </c>
      <c r="C2264" t="s">
        <v>476</v>
      </c>
      <c r="D2264" t="s">
        <v>477</v>
      </c>
      <c r="E2264">
        <v>2</v>
      </c>
      <c r="F2264">
        <v>13</v>
      </c>
      <c r="G2264">
        <v>1200</v>
      </c>
      <c r="H2264">
        <v>18</v>
      </c>
      <c r="I2264">
        <v>120</v>
      </c>
      <c r="J2264">
        <v>10.8</v>
      </c>
      <c r="K2264">
        <v>12</v>
      </c>
      <c r="L2264">
        <v>75</v>
      </c>
      <c r="M2264">
        <f t="shared" si="15"/>
        <v>1173.2</v>
      </c>
    </row>
    <row r="2265" spans="1:14" hidden="1" x14ac:dyDescent="0.25">
      <c r="A2265" t="s">
        <v>344</v>
      </c>
      <c r="B2265" t="s">
        <v>482</v>
      </c>
      <c r="C2265" t="s">
        <v>476</v>
      </c>
      <c r="D2265" t="s">
        <v>477</v>
      </c>
      <c r="E2265">
        <v>2</v>
      </c>
      <c r="F2265">
        <v>13</v>
      </c>
      <c r="G2265">
        <v>1400</v>
      </c>
      <c r="H2265">
        <v>18</v>
      </c>
      <c r="I2265">
        <v>120</v>
      </c>
      <c r="J2265">
        <v>10.8</v>
      </c>
      <c r="K2265">
        <v>12</v>
      </c>
      <c r="L2265">
        <v>75</v>
      </c>
      <c r="M2265">
        <f t="shared" si="15"/>
        <v>1373.2</v>
      </c>
    </row>
    <row r="2266" spans="1:14" hidden="1" x14ac:dyDescent="0.25">
      <c r="A2266" t="s">
        <v>344</v>
      </c>
      <c r="B2266" t="s">
        <v>482</v>
      </c>
      <c r="C2266" t="s">
        <v>480</v>
      </c>
      <c r="D2266" t="s">
        <v>481</v>
      </c>
      <c r="E2266">
        <v>3</v>
      </c>
      <c r="F2266">
        <v>6.5</v>
      </c>
      <c r="G2266">
        <v>90</v>
      </c>
      <c r="H2266">
        <v>8</v>
      </c>
      <c r="I2266">
        <v>15</v>
      </c>
      <c r="J2266">
        <v>4</v>
      </c>
      <c r="K2266">
        <v>12</v>
      </c>
      <c r="L2266">
        <v>17</v>
      </c>
      <c r="M2266">
        <v>40</v>
      </c>
      <c r="N2266">
        <v>40</v>
      </c>
    </row>
    <row r="2267" spans="1:14" hidden="1" x14ac:dyDescent="0.25">
      <c r="A2267" t="s">
        <v>344</v>
      </c>
      <c r="B2267" t="s">
        <v>482</v>
      </c>
      <c r="C2267" t="s">
        <v>480</v>
      </c>
      <c r="D2267" t="s">
        <v>481</v>
      </c>
      <c r="E2267">
        <v>3</v>
      </c>
      <c r="F2267">
        <v>6.5</v>
      </c>
      <c r="G2267">
        <v>130</v>
      </c>
      <c r="H2267">
        <v>8</v>
      </c>
      <c r="I2267">
        <v>15</v>
      </c>
      <c r="J2267">
        <v>4</v>
      </c>
      <c r="K2267">
        <v>12</v>
      </c>
      <c r="L2267">
        <v>17</v>
      </c>
      <c r="M2267">
        <v>43</v>
      </c>
      <c r="N2267">
        <v>43</v>
      </c>
    </row>
    <row r="2268" spans="1:14" hidden="1" x14ac:dyDescent="0.25">
      <c r="A2268" t="s">
        <v>344</v>
      </c>
      <c r="B2268" t="s">
        <v>482</v>
      </c>
      <c r="C2268" t="s">
        <v>480</v>
      </c>
      <c r="D2268" t="s">
        <v>481</v>
      </c>
      <c r="E2268">
        <v>3</v>
      </c>
      <c r="F2268">
        <v>6.5</v>
      </c>
      <c r="G2268">
        <v>160</v>
      </c>
      <c r="H2268">
        <v>8</v>
      </c>
      <c r="I2268">
        <v>15</v>
      </c>
      <c r="J2268">
        <v>4</v>
      </c>
      <c r="K2268">
        <v>12</v>
      </c>
      <c r="L2268">
        <v>17</v>
      </c>
      <c r="M2268">
        <v>67</v>
      </c>
      <c r="N2268">
        <v>67</v>
      </c>
    </row>
    <row r="2269" spans="1:14" hidden="1" x14ac:dyDescent="0.25">
      <c r="A2269" t="s">
        <v>344</v>
      </c>
      <c r="B2269" t="s">
        <v>482</v>
      </c>
      <c r="C2269" t="s">
        <v>480</v>
      </c>
      <c r="D2269" t="s">
        <v>481</v>
      </c>
      <c r="E2269">
        <v>3</v>
      </c>
      <c r="F2269">
        <v>6.5</v>
      </c>
      <c r="G2269">
        <v>190</v>
      </c>
      <c r="H2269">
        <v>8</v>
      </c>
      <c r="I2269">
        <v>15</v>
      </c>
      <c r="J2269">
        <v>4</v>
      </c>
      <c r="K2269">
        <v>12</v>
      </c>
      <c r="L2269">
        <v>17</v>
      </c>
      <c r="M2269">
        <v>82</v>
      </c>
      <c r="N2269">
        <v>82</v>
      </c>
    </row>
    <row r="2270" spans="1:14" hidden="1" x14ac:dyDescent="0.25">
      <c r="A2270" t="s">
        <v>344</v>
      </c>
      <c r="B2270" t="s">
        <v>482</v>
      </c>
      <c r="C2270" t="s">
        <v>480</v>
      </c>
      <c r="D2270" t="s">
        <v>481</v>
      </c>
      <c r="E2270">
        <v>3</v>
      </c>
      <c r="F2270">
        <v>6.5</v>
      </c>
      <c r="G2270">
        <v>190</v>
      </c>
      <c r="H2270">
        <v>8</v>
      </c>
      <c r="I2270">
        <v>15</v>
      </c>
      <c r="J2270">
        <v>4</v>
      </c>
      <c r="K2270">
        <v>12</v>
      </c>
      <c r="L2270">
        <v>17</v>
      </c>
      <c r="M2270">
        <v>97</v>
      </c>
      <c r="N2270">
        <v>97</v>
      </c>
    </row>
    <row r="2271" spans="1:14" hidden="1" x14ac:dyDescent="0.25">
      <c r="A2271" t="s">
        <v>344</v>
      </c>
      <c r="B2271" t="s">
        <v>482</v>
      </c>
      <c r="C2271" t="s">
        <v>480</v>
      </c>
      <c r="D2271" t="s">
        <v>481</v>
      </c>
      <c r="E2271">
        <v>3</v>
      </c>
      <c r="F2271">
        <v>8</v>
      </c>
      <c r="G2271">
        <v>160</v>
      </c>
      <c r="H2271">
        <v>11</v>
      </c>
      <c r="I2271">
        <v>25</v>
      </c>
      <c r="J2271">
        <v>12.5</v>
      </c>
      <c r="K2271">
        <v>12</v>
      </c>
      <c r="L2271">
        <v>25</v>
      </c>
      <c r="M2271">
        <v>67</v>
      </c>
      <c r="N2271">
        <v>67</v>
      </c>
    </row>
    <row r="2272" spans="1:14" hidden="1" x14ac:dyDescent="0.25">
      <c r="A2272" t="s">
        <v>344</v>
      </c>
      <c r="B2272" t="s">
        <v>482</v>
      </c>
      <c r="C2272" t="s">
        <v>480</v>
      </c>
      <c r="D2272" t="s">
        <v>481</v>
      </c>
      <c r="E2272">
        <v>3</v>
      </c>
      <c r="F2272">
        <v>8</v>
      </c>
      <c r="G2272">
        <v>190</v>
      </c>
      <c r="H2272">
        <v>11</v>
      </c>
      <c r="I2272">
        <v>25</v>
      </c>
      <c r="J2272">
        <v>12.5</v>
      </c>
      <c r="K2272">
        <v>12</v>
      </c>
      <c r="L2272">
        <v>25</v>
      </c>
      <c r="M2272">
        <v>92</v>
      </c>
      <c r="N2272">
        <v>92</v>
      </c>
    </row>
    <row r="2273" spans="1:14" hidden="1" x14ac:dyDescent="0.25">
      <c r="A2273" t="s">
        <v>344</v>
      </c>
      <c r="B2273" t="s">
        <v>482</v>
      </c>
      <c r="C2273" t="s">
        <v>480</v>
      </c>
      <c r="D2273" t="s">
        <v>481</v>
      </c>
      <c r="E2273">
        <v>3</v>
      </c>
      <c r="F2273">
        <v>8</v>
      </c>
      <c r="G2273">
        <v>220</v>
      </c>
      <c r="H2273">
        <v>11</v>
      </c>
      <c r="I2273">
        <v>25</v>
      </c>
      <c r="J2273">
        <v>12.5</v>
      </c>
      <c r="K2273">
        <v>12</v>
      </c>
      <c r="L2273">
        <v>25</v>
      </c>
      <c r="M2273">
        <v>92</v>
      </c>
      <c r="N2273">
        <v>92</v>
      </c>
    </row>
    <row r="2274" spans="1:14" hidden="1" x14ac:dyDescent="0.25">
      <c r="A2274" t="s">
        <v>344</v>
      </c>
      <c r="B2274" t="s">
        <v>482</v>
      </c>
      <c r="C2274" t="s">
        <v>480</v>
      </c>
      <c r="D2274" t="s">
        <v>481</v>
      </c>
      <c r="E2274">
        <v>3</v>
      </c>
      <c r="F2274">
        <v>8</v>
      </c>
      <c r="G2274">
        <v>245</v>
      </c>
      <c r="H2274">
        <v>11</v>
      </c>
      <c r="I2274">
        <v>25</v>
      </c>
      <c r="J2274">
        <v>12.5</v>
      </c>
      <c r="K2274">
        <v>12</v>
      </c>
      <c r="L2274">
        <v>25</v>
      </c>
      <c r="M2274">
        <v>107</v>
      </c>
      <c r="N2274">
        <v>107</v>
      </c>
    </row>
    <row r="2275" spans="1:14" hidden="1" x14ac:dyDescent="0.25">
      <c r="A2275" t="s">
        <v>344</v>
      </c>
      <c r="B2275" t="s">
        <v>482</v>
      </c>
      <c r="C2275" t="s">
        <v>480</v>
      </c>
      <c r="D2275" t="s">
        <v>481</v>
      </c>
      <c r="E2275">
        <v>3</v>
      </c>
      <c r="F2275">
        <v>8</v>
      </c>
      <c r="G2275">
        <v>280</v>
      </c>
      <c r="H2275">
        <v>11</v>
      </c>
      <c r="I2275">
        <v>25</v>
      </c>
      <c r="J2275">
        <v>12.5</v>
      </c>
      <c r="K2275">
        <v>12</v>
      </c>
      <c r="L2275">
        <v>25</v>
      </c>
      <c r="M2275">
        <v>107</v>
      </c>
      <c r="N2275">
        <v>107</v>
      </c>
    </row>
    <row r="2276" spans="1:14" hidden="1" x14ac:dyDescent="0.25">
      <c r="A2276" t="s">
        <v>344</v>
      </c>
      <c r="B2276" t="s">
        <v>482</v>
      </c>
      <c r="C2276" t="s">
        <v>480</v>
      </c>
      <c r="D2276" t="s">
        <v>481</v>
      </c>
      <c r="E2276">
        <v>3</v>
      </c>
      <c r="F2276">
        <v>8</v>
      </c>
      <c r="G2276">
        <v>300</v>
      </c>
      <c r="H2276">
        <v>11</v>
      </c>
      <c r="I2276">
        <v>25</v>
      </c>
      <c r="J2276">
        <v>12.5</v>
      </c>
      <c r="K2276">
        <v>12</v>
      </c>
      <c r="L2276">
        <v>25</v>
      </c>
      <c r="M2276">
        <v>137</v>
      </c>
      <c r="N2276">
        <v>137</v>
      </c>
    </row>
    <row r="2277" spans="1:14" hidden="1" x14ac:dyDescent="0.25">
      <c r="A2277" t="s">
        <v>344</v>
      </c>
      <c r="B2277" t="s">
        <v>482</v>
      </c>
      <c r="C2277" t="s">
        <v>480</v>
      </c>
      <c r="D2277" t="s">
        <v>481</v>
      </c>
      <c r="E2277">
        <v>3</v>
      </c>
      <c r="F2277">
        <v>8</v>
      </c>
      <c r="G2277">
        <v>330</v>
      </c>
      <c r="H2277">
        <v>11</v>
      </c>
      <c r="I2277">
        <v>25</v>
      </c>
      <c r="J2277">
        <v>12.5</v>
      </c>
      <c r="K2277">
        <v>12</v>
      </c>
      <c r="L2277">
        <v>25</v>
      </c>
      <c r="M2277">
        <v>137</v>
      </c>
      <c r="N2277">
        <v>137</v>
      </c>
    </row>
    <row r="2278" spans="1:14" hidden="1" x14ac:dyDescent="0.25">
      <c r="A2278" t="s">
        <v>344</v>
      </c>
      <c r="B2278" t="s">
        <v>482</v>
      </c>
      <c r="C2278" t="s">
        <v>480</v>
      </c>
      <c r="D2278" t="s">
        <v>481</v>
      </c>
      <c r="E2278">
        <v>3</v>
      </c>
      <c r="F2278">
        <v>8</v>
      </c>
      <c r="G2278">
        <v>400</v>
      </c>
      <c r="H2278">
        <v>11</v>
      </c>
      <c r="I2278">
        <v>25</v>
      </c>
      <c r="J2278">
        <v>12.5</v>
      </c>
      <c r="K2278">
        <v>12</v>
      </c>
      <c r="L2278">
        <v>25</v>
      </c>
      <c r="M2278">
        <v>137</v>
      </c>
      <c r="N2278">
        <v>137</v>
      </c>
    </row>
    <row r="2279" spans="1:14" hidden="1" x14ac:dyDescent="0.25">
      <c r="A2279" t="s">
        <v>344</v>
      </c>
      <c r="B2279" t="s">
        <v>482</v>
      </c>
      <c r="C2279" t="s">
        <v>488</v>
      </c>
      <c r="D2279" t="s">
        <v>487</v>
      </c>
      <c r="E2279">
        <v>2</v>
      </c>
      <c r="F2279">
        <v>3.5</v>
      </c>
      <c r="G2279">
        <v>30</v>
      </c>
      <c r="H2279">
        <v>7</v>
      </c>
      <c r="I2279">
        <v>2.2999999999999998</v>
      </c>
      <c r="J2279">
        <v>13.3</v>
      </c>
      <c r="K2279">
        <v>12</v>
      </c>
      <c r="L2279">
        <v>3.8</v>
      </c>
      <c r="M2279">
        <v>18</v>
      </c>
    </row>
    <row r="2280" spans="1:14" hidden="1" x14ac:dyDescent="0.25">
      <c r="A2280" t="s">
        <v>344</v>
      </c>
      <c r="B2280" t="s">
        <v>482</v>
      </c>
      <c r="C2280" t="s">
        <v>488</v>
      </c>
      <c r="D2280" t="s">
        <v>487</v>
      </c>
      <c r="E2280">
        <v>2</v>
      </c>
      <c r="F2280">
        <v>3.5</v>
      </c>
      <c r="G2280">
        <v>35</v>
      </c>
      <c r="H2280">
        <v>7</v>
      </c>
      <c r="I2280">
        <v>2.2999999999999998</v>
      </c>
      <c r="J2280">
        <v>13.3</v>
      </c>
      <c r="K2280">
        <v>12</v>
      </c>
      <c r="L2280">
        <v>3.8</v>
      </c>
      <c r="M2280">
        <v>21</v>
      </c>
    </row>
    <row r="2281" spans="1:14" hidden="1" x14ac:dyDescent="0.25">
      <c r="A2281" t="s">
        <v>344</v>
      </c>
      <c r="B2281" t="s">
        <v>482</v>
      </c>
      <c r="C2281" t="s">
        <v>488</v>
      </c>
      <c r="D2281" t="s">
        <v>487</v>
      </c>
      <c r="E2281">
        <v>2</v>
      </c>
      <c r="F2281">
        <v>3.5</v>
      </c>
      <c r="G2281">
        <v>40</v>
      </c>
      <c r="H2281">
        <v>7</v>
      </c>
      <c r="I2281">
        <v>2.2999999999999998</v>
      </c>
      <c r="J2281">
        <v>13.3</v>
      </c>
      <c r="K2281">
        <v>12</v>
      </c>
      <c r="L2281">
        <v>3.8</v>
      </c>
      <c r="M2281">
        <v>24</v>
      </c>
    </row>
    <row r="2282" spans="1:14" hidden="1" x14ac:dyDescent="0.25">
      <c r="A2282" t="s">
        <v>344</v>
      </c>
      <c r="B2282" t="s">
        <v>482</v>
      </c>
      <c r="C2282" t="s">
        <v>488</v>
      </c>
      <c r="D2282" t="s">
        <v>487</v>
      </c>
      <c r="E2282">
        <v>2</v>
      </c>
      <c r="F2282">
        <v>3.5</v>
      </c>
      <c r="G2282">
        <v>45</v>
      </c>
      <c r="H2282">
        <v>7</v>
      </c>
      <c r="I2282">
        <v>2.2999999999999998</v>
      </c>
      <c r="J2282">
        <v>13.3</v>
      </c>
      <c r="K2282">
        <v>12</v>
      </c>
      <c r="L2282">
        <v>3.8</v>
      </c>
      <c r="M2282">
        <v>27</v>
      </c>
    </row>
    <row r="2283" spans="1:14" hidden="1" x14ac:dyDescent="0.25">
      <c r="A2283" t="s">
        <v>344</v>
      </c>
      <c r="B2283" t="s">
        <v>482</v>
      </c>
      <c r="C2283" t="s">
        <v>488</v>
      </c>
      <c r="D2283" t="s">
        <v>487</v>
      </c>
      <c r="E2283">
        <v>2</v>
      </c>
      <c r="F2283">
        <v>3.5</v>
      </c>
      <c r="G2283">
        <v>50</v>
      </c>
      <c r="H2283">
        <v>7</v>
      </c>
      <c r="I2283">
        <v>2.2999999999999998</v>
      </c>
      <c r="J2283">
        <v>13.3</v>
      </c>
      <c r="K2283">
        <v>12</v>
      </c>
      <c r="L2283">
        <v>3.8</v>
      </c>
      <c r="M2283">
        <v>30</v>
      </c>
    </row>
    <row r="2284" spans="1:14" hidden="1" x14ac:dyDescent="0.25">
      <c r="A2284" t="s">
        <v>344</v>
      </c>
      <c r="B2284" t="s">
        <v>482</v>
      </c>
      <c r="C2284" t="s">
        <v>488</v>
      </c>
      <c r="D2284" t="s">
        <v>487</v>
      </c>
      <c r="E2284">
        <v>2</v>
      </c>
      <c r="F2284">
        <v>4</v>
      </c>
      <c r="G2284">
        <v>30</v>
      </c>
      <c r="H2284">
        <v>8</v>
      </c>
      <c r="I2284">
        <v>3.3</v>
      </c>
      <c r="J2284">
        <v>12.9</v>
      </c>
      <c r="K2284">
        <v>12</v>
      </c>
      <c r="L2284">
        <v>5</v>
      </c>
      <c r="M2284">
        <v>18</v>
      </c>
    </row>
    <row r="2285" spans="1:14" hidden="1" x14ac:dyDescent="0.25">
      <c r="A2285" t="s">
        <v>344</v>
      </c>
      <c r="B2285" t="s">
        <v>482</v>
      </c>
      <c r="C2285" t="s">
        <v>488</v>
      </c>
      <c r="D2285" t="s">
        <v>487</v>
      </c>
      <c r="E2285">
        <v>2</v>
      </c>
      <c r="F2285">
        <v>4</v>
      </c>
      <c r="G2285">
        <v>35</v>
      </c>
      <c r="H2285">
        <v>8</v>
      </c>
      <c r="I2285">
        <v>3.3</v>
      </c>
      <c r="J2285">
        <v>12.9</v>
      </c>
      <c r="K2285">
        <v>12</v>
      </c>
      <c r="L2285">
        <v>5</v>
      </c>
      <c r="M2285">
        <v>21</v>
      </c>
    </row>
    <row r="2286" spans="1:14" hidden="1" x14ac:dyDescent="0.25">
      <c r="A2286" t="s">
        <v>344</v>
      </c>
      <c r="B2286" t="s">
        <v>482</v>
      </c>
      <c r="C2286" t="s">
        <v>488</v>
      </c>
      <c r="D2286" t="s">
        <v>487</v>
      </c>
      <c r="E2286">
        <v>2</v>
      </c>
      <c r="F2286">
        <v>4</v>
      </c>
      <c r="G2286">
        <v>40</v>
      </c>
      <c r="H2286">
        <v>8</v>
      </c>
      <c r="I2286">
        <v>3.3</v>
      </c>
      <c r="J2286">
        <v>12.9</v>
      </c>
      <c r="K2286">
        <v>12</v>
      </c>
      <c r="L2286">
        <v>5</v>
      </c>
      <c r="M2286">
        <v>24</v>
      </c>
    </row>
    <row r="2287" spans="1:14" hidden="1" x14ac:dyDescent="0.25">
      <c r="A2287" t="s">
        <v>344</v>
      </c>
      <c r="B2287" t="s">
        <v>482</v>
      </c>
      <c r="C2287" t="s">
        <v>488</v>
      </c>
      <c r="D2287" t="s">
        <v>487</v>
      </c>
      <c r="E2287">
        <v>2</v>
      </c>
      <c r="F2287">
        <v>4</v>
      </c>
      <c r="G2287">
        <v>45</v>
      </c>
      <c r="H2287">
        <v>8</v>
      </c>
      <c r="I2287">
        <v>3.3</v>
      </c>
      <c r="J2287">
        <v>12.9</v>
      </c>
      <c r="K2287">
        <v>12</v>
      </c>
      <c r="L2287">
        <v>5</v>
      </c>
      <c r="M2287">
        <v>27</v>
      </c>
    </row>
    <row r="2288" spans="1:14" hidden="1" x14ac:dyDescent="0.25">
      <c r="A2288" t="s">
        <v>344</v>
      </c>
      <c r="B2288" t="s">
        <v>482</v>
      </c>
      <c r="C2288" t="s">
        <v>488</v>
      </c>
      <c r="D2288" t="s">
        <v>487</v>
      </c>
      <c r="E2288">
        <v>2</v>
      </c>
      <c r="F2288">
        <v>4</v>
      </c>
      <c r="G2288">
        <v>50</v>
      </c>
      <c r="H2288">
        <v>8</v>
      </c>
      <c r="I2288">
        <v>3.3</v>
      </c>
      <c r="J2288">
        <v>12.9</v>
      </c>
      <c r="K2288">
        <v>12</v>
      </c>
      <c r="L2288">
        <v>5</v>
      </c>
      <c r="M2288">
        <v>30</v>
      </c>
    </row>
    <row r="2289" spans="1:13" hidden="1" x14ac:dyDescent="0.25">
      <c r="A2289" t="s">
        <v>344</v>
      </c>
      <c r="B2289" t="s">
        <v>482</v>
      </c>
      <c r="C2289" t="s">
        <v>488</v>
      </c>
      <c r="D2289" t="s">
        <v>487</v>
      </c>
      <c r="E2289">
        <v>2</v>
      </c>
      <c r="F2289">
        <v>4</v>
      </c>
      <c r="G2289">
        <v>60</v>
      </c>
      <c r="H2289">
        <v>8</v>
      </c>
      <c r="I2289">
        <v>3.3</v>
      </c>
      <c r="J2289">
        <v>12.9</v>
      </c>
      <c r="K2289">
        <v>12</v>
      </c>
      <c r="L2289">
        <v>5</v>
      </c>
      <c r="M2289">
        <v>36</v>
      </c>
    </row>
    <row r="2290" spans="1:13" hidden="1" x14ac:dyDescent="0.25">
      <c r="A2290" t="s">
        <v>344</v>
      </c>
      <c r="B2290" t="s">
        <v>482</v>
      </c>
      <c r="C2290" t="s">
        <v>488</v>
      </c>
      <c r="D2290" t="s">
        <v>487</v>
      </c>
      <c r="E2290">
        <v>2</v>
      </c>
      <c r="F2290">
        <v>4</v>
      </c>
      <c r="G2290">
        <v>70</v>
      </c>
      <c r="H2290">
        <v>8</v>
      </c>
      <c r="I2290">
        <v>3.3</v>
      </c>
      <c r="J2290">
        <v>12.9</v>
      </c>
      <c r="K2290">
        <v>12</v>
      </c>
      <c r="L2290">
        <v>5</v>
      </c>
      <c r="M2290">
        <v>42</v>
      </c>
    </row>
    <row r="2291" spans="1:13" hidden="1" x14ac:dyDescent="0.25">
      <c r="A2291" t="s">
        <v>344</v>
      </c>
      <c r="B2291" t="s">
        <v>482</v>
      </c>
      <c r="C2291" t="s">
        <v>488</v>
      </c>
      <c r="D2291" t="s">
        <v>487</v>
      </c>
      <c r="E2291">
        <v>2</v>
      </c>
      <c r="F2291">
        <v>4</v>
      </c>
      <c r="G2291">
        <v>80</v>
      </c>
      <c r="H2291">
        <v>8</v>
      </c>
      <c r="I2291">
        <v>3.3</v>
      </c>
      <c r="J2291">
        <v>12.9</v>
      </c>
      <c r="K2291">
        <v>12</v>
      </c>
      <c r="L2291">
        <v>5</v>
      </c>
      <c r="M2291">
        <v>48</v>
      </c>
    </row>
    <row r="2292" spans="1:13" hidden="1" x14ac:dyDescent="0.25">
      <c r="A2292" t="s">
        <v>344</v>
      </c>
      <c r="B2292" t="s">
        <v>482</v>
      </c>
      <c r="C2292" t="s">
        <v>488</v>
      </c>
      <c r="D2292" t="s">
        <v>487</v>
      </c>
      <c r="E2292">
        <v>2</v>
      </c>
      <c r="F2292">
        <v>4.5</v>
      </c>
      <c r="G2292">
        <v>40</v>
      </c>
      <c r="H2292">
        <v>9</v>
      </c>
      <c r="I2292">
        <v>4.5</v>
      </c>
      <c r="J2292">
        <v>12.5</v>
      </c>
      <c r="K2292">
        <v>12</v>
      </c>
      <c r="L2292">
        <v>6.4</v>
      </c>
      <c r="M2292">
        <v>24</v>
      </c>
    </row>
    <row r="2293" spans="1:13" hidden="1" x14ac:dyDescent="0.25">
      <c r="A2293" t="s">
        <v>344</v>
      </c>
      <c r="B2293" t="s">
        <v>482</v>
      </c>
      <c r="C2293" t="s">
        <v>488</v>
      </c>
      <c r="D2293" t="s">
        <v>487</v>
      </c>
      <c r="E2293">
        <v>2</v>
      </c>
      <c r="F2293">
        <v>4.5</v>
      </c>
      <c r="G2293">
        <v>45</v>
      </c>
      <c r="H2293">
        <v>9</v>
      </c>
      <c r="I2293">
        <v>4.5</v>
      </c>
      <c r="J2293">
        <v>12.5</v>
      </c>
      <c r="K2293">
        <v>12</v>
      </c>
      <c r="L2293">
        <v>6.4</v>
      </c>
      <c r="M2293">
        <v>27</v>
      </c>
    </row>
    <row r="2294" spans="1:13" hidden="1" x14ac:dyDescent="0.25">
      <c r="A2294" t="s">
        <v>344</v>
      </c>
      <c r="B2294" t="s">
        <v>482</v>
      </c>
      <c r="C2294" t="s">
        <v>488</v>
      </c>
      <c r="D2294" t="s">
        <v>487</v>
      </c>
      <c r="E2294">
        <v>2</v>
      </c>
      <c r="F2294">
        <v>4.5</v>
      </c>
      <c r="G2294">
        <v>50</v>
      </c>
      <c r="H2294">
        <v>9</v>
      </c>
      <c r="I2294">
        <v>4.5</v>
      </c>
      <c r="J2294">
        <v>12.5</v>
      </c>
      <c r="K2294">
        <v>12</v>
      </c>
      <c r="L2294">
        <v>6.4</v>
      </c>
      <c r="M2294">
        <v>30</v>
      </c>
    </row>
    <row r="2295" spans="1:13" hidden="1" x14ac:dyDescent="0.25">
      <c r="A2295" t="s">
        <v>344</v>
      </c>
      <c r="B2295" t="s">
        <v>482</v>
      </c>
      <c r="C2295" t="s">
        <v>488</v>
      </c>
      <c r="D2295" t="s">
        <v>487</v>
      </c>
      <c r="E2295">
        <v>2</v>
      </c>
      <c r="F2295">
        <v>4.5</v>
      </c>
      <c r="G2295">
        <v>60</v>
      </c>
      <c r="H2295">
        <v>9</v>
      </c>
      <c r="I2295">
        <v>4.5</v>
      </c>
      <c r="J2295">
        <v>12.5</v>
      </c>
      <c r="K2295">
        <v>12</v>
      </c>
      <c r="L2295">
        <v>6.4</v>
      </c>
      <c r="M2295">
        <v>36</v>
      </c>
    </row>
    <row r="2296" spans="1:13" hidden="1" x14ac:dyDescent="0.25">
      <c r="A2296" t="s">
        <v>344</v>
      </c>
      <c r="B2296" t="s">
        <v>482</v>
      </c>
      <c r="C2296" t="s">
        <v>488</v>
      </c>
      <c r="D2296" t="s">
        <v>487</v>
      </c>
      <c r="E2296">
        <v>2</v>
      </c>
      <c r="F2296">
        <v>4.5</v>
      </c>
      <c r="G2296">
        <v>70</v>
      </c>
      <c r="H2296">
        <v>9</v>
      </c>
      <c r="I2296">
        <v>4.5</v>
      </c>
      <c r="J2296">
        <v>12.5</v>
      </c>
      <c r="K2296">
        <v>12</v>
      </c>
      <c r="L2296">
        <v>6.4</v>
      </c>
      <c r="M2296">
        <v>42</v>
      </c>
    </row>
    <row r="2297" spans="1:13" hidden="1" x14ac:dyDescent="0.25">
      <c r="A2297" t="s">
        <v>344</v>
      </c>
      <c r="B2297" t="s">
        <v>482</v>
      </c>
      <c r="C2297" t="s">
        <v>488</v>
      </c>
      <c r="D2297" t="s">
        <v>487</v>
      </c>
      <c r="E2297">
        <v>2</v>
      </c>
      <c r="F2297">
        <v>4.5</v>
      </c>
      <c r="G2297">
        <v>80</v>
      </c>
      <c r="H2297">
        <v>9</v>
      </c>
      <c r="I2297">
        <v>4.5</v>
      </c>
      <c r="J2297">
        <v>12.5</v>
      </c>
      <c r="K2297">
        <v>12</v>
      </c>
      <c r="L2297">
        <v>6.4</v>
      </c>
      <c r="M2297">
        <v>48</v>
      </c>
    </row>
    <row r="2298" spans="1:13" hidden="1" x14ac:dyDescent="0.25">
      <c r="A2298" t="s">
        <v>344</v>
      </c>
      <c r="B2298" t="s">
        <v>482</v>
      </c>
      <c r="C2298" t="s">
        <v>488</v>
      </c>
      <c r="D2298" t="s">
        <v>487</v>
      </c>
      <c r="E2298">
        <v>2</v>
      </c>
      <c r="F2298">
        <v>5</v>
      </c>
      <c r="G2298">
        <v>40</v>
      </c>
      <c r="H2298">
        <v>10</v>
      </c>
      <c r="I2298">
        <v>5.9</v>
      </c>
      <c r="J2298">
        <v>12.1</v>
      </c>
      <c r="K2298">
        <v>12</v>
      </c>
      <c r="L2298">
        <v>7.9</v>
      </c>
      <c r="M2298">
        <v>24</v>
      </c>
    </row>
    <row r="2299" spans="1:13" hidden="1" x14ac:dyDescent="0.25">
      <c r="A2299" t="s">
        <v>344</v>
      </c>
      <c r="B2299" t="s">
        <v>482</v>
      </c>
      <c r="C2299" t="s">
        <v>488</v>
      </c>
      <c r="D2299" t="s">
        <v>487</v>
      </c>
      <c r="E2299">
        <v>2</v>
      </c>
      <c r="F2299">
        <v>5</v>
      </c>
      <c r="G2299">
        <v>45</v>
      </c>
      <c r="H2299">
        <v>10</v>
      </c>
      <c r="I2299">
        <v>5.9</v>
      </c>
      <c r="J2299">
        <v>12.1</v>
      </c>
      <c r="K2299">
        <v>12</v>
      </c>
      <c r="L2299">
        <v>7.9</v>
      </c>
      <c r="M2299">
        <v>27</v>
      </c>
    </row>
    <row r="2300" spans="1:13" hidden="1" x14ac:dyDescent="0.25">
      <c r="A2300" t="s">
        <v>344</v>
      </c>
      <c r="B2300" t="s">
        <v>482</v>
      </c>
      <c r="C2300" t="s">
        <v>488</v>
      </c>
      <c r="D2300" t="s">
        <v>487</v>
      </c>
      <c r="E2300">
        <v>2</v>
      </c>
      <c r="F2300">
        <v>5</v>
      </c>
      <c r="G2300">
        <v>50</v>
      </c>
      <c r="H2300">
        <v>10</v>
      </c>
      <c r="I2300">
        <v>5.9</v>
      </c>
      <c r="J2300">
        <v>12.1</v>
      </c>
      <c r="K2300">
        <v>12</v>
      </c>
      <c r="L2300">
        <v>7.9</v>
      </c>
      <c r="M2300">
        <v>30</v>
      </c>
    </row>
    <row r="2301" spans="1:13" hidden="1" x14ac:dyDescent="0.25">
      <c r="A2301" t="s">
        <v>344</v>
      </c>
      <c r="B2301" t="s">
        <v>482</v>
      </c>
      <c r="C2301" t="s">
        <v>488</v>
      </c>
      <c r="D2301" t="s">
        <v>487</v>
      </c>
      <c r="E2301">
        <v>2</v>
      </c>
      <c r="F2301">
        <v>5</v>
      </c>
      <c r="G2301">
        <v>60</v>
      </c>
      <c r="H2301">
        <v>10</v>
      </c>
      <c r="I2301">
        <v>5.9</v>
      </c>
      <c r="J2301">
        <v>12.1</v>
      </c>
      <c r="K2301">
        <v>12</v>
      </c>
      <c r="L2301">
        <v>7.9</v>
      </c>
      <c r="M2301">
        <v>36</v>
      </c>
    </row>
    <row r="2302" spans="1:13" hidden="1" x14ac:dyDescent="0.25">
      <c r="A2302" t="s">
        <v>344</v>
      </c>
      <c r="B2302" t="s">
        <v>482</v>
      </c>
      <c r="C2302" t="s">
        <v>488</v>
      </c>
      <c r="D2302" t="s">
        <v>487</v>
      </c>
      <c r="E2302">
        <v>2</v>
      </c>
      <c r="F2302">
        <v>5</v>
      </c>
      <c r="G2302">
        <v>70</v>
      </c>
      <c r="H2302">
        <v>10</v>
      </c>
      <c r="I2302">
        <v>5.9</v>
      </c>
      <c r="J2302">
        <v>12.1</v>
      </c>
      <c r="K2302">
        <v>12</v>
      </c>
      <c r="L2302">
        <v>7.9</v>
      </c>
      <c r="M2302">
        <v>42</v>
      </c>
    </row>
    <row r="2303" spans="1:13" hidden="1" x14ac:dyDescent="0.25">
      <c r="A2303" t="s">
        <v>344</v>
      </c>
      <c r="B2303" t="s">
        <v>482</v>
      </c>
      <c r="C2303" t="s">
        <v>488</v>
      </c>
      <c r="D2303" t="s">
        <v>487</v>
      </c>
      <c r="E2303">
        <v>2</v>
      </c>
      <c r="F2303">
        <v>5</v>
      </c>
      <c r="G2303">
        <v>80</v>
      </c>
      <c r="H2303">
        <v>10</v>
      </c>
      <c r="I2303">
        <v>5.9</v>
      </c>
      <c r="J2303">
        <v>12.1</v>
      </c>
      <c r="K2303">
        <v>12</v>
      </c>
      <c r="L2303">
        <v>7.9</v>
      </c>
      <c r="M2303">
        <v>48</v>
      </c>
    </row>
    <row r="2304" spans="1:13" hidden="1" x14ac:dyDescent="0.25">
      <c r="A2304" t="s">
        <v>344</v>
      </c>
      <c r="B2304" t="s">
        <v>482</v>
      </c>
      <c r="C2304" t="s">
        <v>488</v>
      </c>
      <c r="D2304" t="s">
        <v>487</v>
      </c>
      <c r="E2304">
        <v>2</v>
      </c>
      <c r="F2304">
        <v>5</v>
      </c>
      <c r="G2304">
        <v>90</v>
      </c>
      <c r="H2304">
        <v>10</v>
      </c>
      <c r="I2304">
        <v>5.9</v>
      </c>
      <c r="J2304">
        <v>12.1</v>
      </c>
      <c r="K2304">
        <v>12</v>
      </c>
      <c r="L2304">
        <v>7.9</v>
      </c>
      <c r="M2304">
        <v>54</v>
      </c>
    </row>
    <row r="2305" spans="1:13" hidden="1" x14ac:dyDescent="0.25">
      <c r="A2305" t="s">
        <v>344</v>
      </c>
      <c r="B2305" t="s">
        <v>482</v>
      </c>
      <c r="C2305" t="s">
        <v>488</v>
      </c>
      <c r="D2305" t="s">
        <v>487</v>
      </c>
      <c r="E2305">
        <v>2</v>
      </c>
      <c r="F2305">
        <v>5</v>
      </c>
      <c r="G2305">
        <v>100</v>
      </c>
      <c r="H2305">
        <v>10</v>
      </c>
      <c r="I2305">
        <v>5.9</v>
      </c>
      <c r="J2305">
        <v>12.1</v>
      </c>
      <c r="K2305">
        <v>12</v>
      </c>
      <c r="L2305">
        <v>7.9</v>
      </c>
      <c r="M2305">
        <v>60</v>
      </c>
    </row>
    <row r="2306" spans="1:13" hidden="1" x14ac:dyDescent="0.25">
      <c r="A2306" t="s">
        <v>344</v>
      </c>
      <c r="B2306" t="s">
        <v>482</v>
      </c>
      <c r="C2306" t="s">
        <v>488</v>
      </c>
      <c r="D2306" t="s">
        <v>487</v>
      </c>
      <c r="E2306">
        <v>2</v>
      </c>
      <c r="F2306">
        <v>5</v>
      </c>
      <c r="G2306">
        <v>120</v>
      </c>
      <c r="H2306">
        <v>10</v>
      </c>
      <c r="I2306">
        <v>5.9</v>
      </c>
      <c r="J2306">
        <v>12.1</v>
      </c>
      <c r="K2306">
        <v>12</v>
      </c>
      <c r="L2306">
        <v>7.9</v>
      </c>
      <c r="M2306">
        <v>70</v>
      </c>
    </row>
    <row r="2307" spans="1:13" hidden="1" x14ac:dyDescent="0.25">
      <c r="A2307" t="s">
        <v>344</v>
      </c>
      <c r="B2307" t="s">
        <v>482</v>
      </c>
      <c r="C2307" t="s">
        <v>488</v>
      </c>
      <c r="D2307" t="s">
        <v>487</v>
      </c>
      <c r="E2307">
        <v>2</v>
      </c>
      <c r="F2307">
        <v>6</v>
      </c>
      <c r="G2307">
        <v>60</v>
      </c>
      <c r="H2307">
        <v>12</v>
      </c>
      <c r="I2307">
        <v>9.5</v>
      </c>
      <c r="J2307">
        <v>11.4</v>
      </c>
      <c r="K2307">
        <v>12</v>
      </c>
      <c r="L2307">
        <v>11</v>
      </c>
      <c r="M2307">
        <v>36</v>
      </c>
    </row>
    <row r="2308" spans="1:13" hidden="1" x14ac:dyDescent="0.25">
      <c r="A2308" t="s">
        <v>344</v>
      </c>
      <c r="B2308" t="s">
        <v>482</v>
      </c>
      <c r="C2308" t="s">
        <v>488</v>
      </c>
      <c r="D2308" t="s">
        <v>487</v>
      </c>
      <c r="E2308">
        <v>2</v>
      </c>
      <c r="F2308">
        <v>6</v>
      </c>
      <c r="G2308">
        <v>70</v>
      </c>
      <c r="H2308">
        <v>12</v>
      </c>
      <c r="I2308">
        <v>9.5</v>
      </c>
      <c r="J2308">
        <v>11.4</v>
      </c>
      <c r="K2308">
        <v>12</v>
      </c>
      <c r="L2308">
        <v>11</v>
      </c>
      <c r="M2308">
        <v>42</v>
      </c>
    </row>
    <row r="2309" spans="1:13" hidden="1" x14ac:dyDescent="0.25">
      <c r="A2309" t="s">
        <v>344</v>
      </c>
      <c r="B2309" t="s">
        <v>482</v>
      </c>
      <c r="C2309" t="s">
        <v>488</v>
      </c>
      <c r="D2309" t="s">
        <v>487</v>
      </c>
      <c r="E2309">
        <v>2</v>
      </c>
      <c r="F2309">
        <v>6</v>
      </c>
      <c r="G2309">
        <v>80</v>
      </c>
      <c r="H2309">
        <v>12</v>
      </c>
      <c r="I2309">
        <v>9.5</v>
      </c>
      <c r="J2309">
        <v>11.4</v>
      </c>
      <c r="K2309">
        <v>12</v>
      </c>
      <c r="L2309">
        <v>11</v>
      </c>
      <c r="M2309">
        <v>48</v>
      </c>
    </row>
    <row r="2310" spans="1:13" hidden="1" x14ac:dyDescent="0.25">
      <c r="A2310" t="s">
        <v>344</v>
      </c>
      <c r="B2310" t="s">
        <v>482</v>
      </c>
      <c r="C2310" t="s">
        <v>488</v>
      </c>
      <c r="D2310" t="s">
        <v>487</v>
      </c>
      <c r="E2310">
        <v>2</v>
      </c>
      <c r="F2310">
        <v>6</v>
      </c>
      <c r="G2310">
        <v>90</v>
      </c>
      <c r="H2310">
        <v>12</v>
      </c>
      <c r="I2310">
        <v>9.5</v>
      </c>
      <c r="J2310">
        <v>11.4</v>
      </c>
      <c r="K2310">
        <v>12</v>
      </c>
      <c r="L2310">
        <v>11</v>
      </c>
      <c r="M2310">
        <v>54</v>
      </c>
    </row>
    <row r="2311" spans="1:13" hidden="1" x14ac:dyDescent="0.25">
      <c r="A2311" t="s">
        <v>344</v>
      </c>
      <c r="B2311" t="s">
        <v>482</v>
      </c>
      <c r="C2311" t="s">
        <v>488</v>
      </c>
      <c r="D2311" t="s">
        <v>487</v>
      </c>
      <c r="E2311">
        <v>2</v>
      </c>
      <c r="F2311">
        <v>6</v>
      </c>
      <c r="G2311">
        <v>100</v>
      </c>
      <c r="H2311">
        <v>12</v>
      </c>
      <c r="I2311">
        <v>9.5</v>
      </c>
      <c r="J2311">
        <v>11.4</v>
      </c>
      <c r="K2311">
        <v>12</v>
      </c>
      <c r="L2311">
        <v>11</v>
      </c>
      <c r="M2311">
        <v>60</v>
      </c>
    </row>
    <row r="2312" spans="1:13" hidden="1" x14ac:dyDescent="0.25">
      <c r="A2312" t="s">
        <v>344</v>
      </c>
      <c r="B2312" t="s">
        <v>482</v>
      </c>
      <c r="C2312" t="s">
        <v>488</v>
      </c>
      <c r="D2312" t="s">
        <v>487</v>
      </c>
      <c r="E2312">
        <v>2</v>
      </c>
      <c r="F2312">
        <v>6</v>
      </c>
      <c r="G2312">
        <v>110</v>
      </c>
      <c r="H2312">
        <v>12</v>
      </c>
      <c r="I2312">
        <v>9.5</v>
      </c>
      <c r="J2312">
        <v>11.4</v>
      </c>
      <c r="K2312">
        <v>12</v>
      </c>
      <c r="L2312">
        <v>11</v>
      </c>
      <c r="M2312">
        <v>70</v>
      </c>
    </row>
    <row r="2313" spans="1:13" hidden="1" x14ac:dyDescent="0.25">
      <c r="A2313" t="s">
        <v>344</v>
      </c>
      <c r="B2313" t="s">
        <v>482</v>
      </c>
      <c r="C2313" t="s">
        <v>488</v>
      </c>
      <c r="D2313" t="s">
        <v>487</v>
      </c>
      <c r="E2313">
        <v>2</v>
      </c>
      <c r="F2313">
        <v>6</v>
      </c>
      <c r="G2313">
        <v>120</v>
      </c>
      <c r="H2313">
        <v>12</v>
      </c>
      <c r="I2313">
        <v>9.5</v>
      </c>
      <c r="J2313">
        <v>11.4</v>
      </c>
      <c r="K2313">
        <v>12</v>
      </c>
      <c r="L2313">
        <v>11</v>
      </c>
      <c r="M2313">
        <v>70</v>
      </c>
    </row>
    <row r="2314" spans="1:13" hidden="1" x14ac:dyDescent="0.25">
      <c r="A2314" t="s">
        <v>344</v>
      </c>
      <c r="B2314" t="s">
        <v>482</v>
      </c>
      <c r="C2314" t="s">
        <v>488</v>
      </c>
      <c r="D2314" t="s">
        <v>487</v>
      </c>
      <c r="E2314">
        <v>2</v>
      </c>
      <c r="F2314">
        <v>6</v>
      </c>
      <c r="G2314">
        <v>130</v>
      </c>
      <c r="H2314">
        <v>12</v>
      </c>
      <c r="I2314">
        <v>9.5</v>
      </c>
      <c r="J2314">
        <v>11.4</v>
      </c>
      <c r="K2314">
        <v>12</v>
      </c>
      <c r="L2314">
        <v>11</v>
      </c>
      <c r="M2314">
        <v>70</v>
      </c>
    </row>
    <row r="2315" spans="1:13" hidden="1" x14ac:dyDescent="0.25">
      <c r="A2315" t="s">
        <v>344</v>
      </c>
      <c r="B2315" t="s">
        <v>482</v>
      </c>
      <c r="C2315" t="s">
        <v>488</v>
      </c>
      <c r="D2315" t="s">
        <v>487</v>
      </c>
      <c r="E2315">
        <v>2</v>
      </c>
      <c r="F2315">
        <v>6</v>
      </c>
      <c r="G2315">
        <v>140</v>
      </c>
      <c r="H2315">
        <v>12</v>
      </c>
      <c r="I2315">
        <v>9.5</v>
      </c>
      <c r="J2315">
        <v>11.4</v>
      </c>
      <c r="K2315">
        <v>12</v>
      </c>
      <c r="L2315">
        <v>11</v>
      </c>
      <c r="M2315">
        <v>70</v>
      </c>
    </row>
    <row r="2316" spans="1:13" hidden="1" x14ac:dyDescent="0.25">
      <c r="A2316" t="s">
        <v>344</v>
      </c>
      <c r="B2316" t="s">
        <v>482</v>
      </c>
      <c r="C2316" t="s">
        <v>488</v>
      </c>
      <c r="D2316" t="s">
        <v>487</v>
      </c>
      <c r="E2316">
        <v>2</v>
      </c>
      <c r="F2316">
        <v>6</v>
      </c>
      <c r="G2316">
        <v>150</v>
      </c>
      <c r="H2316">
        <v>12</v>
      </c>
      <c r="I2316">
        <v>9.5</v>
      </c>
      <c r="J2316">
        <v>11.4</v>
      </c>
      <c r="K2316">
        <v>12</v>
      </c>
      <c r="L2316">
        <v>11</v>
      </c>
      <c r="M2316">
        <v>70</v>
      </c>
    </row>
    <row r="2317" spans="1:13" hidden="1" x14ac:dyDescent="0.25">
      <c r="A2317" t="s">
        <v>344</v>
      </c>
      <c r="B2317" t="s">
        <v>482</v>
      </c>
      <c r="C2317" t="s">
        <v>488</v>
      </c>
      <c r="D2317" t="s">
        <v>487</v>
      </c>
      <c r="E2317">
        <v>2</v>
      </c>
      <c r="F2317">
        <v>6</v>
      </c>
      <c r="G2317">
        <v>160</v>
      </c>
      <c r="H2317">
        <v>12</v>
      </c>
      <c r="I2317">
        <v>9.5</v>
      </c>
      <c r="J2317">
        <v>11.4</v>
      </c>
      <c r="K2317">
        <v>12</v>
      </c>
      <c r="L2317">
        <v>11</v>
      </c>
      <c r="M2317">
        <v>70</v>
      </c>
    </row>
    <row r="2318" spans="1:13" hidden="1" x14ac:dyDescent="0.25">
      <c r="A2318" t="s">
        <v>344</v>
      </c>
      <c r="B2318" t="s">
        <v>482</v>
      </c>
      <c r="C2318" t="s">
        <v>488</v>
      </c>
      <c r="D2318" t="s">
        <v>487</v>
      </c>
      <c r="E2318">
        <v>2</v>
      </c>
      <c r="F2318">
        <v>6</v>
      </c>
      <c r="G2318">
        <v>180</v>
      </c>
      <c r="H2318">
        <v>12</v>
      </c>
      <c r="I2318">
        <v>9.5</v>
      </c>
      <c r="J2318">
        <v>11.4</v>
      </c>
      <c r="K2318">
        <v>12</v>
      </c>
      <c r="L2318">
        <v>11</v>
      </c>
      <c r="M2318">
        <v>70</v>
      </c>
    </row>
    <row r="2319" spans="1:13" hidden="1" x14ac:dyDescent="0.25">
      <c r="A2319" t="s">
        <v>344</v>
      </c>
      <c r="B2319" t="s">
        <v>482</v>
      </c>
      <c r="C2319" t="s">
        <v>488</v>
      </c>
      <c r="D2319" t="s">
        <v>487</v>
      </c>
      <c r="E2319">
        <v>2</v>
      </c>
      <c r="F2319">
        <v>6</v>
      </c>
      <c r="G2319">
        <v>200</v>
      </c>
      <c r="H2319">
        <v>12</v>
      </c>
      <c r="I2319">
        <v>9.5</v>
      </c>
      <c r="J2319">
        <v>11.4</v>
      </c>
      <c r="K2319">
        <v>12</v>
      </c>
      <c r="L2319">
        <v>11</v>
      </c>
      <c r="M2319">
        <v>70</v>
      </c>
    </row>
    <row r="2320" spans="1:13" hidden="1" x14ac:dyDescent="0.25">
      <c r="A2320" t="s">
        <v>344</v>
      </c>
      <c r="B2320" t="s">
        <v>482</v>
      </c>
      <c r="C2320" t="s">
        <v>488</v>
      </c>
      <c r="D2320" t="s">
        <v>487</v>
      </c>
      <c r="E2320">
        <v>2</v>
      </c>
      <c r="F2320">
        <v>6</v>
      </c>
      <c r="G2320">
        <v>220</v>
      </c>
      <c r="H2320">
        <v>12</v>
      </c>
      <c r="I2320">
        <v>9.5</v>
      </c>
      <c r="J2320">
        <v>11.4</v>
      </c>
      <c r="K2320">
        <v>12</v>
      </c>
      <c r="L2320">
        <v>11</v>
      </c>
      <c r="M2320">
        <v>70</v>
      </c>
    </row>
    <row r="2321" spans="1:13" hidden="1" x14ac:dyDescent="0.25">
      <c r="A2321" t="s">
        <v>344</v>
      </c>
      <c r="B2321" t="s">
        <v>482</v>
      </c>
      <c r="C2321" t="s">
        <v>488</v>
      </c>
      <c r="D2321" t="s">
        <v>487</v>
      </c>
      <c r="E2321">
        <v>2</v>
      </c>
      <c r="F2321">
        <v>6</v>
      </c>
      <c r="G2321">
        <v>240</v>
      </c>
      <c r="H2321">
        <v>12</v>
      </c>
      <c r="I2321">
        <v>9.5</v>
      </c>
      <c r="J2321">
        <v>11.4</v>
      </c>
      <c r="K2321">
        <v>12</v>
      </c>
      <c r="L2321">
        <v>11</v>
      </c>
      <c r="M2321">
        <v>70</v>
      </c>
    </row>
    <row r="2322" spans="1:13" hidden="1" x14ac:dyDescent="0.25">
      <c r="A2322" t="s">
        <v>344</v>
      </c>
      <c r="B2322" t="s">
        <v>482</v>
      </c>
      <c r="C2322" t="s">
        <v>488</v>
      </c>
      <c r="D2322" t="s">
        <v>487</v>
      </c>
      <c r="E2322">
        <v>2</v>
      </c>
      <c r="F2322">
        <v>6</v>
      </c>
      <c r="G2322">
        <v>260</v>
      </c>
      <c r="H2322">
        <v>12</v>
      </c>
      <c r="I2322">
        <v>9.5</v>
      </c>
      <c r="J2322">
        <v>11.4</v>
      </c>
      <c r="K2322">
        <v>12</v>
      </c>
      <c r="L2322">
        <v>11</v>
      </c>
      <c r="M2322">
        <v>70</v>
      </c>
    </row>
    <row r="2323" spans="1:13" hidden="1" x14ac:dyDescent="0.25">
      <c r="A2323" t="s">
        <v>344</v>
      </c>
      <c r="B2323" t="s">
        <v>482</v>
      </c>
      <c r="C2323" t="s">
        <v>488</v>
      </c>
      <c r="D2323" t="s">
        <v>487</v>
      </c>
      <c r="E2323">
        <v>2</v>
      </c>
      <c r="F2323">
        <v>6</v>
      </c>
      <c r="G2323">
        <v>280</v>
      </c>
      <c r="H2323">
        <v>12</v>
      </c>
      <c r="I2323">
        <v>9.5</v>
      </c>
      <c r="J2323">
        <v>11.4</v>
      </c>
      <c r="K2323">
        <v>12</v>
      </c>
      <c r="L2323">
        <v>11</v>
      </c>
      <c r="M2323">
        <v>70</v>
      </c>
    </row>
    <row r="2324" spans="1:13" hidden="1" x14ac:dyDescent="0.25">
      <c r="A2324" t="s">
        <v>344</v>
      </c>
      <c r="B2324" t="s">
        <v>482</v>
      </c>
      <c r="C2324" t="s">
        <v>488</v>
      </c>
      <c r="D2324" t="s">
        <v>487</v>
      </c>
      <c r="E2324">
        <v>2</v>
      </c>
      <c r="F2324">
        <v>6</v>
      </c>
      <c r="G2324">
        <v>300</v>
      </c>
      <c r="H2324">
        <v>12</v>
      </c>
      <c r="I2324">
        <v>9.5</v>
      </c>
      <c r="J2324">
        <v>11.4</v>
      </c>
      <c r="K2324">
        <v>12</v>
      </c>
      <c r="L2324">
        <v>11</v>
      </c>
      <c r="M2324">
        <v>70</v>
      </c>
    </row>
    <row r="2325" spans="1:13" hidden="1" x14ac:dyDescent="0.25">
      <c r="A2325" t="s">
        <v>344</v>
      </c>
      <c r="B2325" t="s">
        <v>482</v>
      </c>
      <c r="C2325" t="s">
        <v>488</v>
      </c>
      <c r="D2325" t="s">
        <v>487</v>
      </c>
      <c r="E2325">
        <v>2</v>
      </c>
      <c r="F2325">
        <v>8</v>
      </c>
      <c r="G2325">
        <v>80</v>
      </c>
      <c r="H2325">
        <v>14.5</v>
      </c>
      <c r="I2325">
        <v>20</v>
      </c>
      <c r="J2325">
        <v>11.1</v>
      </c>
      <c r="K2325">
        <v>12</v>
      </c>
      <c r="L2325">
        <v>20</v>
      </c>
      <c r="M2325">
        <v>48</v>
      </c>
    </row>
    <row r="2326" spans="1:13" hidden="1" x14ac:dyDescent="0.25">
      <c r="A2326" t="s">
        <v>344</v>
      </c>
      <c r="B2326" t="s">
        <v>482</v>
      </c>
      <c r="C2326" t="s">
        <v>488</v>
      </c>
      <c r="D2326" t="s">
        <v>487</v>
      </c>
      <c r="E2326">
        <v>2</v>
      </c>
      <c r="F2326">
        <v>8</v>
      </c>
      <c r="G2326">
        <v>100</v>
      </c>
      <c r="H2326">
        <v>14.5</v>
      </c>
      <c r="I2326">
        <v>20</v>
      </c>
      <c r="J2326">
        <v>11.1</v>
      </c>
      <c r="K2326">
        <v>12</v>
      </c>
      <c r="L2326">
        <v>20</v>
      </c>
      <c r="M2326">
        <v>60</v>
      </c>
    </row>
    <row r="2327" spans="1:13" hidden="1" x14ac:dyDescent="0.25">
      <c r="A2327" t="s">
        <v>344</v>
      </c>
      <c r="B2327" t="s">
        <v>482</v>
      </c>
      <c r="C2327" t="s">
        <v>488</v>
      </c>
      <c r="D2327" t="s">
        <v>487</v>
      </c>
      <c r="E2327">
        <v>2</v>
      </c>
      <c r="F2327">
        <v>8</v>
      </c>
      <c r="G2327">
        <v>120</v>
      </c>
      <c r="H2327">
        <v>14.5</v>
      </c>
      <c r="I2327">
        <v>20</v>
      </c>
      <c r="J2327">
        <v>11.1</v>
      </c>
      <c r="K2327">
        <v>12</v>
      </c>
      <c r="L2327">
        <v>20</v>
      </c>
      <c r="M2327">
        <v>66</v>
      </c>
    </row>
    <row r="2328" spans="1:13" hidden="1" x14ac:dyDescent="0.25">
      <c r="A2328" t="s">
        <v>344</v>
      </c>
      <c r="B2328" t="s">
        <v>482</v>
      </c>
      <c r="C2328" t="s">
        <v>488</v>
      </c>
      <c r="D2328" t="s">
        <v>487</v>
      </c>
      <c r="E2328">
        <v>2</v>
      </c>
      <c r="F2328">
        <v>8</v>
      </c>
      <c r="G2328">
        <v>140</v>
      </c>
      <c r="H2328">
        <v>14.5</v>
      </c>
      <c r="I2328">
        <v>20</v>
      </c>
      <c r="J2328">
        <v>11.1</v>
      </c>
      <c r="K2328">
        <v>12</v>
      </c>
      <c r="L2328">
        <v>20</v>
      </c>
      <c r="M2328">
        <v>95</v>
      </c>
    </row>
    <row r="2329" spans="1:13" hidden="1" x14ac:dyDescent="0.25">
      <c r="A2329" t="s">
        <v>344</v>
      </c>
      <c r="B2329" t="s">
        <v>482</v>
      </c>
      <c r="C2329" t="s">
        <v>488</v>
      </c>
      <c r="D2329" t="s">
        <v>487</v>
      </c>
      <c r="E2329">
        <v>2</v>
      </c>
      <c r="F2329">
        <v>8</v>
      </c>
      <c r="G2329">
        <v>160</v>
      </c>
      <c r="H2329">
        <v>14.5</v>
      </c>
      <c r="I2329">
        <v>20</v>
      </c>
      <c r="J2329">
        <v>11.1</v>
      </c>
      <c r="K2329">
        <v>12</v>
      </c>
      <c r="L2329">
        <v>20</v>
      </c>
      <c r="M2329">
        <v>95</v>
      </c>
    </row>
    <row r="2330" spans="1:13" hidden="1" x14ac:dyDescent="0.25">
      <c r="A2330" t="s">
        <v>344</v>
      </c>
      <c r="B2330" t="s">
        <v>482</v>
      </c>
      <c r="C2330" t="s">
        <v>488</v>
      </c>
      <c r="D2330" t="s">
        <v>487</v>
      </c>
      <c r="E2330">
        <v>2</v>
      </c>
      <c r="F2330">
        <v>8</v>
      </c>
      <c r="G2330">
        <v>180</v>
      </c>
      <c r="H2330">
        <v>14.5</v>
      </c>
      <c r="I2330">
        <v>20</v>
      </c>
      <c r="J2330">
        <v>11.1</v>
      </c>
      <c r="K2330">
        <v>12</v>
      </c>
      <c r="L2330">
        <v>20</v>
      </c>
      <c r="M2330">
        <v>95</v>
      </c>
    </row>
    <row r="2331" spans="1:13" hidden="1" x14ac:dyDescent="0.25">
      <c r="A2331" t="s">
        <v>344</v>
      </c>
      <c r="B2331" t="s">
        <v>482</v>
      </c>
      <c r="C2331" t="s">
        <v>488</v>
      </c>
      <c r="D2331" t="s">
        <v>487</v>
      </c>
      <c r="E2331">
        <v>2</v>
      </c>
      <c r="F2331">
        <v>8</v>
      </c>
      <c r="G2331">
        <v>200</v>
      </c>
      <c r="H2331">
        <v>14.5</v>
      </c>
      <c r="I2331">
        <v>20</v>
      </c>
      <c r="J2331">
        <v>11.1</v>
      </c>
      <c r="K2331">
        <v>12</v>
      </c>
      <c r="L2331">
        <v>20</v>
      </c>
      <c r="M2331">
        <v>95</v>
      </c>
    </row>
    <row r="2332" spans="1:13" hidden="1" x14ac:dyDescent="0.25">
      <c r="A2332" t="s">
        <v>344</v>
      </c>
      <c r="B2332" t="s">
        <v>482</v>
      </c>
      <c r="C2332" t="s">
        <v>488</v>
      </c>
      <c r="D2332" t="s">
        <v>487</v>
      </c>
      <c r="E2332">
        <v>2</v>
      </c>
      <c r="F2332">
        <v>8</v>
      </c>
      <c r="G2332">
        <v>220</v>
      </c>
      <c r="H2332">
        <v>14.5</v>
      </c>
      <c r="I2332">
        <v>20</v>
      </c>
      <c r="J2332">
        <v>11.1</v>
      </c>
      <c r="K2332">
        <v>12</v>
      </c>
      <c r="L2332">
        <v>20</v>
      </c>
      <c r="M2332">
        <v>95</v>
      </c>
    </row>
    <row r="2333" spans="1:13" hidden="1" x14ac:dyDescent="0.25">
      <c r="A2333" t="s">
        <v>344</v>
      </c>
      <c r="B2333" t="s">
        <v>482</v>
      </c>
      <c r="C2333" t="s">
        <v>488</v>
      </c>
      <c r="D2333" t="s">
        <v>487</v>
      </c>
      <c r="E2333">
        <v>2</v>
      </c>
      <c r="F2333">
        <v>8</v>
      </c>
      <c r="G2333">
        <v>240</v>
      </c>
      <c r="H2333">
        <v>14.5</v>
      </c>
      <c r="I2333">
        <v>20</v>
      </c>
      <c r="J2333">
        <v>11.1</v>
      </c>
      <c r="K2333">
        <v>12</v>
      </c>
      <c r="L2333">
        <v>20</v>
      </c>
      <c r="M2333">
        <v>95</v>
      </c>
    </row>
    <row r="2334" spans="1:13" hidden="1" x14ac:dyDescent="0.25">
      <c r="A2334" t="s">
        <v>344</v>
      </c>
      <c r="B2334" t="s">
        <v>482</v>
      </c>
      <c r="C2334" t="s">
        <v>488</v>
      </c>
      <c r="D2334" t="s">
        <v>487</v>
      </c>
      <c r="E2334">
        <v>2</v>
      </c>
      <c r="F2334">
        <v>8</v>
      </c>
      <c r="G2334">
        <v>260</v>
      </c>
      <c r="H2334">
        <v>14.5</v>
      </c>
      <c r="I2334">
        <v>20</v>
      </c>
      <c r="J2334">
        <v>11.1</v>
      </c>
      <c r="K2334">
        <v>12</v>
      </c>
      <c r="L2334">
        <v>20</v>
      </c>
      <c r="M2334">
        <v>95</v>
      </c>
    </row>
    <row r="2335" spans="1:13" hidden="1" x14ac:dyDescent="0.25">
      <c r="A2335" t="s">
        <v>344</v>
      </c>
      <c r="B2335" t="s">
        <v>482</v>
      </c>
      <c r="C2335" t="s">
        <v>488</v>
      </c>
      <c r="D2335" t="s">
        <v>487</v>
      </c>
      <c r="E2335">
        <v>2</v>
      </c>
      <c r="F2335">
        <v>8</v>
      </c>
      <c r="G2335">
        <v>280</v>
      </c>
      <c r="H2335">
        <v>14.5</v>
      </c>
      <c r="I2335">
        <v>20</v>
      </c>
      <c r="J2335">
        <v>11.1</v>
      </c>
      <c r="K2335">
        <v>12</v>
      </c>
      <c r="L2335">
        <v>20</v>
      </c>
      <c r="M2335">
        <v>95</v>
      </c>
    </row>
    <row r="2336" spans="1:13" hidden="1" x14ac:dyDescent="0.25">
      <c r="A2336" t="s">
        <v>344</v>
      </c>
      <c r="B2336" t="s">
        <v>482</v>
      </c>
      <c r="C2336" t="s">
        <v>488</v>
      </c>
      <c r="D2336" t="s">
        <v>487</v>
      </c>
      <c r="E2336">
        <v>2</v>
      </c>
      <c r="F2336">
        <v>8</v>
      </c>
      <c r="G2336">
        <v>300</v>
      </c>
      <c r="H2336">
        <v>14.5</v>
      </c>
      <c r="I2336">
        <v>20</v>
      </c>
      <c r="J2336">
        <v>11.1</v>
      </c>
      <c r="K2336">
        <v>12</v>
      </c>
      <c r="L2336">
        <v>20</v>
      </c>
      <c r="M2336">
        <v>95</v>
      </c>
    </row>
    <row r="2337" spans="1:13" hidden="1" x14ac:dyDescent="0.25">
      <c r="A2337" t="s">
        <v>344</v>
      </c>
      <c r="B2337" t="s">
        <v>482</v>
      </c>
      <c r="C2337" t="s">
        <v>488</v>
      </c>
      <c r="D2337" t="s">
        <v>487</v>
      </c>
      <c r="E2337">
        <v>2</v>
      </c>
      <c r="F2337">
        <v>8</v>
      </c>
      <c r="G2337">
        <v>320</v>
      </c>
      <c r="H2337">
        <v>14.5</v>
      </c>
      <c r="I2337">
        <v>20</v>
      </c>
      <c r="J2337">
        <v>11.1</v>
      </c>
      <c r="K2337">
        <v>12</v>
      </c>
      <c r="L2337">
        <v>20</v>
      </c>
      <c r="M2337">
        <v>95</v>
      </c>
    </row>
    <row r="2338" spans="1:13" hidden="1" x14ac:dyDescent="0.25">
      <c r="A2338" t="s">
        <v>344</v>
      </c>
      <c r="B2338" t="s">
        <v>482</v>
      </c>
      <c r="C2338" t="s">
        <v>488</v>
      </c>
      <c r="D2338" t="s">
        <v>487</v>
      </c>
      <c r="E2338">
        <v>2</v>
      </c>
      <c r="F2338">
        <v>8</v>
      </c>
      <c r="G2338">
        <v>340</v>
      </c>
      <c r="H2338">
        <v>14.5</v>
      </c>
      <c r="I2338">
        <v>20</v>
      </c>
      <c r="J2338">
        <v>11.1</v>
      </c>
      <c r="K2338">
        <v>12</v>
      </c>
      <c r="L2338">
        <v>20</v>
      </c>
      <c r="M2338">
        <v>95</v>
      </c>
    </row>
    <row r="2339" spans="1:13" hidden="1" x14ac:dyDescent="0.25">
      <c r="A2339" t="s">
        <v>344</v>
      </c>
      <c r="B2339" t="s">
        <v>482</v>
      </c>
      <c r="C2339" t="s">
        <v>488</v>
      </c>
      <c r="D2339" t="s">
        <v>487</v>
      </c>
      <c r="E2339">
        <v>2</v>
      </c>
      <c r="F2339">
        <v>8</v>
      </c>
      <c r="G2339">
        <v>360</v>
      </c>
      <c r="H2339">
        <v>14.5</v>
      </c>
      <c r="I2339">
        <v>20</v>
      </c>
      <c r="J2339">
        <v>11.1</v>
      </c>
      <c r="K2339">
        <v>12</v>
      </c>
      <c r="L2339">
        <v>20</v>
      </c>
      <c r="M2339">
        <v>95</v>
      </c>
    </row>
    <row r="2340" spans="1:13" hidden="1" x14ac:dyDescent="0.25">
      <c r="A2340" t="s">
        <v>344</v>
      </c>
      <c r="B2340" t="s">
        <v>482</v>
      </c>
      <c r="C2340" t="s">
        <v>488</v>
      </c>
      <c r="D2340" t="s">
        <v>487</v>
      </c>
      <c r="E2340">
        <v>2</v>
      </c>
      <c r="F2340">
        <v>8</v>
      </c>
      <c r="G2340">
        <v>380</v>
      </c>
      <c r="H2340">
        <v>14.5</v>
      </c>
      <c r="I2340">
        <v>20</v>
      </c>
      <c r="J2340">
        <v>11.1</v>
      </c>
      <c r="K2340">
        <v>12</v>
      </c>
      <c r="L2340">
        <v>20</v>
      </c>
      <c r="M2340">
        <v>95</v>
      </c>
    </row>
    <row r="2341" spans="1:13" hidden="1" x14ac:dyDescent="0.25">
      <c r="A2341" t="s">
        <v>344</v>
      </c>
      <c r="B2341" t="s">
        <v>482</v>
      </c>
      <c r="C2341" t="s">
        <v>488</v>
      </c>
      <c r="D2341" t="s">
        <v>487</v>
      </c>
      <c r="E2341">
        <v>2</v>
      </c>
      <c r="F2341">
        <v>8</v>
      </c>
      <c r="G2341">
        <v>400</v>
      </c>
      <c r="H2341">
        <v>14.5</v>
      </c>
      <c r="I2341">
        <v>20</v>
      </c>
      <c r="J2341">
        <v>11.1</v>
      </c>
      <c r="K2341">
        <v>12</v>
      </c>
      <c r="L2341">
        <v>20</v>
      </c>
      <c r="M2341">
        <v>95</v>
      </c>
    </row>
    <row r="2342" spans="1:13" hidden="1" x14ac:dyDescent="0.25">
      <c r="A2342" t="s">
        <v>344</v>
      </c>
      <c r="B2342" t="s">
        <v>482</v>
      </c>
      <c r="C2342" t="s">
        <v>488</v>
      </c>
      <c r="D2342" t="s">
        <v>487</v>
      </c>
      <c r="E2342">
        <v>2</v>
      </c>
      <c r="F2342">
        <v>8</v>
      </c>
      <c r="G2342">
        <v>420</v>
      </c>
      <c r="H2342">
        <v>14.5</v>
      </c>
      <c r="I2342">
        <v>20</v>
      </c>
      <c r="J2342">
        <v>11.1</v>
      </c>
      <c r="K2342">
        <v>12</v>
      </c>
      <c r="L2342">
        <v>20</v>
      </c>
      <c r="M2342">
        <v>95</v>
      </c>
    </row>
    <row r="2343" spans="1:13" hidden="1" x14ac:dyDescent="0.25">
      <c r="A2343" t="s">
        <v>344</v>
      </c>
      <c r="B2343" t="s">
        <v>482</v>
      </c>
      <c r="C2343" t="s">
        <v>488</v>
      </c>
      <c r="D2343" t="s">
        <v>487</v>
      </c>
      <c r="E2343">
        <v>2</v>
      </c>
      <c r="F2343">
        <v>8</v>
      </c>
      <c r="G2343">
        <v>440</v>
      </c>
      <c r="H2343">
        <v>14.5</v>
      </c>
      <c r="I2343">
        <v>20</v>
      </c>
      <c r="J2343">
        <v>11.1</v>
      </c>
      <c r="K2343">
        <v>12</v>
      </c>
      <c r="L2343">
        <v>20</v>
      </c>
      <c r="M2343">
        <v>95</v>
      </c>
    </row>
    <row r="2344" spans="1:13" hidden="1" x14ac:dyDescent="0.25">
      <c r="A2344" t="s">
        <v>344</v>
      </c>
      <c r="B2344" t="s">
        <v>482</v>
      </c>
      <c r="C2344" t="s">
        <v>488</v>
      </c>
      <c r="D2344" t="s">
        <v>487</v>
      </c>
      <c r="E2344">
        <v>2</v>
      </c>
      <c r="F2344">
        <v>8</v>
      </c>
      <c r="G2344">
        <v>460</v>
      </c>
      <c r="H2344">
        <v>14.5</v>
      </c>
      <c r="I2344">
        <v>20</v>
      </c>
      <c r="J2344">
        <v>11.1</v>
      </c>
      <c r="K2344">
        <v>12</v>
      </c>
      <c r="L2344">
        <v>20</v>
      </c>
      <c r="M2344">
        <v>95</v>
      </c>
    </row>
    <row r="2345" spans="1:13" hidden="1" x14ac:dyDescent="0.25">
      <c r="A2345" t="s">
        <v>344</v>
      </c>
      <c r="B2345" t="s">
        <v>482</v>
      </c>
      <c r="C2345" t="s">
        <v>488</v>
      </c>
      <c r="D2345" t="s">
        <v>487</v>
      </c>
      <c r="E2345">
        <v>2</v>
      </c>
      <c r="F2345">
        <v>8</v>
      </c>
      <c r="G2345">
        <v>480</v>
      </c>
      <c r="H2345">
        <v>14.5</v>
      </c>
      <c r="I2345">
        <v>20</v>
      </c>
      <c r="J2345">
        <v>11.1</v>
      </c>
      <c r="K2345">
        <v>12</v>
      </c>
      <c r="L2345">
        <v>20</v>
      </c>
      <c r="M2345">
        <v>95</v>
      </c>
    </row>
    <row r="2346" spans="1:13" hidden="1" x14ac:dyDescent="0.25">
      <c r="A2346" t="s">
        <v>344</v>
      </c>
      <c r="B2346" t="s">
        <v>482</v>
      </c>
      <c r="C2346" t="s">
        <v>488</v>
      </c>
      <c r="D2346" t="s">
        <v>487</v>
      </c>
      <c r="E2346">
        <v>2</v>
      </c>
      <c r="F2346">
        <v>8</v>
      </c>
      <c r="G2346">
        <v>500</v>
      </c>
      <c r="H2346">
        <v>14.5</v>
      </c>
      <c r="I2346">
        <v>20</v>
      </c>
      <c r="J2346">
        <v>11.1</v>
      </c>
      <c r="K2346">
        <v>12</v>
      </c>
      <c r="L2346">
        <v>20</v>
      </c>
      <c r="M2346">
        <v>95</v>
      </c>
    </row>
    <row r="2347" spans="1:13" hidden="1" x14ac:dyDescent="0.25">
      <c r="A2347" t="s">
        <v>344</v>
      </c>
      <c r="B2347" t="s">
        <v>482</v>
      </c>
      <c r="C2347" t="s">
        <v>488</v>
      </c>
      <c r="D2347" t="s">
        <v>487</v>
      </c>
      <c r="E2347">
        <v>2</v>
      </c>
      <c r="F2347">
        <v>8</v>
      </c>
      <c r="G2347">
        <v>550</v>
      </c>
      <c r="H2347">
        <v>14.5</v>
      </c>
      <c r="I2347">
        <v>20</v>
      </c>
      <c r="J2347">
        <v>11.1</v>
      </c>
      <c r="K2347">
        <v>12</v>
      </c>
      <c r="L2347">
        <v>20</v>
      </c>
      <c r="M2347">
        <v>95</v>
      </c>
    </row>
    <row r="2348" spans="1:13" hidden="1" x14ac:dyDescent="0.25">
      <c r="A2348" t="s">
        <v>344</v>
      </c>
      <c r="B2348" t="s">
        <v>482</v>
      </c>
      <c r="C2348" t="s">
        <v>488</v>
      </c>
      <c r="D2348" t="s">
        <v>487</v>
      </c>
      <c r="E2348">
        <v>2</v>
      </c>
      <c r="F2348">
        <v>8</v>
      </c>
      <c r="G2348">
        <v>600</v>
      </c>
      <c r="H2348">
        <v>14.5</v>
      </c>
      <c r="I2348">
        <v>20</v>
      </c>
      <c r="J2348">
        <v>11.1</v>
      </c>
      <c r="K2348">
        <v>12</v>
      </c>
      <c r="L2348">
        <v>20</v>
      </c>
      <c r="M2348">
        <v>95</v>
      </c>
    </row>
    <row r="2349" spans="1:13" hidden="1" x14ac:dyDescent="0.25">
      <c r="A2349" t="s">
        <v>344</v>
      </c>
      <c r="B2349" t="s">
        <v>482</v>
      </c>
      <c r="C2349" t="s">
        <v>488</v>
      </c>
      <c r="D2349" t="s">
        <v>487</v>
      </c>
      <c r="E2349">
        <v>2</v>
      </c>
      <c r="F2349">
        <v>10</v>
      </c>
      <c r="G2349">
        <v>100</v>
      </c>
      <c r="H2349">
        <v>17.8</v>
      </c>
      <c r="I2349">
        <v>35.799999999999997</v>
      </c>
      <c r="J2349">
        <v>10.8</v>
      </c>
      <c r="K2349">
        <v>12</v>
      </c>
      <c r="L2349">
        <v>28</v>
      </c>
      <c r="M2349">
        <v>60</v>
      </c>
    </row>
    <row r="2350" spans="1:13" hidden="1" x14ac:dyDescent="0.25">
      <c r="A2350" t="s">
        <v>344</v>
      </c>
      <c r="B2350" t="s">
        <v>482</v>
      </c>
      <c r="C2350" t="s">
        <v>488</v>
      </c>
      <c r="D2350" t="s">
        <v>487</v>
      </c>
      <c r="E2350">
        <v>2</v>
      </c>
      <c r="F2350">
        <v>10</v>
      </c>
      <c r="G2350">
        <v>120</v>
      </c>
      <c r="H2350">
        <v>17.8</v>
      </c>
      <c r="I2350">
        <v>35.799999999999997</v>
      </c>
      <c r="J2350">
        <v>10.8</v>
      </c>
      <c r="K2350">
        <v>12</v>
      </c>
      <c r="L2350">
        <v>28</v>
      </c>
      <c r="M2350">
        <v>70</v>
      </c>
    </row>
    <row r="2351" spans="1:13" hidden="1" x14ac:dyDescent="0.25">
      <c r="A2351" t="s">
        <v>344</v>
      </c>
      <c r="B2351" t="s">
        <v>482</v>
      </c>
      <c r="C2351" t="s">
        <v>488</v>
      </c>
      <c r="D2351" t="s">
        <v>487</v>
      </c>
      <c r="E2351">
        <v>2</v>
      </c>
      <c r="F2351">
        <v>10</v>
      </c>
      <c r="G2351">
        <v>140</v>
      </c>
      <c r="H2351">
        <v>17.8</v>
      </c>
      <c r="I2351">
        <v>35.799999999999997</v>
      </c>
      <c r="J2351">
        <v>10.8</v>
      </c>
      <c r="K2351">
        <v>12</v>
      </c>
      <c r="L2351">
        <v>28</v>
      </c>
      <c r="M2351">
        <v>100</v>
      </c>
    </row>
    <row r="2352" spans="1:13" hidden="1" x14ac:dyDescent="0.25">
      <c r="A2352" t="s">
        <v>344</v>
      </c>
      <c r="B2352" t="s">
        <v>482</v>
      </c>
      <c r="C2352" t="s">
        <v>488</v>
      </c>
      <c r="D2352" t="s">
        <v>487</v>
      </c>
      <c r="E2352">
        <v>2</v>
      </c>
      <c r="F2352">
        <v>10</v>
      </c>
      <c r="G2352">
        <v>160</v>
      </c>
      <c r="H2352">
        <v>17.8</v>
      </c>
      <c r="I2352">
        <v>35.799999999999997</v>
      </c>
      <c r="J2352">
        <v>10.8</v>
      </c>
      <c r="K2352">
        <v>12</v>
      </c>
      <c r="L2352">
        <v>28</v>
      </c>
      <c r="M2352">
        <v>100</v>
      </c>
    </row>
    <row r="2353" spans="1:13" hidden="1" x14ac:dyDescent="0.25">
      <c r="A2353" t="s">
        <v>344</v>
      </c>
      <c r="B2353" t="s">
        <v>482</v>
      </c>
      <c r="C2353" t="s">
        <v>488</v>
      </c>
      <c r="D2353" t="s">
        <v>487</v>
      </c>
      <c r="E2353">
        <v>2</v>
      </c>
      <c r="F2353">
        <v>10</v>
      </c>
      <c r="G2353">
        <v>180</v>
      </c>
      <c r="H2353">
        <v>17.8</v>
      </c>
      <c r="I2353">
        <v>35.799999999999997</v>
      </c>
      <c r="J2353">
        <v>10.8</v>
      </c>
      <c r="K2353">
        <v>12</v>
      </c>
      <c r="L2353">
        <v>28</v>
      </c>
      <c r="M2353">
        <v>100</v>
      </c>
    </row>
    <row r="2354" spans="1:13" hidden="1" x14ac:dyDescent="0.25">
      <c r="A2354" t="s">
        <v>344</v>
      </c>
      <c r="B2354" t="s">
        <v>482</v>
      </c>
      <c r="C2354" t="s">
        <v>488</v>
      </c>
      <c r="D2354" t="s">
        <v>487</v>
      </c>
      <c r="E2354">
        <v>2</v>
      </c>
      <c r="F2354">
        <v>10</v>
      </c>
      <c r="G2354">
        <v>200</v>
      </c>
      <c r="H2354">
        <v>17.8</v>
      </c>
      <c r="I2354">
        <v>35.799999999999997</v>
      </c>
      <c r="J2354">
        <v>10.8</v>
      </c>
      <c r="K2354">
        <v>12</v>
      </c>
      <c r="L2354">
        <v>28</v>
      </c>
      <c r="M2354">
        <v>100</v>
      </c>
    </row>
    <row r="2355" spans="1:13" hidden="1" x14ac:dyDescent="0.25">
      <c r="A2355" t="s">
        <v>344</v>
      </c>
      <c r="B2355" t="s">
        <v>482</v>
      </c>
      <c r="C2355" t="s">
        <v>488</v>
      </c>
      <c r="D2355" t="s">
        <v>487</v>
      </c>
      <c r="E2355">
        <v>2</v>
      </c>
      <c r="F2355">
        <v>10</v>
      </c>
      <c r="G2355">
        <v>220</v>
      </c>
      <c r="H2355">
        <v>17.8</v>
      </c>
      <c r="I2355">
        <v>35.799999999999997</v>
      </c>
      <c r="J2355">
        <v>10.8</v>
      </c>
      <c r="K2355">
        <v>12</v>
      </c>
      <c r="L2355">
        <v>28</v>
      </c>
      <c r="M2355">
        <v>100</v>
      </c>
    </row>
    <row r="2356" spans="1:13" hidden="1" x14ac:dyDescent="0.25">
      <c r="A2356" t="s">
        <v>344</v>
      </c>
      <c r="B2356" t="s">
        <v>482</v>
      </c>
      <c r="C2356" t="s">
        <v>488</v>
      </c>
      <c r="D2356" t="s">
        <v>487</v>
      </c>
      <c r="E2356">
        <v>2</v>
      </c>
      <c r="F2356">
        <v>10</v>
      </c>
      <c r="G2356">
        <v>240</v>
      </c>
      <c r="H2356">
        <v>17.8</v>
      </c>
      <c r="I2356">
        <v>35.799999999999997</v>
      </c>
      <c r="J2356">
        <v>10.8</v>
      </c>
      <c r="K2356">
        <v>12</v>
      </c>
      <c r="L2356">
        <v>28</v>
      </c>
      <c r="M2356">
        <v>100</v>
      </c>
    </row>
    <row r="2357" spans="1:13" hidden="1" x14ac:dyDescent="0.25">
      <c r="A2357" t="s">
        <v>344</v>
      </c>
      <c r="B2357" t="s">
        <v>482</v>
      </c>
      <c r="C2357" t="s">
        <v>488</v>
      </c>
      <c r="D2357" t="s">
        <v>487</v>
      </c>
      <c r="E2357">
        <v>2</v>
      </c>
      <c r="F2357">
        <v>10</v>
      </c>
      <c r="G2357">
        <v>260</v>
      </c>
      <c r="H2357">
        <v>17.8</v>
      </c>
      <c r="I2357">
        <v>35.799999999999997</v>
      </c>
      <c r="J2357">
        <v>10.8</v>
      </c>
      <c r="K2357">
        <v>12</v>
      </c>
      <c r="L2357">
        <v>28</v>
      </c>
      <c r="M2357">
        <v>100</v>
      </c>
    </row>
    <row r="2358" spans="1:13" hidden="1" x14ac:dyDescent="0.25">
      <c r="A2358" t="s">
        <v>344</v>
      </c>
      <c r="B2358" t="s">
        <v>482</v>
      </c>
      <c r="C2358" t="s">
        <v>488</v>
      </c>
      <c r="D2358" t="s">
        <v>487</v>
      </c>
      <c r="E2358">
        <v>2</v>
      </c>
      <c r="F2358">
        <v>10</v>
      </c>
      <c r="G2358">
        <v>280</v>
      </c>
      <c r="H2358">
        <v>17.8</v>
      </c>
      <c r="I2358">
        <v>35.799999999999997</v>
      </c>
      <c r="J2358">
        <v>10.8</v>
      </c>
      <c r="K2358">
        <v>12</v>
      </c>
      <c r="L2358">
        <v>28</v>
      </c>
      <c r="M2358">
        <v>100</v>
      </c>
    </row>
    <row r="2359" spans="1:13" hidden="1" x14ac:dyDescent="0.25">
      <c r="A2359" t="s">
        <v>344</v>
      </c>
      <c r="B2359" t="s">
        <v>482</v>
      </c>
      <c r="C2359" t="s">
        <v>488</v>
      </c>
      <c r="D2359" t="s">
        <v>487</v>
      </c>
      <c r="E2359">
        <v>2</v>
      </c>
      <c r="F2359">
        <v>10</v>
      </c>
      <c r="G2359">
        <v>300</v>
      </c>
      <c r="H2359">
        <v>17.8</v>
      </c>
      <c r="I2359">
        <v>35.799999999999997</v>
      </c>
      <c r="J2359">
        <v>10.8</v>
      </c>
      <c r="K2359">
        <v>12</v>
      </c>
      <c r="L2359">
        <v>28</v>
      </c>
      <c r="M2359">
        <v>100</v>
      </c>
    </row>
    <row r="2360" spans="1:13" hidden="1" x14ac:dyDescent="0.25">
      <c r="A2360" t="s">
        <v>344</v>
      </c>
      <c r="B2360" t="s">
        <v>482</v>
      </c>
      <c r="C2360" t="s">
        <v>488</v>
      </c>
      <c r="D2360" t="s">
        <v>487</v>
      </c>
      <c r="E2360">
        <v>2</v>
      </c>
      <c r="F2360">
        <v>10</v>
      </c>
      <c r="G2360">
        <v>320</v>
      </c>
      <c r="H2360">
        <v>17.8</v>
      </c>
      <c r="I2360">
        <v>35.799999999999997</v>
      </c>
      <c r="J2360">
        <v>10.8</v>
      </c>
      <c r="K2360">
        <v>12</v>
      </c>
      <c r="L2360">
        <v>28</v>
      </c>
      <c r="M2360">
        <v>100</v>
      </c>
    </row>
    <row r="2361" spans="1:13" hidden="1" x14ac:dyDescent="0.25">
      <c r="A2361" t="s">
        <v>344</v>
      </c>
      <c r="B2361" t="s">
        <v>482</v>
      </c>
      <c r="C2361" t="s">
        <v>488</v>
      </c>
      <c r="D2361" t="s">
        <v>487</v>
      </c>
      <c r="E2361">
        <v>2</v>
      </c>
      <c r="F2361">
        <v>10</v>
      </c>
      <c r="G2361">
        <v>340</v>
      </c>
      <c r="H2361">
        <v>17.8</v>
      </c>
      <c r="I2361">
        <v>35.799999999999997</v>
      </c>
      <c r="J2361">
        <v>10.8</v>
      </c>
      <c r="K2361">
        <v>12</v>
      </c>
      <c r="L2361">
        <v>28</v>
      </c>
      <c r="M2361">
        <v>100</v>
      </c>
    </row>
    <row r="2362" spans="1:13" hidden="1" x14ac:dyDescent="0.25">
      <c r="A2362" t="s">
        <v>344</v>
      </c>
      <c r="B2362" t="s">
        <v>482</v>
      </c>
      <c r="C2362" t="s">
        <v>488</v>
      </c>
      <c r="D2362" t="s">
        <v>487</v>
      </c>
      <c r="E2362">
        <v>2</v>
      </c>
      <c r="F2362">
        <v>10</v>
      </c>
      <c r="G2362">
        <v>360</v>
      </c>
      <c r="H2362">
        <v>17.8</v>
      </c>
      <c r="I2362">
        <v>35.799999999999997</v>
      </c>
      <c r="J2362">
        <v>10.8</v>
      </c>
      <c r="K2362">
        <v>12</v>
      </c>
      <c r="L2362">
        <v>28</v>
      </c>
      <c r="M2362">
        <v>100</v>
      </c>
    </row>
    <row r="2363" spans="1:13" hidden="1" x14ac:dyDescent="0.25">
      <c r="A2363" t="s">
        <v>344</v>
      </c>
      <c r="B2363" t="s">
        <v>482</v>
      </c>
      <c r="C2363" t="s">
        <v>488</v>
      </c>
      <c r="D2363" t="s">
        <v>487</v>
      </c>
      <c r="E2363">
        <v>2</v>
      </c>
      <c r="F2363">
        <v>10</v>
      </c>
      <c r="G2363">
        <v>380</v>
      </c>
      <c r="H2363">
        <v>17.8</v>
      </c>
      <c r="I2363">
        <v>35.799999999999997</v>
      </c>
      <c r="J2363">
        <v>10.8</v>
      </c>
      <c r="K2363">
        <v>12</v>
      </c>
      <c r="L2363">
        <v>28</v>
      </c>
      <c r="M2363">
        <v>100</v>
      </c>
    </row>
    <row r="2364" spans="1:13" hidden="1" x14ac:dyDescent="0.25">
      <c r="A2364" t="s">
        <v>344</v>
      </c>
      <c r="B2364" t="s">
        <v>482</v>
      </c>
      <c r="C2364" t="s">
        <v>488</v>
      </c>
      <c r="D2364" t="s">
        <v>487</v>
      </c>
      <c r="E2364">
        <v>2</v>
      </c>
      <c r="F2364">
        <v>10</v>
      </c>
      <c r="G2364">
        <v>400</v>
      </c>
      <c r="H2364">
        <v>17.8</v>
      </c>
      <c r="I2364">
        <v>35.799999999999997</v>
      </c>
      <c r="J2364">
        <v>10.8</v>
      </c>
      <c r="K2364">
        <v>12</v>
      </c>
      <c r="L2364">
        <v>28</v>
      </c>
      <c r="M2364">
        <v>100</v>
      </c>
    </row>
    <row r="2365" spans="1:13" hidden="1" x14ac:dyDescent="0.25">
      <c r="A2365" t="s">
        <v>344</v>
      </c>
      <c r="B2365" t="s">
        <v>482</v>
      </c>
      <c r="C2365" t="s">
        <v>489</v>
      </c>
      <c r="D2365" t="s">
        <v>490</v>
      </c>
      <c r="E2365">
        <v>2</v>
      </c>
      <c r="F2365">
        <v>4</v>
      </c>
      <c r="G2365">
        <v>40</v>
      </c>
      <c r="H2365">
        <v>10</v>
      </c>
      <c r="I2365">
        <v>3.3</v>
      </c>
      <c r="J2365">
        <v>12.9</v>
      </c>
      <c r="K2365">
        <v>12</v>
      </c>
      <c r="L2365">
        <v>5</v>
      </c>
      <c r="M2365">
        <v>24</v>
      </c>
    </row>
    <row r="2366" spans="1:13" hidden="1" x14ac:dyDescent="0.25">
      <c r="A2366" t="s">
        <v>344</v>
      </c>
      <c r="B2366" t="s">
        <v>482</v>
      </c>
      <c r="C2366" t="s">
        <v>489</v>
      </c>
      <c r="D2366" t="s">
        <v>490</v>
      </c>
      <c r="E2366">
        <v>2</v>
      </c>
      <c r="F2366">
        <v>4</v>
      </c>
      <c r="G2366">
        <v>50</v>
      </c>
      <c r="H2366">
        <v>10</v>
      </c>
      <c r="I2366">
        <v>3.3</v>
      </c>
      <c r="J2366">
        <v>12.9</v>
      </c>
      <c r="K2366">
        <v>12</v>
      </c>
      <c r="L2366">
        <v>5</v>
      </c>
      <c r="M2366">
        <v>30</v>
      </c>
    </row>
    <row r="2367" spans="1:13" hidden="1" x14ac:dyDescent="0.25">
      <c r="A2367" t="s">
        <v>344</v>
      </c>
      <c r="B2367" t="s">
        <v>482</v>
      </c>
      <c r="C2367" t="s">
        <v>489</v>
      </c>
      <c r="D2367" t="s">
        <v>490</v>
      </c>
      <c r="E2367">
        <v>2</v>
      </c>
      <c r="F2367">
        <v>4</v>
      </c>
      <c r="G2367">
        <v>60</v>
      </c>
      <c r="H2367">
        <v>10</v>
      </c>
      <c r="I2367">
        <v>3.3</v>
      </c>
      <c r="J2367">
        <v>12.9</v>
      </c>
      <c r="K2367">
        <v>12</v>
      </c>
      <c r="L2367">
        <v>5</v>
      </c>
      <c r="M2367">
        <v>36</v>
      </c>
    </row>
    <row r="2368" spans="1:13" hidden="1" x14ac:dyDescent="0.25">
      <c r="A2368" t="s">
        <v>344</v>
      </c>
      <c r="B2368" t="s">
        <v>482</v>
      </c>
      <c r="C2368" t="s">
        <v>489</v>
      </c>
      <c r="D2368" t="s">
        <v>490</v>
      </c>
      <c r="E2368">
        <v>2</v>
      </c>
      <c r="F2368">
        <v>4.5</v>
      </c>
      <c r="G2368">
        <v>50</v>
      </c>
      <c r="H2368">
        <v>11</v>
      </c>
      <c r="I2368">
        <v>4.5</v>
      </c>
      <c r="J2368">
        <v>12.5</v>
      </c>
      <c r="K2368">
        <v>12</v>
      </c>
      <c r="L2368">
        <v>6.4</v>
      </c>
      <c r="M2368">
        <v>30</v>
      </c>
    </row>
    <row r="2369" spans="1:13" hidden="1" x14ac:dyDescent="0.25">
      <c r="A2369" t="s">
        <v>344</v>
      </c>
      <c r="B2369" t="s">
        <v>482</v>
      </c>
      <c r="C2369" t="s">
        <v>489</v>
      </c>
      <c r="D2369" t="s">
        <v>490</v>
      </c>
      <c r="E2369">
        <v>2</v>
      </c>
      <c r="F2369">
        <v>4.5</v>
      </c>
      <c r="G2369">
        <v>60</v>
      </c>
      <c r="H2369">
        <v>11</v>
      </c>
      <c r="I2369">
        <v>4.5</v>
      </c>
      <c r="J2369">
        <v>12.5</v>
      </c>
      <c r="K2369">
        <v>12</v>
      </c>
      <c r="L2369">
        <v>6.4</v>
      </c>
      <c r="M2369">
        <v>36</v>
      </c>
    </row>
    <row r="2370" spans="1:13" hidden="1" x14ac:dyDescent="0.25">
      <c r="A2370" t="s">
        <v>344</v>
      </c>
      <c r="B2370" t="s">
        <v>482</v>
      </c>
      <c r="C2370" t="s">
        <v>489</v>
      </c>
      <c r="D2370" t="s">
        <v>490</v>
      </c>
      <c r="E2370">
        <v>2</v>
      </c>
      <c r="F2370">
        <v>4.5</v>
      </c>
      <c r="G2370">
        <v>70</v>
      </c>
      <c r="H2370">
        <v>11</v>
      </c>
      <c r="I2370">
        <v>4.5</v>
      </c>
      <c r="J2370">
        <v>12.5</v>
      </c>
      <c r="K2370">
        <v>12</v>
      </c>
      <c r="L2370">
        <v>6.4</v>
      </c>
      <c r="M2370">
        <v>42</v>
      </c>
    </row>
    <row r="2371" spans="1:13" hidden="1" x14ac:dyDescent="0.25">
      <c r="A2371" t="s">
        <v>344</v>
      </c>
      <c r="B2371" t="s">
        <v>482</v>
      </c>
      <c r="C2371" t="s">
        <v>489</v>
      </c>
      <c r="D2371" t="s">
        <v>490</v>
      </c>
      <c r="E2371">
        <v>2</v>
      </c>
      <c r="F2371">
        <v>5</v>
      </c>
      <c r="G2371">
        <v>50</v>
      </c>
      <c r="H2371">
        <v>12</v>
      </c>
      <c r="I2371">
        <v>5.9</v>
      </c>
      <c r="J2371">
        <v>12.1</v>
      </c>
      <c r="K2371">
        <v>12</v>
      </c>
      <c r="L2371">
        <v>7.9</v>
      </c>
      <c r="M2371">
        <v>30</v>
      </c>
    </row>
    <row r="2372" spans="1:13" hidden="1" x14ac:dyDescent="0.25">
      <c r="A2372" t="s">
        <v>344</v>
      </c>
      <c r="B2372" t="s">
        <v>482</v>
      </c>
      <c r="C2372" t="s">
        <v>489</v>
      </c>
      <c r="D2372" t="s">
        <v>490</v>
      </c>
      <c r="E2372">
        <v>2</v>
      </c>
      <c r="F2372">
        <v>5</v>
      </c>
      <c r="G2372">
        <v>60</v>
      </c>
      <c r="H2372">
        <v>12</v>
      </c>
      <c r="I2372">
        <v>5.9</v>
      </c>
      <c r="J2372">
        <v>12.1</v>
      </c>
      <c r="K2372">
        <v>12</v>
      </c>
      <c r="L2372">
        <v>7.9</v>
      </c>
      <c r="M2372">
        <v>36</v>
      </c>
    </row>
    <row r="2373" spans="1:13" hidden="1" x14ac:dyDescent="0.25">
      <c r="A2373" t="s">
        <v>344</v>
      </c>
      <c r="B2373" t="s">
        <v>482</v>
      </c>
      <c r="C2373" t="s">
        <v>489</v>
      </c>
      <c r="D2373" t="s">
        <v>490</v>
      </c>
      <c r="E2373">
        <v>2</v>
      </c>
      <c r="F2373">
        <v>5</v>
      </c>
      <c r="G2373">
        <v>70</v>
      </c>
      <c r="H2373">
        <v>12</v>
      </c>
      <c r="I2373">
        <v>5.9</v>
      </c>
      <c r="J2373">
        <v>12.1</v>
      </c>
      <c r="K2373">
        <v>12</v>
      </c>
      <c r="L2373">
        <v>7.9</v>
      </c>
      <c r="M2373">
        <v>42</v>
      </c>
    </row>
    <row r="2374" spans="1:13" hidden="1" x14ac:dyDescent="0.25">
      <c r="A2374" t="s">
        <v>344</v>
      </c>
      <c r="B2374" t="s">
        <v>482</v>
      </c>
      <c r="C2374" t="s">
        <v>489</v>
      </c>
      <c r="D2374" t="s">
        <v>490</v>
      </c>
      <c r="E2374">
        <v>2</v>
      </c>
      <c r="F2374">
        <v>5</v>
      </c>
      <c r="G2374">
        <v>80</v>
      </c>
      <c r="H2374">
        <v>12</v>
      </c>
      <c r="I2374">
        <v>5.9</v>
      </c>
      <c r="J2374">
        <v>12.1</v>
      </c>
      <c r="K2374">
        <v>12</v>
      </c>
      <c r="L2374">
        <v>7.9</v>
      </c>
      <c r="M2374">
        <v>48</v>
      </c>
    </row>
    <row r="2375" spans="1:13" hidden="1" x14ac:dyDescent="0.25">
      <c r="A2375" t="s">
        <v>344</v>
      </c>
      <c r="B2375" t="s">
        <v>482</v>
      </c>
      <c r="C2375" t="s">
        <v>489</v>
      </c>
      <c r="D2375" t="s">
        <v>490</v>
      </c>
      <c r="E2375">
        <v>2</v>
      </c>
      <c r="F2375">
        <v>5</v>
      </c>
      <c r="G2375">
        <v>100</v>
      </c>
      <c r="H2375">
        <v>12</v>
      </c>
      <c r="I2375">
        <v>5.9</v>
      </c>
      <c r="J2375">
        <v>12.1</v>
      </c>
      <c r="K2375">
        <v>12</v>
      </c>
      <c r="L2375">
        <v>7.9</v>
      </c>
      <c r="M2375">
        <v>60</v>
      </c>
    </row>
    <row r="2376" spans="1:13" hidden="1" x14ac:dyDescent="0.25">
      <c r="A2376" t="s">
        <v>344</v>
      </c>
      <c r="B2376" t="s">
        <v>482</v>
      </c>
      <c r="C2376" t="s">
        <v>489</v>
      </c>
      <c r="D2376" t="s">
        <v>490</v>
      </c>
      <c r="E2376">
        <v>2</v>
      </c>
      <c r="F2376">
        <v>6</v>
      </c>
      <c r="G2376">
        <v>30</v>
      </c>
      <c r="H2376">
        <v>14</v>
      </c>
      <c r="I2376">
        <v>9.5</v>
      </c>
      <c r="J2376">
        <v>11.4</v>
      </c>
      <c r="K2376">
        <v>12</v>
      </c>
      <c r="L2376">
        <v>11</v>
      </c>
      <c r="M2376">
        <v>30</v>
      </c>
    </row>
    <row r="2377" spans="1:13" hidden="1" x14ac:dyDescent="0.25">
      <c r="A2377" t="s">
        <v>344</v>
      </c>
      <c r="B2377" t="s">
        <v>482</v>
      </c>
      <c r="C2377" t="s">
        <v>489</v>
      </c>
      <c r="D2377" t="s">
        <v>490</v>
      </c>
      <c r="E2377">
        <v>2</v>
      </c>
      <c r="F2377">
        <v>6</v>
      </c>
      <c r="G2377">
        <v>40</v>
      </c>
      <c r="H2377">
        <v>14</v>
      </c>
      <c r="I2377">
        <v>9.5</v>
      </c>
      <c r="J2377">
        <v>11.4</v>
      </c>
      <c r="K2377">
        <v>12</v>
      </c>
      <c r="L2377">
        <v>11</v>
      </c>
      <c r="M2377">
        <v>40</v>
      </c>
    </row>
    <row r="2378" spans="1:13" hidden="1" x14ac:dyDescent="0.25">
      <c r="A2378" t="s">
        <v>344</v>
      </c>
      <c r="B2378" t="s">
        <v>482</v>
      </c>
      <c r="C2378" t="s">
        <v>489</v>
      </c>
      <c r="D2378" t="s">
        <v>490</v>
      </c>
      <c r="E2378">
        <v>2</v>
      </c>
      <c r="F2378">
        <v>6</v>
      </c>
      <c r="G2378">
        <v>50</v>
      </c>
      <c r="H2378">
        <v>14</v>
      </c>
      <c r="I2378">
        <v>9.5</v>
      </c>
      <c r="J2378">
        <v>11.4</v>
      </c>
      <c r="K2378">
        <v>12</v>
      </c>
      <c r="L2378">
        <v>11</v>
      </c>
      <c r="M2378">
        <v>30</v>
      </c>
    </row>
    <row r="2379" spans="1:13" hidden="1" x14ac:dyDescent="0.25">
      <c r="A2379" t="s">
        <v>344</v>
      </c>
      <c r="B2379" t="s">
        <v>482</v>
      </c>
      <c r="C2379" t="s">
        <v>489</v>
      </c>
      <c r="D2379" t="s">
        <v>490</v>
      </c>
      <c r="E2379">
        <v>2</v>
      </c>
      <c r="F2379">
        <v>6</v>
      </c>
      <c r="G2379">
        <v>60</v>
      </c>
      <c r="H2379">
        <v>14</v>
      </c>
      <c r="I2379">
        <v>9.5</v>
      </c>
      <c r="J2379">
        <v>11.4</v>
      </c>
      <c r="K2379">
        <v>12</v>
      </c>
      <c r="L2379">
        <v>11</v>
      </c>
      <c r="M2379">
        <v>36</v>
      </c>
    </row>
    <row r="2380" spans="1:13" hidden="1" x14ac:dyDescent="0.25">
      <c r="A2380" t="s">
        <v>344</v>
      </c>
      <c r="B2380" t="s">
        <v>482</v>
      </c>
      <c r="C2380" t="s">
        <v>489</v>
      </c>
      <c r="D2380" t="s">
        <v>490</v>
      </c>
      <c r="E2380">
        <v>2</v>
      </c>
      <c r="F2380">
        <v>6</v>
      </c>
      <c r="G2380">
        <v>70</v>
      </c>
      <c r="H2380">
        <v>14</v>
      </c>
      <c r="I2380">
        <v>9.5</v>
      </c>
      <c r="J2380">
        <v>11.4</v>
      </c>
      <c r="K2380">
        <v>12</v>
      </c>
      <c r="L2380">
        <v>11</v>
      </c>
      <c r="M2380">
        <v>42</v>
      </c>
    </row>
    <row r="2381" spans="1:13" hidden="1" x14ac:dyDescent="0.25">
      <c r="A2381" t="s">
        <v>344</v>
      </c>
      <c r="B2381" t="s">
        <v>482</v>
      </c>
      <c r="C2381" t="s">
        <v>489</v>
      </c>
      <c r="D2381" t="s">
        <v>490</v>
      </c>
      <c r="E2381">
        <v>2</v>
      </c>
      <c r="F2381">
        <v>6</v>
      </c>
      <c r="G2381">
        <v>80</v>
      </c>
      <c r="H2381">
        <v>14</v>
      </c>
      <c r="I2381">
        <v>9.5</v>
      </c>
      <c r="J2381">
        <v>11.4</v>
      </c>
      <c r="K2381">
        <v>12</v>
      </c>
      <c r="L2381">
        <v>11</v>
      </c>
      <c r="M2381">
        <v>48</v>
      </c>
    </row>
    <row r="2382" spans="1:13" hidden="1" x14ac:dyDescent="0.25">
      <c r="A2382" t="s">
        <v>344</v>
      </c>
      <c r="B2382" t="s">
        <v>482</v>
      </c>
      <c r="C2382" t="s">
        <v>489</v>
      </c>
      <c r="D2382" t="s">
        <v>490</v>
      </c>
      <c r="E2382">
        <v>2</v>
      </c>
      <c r="F2382">
        <v>6</v>
      </c>
      <c r="G2382">
        <v>90</v>
      </c>
      <c r="H2382">
        <v>14</v>
      </c>
      <c r="I2382">
        <v>9.5</v>
      </c>
      <c r="J2382">
        <v>11.4</v>
      </c>
      <c r="K2382">
        <v>12</v>
      </c>
      <c r="L2382">
        <v>11</v>
      </c>
      <c r="M2382">
        <v>54</v>
      </c>
    </row>
    <row r="2383" spans="1:13" hidden="1" x14ac:dyDescent="0.25">
      <c r="A2383" t="s">
        <v>344</v>
      </c>
      <c r="B2383" t="s">
        <v>482</v>
      </c>
      <c r="C2383" t="s">
        <v>489</v>
      </c>
      <c r="D2383" t="s">
        <v>490</v>
      </c>
      <c r="E2383">
        <v>2</v>
      </c>
      <c r="F2383">
        <v>6</v>
      </c>
      <c r="G2383">
        <v>100</v>
      </c>
      <c r="H2383">
        <v>14</v>
      </c>
      <c r="I2383">
        <v>9.5</v>
      </c>
      <c r="J2383">
        <v>11.4</v>
      </c>
      <c r="K2383">
        <v>12</v>
      </c>
      <c r="L2383">
        <v>11</v>
      </c>
      <c r="M2383">
        <v>60</v>
      </c>
    </row>
    <row r="2384" spans="1:13" hidden="1" x14ac:dyDescent="0.25">
      <c r="A2384" t="s">
        <v>344</v>
      </c>
      <c r="B2384" t="s">
        <v>482</v>
      </c>
      <c r="C2384" t="s">
        <v>489</v>
      </c>
      <c r="D2384" t="s">
        <v>490</v>
      </c>
      <c r="E2384">
        <v>2</v>
      </c>
      <c r="F2384">
        <v>6</v>
      </c>
      <c r="G2384">
        <v>110</v>
      </c>
      <c r="H2384">
        <v>14</v>
      </c>
      <c r="I2384">
        <v>9.5</v>
      </c>
      <c r="J2384">
        <v>11.4</v>
      </c>
      <c r="K2384">
        <v>12</v>
      </c>
      <c r="L2384">
        <v>11</v>
      </c>
      <c r="M2384">
        <v>70</v>
      </c>
    </row>
    <row r="2385" spans="1:13" hidden="1" x14ac:dyDescent="0.25">
      <c r="A2385" t="s">
        <v>344</v>
      </c>
      <c r="B2385" t="s">
        <v>482</v>
      </c>
      <c r="C2385" t="s">
        <v>489</v>
      </c>
      <c r="D2385" t="s">
        <v>490</v>
      </c>
      <c r="E2385">
        <v>2</v>
      </c>
      <c r="F2385">
        <v>6</v>
      </c>
      <c r="G2385">
        <v>120</v>
      </c>
      <c r="H2385">
        <v>14</v>
      </c>
      <c r="I2385">
        <v>9.5</v>
      </c>
      <c r="J2385">
        <v>11.4</v>
      </c>
      <c r="K2385">
        <v>12</v>
      </c>
      <c r="L2385">
        <v>11</v>
      </c>
      <c r="M2385">
        <v>70</v>
      </c>
    </row>
    <row r="2386" spans="1:13" hidden="1" x14ac:dyDescent="0.25">
      <c r="A2386" t="s">
        <v>344</v>
      </c>
      <c r="B2386" t="s">
        <v>482</v>
      </c>
      <c r="C2386" t="s">
        <v>489</v>
      </c>
      <c r="D2386" t="s">
        <v>490</v>
      </c>
      <c r="E2386">
        <v>2</v>
      </c>
      <c r="F2386">
        <v>6</v>
      </c>
      <c r="G2386">
        <v>130</v>
      </c>
      <c r="H2386">
        <v>14</v>
      </c>
      <c r="I2386">
        <v>9.5</v>
      </c>
      <c r="J2386">
        <v>11.4</v>
      </c>
      <c r="K2386">
        <v>12</v>
      </c>
      <c r="L2386">
        <v>11</v>
      </c>
      <c r="M2386">
        <v>70</v>
      </c>
    </row>
    <row r="2387" spans="1:13" hidden="1" x14ac:dyDescent="0.25">
      <c r="A2387" t="s">
        <v>344</v>
      </c>
      <c r="B2387" t="s">
        <v>482</v>
      </c>
      <c r="C2387" t="s">
        <v>489</v>
      </c>
      <c r="D2387" t="s">
        <v>490</v>
      </c>
      <c r="E2387">
        <v>2</v>
      </c>
      <c r="F2387">
        <v>6</v>
      </c>
      <c r="G2387">
        <v>140</v>
      </c>
      <c r="H2387">
        <v>14</v>
      </c>
      <c r="I2387">
        <v>9.5</v>
      </c>
      <c r="J2387">
        <v>11.4</v>
      </c>
      <c r="K2387">
        <v>12</v>
      </c>
      <c r="L2387">
        <v>11</v>
      </c>
      <c r="M2387">
        <v>70</v>
      </c>
    </row>
    <row r="2388" spans="1:13" hidden="1" x14ac:dyDescent="0.25">
      <c r="A2388" t="s">
        <v>344</v>
      </c>
      <c r="B2388" t="s">
        <v>482</v>
      </c>
      <c r="C2388" t="s">
        <v>489</v>
      </c>
      <c r="D2388" t="s">
        <v>490</v>
      </c>
      <c r="E2388">
        <v>2</v>
      </c>
      <c r="F2388">
        <v>6</v>
      </c>
      <c r="G2388">
        <v>150</v>
      </c>
      <c r="H2388">
        <v>14</v>
      </c>
      <c r="I2388">
        <v>9.5</v>
      </c>
      <c r="J2388">
        <v>11.4</v>
      </c>
      <c r="K2388">
        <v>12</v>
      </c>
      <c r="L2388">
        <v>11</v>
      </c>
      <c r="M2388">
        <v>70</v>
      </c>
    </row>
    <row r="2389" spans="1:13" hidden="1" x14ac:dyDescent="0.25">
      <c r="A2389" t="s">
        <v>344</v>
      </c>
      <c r="B2389" t="s">
        <v>482</v>
      </c>
      <c r="C2389" t="s">
        <v>489</v>
      </c>
      <c r="D2389" t="s">
        <v>490</v>
      </c>
      <c r="E2389">
        <v>2</v>
      </c>
      <c r="F2389">
        <v>6</v>
      </c>
      <c r="G2389">
        <v>160</v>
      </c>
      <c r="H2389">
        <v>14</v>
      </c>
      <c r="I2389">
        <v>9.5</v>
      </c>
      <c r="J2389">
        <v>11.4</v>
      </c>
      <c r="K2389">
        <v>12</v>
      </c>
      <c r="L2389">
        <v>11</v>
      </c>
      <c r="M2389">
        <v>70</v>
      </c>
    </row>
    <row r="2390" spans="1:13" hidden="1" x14ac:dyDescent="0.25">
      <c r="A2390" t="s">
        <v>344</v>
      </c>
      <c r="B2390" t="s">
        <v>482</v>
      </c>
      <c r="C2390" t="s">
        <v>489</v>
      </c>
      <c r="D2390" t="s">
        <v>490</v>
      </c>
      <c r="E2390">
        <v>2</v>
      </c>
      <c r="F2390">
        <v>6</v>
      </c>
      <c r="G2390">
        <v>180</v>
      </c>
      <c r="H2390">
        <v>14</v>
      </c>
      <c r="I2390">
        <v>9.5</v>
      </c>
      <c r="J2390">
        <v>11.4</v>
      </c>
      <c r="K2390">
        <v>12</v>
      </c>
      <c r="L2390">
        <v>11</v>
      </c>
      <c r="M2390">
        <v>70</v>
      </c>
    </row>
    <row r="2391" spans="1:13" hidden="1" x14ac:dyDescent="0.25">
      <c r="A2391" t="s">
        <v>344</v>
      </c>
      <c r="B2391" t="s">
        <v>482</v>
      </c>
      <c r="C2391" t="s">
        <v>489</v>
      </c>
      <c r="D2391" t="s">
        <v>490</v>
      </c>
      <c r="E2391">
        <v>2</v>
      </c>
      <c r="F2391">
        <v>6</v>
      </c>
      <c r="G2391">
        <v>200</v>
      </c>
      <c r="H2391">
        <v>14</v>
      </c>
      <c r="I2391">
        <v>9.5</v>
      </c>
      <c r="J2391">
        <v>11.4</v>
      </c>
      <c r="K2391">
        <v>12</v>
      </c>
      <c r="L2391">
        <v>11</v>
      </c>
      <c r="M2391">
        <v>70</v>
      </c>
    </row>
    <row r="2392" spans="1:13" hidden="1" x14ac:dyDescent="0.25">
      <c r="A2392" t="s">
        <v>344</v>
      </c>
      <c r="B2392" t="s">
        <v>482</v>
      </c>
      <c r="C2392" t="s">
        <v>489</v>
      </c>
      <c r="D2392" t="s">
        <v>490</v>
      </c>
      <c r="E2392">
        <v>2</v>
      </c>
      <c r="F2392">
        <v>6</v>
      </c>
      <c r="G2392">
        <v>220</v>
      </c>
      <c r="H2392">
        <v>14</v>
      </c>
      <c r="I2392">
        <v>9.5</v>
      </c>
      <c r="J2392">
        <v>11.4</v>
      </c>
      <c r="K2392">
        <v>12</v>
      </c>
      <c r="L2392">
        <v>11</v>
      </c>
      <c r="M2392">
        <v>70</v>
      </c>
    </row>
    <row r="2393" spans="1:13" hidden="1" x14ac:dyDescent="0.25">
      <c r="A2393" t="s">
        <v>344</v>
      </c>
      <c r="B2393" t="s">
        <v>482</v>
      </c>
      <c r="C2393" t="s">
        <v>489</v>
      </c>
      <c r="D2393" t="s">
        <v>490</v>
      </c>
      <c r="E2393">
        <v>2</v>
      </c>
      <c r="F2393">
        <v>6</v>
      </c>
      <c r="G2393">
        <v>240</v>
      </c>
      <c r="H2393">
        <v>14</v>
      </c>
      <c r="I2393">
        <v>9.5</v>
      </c>
      <c r="J2393">
        <v>11.4</v>
      </c>
      <c r="K2393">
        <v>12</v>
      </c>
      <c r="L2393">
        <v>11</v>
      </c>
      <c r="M2393">
        <v>70</v>
      </c>
    </row>
    <row r="2394" spans="1:13" hidden="1" x14ac:dyDescent="0.25">
      <c r="A2394" t="s">
        <v>344</v>
      </c>
      <c r="B2394" t="s">
        <v>482</v>
      </c>
      <c r="C2394" t="s">
        <v>489</v>
      </c>
      <c r="D2394" t="s">
        <v>490</v>
      </c>
      <c r="E2394">
        <v>2</v>
      </c>
      <c r="F2394">
        <v>6</v>
      </c>
      <c r="G2394">
        <v>260</v>
      </c>
      <c r="H2394">
        <v>14</v>
      </c>
      <c r="I2394">
        <v>9.5</v>
      </c>
      <c r="J2394">
        <v>11.4</v>
      </c>
      <c r="K2394">
        <v>12</v>
      </c>
      <c r="L2394">
        <v>11</v>
      </c>
      <c r="M2394">
        <v>70</v>
      </c>
    </row>
    <row r="2395" spans="1:13" hidden="1" x14ac:dyDescent="0.25">
      <c r="A2395" t="s">
        <v>344</v>
      </c>
      <c r="B2395" t="s">
        <v>482</v>
      </c>
      <c r="C2395" t="s">
        <v>489</v>
      </c>
      <c r="D2395" t="s">
        <v>490</v>
      </c>
      <c r="E2395">
        <v>2</v>
      </c>
      <c r="F2395">
        <v>6</v>
      </c>
      <c r="G2395">
        <v>280</v>
      </c>
      <c r="H2395">
        <v>14</v>
      </c>
      <c r="I2395">
        <v>9.5</v>
      </c>
      <c r="J2395">
        <v>11.4</v>
      </c>
      <c r="K2395">
        <v>12</v>
      </c>
      <c r="L2395">
        <v>11</v>
      </c>
      <c r="M2395">
        <v>70</v>
      </c>
    </row>
    <row r="2396" spans="1:13" hidden="1" x14ac:dyDescent="0.25">
      <c r="A2396" t="s">
        <v>344</v>
      </c>
      <c r="B2396" t="s">
        <v>482</v>
      </c>
      <c r="C2396" t="s">
        <v>489</v>
      </c>
      <c r="D2396" t="s">
        <v>490</v>
      </c>
      <c r="E2396">
        <v>2</v>
      </c>
      <c r="F2396">
        <v>6</v>
      </c>
      <c r="G2396">
        <v>300</v>
      </c>
      <c r="H2396">
        <v>14</v>
      </c>
      <c r="I2396">
        <v>9.5</v>
      </c>
      <c r="J2396">
        <v>11.4</v>
      </c>
      <c r="K2396">
        <v>12</v>
      </c>
      <c r="L2396">
        <v>11</v>
      </c>
      <c r="M2396">
        <v>70</v>
      </c>
    </row>
    <row r="2397" spans="1:13" hidden="1" x14ac:dyDescent="0.25">
      <c r="A2397" t="s">
        <v>344</v>
      </c>
      <c r="B2397" t="s">
        <v>482</v>
      </c>
      <c r="C2397" t="s">
        <v>489</v>
      </c>
      <c r="D2397" t="s">
        <v>490</v>
      </c>
      <c r="E2397">
        <v>2</v>
      </c>
      <c r="F2397">
        <v>8</v>
      </c>
      <c r="G2397">
        <v>60</v>
      </c>
      <c r="H2397">
        <v>22</v>
      </c>
      <c r="I2397">
        <v>20</v>
      </c>
      <c r="J2397">
        <v>11.1</v>
      </c>
      <c r="K2397">
        <v>12</v>
      </c>
      <c r="L2397">
        <v>20</v>
      </c>
      <c r="M2397">
        <v>48</v>
      </c>
    </row>
    <row r="2398" spans="1:13" hidden="1" x14ac:dyDescent="0.25">
      <c r="A2398" t="s">
        <v>344</v>
      </c>
      <c r="B2398" t="s">
        <v>482</v>
      </c>
      <c r="C2398" t="s">
        <v>489</v>
      </c>
      <c r="D2398" t="s">
        <v>490</v>
      </c>
      <c r="E2398">
        <v>2</v>
      </c>
      <c r="F2398">
        <v>8</v>
      </c>
      <c r="G2398">
        <v>80</v>
      </c>
      <c r="H2398">
        <v>22</v>
      </c>
      <c r="I2398">
        <v>20</v>
      </c>
      <c r="J2398">
        <v>11.1</v>
      </c>
      <c r="K2398">
        <v>12</v>
      </c>
      <c r="L2398">
        <v>20</v>
      </c>
      <c r="M2398">
        <v>48</v>
      </c>
    </row>
    <row r="2399" spans="1:13" hidden="1" x14ac:dyDescent="0.25">
      <c r="A2399" t="s">
        <v>344</v>
      </c>
      <c r="B2399" t="s">
        <v>482</v>
      </c>
      <c r="C2399" t="s">
        <v>489</v>
      </c>
      <c r="D2399" t="s">
        <v>490</v>
      </c>
      <c r="E2399">
        <v>2</v>
      </c>
      <c r="F2399">
        <v>8</v>
      </c>
      <c r="G2399">
        <v>100</v>
      </c>
      <c r="H2399">
        <v>22</v>
      </c>
      <c r="I2399">
        <v>20</v>
      </c>
      <c r="J2399">
        <v>11.1</v>
      </c>
      <c r="K2399">
        <v>12</v>
      </c>
      <c r="L2399">
        <v>20</v>
      </c>
      <c r="M2399">
        <v>60</v>
      </c>
    </row>
    <row r="2400" spans="1:13" hidden="1" x14ac:dyDescent="0.25">
      <c r="A2400" t="s">
        <v>344</v>
      </c>
      <c r="B2400" t="s">
        <v>482</v>
      </c>
      <c r="C2400" t="s">
        <v>489</v>
      </c>
      <c r="D2400" t="s">
        <v>490</v>
      </c>
      <c r="E2400">
        <v>2</v>
      </c>
      <c r="F2400">
        <v>8</v>
      </c>
      <c r="G2400">
        <v>120</v>
      </c>
      <c r="H2400">
        <v>22</v>
      </c>
      <c r="I2400">
        <v>20</v>
      </c>
      <c r="J2400">
        <v>11.1</v>
      </c>
      <c r="K2400">
        <v>12</v>
      </c>
      <c r="L2400">
        <v>20</v>
      </c>
      <c r="M2400">
        <v>66</v>
      </c>
    </row>
    <row r="2401" spans="1:13" hidden="1" x14ac:dyDescent="0.25">
      <c r="A2401" t="s">
        <v>344</v>
      </c>
      <c r="B2401" t="s">
        <v>482</v>
      </c>
      <c r="C2401" t="s">
        <v>489</v>
      </c>
      <c r="D2401" t="s">
        <v>490</v>
      </c>
      <c r="E2401">
        <v>2</v>
      </c>
      <c r="F2401">
        <v>8</v>
      </c>
      <c r="G2401">
        <v>140</v>
      </c>
      <c r="H2401">
        <v>22</v>
      </c>
      <c r="I2401">
        <v>20</v>
      </c>
      <c r="J2401">
        <v>11.1</v>
      </c>
      <c r="K2401">
        <v>12</v>
      </c>
      <c r="L2401">
        <v>20</v>
      </c>
      <c r="M2401">
        <v>95</v>
      </c>
    </row>
    <row r="2402" spans="1:13" hidden="1" x14ac:dyDescent="0.25">
      <c r="A2402" t="s">
        <v>344</v>
      </c>
      <c r="B2402" t="s">
        <v>482</v>
      </c>
      <c r="C2402" t="s">
        <v>489</v>
      </c>
      <c r="D2402" t="s">
        <v>490</v>
      </c>
      <c r="E2402">
        <v>2</v>
      </c>
      <c r="F2402">
        <v>8</v>
      </c>
      <c r="G2402">
        <v>160</v>
      </c>
      <c r="H2402">
        <v>22</v>
      </c>
      <c r="I2402">
        <v>20</v>
      </c>
      <c r="J2402">
        <v>11.1</v>
      </c>
      <c r="K2402">
        <v>12</v>
      </c>
      <c r="L2402">
        <v>20</v>
      </c>
      <c r="M2402">
        <v>95</v>
      </c>
    </row>
    <row r="2403" spans="1:13" hidden="1" x14ac:dyDescent="0.25">
      <c r="A2403" t="s">
        <v>344</v>
      </c>
      <c r="B2403" t="s">
        <v>482</v>
      </c>
      <c r="C2403" t="s">
        <v>489</v>
      </c>
      <c r="D2403" t="s">
        <v>490</v>
      </c>
      <c r="E2403">
        <v>2</v>
      </c>
      <c r="F2403">
        <v>8</v>
      </c>
      <c r="G2403">
        <v>180</v>
      </c>
      <c r="H2403">
        <v>22</v>
      </c>
      <c r="I2403">
        <v>20</v>
      </c>
      <c r="J2403">
        <v>11.1</v>
      </c>
      <c r="K2403">
        <v>12</v>
      </c>
      <c r="L2403">
        <v>20</v>
      </c>
      <c r="M2403">
        <v>95</v>
      </c>
    </row>
    <row r="2404" spans="1:13" hidden="1" x14ac:dyDescent="0.25">
      <c r="A2404" t="s">
        <v>344</v>
      </c>
      <c r="B2404" t="s">
        <v>482</v>
      </c>
      <c r="C2404" t="s">
        <v>489</v>
      </c>
      <c r="D2404" t="s">
        <v>490</v>
      </c>
      <c r="E2404">
        <v>2</v>
      </c>
      <c r="F2404">
        <v>8</v>
      </c>
      <c r="G2404">
        <v>200</v>
      </c>
      <c r="H2404">
        <v>22</v>
      </c>
      <c r="I2404">
        <v>20</v>
      </c>
      <c r="J2404">
        <v>11.1</v>
      </c>
      <c r="K2404">
        <v>12</v>
      </c>
      <c r="L2404">
        <v>20</v>
      </c>
      <c r="M2404">
        <v>95</v>
      </c>
    </row>
    <row r="2405" spans="1:13" hidden="1" x14ac:dyDescent="0.25">
      <c r="A2405" t="s">
        <v>344</v>
      </c>
      <c r="B2405" t="s">
        <v>482</v>
      </c>
      <c r="C2405" t="s">
        <v>489</v>
      </c>
      <c r="D2405" t="s">
        <v>490</v>
      </c>
      <c r="E2405">
        <v>2</v>
      </c>
      <c r="F2405">
        <v>8</v>
      </c>
      <c r="G2405">
        <v>220</v>
      </c>
      <c r="H2405">
        <v>22</v>
      </c>
      <c r="I2405">
        <v>20</v>
      </c>
      <c r="J2405">
        <v>11.1</v>
      </c>
      <c r="K2405">
        <v>12</v>
      </c>
      <c r="L2405">
        <v>20</v>
      </c>
      <c r="M2405">
        <v>95</v>
      </c>
    </row>
    <row r="2406" spans="1:13" hidden="1" x14ac:dyDescent="0.25">
      <c r="A2406" t="s">
        <v>344</v>
      </c>
      <c r="B2406" t="s">
        <v>482</v>
      </c>
      <c r="C2406" t="s">
        <v>489</v>
      </c>
      <c r="D2406" t="s">
        <v>490</v>
      </c>
      <c r="E2406">
        <v>2</v>
      </c>
      <c r="F2406">
        <v>8</v>
      </c>
      <c r="G2406">
        <v>240</v>
      </c>
      <c r="H2406">
        <v>22</v>
      </c>
      <c r="I2406">
        <v>20</v>
      </c>
      <c r="J2406">
        <v>11.1</v>
      </c>
      <c r="K2406">
        <v>12</v>
      </c>
      <c r="L2406">
        <v>20</v>
      </c>
      <c r="M2406">
        <v>95</v>
      </c>
    </row>
    <row r="2407" spans="1:13" hidden="1" x14ac:dyDescent="0.25">
      <c r="A2407" t="s">
        <v>344</v>
      </c>
      <c r="B2407" t="s">
        <v>482</v>
      </c>
      <c r="C2407" t="s">
        <v>489</v>
      </c>
      <c r="D2407" t="s">
        <v>490</v>
      </c>
      <c r="E2407">
        <v>2</v>
      </c>
      <c r="F2407">
        <v>8</v>
      </c>
      <c r="G2407">
        <v>260</v>
      </c>
      <c r="H2407">
        <v>22</v>
      </c>
      <c r="I2407">
        <v>20</v>
      </c>
      <c r="J2407">
        <v>11.1</v>
      </c>
      <c r="K2407">
        <v>12</v>
      </c>
      <c r="L2407">
        <v>20</v>
      </c>
      <c r="M2407">
        <v>95</v>
      </c>
    </row>
    <row r="2408" spans="1:13" hidden="1" x14ac:dyDescent="0.25">
      <c r="A2408" t="s">
        <v>344</v>
      </c>
      <c r="B2408" t="s">
        <v>482</v>
      </c>
      <c r="C2408" t="s">
        <v>489</v>
      </c>
      <c r="D2408" t="s">
        <v>490</v>
      </c>
      <c r="E2408">
        <v>2</v>
      </c>
      <c r="F2408">
        <v>8</v>
      </c>
      <c r="G2408">
        <v>280</v>
      </c>
      <c r="H2408">
        <v>22</v>
      </c>
      <c r="I2408">
        <v>20</v>
      </c>
      <c r="J2408">
        <v>11.1</v>
      </c>
      <c r="K2408">
        <v>12</v>
      </c>
      <c r="L2408">
        <v>20</v>
      </c>
      <c r="M2408">
        <v>95</v>
      </c>
    </row>
    <row r="2409" spans="1:13" hidden="1" x14ac:dyDescent="0.25">
      <c r="A2409" t="s">
        <v>344</v>
      </c>
      <c r="B2409" t="s">
        <v>482</v>
      </c>
      <c r="C2409" t="s">
        <v>489</v>
      </c>
      <c r="D2409" t="s">
        <v>490</v>
      </c>
      <c r="E2409">
        <v>2</v>
      </c>
      <c r="F2409">
        <v>8</v>
      </c>
      <c r="G2409">
        <v>300</v>
      </c>
      <c r="H2409">
        <v>22</v>
      </c>
      <c r="I2409">
        <v>20</v>
      </c>
      <c r="J2409">
        <v>11.1</v>
      </c>
      <c r="K2409">
        <v>12</v>
      </c>
      <c r="L2409">
        <v>20</v>
      </c>
      <c r="M2409">
        <v>95</v>
      </c>
    </row>
    <row r="2410" spans="1:13" hidden="1" x14ac:dyDescent="0.25">
      <c r="A2410" t="s">
        <v>344</v>
      </c>
      <c r="B2410" t="s">
        <v>482</v>
      </c>
      <c r="C2410" t="s">
        <v>489</v>
      </c>
      <c r="D2410" t="s">
        <v>490</v>
      </c>
      <c r="E2410">
        <v>2</v>
      </c>
      <c r="F2410">
        <v>8</v>
      </c>
      <c r="G2410">
        <v>320</v>
      </c>
      <c r="H2410">
        <v>22</v>
      </c>
      <c r="I2410">
        <v>20</v>
      </c>
      <c r="J2410">
        <v>11.1</v>
      </c>
      <c r="K2410">
        <v>12</v>
      </c>
      <c r="L2410">
        <v>20</v>
      </c>
      <c r="M2410">
        <v>95</v>
      </c>
    </row>
    <row r="2411" spans="1:13" hidden="1" x14ac:dyDescent="0.25">
      <c r="A2411" t="s">
        <v>344</v>
      </c>
      <c r="B2411" t="s">
        <v>482</v>
      </c>
      <c r="C2411" t="s">
        <v>489</v>
      </c>
      <c r="D2411" t="s">
        <v>490</v>
      </c>
      <c r="E2411">
        <v>2</v>
      </c>
      <c r="F2411">
        <v>8</v>
      </c>
      <c r="G2411">
        <v>340</v>
      </c>
      <c r="H2411">
        <v>22</v>
      </c>
      <c r="I2411">
        <v>20</v>
      </c>
      <c r="J2411">
        <v>11.1</v>
      </c>
      <c r="K2411">
        <v>12</v>
      </c>
      <c r="L2411">
        <v>20</v>
      </c>
      <c r="M2411">
        <v>95</v>
      </c>
    </row>
    <row r="2412" spans="1:13" hidden="1" x14ac:dyDescent="0.25">
      <c r="A2412" t="s">
        <v>344</v>
      </c>
      <c r="B2412" t="s">
        <v>482</v>
      </c>
      <c r="C2412" t="s">
        <v>489</v>
      </c>
      <c r="D2412" t="s">
        <v>490</v>
      </c>
      <c r="E2412">
        <v>2</v>
      </c>
      <c r="F2412">
        <v>8</v>
      </c>
      <c r="G2412">
        <v>360</v>
      </c>
      <c r="H2412">
        <v>22</v>
      </c>
      <c r="I2412">
        <v>20</v>
      </c>
      <c r="J2412">
        <v>11.1</v>
      </c>
      <c r="K2412">
        <v>12</v>
      </c>
      <c r="L2412">
        <v>20</v>
      </c>
      <c r="M2412">
        <v>95</v>
      </c>
    </row>
    <row r="2413" spans="1:13" hidden="1" x14ac:dyDescent="0.25">
      <c r="A2413" t="s">
        <v>344</v>
      </c>
      <c r="B2413" t="s">
        <v>482</v>
      </c>
      <c r="C2413" t="s">
        <v>489</v>
      </c>
      <c r="D2413" t="s">
        <v>490</v>
      </c>
      <c r="E2413">
        <v>2</v>
      </c>
      <c r="F2413">
        <v>8</v>
      </c>
      <c r="G2413">
        <v>380</v>
      </c>
      <c r="H2413">
        <v>22</v>
      </c>
      <c r="I2413">
        <v>20</v>
      </c>
      <c r="J2413">
        <v>11.1</v>
      </c>
      <c r="K2413">
        <v>12</v>
      </c>
      <c r="L2413">
        <v>20</v>
      </c>
      <c r="M2413">
        <v>95</v>
      </c>
    </row>
    <row r="2414" spans="1:13" hidden="1" x14ac:dyDescent="0.25">
      <c r="A2414" t="s">
        <v>344</v>
      </c>
      <c r="B2414" t="s">
        <v>482</v>
      </c>
      <c r="C2414" t="s">
        <v>489</v>
      </c>
      <c r="D2414" t="s">
        <v>490</v>
      </c>
      <c r="E2414">
        <v>2</v>
      </c>
      <c r="F2414">
        <v>8</v>
      </c>
      <c r="G2414">
        <v>400</v>
      </c>
      <c r="H2414">
        <v>22</v>
      </c>
      <c r="I2414">
        <v>20</v>
      </c>
      <c r="J2414">
        <v>11.1</v>
      </c>
      <c r="K2414">
        <v>12</v>
      </c>
      <c r="L2414">
        <v>20</v>
      </c>
      <c r="M2414">
        <v>95</v>
      </c>
    </row>
    <row r="2415" spans="1:13" hidden="1" x14ac:dyDescent="0.25">
      <c r="A2415" t="s">
        <v>344</v>
      </c>
      <c r="B2415" t="s">
        <v>482</v>
      </c>
      <c r="C2415" t="s">
        <v>489</v>
      </c>
      <c r="D2415" t="s">
        <v>490</v>
      </c>
      <c r="E2415">
        <v>2</v>
      </c>
      <c r="F2415">
        <v>8</v>
      </c>
      <c r="G2415">
        <v>420</v>
      </c>
      <c r="H2415">
        <v>22</v>
      </c>
      <c r="I2415">
        <v>20</v>
      </c>
      <c r="J2415">
        <v>11.1</v>
      </c>
      <c r="K2415">
        <v>12</v>
      </c>
      <c r="L2415">
        <v>20</v>
      </c>
      <c r="M2415">
        <v>95</v>
      </c>
    </row>
    <row r="2416" spans="1:13" hidden="1" x14ac:dyDescent="0.25">
      <c r="A2416" t="s">
        <v>344</v>
      </c>
      <c r="B2416" t="s">
        <v>482</v>
      </c>
      <c r="C2416" t="s">
        <v>489</v>
      </c>
      <c r="D2416" t="s">
        <v>490</v>
      </c>
      <c r="E2416">
        <v>2</v>
      </c>
      <c r="F2416">
        <v>8</v>
      </c>
      <c r="G2416">
        <v>440</v>
      </c>
      <c r="H2416">
        <v>22</v>
      </c>
      <c r="I2416">
        <v>20</v>
      </c>
      <c r="J2416">
        <v>11.1</v>
      </c>
      <c r="K2416">
        <v>12</v>
      </c>
      <c r="L2416">
        <v>20</v>
      </c>
      <c r="M2416">
        <v>95</v>
      </c>
    </row>
    <row r="2417" spans="1:13" hidden="1" x14ac:dyDescent="0.25">
      <c r="A2417" t="s">
        <v>344</v>
      </c>
      <c r="B2417" t="s">
        <v>482</v>
      </c>
      <c r="C2417" t="s">
        <v>489</v>
      </c>
      <c r="D2417" t="s">
        <v>490</v>
      </c>
      <c r="E2417">
        <v>2</v>
      </c>
      <c r="F2417">
        <v>8</v>
      </c>
      <c r="G2417">
        <v>460</v>
      </c>
      <c r="H2417">
        <v>22</v>
      </c>
      <c r="I2417">
        <v>20</v>
      </c>
      <c r="J2417">
        <v>11.1</v>
      </c>
      <c r="K2417">
        <v>12</v>
      </c>
      <c r="L2417">
        <v>20</v>
      </c>
      <c r="M2417">
        <v>95</v>
      </c>
    </row>
    <row r="2418" spans="1:13" hidden="1" x14ac:dyDescent="0.25">
      <c r="A2418" t="s">
        <v>344</v>
      </c>
      <c r="B2418" t="s">
        <v>482</v>
      </c>
      <c r="C2418" t="s">
        <v>489</v>
      </c>
      <c r="D2418" t="s">
        <v>490</v>
      </c>
      <c r="E2418">
        <v>2</v>
      </c>
      <c r="F2418">
        <v>8</v>
      </c>
      <c r="G2418">
        <v>480</v>
      </c>
      <c r="H2418">
        <v>22</v>
      </c>
      <c r="I2418">
        <v>20</v>
      </c>
      <c r="J2418">
        <v>11.1</v>
      </c>
      <c r="K2418">
        <v>12</v>
      </c>
      <c r="L2418">
        <v>20</v>
      </c>
      <c r="M2418">
        <v>95</v>
      </c>
    </row>
    <row r="2419" spans="1:13" hidden="1" x14ac:dyDescent="0.25">
      <c r="A2419" t="s">
        <v>344</v>
      </c>
      <c r="B2419" t="s">
        <v>482</v>
      </c>
      <c r="C2419" t="s">
        <v>489</v>
      </c>
      <c r="D2419" t="s">
        <v>490</v>
      </c>
      <c r="E2419">
        <v>2</v>
      </c>
      <c r="F2419">
        <v>8</v>
      </c>
      <c r="G2419">
        <v>500</v>
      </c>
      <c r="H2419">
        <v>22</v>
      </c>
      <c r="I2419">
        <v>20</v>
      </c>
      <c r="J2419">
        <v>11.1</v>
      </c>
      <c r="K2419">
        <v>12</v>
      </c>
      <c r="L2419">
        <v>20</v>
      </c>
      <c r="M2419">
        <v>95</v>
      </c>
    </row>
    <row r="2420" spans="1:13" hidden="1" x14ac:dyDescent="0.25">
      <c r="A2420" t="s">
        <v>344</v>
      </c>
      <c r="B2420" t="s">
        <v>482</v>
      </c>
      <c r="C2420" t="s">
        <v>489</v>
      </c>
      <c r="D2420" t="s">
        <v>490</v>
      </c>
      <c r="E2420">
        <v>2</v>
      </c>
      <c r="F2420">
        <v>8</v>
      </c>
      <c r="G2420">
        <v>550</v>
      </c>
      <c r="H2420">
        <v>22</v>
      </c>
      <c r="I2420">
        <v>20</v>
      </c>
      <c r="J2420">
        <v>11.1</v>
      </c>
      <c r="K2420">
        <v>12</v>
      </c>
      <c r="L2420">
        <v>20</v>
      </c>
      <c r="M2420">
        <v>95</v>
      </c>
    </row>
    <row r="2421" spans="1:13" hidden="1" x14ac:dyDescent="0.25">
      <c r="A2421" t="s">
        <v>344</v>
      </c>
      <c r="B2421" t="s">
        <v>482</v>
      </c>
      <c r="C2421" t="s">
        <v>489</v>
      </c>
      <c r="D2421" t="s">
        <v>490</v>
      </c>
      <c r="E2421">
        <v>2</v>
      </c>
      <c r="F2421">
        <v>8</v>
      </c>
      <c r="G2421">
        <v>600</v>
      </c>
      <c r="H2421">
        <v>22</v>
      </c>
      <c r="I2421">
        <v>20</v>
      </c>
      <c r="J2421">
        <v>11.1</v>
      </c>
      <c r="K2421">
        <v>12</v>
      </c>
      <c r="L2421">
        <v>20</v>
      </c>
      <c r="M2421">
        <v>95</v>
      </c>
    </row>
    <row r="2422" spans="1:13" hidden="1" x14ac:dyDescent="0.25">
      <c r="A2422" t="s">
        <v>344</v>
      </c>
      <c r="B2422" t="s">
        <v>482</v>
      </c>
      <c r="C2422" t="s">
        <v>489</v>
      </c>
      <c r="D2422" t="s">
        <v>490</v>
      </c>
      <c r="E2422">
        <v>2</v>
      </c>
      <c r="F2422">
        <v>10</v>
      </c>
      <c r="G2422">
        <v>80</v>
      </c>
      <c r="H2422">
        <v>25</v>
      </c>
      <c r="I2422">
        <v>35.799999999999997</v>
      </c>
      <c r="J2422">
        <v>10.8</v>
      </c>
      <c r="K2422">
        <v>12</v>
      </c>
      <c r="L2422">
        <v>20</v>
      </c>
      <c r="M2422">
        <v>50</v>
      </c>
    </row>
    <row r="2423" spans="1:13" hidden="1" x14ac:dyDescent="0.25">
      <c r="A2423" t="s">
        <v>344</v>
      </c>
      <c r="B2423" t="s">
        <v>482</v>
      </c>
      <c r="C2423" t="s">
        <v>489</v>
      </c>
      <c r="D2423" t="s">
        <v>490</v>
      </c>
      <c r="E2423">
        <v>2</v>
      </c>
      <c r="F2423">
        <v>10</v>
      </c>
      <c r="G2423">
        <v>100</v>
      </c>
      <c r="H2423">
        <v>25</v>
      </c>
      <c r="I2423">
        <v>35.799999999999997</v>
      </c>
      <c r="J2423">
        <v>10.8</v>
      </c>
      <c r="K2423">
        <v>12</v>
      </c>
      <c r="L2423">
        <v>20</v>
      </c>
      <c r="M2423">
        <v>60</v>
      </c>
    </row>
    <row r="2424" spans="1:13" hidden="1" x14ac:dyDescent="0.25">
      <c r="A2424" t="s">
        <v>344</v>
      </c>
      <c r="B2424" t="s">
        <v>482</v>
      </c>
      <c r="C2424" t="s">
        <v>489</v>
      </c>
      <c r="D2424" t="s">
        <v>490</v>
      </c>
      <c r="E2424">
        <v>2</v>
      </c>
      <c r="F2424">
        <v>10</v>
      </c>
      <c r="G2424">
        <v>120</v>
      </c>
      <c r="H2424">
        <v>25</v>
      </c>
      <c r="I2424">
        <v>35.799999999999997</v>
      </c>
      <c r="J2424">
        <v>10.8</v>
      </c>
      <c r="K2424">
        <v>12</v>
      </c>
      <c r="L2424">
        <v>20</v>
      </c>
      <c r="M2424">
        <v>70</v>
      </c>
    </row>
    <row r="2425" spans="1:13" hidden="1" x14ac:dyDescent="0.25">
      <c r="A2425" t="s">
        <v>344</v>
      </c>
      <c r="B2425" t="s">
        <v>482</v>
      </c>
      <c r="C2425" t="s">
        <v>489</v>
      </c>
      <c r="D2425" t="s">
        <v>490</v>
      </c>
      <c r="E2425">
        <v>2</v>
      </c>
      <c r="F2425">
        <v>10</v>
      </c>
      <c r="G2425">
        <v>140</v>
      </c>
      <c r="H2425">
        <v>25</v>
      </c>
      <c r="I2425">
        <v>35.799999999999997</v>
      </c>
      <c r="J2425">
        <v>10.8</v>
      </c>
      <c r="K2425">
        <v>12</v>
      </c>
      <c r="L2425">
        <v>20</v>
      </c>
      <c r="M2425">
        <v>100</v>
      </c>
    </row>
    <row r="2426" spans="1:13" hidden="1" x14ac:dyDescent="0.25">
      <c r="A2426" t="s">
        <v>344</v>
      </c>
      <c r="B2426" t="s">
        <v>482</v>
      </c>
      <c r="C2426" t="s">
        <v>489</v>
      </c>
      <c r="D2426" t="s">
        <v>490</v>
      </c>
      <c r="E2426">
        <v>2</v>
      </c>
      <c r="F2426">
        <v>10</v>
      </c>
      <c r="G2426">
        <v>160</v>
      </c>
      <c r="H2426">
        <v>25</v>
      </c>
      <c r="I2426">
        <v>35.799999999999997</v>
      </c>
      <c r="J2426">
        <v>10.8</v>
      </c>
      <c r="K2426">
        <v>12</v>
      </c>
      <c r="L2426">
        <v>20</v>
      </c>
      <c r="M2426">
        <v>90</v>
      </c>
    </row>
    <row r="2427" spans="1:13" hidden="1" x14ac:dyDescent="0.25">
      <c r="A2427" t="s">
        <v>344</v>
      </c>
      <c r="B2427" t="s">
        <v>482</v>
      </c>
      <c r="C2427" t="s">
        <v>489</v>
      </c>
      <c r="D2427" t="s">
        <v>490</v>
      </c>
      <c r="E2427">
        <v>2</v>
      </c>
      <c r="F2427">
        <v>10</v>
      </c>
      <c r="G2427">
        <v>180</v>
      </c>
      <c r="H2427">
        <v>25</v>
      </c>
      <c r="I2427">
        <v>35.799999999999997</v>
      </c>
      <c r="J2427">
        <v>10.8</v>
      </c>
      <c r="K2427">
        <v>12</v>
      </c>
      <c r="L2427">
        <v>20</v>
      </c>
      <c r="M2427">
        <v>100</v>
      </c>
    </row>
    <row r="2428" spans="1:13" hidden="1" x14ac:dyDescent="0.25">
      <c r="A2428" t="s">
        <v>344</v>
      </c>
      <c r="B2428" t="s">
        <v>482</v>
      </c>
      <c r="C2428" t="s">
        <v>489</v>
      </c>
      <c r="D2428" t="s">
        <v>490</v>
      </c>
      <c r="E2428">
        <v>2</v>
      </c>
      <c r="F2428">
        <v>10</v>
      </c>
      <c r="G2428">
        <v>200</v>
      </c>
      <c r="H2428">
        <v>25</v>
      </c>
      <c r="I2428">
        <v>35.799999999999997</v>
      </c>
      <c r="J2428">
        <v>10.8</v>
      </c>
      <c r="K2428">
        <v>12</v>
      </c>
      <c r="L2428">
        <v>20</v>
      </c>
      <c r="M2428">
        <v>100</v>
      </c>
    </row>
    <row r="2429" spans="1:13" hidden="1" x14ac:dyDescent="0.25">
      <c r="A2429" t="s">
        <v>344</v>
      </c>
      <c r="B2429" t="s">
        <v>482</v>
      </c>
      <c r="C2429" t="s">
        <v>489</v>
      </c>
      <c r="D2429" t="s">
        <v>490</v>
      </c>
      <c r="E2429">
        <v>2</v>
      </c>
      <c r="F2429">
        <v>10</v>
      </c>
      <c r="G2429">
        <v>220</v>
      </c>
      <c r="H2429">
        <v>25</v>
      </c>
      <c r="I2429">
        <v>35.799999999999997</v>
      </c>
      <c r="J2429">
        <v>10.8</v>
      </c>
      <c r="K2429">
        <v>12</v>
      </c>
      <c r="L2429">
        <v>20</v>
      </c>
      <c r="M2429">
        <v>100</v>
      </c>
    </row>
    <row r="2430" spans="1:13" hidden="1" x14ac:dyDescent="0.25">
      <c r="A2430" t="s">
        <v>344</v>
      </c>
      <c r="B2430" t="s">
        <v>482</v>
      </c>
      <c r="C2430" t="s">
        <v>489</v>
      </c>
      <c r="D2430" t="s">
        <v>490</v>
      </c>
      <c r="E2430">
        <v>2</v>
      </c>
      <c r="F2430">
        <v>10</v>
      </c>
      <c r="G2430">
        <v>240</v>
      </c>
      <c r="H2430">
        <v>25</v>
      </c>
      <c r="I2430">
        <v>35.799999999999997</v>
      </c>
      <c r="J2430">
        <v>10.8</v>
      </c>
      <c r="K2430">
        <v>12</v>
      </c>
      <c r="L2430">
        <v>20</v>
      </c>
      <c r="M2430">
        <v>100</v>
      </c>
    </row>
    <row r="2431" spans="1:13" hidden="1" x14ac:dyDescent="0.25">
      <c r="A2431" t="s">
        <v>344</v>
      </c>
      <c r="B2431" t="s">
        <v>482</v>
      </c>
      <c r="C2431" t="s">
        <v>489</v>
      </c>
      <c r="D2431" t="s">
        <v>490</v>
      </c>
      <c r="E2431">
        <v>2</v>
      </c>
      <c r="F2431">
        <v>10</v>
      </c>
      <c r="G2431">
        <v>260</v>
      </c>
      <c r="H2431">
        <v>25</v>
      </c>
      <c r="I2431">
        <v>35.799999999999997</v>
      </c>
      <c r="J2431">
        <v>10.8</v>
      </c>
      <c r="K2431">
        <v>12</v>
      </c>
      <c r="L2431">
        <v>20</v>
      </c>
      <c r="M2431">
        <v>100</v>
      </c>
    </row>
    <row r="2432" spans="1:13" hidden="1" x14ac:dyDescent="0.25">
      <c r="A2432" t="s">
        <v>344</v>
      </c>
      <c r="B2432" t="s">
        <v>482</v>
      </c>
      <c r="C2432" t="s">
        <v>489</v>
      </c>
      <c r="D2432" t="s">
        <v>490</v>
      </c>
      <c r="E2432">
        <v>2</v>
      </c>
      <c r="F2432">
        <v>10</v>
      </c>
      <c r="G2432">
        <v>280</v>
      </c>
      <c r="H2432">
        <v>25</v>
      </c>
      <c r="I2432">
        <v>35.799999999999997</v>
      </c>
      <c r="J2432">
        <v>10.8</v>
      </c>
      <c r="K2432">
        <v>12</v>
      </c>
      <c r="L2432">
        <v>20</v>
      </c>
      <c r="M2432">
        <v>100</v>
      </c>
    </row>
    <row r="2433" spans="1:13" hidden="1" x14ac:dyDescent="0.25">
      <c r="A2433" t="s">
        <v>344</v>
      </c>
      <c r="B2433" t="s">
        <v>482</v>
      </c>
      <c r="C2433" t="s">
        <v>489</v>
      </c>
      <c r="D2433" t="s">
        <v>490</v>
      </c>
      <c r="E2433">
        <v>2</v>
      </c>
      <c r="F2433">
        <v>10</v>
      </c>
      <c r="G2433">
        <v>300</v>
      </c>
      <c r="H2433">
        <v>25</v>
      </c>
      <c r="I2433">
        <v>35.799999999999997</v>
      </c>
      <c r="J2433">
        <v>10.8</v>
      </c>
      <c r="K2433">
        <v>12</v>
      </c>
      <c r="L2433">
        <v>20</v>
      </c>
      <c r="M2433">
        <v>100</v>
      </c>
    </row>
    <row r="2434" spans="1:13" hidden="1" x14ac:dyDescent="0.25">
      <c r="A2434" t="s">
        <v>344</v>
      </c>
      <c r="B2434" t="s">
        <v>482</v>
      </c>
      <c r="C2434" t="s">
        <v>489</v>
      </c>
      <c r="D2434" t="s">
        <v>490</v>
      </c>
      <c r="E2434">
        <v>2</v>
      </c>
      <c r="F2434">
        <v>10</v>
      </c>
      <c r="G2434">
        <v>320</v>
      </c>
      <c r="H2434">
        <v>25</v>
      </c>
      <c r="I2434">
        <v>35.799999999999997</v>
      </c>
      <c r="J2434">
        <v>10.8</v>
      </c>
      <c r="K2434">
        <v>12</v>
      </c>
      <c r="L2434">
        <v>20</v>
      </c>
      <c r="M2434">
        <v>100</v>
      </c>
    </row>
    <row r="2435" spans="1:13" hidden="1" x14ac:dyDescent="0.25">
      <c r="A2435" t="s">
        <v>344</v>
      </c>
      <c r="B2435" t="s">
        <v>482</v>
      </c>
      <c r="C2435" t="s">
        <v>489</v>
      </c>
      <c r="D2435" t="s">
        <v>490</v>
      </c>
      <c r="E2435">
        <v>2</v>
      </c>
      <c r="F2435">
        <v>10</v>
      </c>
      <c r="G2435">
        <v>340</v>
      </c>
      <c r="H2435">
        <v>25</v>
      </c>
      <c r="I2435">
        <v>35.799999999999997</v>
      </c>
      <c r="J2435">
        <v>10.8</v>
      </c>
      <c r="K2435">
        <v>12</v>
      </c>
      <c r="L2435">
        <v>20</v>
      </c>
      <c r="M2435">
        <v>100</v>
      </c>
    </row>
    <row r="2436" spans="1:13" hidden="1" x14ac:dyDescent="0.25">
      <c r="A2436" t="s">
        <v>344</v>
      </c>
      <c r="B2436" t="s">
        <v>482</v>
      </c>
      <c r="C2436" t="s">
        <v>489</v>
      </c>
      <c r="D2436" t="s">
        <v>490</v>
      </c>
      <c r="E2436">
        <v>2</v>
      </c>
      <c r="F2436">
        <v>10</v>
      </c>
      <c r="G2436">
        <v>360</v>
      </c>
      <c r="H2436">
        <v>25</v>
      </c>
      <c r="I2436">
        <v>35.799999999999997</v>
      </c>
      <c r="J2436">
        <v>10.8</v>
      </c>
      <c r="K2436">
        <v>12</v>
      </c>
      <c r="L2436">
        <v>20</v>
      </c>
      <c r="M2436">
        <v>100</v>
      </c>
    </row>
    <row r="2437" spans="1:13" hidden="1" x14ac:dyDescent="0.25">
      <c r="A2437" t="s">
        <v>344</v>
      </c>
      <c r="B2437" t="s">
        <v>482</v>
      </c>
      <c r="C2437" t="s">
        <v>489</v>
      </c>
      <c r="D2437" t="s">
        <v>490</v>
      </c>
      <c r="E2437">
        <v>2</v>
      </c>
      <c r="F2437">
        <v>10</v>
      </c>
      <c r="G2437">
        <v>380</v>
      </c>
      <c r="H2437">
        <v>25</v>
      </c>
      <c r="I2437">
        <v>35.799999999999997</v>
      </c>
      <c r="J2437">
        <v>10.8</v>
      </c>
      <c r="K2437">
        <v>12</v>
      </c>
      <c r="L2437">
        <v>20</v>
      </c>
      <c r="M2437">
        <v>100</v>
      </c>
    </row>
    <row r="2438" spans="1:13" hidden="1" x14ac:dyDescent="0.25">
      <c r="A2438" t="s">
        <v>344</v>
      </c>
      <c r="B2438" t="s">
        <v>482</v>
      </c>
      <c r="C2438" t="s">
        <v>489</v>
      </c>
      <c r="D2438" t="s">
        <v>490</v>
      </c>
      <c r="E2438">
        <v>2</v>
      </c>
      <c r="F2438">
        <v>10</v>
      </c>
      <c r="G2438">
        <v>400</v>
      </c>
      <c r="H2438">
        <v>25</v>
      </c>
      <c r="I2438">
        <v>35.799999999999997</v>
      </c>
      <c r="J2438">
        <v>10.8</v>
      </c>
      <c r="K2438">
        <v>12</v>
      </c>
      <c r="L2438">
        <v>20</v>
      </c>
      <c r="M2438">
        <v>100</v>
      </c>
    </row>
    <row r="2439" spans="1:13" hidden="1" x14ac:dyDescent="0.25">
      <c r="A2439" t="s">
        <v>344</v>
      </c>
      <c r="B2439" t="s">
        <v>496</v>
      </c>
      <c r="C2439" t="s">
        <v>499</v>
      </c>
      <c r="D2439" t="s">
        <v>497</v>
      </c>
      <c r="E2439">
        <v>2</v>
      </c>
      <c r="F2439">
        <v>8</v>
      </c>
      <c r="G2439">
        <v>80</v>
      </c>
      <c r="H2439">
        <v>15.1</v>
      </c>
      <c r="I2439" s="55">
        <f>0.15*600*F2439^2.6/1000</f>
        <v>20.057484978342696</v>
      </c>
      <c r="J2439">
        <v>12</v>
      </c>
      <c r="K2439">
        <v>8</v>
      </c>
      <c r="L2439">
        <v>17</v>
      </c>
      <c r="M2439">
        <f>G2439-15</f>
        <v>65</v>
      </c>
    </row>
    <row r="2440" spans="1:13" hidden="1" x14ac:dyDescent="0.25">
      <c r="A2440" t="s">
        <v>344</v>
      </c>
      <c r="B2440" t="s">
        <v>496</v>
      </c>
      <c r="C2440" t="s">
        <v>499</v>
      </c>
      <c r="D2440" t="s">
        <v>497</v>
      </c>
      <c r="E2440">
        <v>2</v>
      </c>
      <c r="F2440">
        <v>8</v>
      </c>
      <c r="G2440">
        <v>100</v>
      </c>
      <c r="H2440">
        <v>15.1</v>
      </c>
      <c r="I2440" s="55">
        <f t="shared" ref="I2440:I2503" si="16">0.15*600*F2440^2.6/1000</f>
        <v>20.057484978342696</v>
      </c>
      <c r="J2440">
        <v>12</v>
      </c>
      <c r="K2440">
        <v>8</v>
      </c>
      <c r="L2440">
        <v>17</v>
      </c>
      <c r="M2440">
        <f t="shared" ref="M2440:M2503" si="17">G2440-15</f>
        <v>85</v>
      </c>
    </row>
    <row r="2441" spans="1:13" hidden="1" x14ac:dyDescent="0.25">
      <c r="A2441" t="s">
        <v>344</v>
      </c>
      <c r="B2441" t="s">
        <v>496</v>
      </c>
      <c r="C2441" t="s">
        <v>499</v>
      </c>
      <c r="D2441" t="s">
        <v>497</v>
      </c>
      <c r="E2441">
        <v>2</v>
      </c>
      <c r="F2441">
        <v>8</v>
      </c>
      <c r="G2441">
        <v>120</v>
      </c>
      <c r="H2441">
        <v>15.1</v>
      </c>
      <c r="I2441" s="55">
        <f t="shared" si="16"/>
        <v>20.057484978342696</v>
      </c>
      <c r="J2441">
        <v>12</v>
      </c>
      <c r="K2441">
        <v>8</v>
      </c>
      <c r="L2441">
        <v>17</v>
      </c>
      <c r="M2441">
        <f t="shared" si="17"/>
        <v>105</v>
      </c>
    </row>
    <row r="2442" spans="1:13" hidden="1" x14ac:dyDescent="0.25">
      <c r="A2442" t="s">
        <v>344</v>
      </c>
      <c r="B2442" t="s">
        <v>496</v>
      </c>
      <c r="C2442" t="s">
        <v>499</v>
      </c>
      <c r="D2442" t="s">
        <v>497</v>
      </c>
      <c r="E2442">
        <v>2</v>
      </c>
      <c r="F2442">
        <v>8</v>
      </c>
      <c r="G2442">
        <v>140</v>
      </c>
      <c r="H2442">
        <v>15.1</v>
      </c>
      <c r="I2442" s="55">
        <f t="shared" si="16"/>
        <v>20.057484978342696</v>
      </c>
      <c r="J2442">
        <v>12</v>
      </c>
      <c r="K2442">
        <v>8</v>
      </c>
      <c r="L2442">
        <v>17</v>
      </c>
      <c r="M2442">
        <f t="shared" si="17"/>
        <v>125</v>
      </c>
    </row>
    <row r="2443" spans="1:13" hidden="1" x14ac:dyDescent="0.25">
      <c r="A2443" t="s">
        <v>344</v>
      </c>
      <c r="B2443" t="s">
        <v>496</v>
      </c>
      <c r="C2443" t="s">
        <v>499</v>
      </c>
      <c r="D2443" t="s">
        <v>497</v>
      </c>
      <c r="E2443">
        <v>2</v>
      </c>
      <c r="F2443">
        <v>8</v>
      </c>
      <c r="G2443">
        <v>160</v>
      </c>
      <c r="H2443">
        <v>15.1</v>
      </c>
      <c r="I2443" s="55">
        <f t="shared" si="16"/>
        <v>20.057484978342696</v>
      </c>
      <c r="J2443">
        <v>12</v>
      </c>
      <c r="K2443">
        <v>8</v>
      </c>
      <c r="L2443">
        <v>17</v>
      </c>
      <c r="M2443">
        <f t="shared" si="17"/>
        <v>145</v>
      </c>
    </row>
    <row r="2444" spans="1:13" hidden="1" x14ac:dyDescent="0.25">
      <c r="A2444" t="s">
        <v>344</v>
      </c>
      <c r="B2444" t="s">
        <v>496</v>
      </c>
      <c r="C2444" t="s">
        <v>499</v>
      </c>
      <c r="D2444" t="s">
        <v>497</v>
      </c>
      <c r="E2444">
        <v>2</v>
      </c>
      <c r="F2444">
        <v>8</v>
      </c>
      <c r="G2444">
        <v>180</v>
      </c>
      <c r="H2444">
        <v>15.1</v>
      </c>
      <c r="I2444" s="55">
        <f t="shared" si="16"/>
        <v>20.057484978342696</v>
      </c>
      <c r="J2444">
        <v>12</v>
      </c>
      <c r="K2444">
        <v>8</v>
      </c>
      <c r="L2444">
        <v>17</v>
      </c>
      <c r="M2444">
        <f t="shared" si="17"/>
        <v>165</v>
      </c>
    </row>
    <row r="2445" spans="1:13" hidden="1" x14ac:dyDescent="0.25">
      <c r="A2445" t="s">
        <v>344</v>
      </c>
      <c r="B2445" t="s">
        <v>496</v>
      </c>
      <c r="C2445" t="s">
        <v>499</v>
      </c>
      <c r="D2445" t="s">
        <v>497</v>
      </c>
      <c r="E2445">
        <v>2</v>
      </c>
      <c r="F2445">
        <v>8</v>
      </c>
      <c r="G2445">
        <v>200</v>
      </c>
      <c r="H2445">
        <v>15.1</v>
      </c>
      <c r="I2445" s="55">
        <f t="shared" si="16"/>
        <v>20.057484978342696</v>
      </c>
      <c r="J2445">
        <v>12</v>
      </c>
      <c r="K2445">
        <v>8</v>
      </c>
      <c r="L2445">
        <v>17</v>
      </c>
      <c r="M2445">
        <f t="shared" si="17"/>
        <v>185</v>
      </c>
    </row>
    <row r="2446" spans="1:13" hidden="1" x14ac:dyDescent="0.25">
      <c r="A2446" t="s">
        <v>344</v>
      </c>
      <c r="B2446" t="s">
        <v>496</v>
      </c>
      <c r="C2446" t="s">
        <v>499</v>
      </c>
      <c r="D2446" t="s">
        <v>497</v>
      </c>
      <c r="E2446">
        <v>2</v>
      </c>
      <c r="F2446">
        <v>8</v>
      </c>
      <c r="G2446">
        <v>220</v>
      </c>
      <c r="H2446">
        <v>15.1</v>
      </c>
      <c r="I2446" s="55">
        <f t="shared" si="16"/>
        <v>20.057484978342696</v>
      </c>
      <c r="J2446">
        <v>12</v>
      </c>
      <c r="K2446">
        <v>8</v>
      </c>
      <c r="L2446">
        <v>17</v>
      </c>
      <c r="M2446">
        <f t="shared" si="17"/>
        <v>205</v>
      </c>
    </row>
    <row r="2447" spans="1:13" hidden="1" x14ac:dyDescent="0.25">
      <c r="A2447" t="s">
        <v>344</v>
      </c>
      <c r="B2447" t="s">
        <v>496</v>
      </c>
      <c r="C2447" t="s">
        <v>499</v>
      </c>
      <c r="D2447" t="s">
        <v>497</v>
      </c>
      <c r="E2447">
        <v>2</v>
      </c>
      <c r="F2447">
        <v>8</v>
      </c>
      <c r="G2447">
        <v>240</v>
      </c>
      <c r="H2447">
        <v>15.1</v>
      </c>
      <c r="I2447" s="55">
        <f t="shared" si="16"/>
        <v>20.057484978342696</v>
      </c>
      <c r="J2447">
        <v>12</v>
      </c>
      <c r="K2447">
        <v>8</v>
      </c>
      <c r="L2447">
        <v>17</v>
      </c>
      <c r="M2447">
        <f t="shared" si="17"/>
        <v>225</v>
      </c>
    </row>
    <row r="2448" spans="1:13" hidden="1" x14ac:dyDescent="0.25">
      <c r="A2448" t="s">
        <v>344</v>
      </c>
      <c r="B2448" t="s">
        <v>496</v>
      </c>
      <c r="C2448" t="s">
        <v>499</v>
      </c>
      <c r="D2448" t="s">
        <v>497</v>
      </c>
      <c r="E2448">
        <v>2</v>
      </c>
      <c r="F2448">
        <v>8</v>
      </c>
      <c r="G2448">
        <v>260</v>
      </c>
      <c r="H2448">
        <v>15.1</v>
      </c>
      <c r="I2448" s="55">
        <f t="shared" si="16"/>
        <v>20.057484978342696</v>
      </c>
      <c r="J2448">
        <v>12</v>
      </c>
      <c r="K2448">
        <v>8</v>
      </c>
      <c r="L2448">
        <v>17</v>
      </c>
      <c r="M2448">
        <f t="shared" si="17"/>
        <v>245</v>
      </c>
    </row>
    <row r="2449" spans="1:13" hidden="1" x14ac:dyDescent="0.25">
      <c r="A2449" t="s">
        <v>344</v>
      </c>
      <c r="B2449" t="s">
        <v>496</v>
      </c>
      <c r="C2449" t="s">
        <v>499</v>
      </c>
      <c r="D2449" t="s">
        <v>497</v>
      </c>
      <c r="E2449">
        <v>2</v>
      </c>
      <c r="F2449">
        <v>8</v>
      </c>
      <c r="G2449">
        <v>280</v>
      </c>
      <c r="H2449">
        <v>15.1</v>
      </c>
      <c r="I2449" s="55">
        <f t="shared" si="16"/>
        <v>20.057484978342696</v>
      </c>
      <c r="J2449">
        <v>12</v>
      </c>
      <c r="K2449">
        <v>8</v>
      </c>
      <c r="L2449">
        <v>17</v>
      </c>
      <c r="M2449">
        <f t="shared" si="17"/>
        <v>265</v>
      </c>
    </row>
    <row r="2450" spans="1:13" hidden="1" x14ac:dyDescent="0.25">
      <c r="A2450" t="s">
        <v>344</v>
      </c>
      <c r="B2450" t="s">
        <v>496</v>
      </c>
      <c r="C2450" t="s">
        <v>499</v>
      </c>
      <c r="D2450" t="s">
        <v>497</v>
      </c>
      <c r="E2450">
        <v>2</v>
      </c>
      <c r="F2450">
        <v>8</v>
      </c>
      <c r="G2450">
        <v>300</v>
      </c>
      <c r="H2450">
        <v>15.1</v>
      </c>
      <c r="I2450" s="55">
        <f t="shared" si="16"/>
        <v>20.057484978342696</v>
      </c>
      <c r="J2450">
        <v>12</v>
      </c>
      <c r="K2450">
        <v>8</v>
      </c>
      <c r="L2450">
        <v>17</v>
      </c>
      <c r="M2450">
        <f t="shared" si="17"/>
        <v>285</v>
      </c>
    </row>
    <row r="2451" spans="1:13" hidden="1" x14ac:dyDescent="0.25">
      <c r="A2451" t="s">
        <v>344</v>
      </c>
      <c r="B2451" t="s">
        <v>496</v>
      </c>
      <c r="C2451" t="s">
        <v>499</v>
      </c>
      <c r="D2451" t="s">
        <v>497</v>
      </c>
      <c r="E2451">
        <v>2</v>
      </c>
      <c r="F2451">
        <v>8</v>
      </c>
      <c r="G2451">
        <v>325</v>
      </c>
      <c r="H2451">
        <v>15.1</v>
      </c>
      <c r="I2451" s="55">
        <f t="shared" si="16"/>
        <v>20.057484978342696</v>
      </c>
      <c r="J2451">
        <v>12</v>
      </c>
      <c r="K2451">
        <v>8</v>
      </c>
      <c r="L2451">
        <v>17</v>
      </c>
      <c r="M2451">
        <f t="shared" si="17"/>
        <v>310</v>
      </c>
    </row>
    <row r="2452" spans="1:13" hidden="1" x14ac:dyDescent="0.25">
      <c r="A2452" t="s">
        <v>344</v>
      </c>
      <c r="B2452" t="s">
        <v>496</v>
      </c>
      <c r="C2452" t="s">
        <v>499</v>
      </c>
      <c r="D2452" t="s">
        <v>497</v>
      </c>
      <c r="E2452">
        <v>2</v>
      </c>
      <c r="F2452">
        <v>8</v>
      </c>
      <c r="G2452">
        <v>350</v>
      </c>
      <c r="H2452">
        <v>15.1</v>
      </c>
      <c r="I2452" s="55">
        <f t="shared" si="16"/>
        <v>20.057484978342696</v>
      </c>
      <c r="J2452">
        <v>12</v>
      </c>
      <c r="K2452">
        <v>8</v>
      </c>
      <c r="L2452">
        <v>17</v>
      </c>
      <c r="M2452">
        <f t="shared" si="17"/>
        <v>335</v>
      </c>
    </row>
    <row r="2453" spans="1:13" hidden="1" x14ac:dyDescent="0.25">
      <c r="A2453" t="s">
        <v>344</v>
      </c>
      <c r="B2453" t="s">
        <v>496</v>
      </c>
      <c r="C2453" t="s">
        <v>499</v>
      </c>
      <c r="D2453" t="s">
        <v>497</v>
      </c>
      <c r="E2453">
        <v>2</v>
      </c>
      <c r="F2453">
        <v>8</v>
      </c>
      <c r="G2453">
        <v>375</v>
      </c>
      <c r="H2453">
        <v>15.1</v>
      </c>
      <c r="I2453" s="55">
        <f t="shared" si="16"/>
        <v>20.057484978342696</v>
      </c>
      <c r="J2453">
        <v>12</v>
      </c>
      <c r="K2453">
        <v>8</v>
      </c>
      <c r="L2453">
        <v>17</v>
      </c>
      <c r="M2453">
        <f t="shared" si="17"/>
        <v>360</v>
      </c>
    </row>
    <row r="2454" spans="1:13" hidden="1" x14ac:dyDescent="0.25">
      <c r="A2454" t="s">
        <v>344</v>
      </c>
      <c r="B2454" t="s">
        <v>496</v>
      </c>
      <c r="C2454" t="s">
        <v>499</v>
      </c>
      <c r="D2454" t="s">
        <v>497</v>
      </c>
      <c r="E2454">
        <v>2</v>
      </c>
      <c r="F2454">
        <v>8</v>
      </c>
      <c r="G2454">
        <v>400</v>
      </c>
      <c r="H2454">
        <v>15.1</v>
      </c>
      <c r="I2454" s="55">
        <f t="shared" si="16"/>
        <v>20.057484978342696</v>
      </c>
      <c r="J2454">
        <v>12</v>
      </c>
      <c r="K2454">
        <v>8</v>
      </c>
      <c r="L2454">
        <v>17</v>
      </c>
      <c r="M2454">
        <f t="shared" si="17"/>
        <v>385</v>
      </c>
    </row>
    <row r="2455" spans="1:13" hidden="1" x14ac:dyDescent="0.25">
      <c r="A2455" t="s">
        <v>344</v>
      </c>
      <c r="B2455" t="s">
        <v>496</v>
      </c>
      <c r="C2455" t="s">
        <v>499</v>
      </c>
      <c r="D2455" t="s">
        <v>497</v>
      </c>
      <c r="E2455">
        <v>2</v>
      </c>
      <c r="F2455">
        <v>8</v>
      </c>
      <c r="G2455">
        <v>425</v>
      </c>
      <c r="H2455">
        <v>15.1</v>
      </c>
      <c r="I2455" s="55">
        <f t="shared" si="16"/>
        <v>20.057484978342696</v>
      </c>
      <c r="J2455">
        <v>12</v>
      </c>
      <c r="K2455">
        <v>8</v>
      </c>
      <c r="L2455">
        <v>17</v>
      </c>
      <c r="M2455">
        <f t="shared" si="17"/>
        <v>410</v>
      </c>
    </row>
    <row r="2456" spans="1:13" hidden="1" x14ac:dyDescent="0.25">
      <c r="A2456" t="s">
        <v>344</v>
      </c>
      <c r="B2456" t="s">
        <v>496</v>
      </c>
      <c r="C2456" t="s">
        <v>499</v>
      </c>
      <c r="D2456" t="s">
        <v>497</v>
      </c>
      <c r="E2456">
        <v>2</v>
      </c>
      <c r="F2456">
        <v>8</v>
      </c>
      <c r="G2456">
        <v>450</v>
      </c>
      <c r="H2456">
        <v>15.1</v>
      </c>
      <c r="I2456" s="55">
        <f t="shared" si="16"/>
        <v>20.057484978342696</v>
      </c>
      <c r="J2456">
        <v>12</v>
      </c>
      <c r="K2456">
        <v>8</v>
      </c>
      <c r="L2456">
        <v>17</v>
      </c>
      <c r="M2456">
        <f t="shared" si="17"/>
        <v>435</v>
      </c>
    </row>
    <row r="2457" spans="1:13" hidden="1" x14ac:dyDescent="0.25">
      <c r="A2457" t="s">
        <v>344</v>
      </c>
      <c r="B2457" t="s">
        <v>496</v>
      </c>
      <c r="C2457" t="s">
        <v>499</v>
      </c>
      <c r="D2457" t="s">
        <v>497</v>
      </c>
      <c r="E2457">
        <v>2</v>
      </c>
      <c r="F2457">
        <v>8</v>
      </c>
      <c r="G2457">
        <v>475</v>
      </c>
      <c r="H2457">
        <v>15.1</v>
      </c>
      <c r="I2457" s="55">
        <f t="shared" si="16"/>
        <v>20.057484978342696</v>
      </c>
      <c r="J2457">
        <v>12</v>
      </c>
      <c r="K2457">
        <v>8</v>
      </c>
      <c r="L2457">
        <v>17</v>
      </c>
      <c r="M2457">
        <f t="shared" si="17"/>
        <v>460</v>
      </c>
    </row>
    <row r="2458" spans="1:13" hidden="1" x14ac:dyDescent="0.25">
      <c r="A2458" t="s">
        <v>344</v>
      </c>
      <c r="B2458" t="s">
        <v>496</v>
      </c>
      <c r="C2458" t="s">
        <v>499</v>
      </c>
      <c r="D2458" t="s">
        <v>497</v>
      </c>
      <c r="E2458">
        <v>2</v>
      </c>
      <c r="F2458">
        <v>8</v>
      </c>
      <c r="G2458">
        <v>500</v>
      </c>
      <c r="H2458">
        <v>15.1</v>
      </c>
      <c r="I2458" s="55">
        <f t="shared" si="16"/>
        <v>20.057484978342696</v>
      </c>
      <c r="J2458">
        <v>12</v>
      </c>
      <c r="K2458">
        <v>8</v>
      </c>
      <c r="L2458">
        <v>17</v>
      </c>
      <c r="M2458">
        <f t="shared" si="17"/>
        <v>485</v>
      </c>
    </row>
    <row r="2459" spans="1:13" hidden="1" x14ac:dyDescent="0.25">
      <c r="A2459" t="s">
        <v>344</v>
      </c>
      <c r="B2459" t="s">
        <v>496</v>
      </c>
      <c r="C2459" t="s">
        <v>499</v>
      </c>
      <c r="D2459" t="s">
        <v>497</v>
      </c>
      <c r="E2459">
        <v>2</v>
      </c>
      <c r="F2459">
        <v>8</v>
      </c>
      <c r="G2459">
        <v>550</v>
      </c>
      <c r="H2459">
        <v>15.1</v>
      </c>
      <c r="I2459" s="55">
        <f t="shared" si="16"/>
        <v>20.057484978342696</v>
      </c>
      <c r="J2459">
        <v>12</v>
      </c>
      <c r="K2459">
        <v>8</v>
      </c>
      <c r="L2459">
        <v>17</v>
      </c>
      <c r="M2459">
        <f t="shared" si="17"/>
        <v>535</v>
      </c>
    </row>
    <row r="2460" spans="1:13" hidden="1" x14ac:dyDescent="0.25">
      <c r="A2460" t="s">
        <v>344</v>
      </c>
      <c r="B2460" t="s">
        <v>496</v>
      </c>
      <c r="C2460" t="s">
        <v>499</v>
      </c>
      <c r="D2460" t="s">
        <v>497</v>
      </c>
      <c r="E2460">
        <v>2</v>
      </c>
      <c r="F2460">
        <v>8</v>
      </c>
      <c r="G2460">
        <v>600</v>
      </c>
      <c r="H2460">
        <v>15.1</v>
      </c>
      <c r="I2460" s="55">
        <f t="shared" si="16"/>
        <v>20.057484978342696</v>
      </c>
      <c r="J2460">
        <v>12</v>
      </c>
      <c r="K2460">
        <v>8</v>
      </c>
      <c r="L2460">
        <v>17</v>
      </c>
      <c r="M2460">
        <f t="shared" si="17"/>
        <v>585</v>
      </c>
    </row>
    <row r="2461" spans="1:13" hidden="1" x14ac:dyDescent="0.25">
      <c r="A2461" t="s">
        <v>344</v>
      </c>
      <c r="B2461" t="s">
        <v>496</v>
      </c>
      <c r="C2461" t="s">
        <v>499</v>
      </c>
      <c r="D2461" t="s">
        <v>497</v>
      </c>
      <c r="E2461">
        <v>2</v>
      </c>
      <c r="F2461">
        <v>10</v>
      </c>
      <c r="G2461">
        <v>100</v>
      </c>
      <c r="H2461">
        <v>18.600000000000001</v>
      </c>
      <c r="I2461" s="55">
        <f t="shared" si="16"/>
        <v>35.829645349814783</v>
      </c>
      <c r="J2461">
        <v>11.5</v>
      </c>
      <c r="K2461">
        <v>8</v>
      </c>
      <c r="L2461">
        <v>28</v>
      </c>
      <c r="M2461">
        <f t="shared" si="17"/>
        <v>85</v>
      </c>
    </row>
    <row r="2462" spans="1:13" hidden="1" x14ac:dyDescent="0.25">
      <c r="A2462" t="s">
        <v>344</v>
      </c>
      <c r="B2462" t="s">
        <v>496</v>
      </c>
      <c r="C2462" t="s">
        <v>499</v>
      </c>
      <c r="D2462" t="s">
        <v>497</v>
      </c>
      <c r="E2462">
        <v>2</v>
      </c>
      <c r="F2462">
        <v>10</v>
      </c>
      <c r="G2462">
        <v>120</v>
      </c>
      <c r="H2462">
        <v>18.600000000000001</v>
      </c>
      <c r="I2462" s="55">
        <f t="shared" si="16"/>
        <v>35.829645349814783</v>
      </c>
      <c r="J2462">
        <v>11.5</v>
      </c>
      <c r="K2462">
        <v>8</v>
      </c>
      <c r="L2462">
        <v>28</v>
      </c>
      <c r="M2462">
        <f t="shared" si="17"/>
        <v>105</v>
      </c>
    </row>
    <row r="2463" spans="1:13" hidden="1" x14ac:dyDescent="0.25">
      <c r="A2463" t="s">
        <v>344</v>
      </c>
      <c r="B2463" t="s">
        <v>496</v>
      </c>
      <c r="C2463" t="s">
        <v>499</v>
      </c>
      <c r="D2463" t="s">
        <v>497</v>
      </c>
      <c r="E2463">
        <v>2</v>
      </c>
      <c r="F2463">
        <v>10</v>
      </c>
      <c r="G2463">
        <v>140</v>
      </c>
      <c r="H2463">
        <v>18.600000000000001</v>
      </c>
      <c r="I2463" s="55">
        <f t="shared" si="16"/>
        <v>35.829645349814783</v>
      </c>
      <c r="J2463">
        <v>11.5</v>
      </c>
      <c r="K2463">
        <v>8</v>
      </c>
      <c r="L2463">
        <v>28</v>
      </c>
      <c r="M2463">
        <f t="shared" si="17"/>
        <v>125</v>
      </c>
    </row>
    <row r="2464" spans="1:13" hidden="1" x14ac:dyDescent="0.25">
      <c r="A2464" t="s">
        <v>344</v>
      </c>
      <c r="B2464" t="s">
        <v>496</v>
      </c>
      <c r="C2464" t="s">
        <v>499</v>
      </c>
      <c r="D2464" t="s">
        <v>497</v>
      </c>
      <c r="E2464">
        <v>2</v>
      </c>
      <c r="F2464">
        <v>10</v>
      </c>
      <c r="G2464">
        <v>160</v>
      </c>
      <c r="H2464">
        <v>18.600000000000001</v>
      </c>
      <c r="I2464" s="55">
        <f t="shared" si="16"/>
        <v>35.829645349814783</v>
      </c>
      <c r="J2464">
        <v>11.5</v>
      </c>
      <c r="K2464">
        <v>8</v>
      </c>
      <c r="L2464">
        <v>28</v>
      </c>
      <c r="M2464">
        <f t="shared" si="17"/>
        <v>145</v>
      </c>
    </row>
    <row r="2465" spans="1:13" hidden="1" x14ac:dyDescent="0.25">
      <c r="A2465" t="s">
        <v>344</v>
      </c>
      <c r="B2465" t="s">
        <v>496</v>
      </c>
      <c r="C2465" t="s">
        <v>499</v>
      </c>
      <c r="D2465" t="s">
        <v>497</v>
      </c>
      <c r="E2465">
        <v>2</v>
      </c>
      <c r="F2465">
        <v>10</v>
      </c>
      <c r="G2465">
        <v>180</v>
      </c>
      <c r="H2465">
        <v>18.600000000000001</v>
      </c>
      <c r="I2465" s="55">
        <f t="shared" si="16"/>
        <v>35.829645349814783</v>
      </c>
      <c r="J2465">
        <v>11.5</v>
      </c>
      <c r="K2465">
        <v>8</v>
      </c>
      <c r="L2465">
        <v>28</v>
      </c>
      <c r="M2465">
        <f t="shared" si="17"/>
        <v>165</v>
      </c>
    </row>
    <row r="2466" spans="1:13" hidden="1" x14ac:dyDescent="0.25">
      <c r="A2466" t="s">
        <v>344</v>
      </c>
      <c r="B2466" t="s">
        <v>496</v>
      </c>
      <c r="C2466" t="s">
        <v>499</v>
      </c>
      <c r="D2466" t="s">
        <v>497</v>
      </c>
      <c r="E2466">
        <v>2</v>
      </c>
      <c r="F2466">
        <v>10</v>
      </c>
      <c r="G2466">
        <v>200</v>
      </c>
      <c r="H2466">
        <v>18.600000000000001</v>
      </c>
      <c r="I2466" s="55">
        <f t="shared" si="16"/>
        <v>35.829645349814783</v>
      </c>
      <c r="J2466">
        <v>11.5</v>
      </c>
      <c r="K2466">
        <v>8</v>
      </c>
      <c r="L2466">
        <v>28</v>
      </c>
      <c r="M2466">
        <f t="shared" si="17"/>
        <v>185</v>
      </c>
    </row>
    <row r="2467" spans="1:13" hidden="1" x14ac:dyDescent="0.25">
      <c r="A2467" t="s">
        <v>344</v>
      </c>
      <c r="B2467" t="s">
        <v>496</v>
      </c>
      <c r="C2467" t="s">
        <v>499</v>
      </c>
      <c r="D2467" t="s">
        <v>497</v>
      </c>
      <c r="E2467">
        <v>2</v>
      </c>
      <c r="F2467">
        <v>10</v>
      </c>
      <c r="G2467">
        <v>220</v>
      </c>
      <c r="H2467">
        <v>18.600000000000001</v>
      </c>
      <c r="I2467" s="55">
        <f t="shared" si="16"/>
        <v>35.829645349814783</v>
      </c>
      <c r="J2467">
        <v>11.5</v>
      </c>
      <c r="K2467">
        <v>8</v>
      </c>
      <c r="L2467">
        <v>28</v>
      </c>
      <c r="M2467">
        <f t="shared" si="17"/>
        <v>205</v>
      </c>
    </row>
    <row r="2468" spans="1:13" hidden="1" x14ac:dyDescent="0.25">
      <c r="A2468" t="s">
        <v>344</v>
      </c>
      <c r="B2468" t="s">
        <v>496</v>
      </c>
      <c r="C2468" t="s">
        <v>499</v>
      </c>
      <c r="D2468" t="s">
        <v>497</v>
      </c>
      <c r="E2468">
        <v>2</v>
      </c>
      <c r="F2468">
        <v>10</v>
      </c>
      <c r="G2468">
        <v>240</v>
      </c>
      <c r="H2468">
        <v>18.600000000000001</v>
      </c>
      <c r="I2468" s="55">
        <f t="shared" si="16"/>
        <v>35.829645349814783</v>
      </c>
      <c r="J2468">
        <v>11.5</v>
      </c>
      <c r="K2468">
        <v>8</v>
      </c>
      <c r="L2468">
        <v>28</v>
      </c>
      <c r="M2468">
        <f t="shared" si="17"/>
        <v>225</v>
      </c>
    </row>
    <row r="2469" spans="1:13" hidden="1" x14ac:dyDescent="0.25">
      <c r="A2469" t="s">
        <v>344</v>
      </c>
      <c r="B2469" t="s">
        <v>496</v>
      </c>
      <c r="C2469" t="s">
        <v>499</v>
      </c>
      <c r="D2469" t="s">
        <v>497</v>
      </c>
      <c r="E2469">
        <v>2</v>
      </c>
      <c r="F2469">
        <v>10</v>
      </c>
      <c r="G2469">
        <v>260</v>
      </c>
      <c r="H2469">
        <v>18.600000000000001</v>
      </c>
      <c r="I2469" s="55">
        <f t="shared" si="16"/>
        <v>35.829645349814783</v>
      </c>
      <c r="J2469">
        <v>11.5</v>
      </c>
      <c r="K2469">
        <v>8</v>
      </c>
      <c r="L2469">
        <v>28</v>
      </c>
      <c r="M2469">
        <f t="shared" si="17"/>
        <v>245</v>
      </c>
    </row>
    <row r="2470" spans="1:13" hidden="1" x14ac:dyDescent="0.25">
      <c r="A2470" t="s">
        <v>344</v>
      </c>
      <c r="B2470" t="s">
        <v>496</v>
      </c>
      <c r="C2470" t="s">
        <v>499</v>
      </c>
      <c r="D2470" t="s">
        <v>497</v>
      </c>
      <c r="E2470">
        <v>2</v>
      </c>
      <c r="F2470">
        <v>10</v>
      </c>
      <c r="G2470">
        <v>280</v>
      </c>
      <c r="H2470">
        <v>18.600000000000001</v>
      </c>
      <c r="I2470" s="55">
        <f t="shared" si="16"/>
        <v>35.829645349814783</v>
      </c>
      <c r="J2470">
        <v>11.5</v>
      </c>
      <c r="K2470">
        <v>8</v>
      </c>
      <c r="L2470">
        <v>28</v>
      </c>
      <c r="M2470">
        <f t="shared" si="17"/>
        <v>265</v>
      </c>
    </row>
    <row r="2471" spans="1:13" hidden="1" x14ac:dyDescent="0.25">
      <c r="A2471" t="s">
        <v>344</v>
      </c>
      <c r="B2471" t="s">
        <v>496</v>
      </c>
      <c r="C2471" t="s">
        <v>499</v>
      </c>
      <c r="D2471" t="s">
        <v>497</v>
      </c>
      <c r="E2471">
        <v>2</v>
      </c>
      <c r="F2471">
        <v>10</v>
      </c>
      <c r="G2471">
        <v>300</v>
      </c>
      <c r="H2471">
        <v>18.600000000000001</v>
      </c>
      <c r="I2471" s="55">
        <f t="shared" si="16"/>
        <v>35.829645349814783</v>
      </c>
      <c r="J2471">
        <v>11.5</v>
      </c>
      <c r="K2471">
        <v>8</v>
      </c>
      <c r="L2471">
        <v>28</v>
      </c>
      <c r="M2471">
        <f t="shared" si="17"/>
        <v>285</v>
      </c>
    </row>
    <row r="2472" spans="1:13" hidden="1" x14ac:dyDescent="0.25">
      <c r="A2472" t="s">
        <v>344</v>
      </c>
      <c r="B2472" t="s">
        <v>496</v>
      </c>
      <c r="C2472" t="s">
        <v>499</v>
      </c>
      <c r="D2472" t="s">
        <v>497</v>
      </c>
      <c r="E2472">
        <v>2</v>
      </c>
      <c r="F2472">
        <v>10</v>
      </c>
      <c r="G2472">
        <v>325</v>
      </c>
      <c r="H2472">
        <v>18.600000000000001</v>
      </c>
      <c r="I2472" s="55">
        <f t="shared" si="16"/>
        <v>35.829645349814783</v>
      </c>
      <c r="J2472">
        <v>11.5</v>
      </c>
      <c r="K2472">
        <v>8</v>
      </c>
      <c r="L2472">
        <v>28</v>
      </c>
      <c r="M2472">
        <f t="shared" si="17"/>
        <v>310</v>
      </c>
    </row>
    <row r="2473" spans="1:13" hidden="1" x14ac:dyDescent="0.25">
      <c r="A2473" t="s">
        <v>344</v>
      </c>
      <c r="B2473" t="s">
        <v>496</v>
      </c>
      <c r="C2473" t="s">
        <v>499</v>
      </c>
      <c r="D2473" t="s">
        <v>497</v>
      </c>
      <c r="E2473">
        <v>2</v>
      </c>
      <c r="F2473">
        <v>10</v>
      </c>
      <c r="G2473">
        <v>350</v>
      </c>
      <c r="H2473">
        <v>18.600000000000001</v>
      </c>
      <c r="I2473" s="55">
        <f t="shared" si="16"/>
        <v>35.829645349814783</v>
      </c>
      <c r="J2473">
        <v>11.5</v>
      </c>
      <c r="K2473">
        <v>8</v>
      </c>
      <c r="L2473">
        <v>28</v>
      </c>
      <c r="M2473">
        <f t="shared" si="17"/>
        <v>335</v>
      </c>
    </row>
    <row r="2474" spans="1:13" hidden="1" x14ac:dyDescent="0.25">
      <c r="A2474" t="s">
        <v>344</v>
      </c>
      <c r="B2474" t="s">
        <v>496</v>
      </c>
      <c r="C2474" t="s">
        <v>499</v>
      </c>
      <c r="D2474" t="s">
        <v>497</v>
      </c>
      <c r="E2474">
        <v>2</v>
      </c>
      <c r="F2474">
        <v>10</v>
      </c>
      <c r="G2474">
        <v>375</v>
      </c>
      <c r="H2474">
        <v>18.600000000000001</v>
      </c>
      <c r="I2474" s="55">
        <f t="shared" si="16"/>
        <v>35.829645349814783</v>
      </c>
      <c r="J2474">
        <v>11.5</v>
      </c>
      <c r="K2474">
        <v>8</v>
      </c>
      <c r="L2474">
        <v>28</v>
      </c>
      <c r="M2474">
        <f t="shared" si="17"/>
        <v>360</v>
      </c>
    </row>
    <row r="2475" spans="1:13" hidden="1" x14ac:dyDescent="0.25">
      <c r="A2475" t="s">
        <v>344</v>
      </c>
      <c r="B2475" t="s">
        <v>496</v>
      </c>
      <c r="C2475" t="s">
        <v>499</v>
      </c>
      <c r="D2475" t="s">
        <v>497</v>
      </c>
      <c r="E2475">
        <v>2</v>
      </c>
      <c r="F2475">
        <v>10</v>
      </c>
      <c r="G2475">
        <v>400</v>
      </c>
      <c r="H2475">
        <v>18.600000000000001</v>
      </c>
      <c r="I2475" s="55">
        <f t="shared" si="16"/>
        <v>35.829645349814783</v>
      </c>
      <c r="J2475">
        <v>11.5</v>
      </c>
      <c r="K2475">
        <v>8</v>
      </c>
      <c r="L2475">
        <v>28</v>
      </c>
      <c r="M2475">
        <f t="shared" si="17"/>
        <v>385</v>
      </c>
    </row>
    <row r="2476" spans="1:13" hidden="1" x14ac:dyDescent="0.25">
      <c r="A2476" t="s">
        <v>344</v>
      </c>
      <c r="B2476" t="s">
        <v>496</v>
      </c>
      <c r="C2476" t="s">
        <v>499</v>
      </c>
      <c r="D2476" t="s">
        <v>497</v>
      </c>
      <c r="E2476">
        <v>2</v>
      </c>
      <c r="F2476">
        <v>10</v>
      </c>
      <c r="G2476">
        <v>425</v>
      </c>
      <c r="H2476">
        <v>18.600000000000001</v>
      </c>
      <c r="I2476" s="55">
        <f t="shared" si="16"/>
        <v>35.829645349814783</v>
      </c>
      <c r="J2476">
        <v>11.5</v>
      </c>
      <c r="K2476">
        <v>8</v>
      </c>
      <c r="L2476">
        <v>28</v>
      </c>
      <c r="M2476">
        <f t="shared" si="17"/>
        <v>410</v>
      </c>
    </row>
    <row r="2477" spans="1:13" hidden="1" x14ac:dyDescent="0.25">
      <c r="A2477" t="s">
        <v>344</v>
      </c>
      <c r="B2477" t="s">
        <v>496</v>
      </c>
      <c r="C2477" t="s">
        <v>499</v>
      </c>
      <c r="D2477" t="s">
        <v>497</v>
      </c>
      <c r="E2477">
        <v>2</v>
      </c>
      <c r="F2477">
        <v>10</v>
      </c>
      <c r="G2477">
        <v>450</v>
      </c>
      <c r="H2477">
        <v>18.600000000000001</v>
      </c>
      <c r="I2477" s="55">
        <f t="shared" si="16"/>
        <v>35.829645349814783</v>
      </c>
      <c r="J2477">
        <v>11.5</v>
      </c>
      <c r="K2477">
        <v>8</v>
      </c>
      <c r="L2477">
        <v>28</v>
      </c>
      <c r="M2477">
        <f t="shared" si="17"/>
        <v>435</v>
      </c>
    </row>
    <row r="2478" spans="1:13" hidden="1" x14ac:dyDescent="0.25">
      <c r="A2478" t="s">
        <v>344</v>
      </c>
      <c r="B2478" t="s">
        <v>496</v>
      </c>
      <c r="C2478" t="s">
        <v>499</v>
      </c>
      <c r="D2478" t="s">
        <v>497</v>
      </c>
      <c r="E2478">
        <v>2</v>
      </c>
      <c r="F2478">
        <v>10</v>
      </c>
      <c r="G2478">
        <v>500</v>
      </c>
      <c r="H2478">
        <v>18.600000000000001</v>
      </c>
      <c r="I2478" s="55">
        <f t="shared" si="16"/>
        <v>35.829645349814783</v>
      </c>
      <c r="J2478">
        <v>11.5</v>
      </c>
      <c r="K2478">
        <v>8</v>
      </c>
      <c r="L2478">
        <v>28</v>
      </c>
      <c r="M2478">
        <f t="shared" si="17"/>
        <v>485</v>
      </c>
    </row>
    <row r="2479" spans="1:13" hidden="1" x14ac:dyDescent="0.25">
      <c r="A2479" t="s">
        <v>344</v>
      </c>
      <c r="B2479" t="s">
        <v>496</v>
      </c>
      <c r="C2479" t="s">
        <v>499</v>
      </c>
      <c r="D2479" t="s">
        <v>497</v>
      </c>
      <c r="E2479">
        <v>2</v>
      </c>
      <c r="F2479">
        <v>10</v>
      </c>
      <c r="G2479">
        <v>550</v>
      </c>
      <c r="H2479">
        <v>18.600000000000001</v>
      </c>
      <c r="I2479" s="55">
        <f t="shared" si="16"/>
        <v>35.829645349814783</v>
      </c>
      <c r="J2479">
        <v>11.5</v>
      </c>
      <c r="K2479">
        <v>8</v>
      </c>
      <c r="L2479">
        <v>28</v>
      </c>
      <c r="M2479">
        <f t="shared" si="17"/>
        <v>535</v>
      </c>
    </row>
    <row r="2480" spans="1:13" hidden="1" x14ac:dyDescent="0.25">
      <c r="A2480" t="s">
        <v>344</v>
      </c>
      <c r="B2480" t="s">
        <v>496</v>
      </c>
      <c r="C2480" t="s">
        <v>499</v>
      </c>
      <c r="D2480" t="s">
        <v>497</v>
      </c>
      <c r="E2480">
        <v>2</v>
      </c>
      <c r="F2480">
        <v>10</v>
      </c>
      <c r="G2480">
        <v>600</v>
      </c>
      <c r="H2480">
        <v>18.600000000000001</v>
      </c>
      <c r="I2480" s="55">
        <f t="shared" si="16"/>
        <v>35.829645349814783</v>
      </c>
      <c r="J2480">
        <v>11.5</v>
      </c>
      <c r="K2480">
        <v>8</v>
      </c>
      <c r="L2480">
        <v>28</v>
      </c>
      <c r="M2480">
        <f t="shared" si="17"/>
        <v>585</v>
      </c>
    </row>
    <row r="2481" spans="1:13" hidden="1" x14ac:dyDescent="0.25">
      <c r="A2481" t="s">
        <v>344</v>
      </c>
      <c r="B2481" t="s">
        <v>496</v>
      </c>
      <c r="C2481" t="s">
        <v>499</v>
      </c>
      <c r="D2481" t="s">
        <v>497</v>
      </c>
      <c r="E2481">
        <v>2</v>
      </c>
      <c r="F2481">
        <v>10</v>
      </c>
      <c r="G2481">
        <v>650</v>
      </c>
      <c r="H2481">
        <v>18.600000000000001</v>
      </c>
      <c r="I2481" s="55">
        <f t="shared" si="16"/>
        <v>35.829645349814783</v>
      </c>
      <c r="J2481">
        <v>11.5</v>
      </c>
      <c r="K2481">
        <v>8</v>
      </c>
      <c r="L2481">
        <v>28</v>
      </c>
      <c r="M2481">
        <f t="shared" si="17"/>
        <v>635</v>
      </c>
    </row>
    <row r="2482" spans="1:13" hidden="1" x14ac:dyDescent="0.25">
      <c r="A2482" t="s">
        <v>344</v>
      </c>
      <c r="B2482" t="s">
        <v>496</v>
      </c>
      <c r="C2482" t="s">
        <v>499</v>
      </c>
      <c r="D2482" t="s">
        <v>497</v>
      </c>
      <c r="E2482">
        <v>2</v>
      </c>
      <c r="F2482">
        <v>10</v>
      </c>
      <c r="G2482">
        <v>700</v>
      </c>
      <c r="H2482">
        <v>18.600000000000001</v>
      </c>
      <c r="I2482" s="55">
        <f t="shared" si="16"/>
        <v>35.829645349814783</v>
      </c>
      <c r="J2482">
        <v>11.5</v>
      </c>
      <c r="K2482">
        <v>8</v>
      </c>
      <c r="L2482">
        <v>28</v>
      </c>
      <c r="M2482">
        <f t="shared" si="17"/>
        <v>685</v>
      </c>
    </row>
    <row r="2483" spans="1:13" hidden="1" x14ac:dyDescent="0.25">
      <c r="A2483" t="s">
        <v>344</v>
      </c>
      <c r="B2483" t="s">
        <v>496</v>
      </c>
      <c r="C2483" t="s">
        <v>499</v>
      </c>
      <c r="D2483" t="s">
        <v>497</v>
      </c>
      <c r="E2483">
        <v>2</v>
      </c>
      <c r="F2483">
        <v>10</v>
      </c>
      <c r="G2483">
        <v>750</v>
      </c>
      <c r="H2483">
        <v>18.600000000000001</v>
      </c>
      <c r="I2483" s="55">
        <f t="shared" si="16"/>
        <v>35.829645349814783</v>
      </c>
      <c r="J2483">
        <v>11.5</v>
      </c>
      <c r="K2483">
        <v>8</v>
      </c>
      <c r="L2483">
        <v>28</v>
      </c>
      <c r="M2483">
        <f t="shared" si="17"/>
        <v>735</v>
      </c>
    </row>
    <row r="2484" spans="1:13" hidden="1" x14ac:dyDescent="0.25">
      <c r="A2484" t="s">
        <v>344</v>
      </c>
      <c r="B2484" t="s">
        <v>496</v>
      </c>
      <c r="C2484" t="s">
        <v>499</v>
      </c>
      <c r="D2484" t="s">
        <v>497</v>
      </c>
      <c r="E2484">
        <v>2</v>
      </c>
      <c r="F2484">
        <v>10</v>
      </c>
      <c r="G2484">
        <v>800</v>
      </c>
      <c r="H2484">
        <v>18.600000000000001</v>
      </c>
      <c r="I2484" s="55">
        <f t="shared" si="16"/>
        <v>35.829645349814783</v>
      </c>
      <c r="J2484">
        <v>11.5</v>
      </c>
      <c r="K2484">
        <v>8</v>
      </c>
      <c r="L2484">
        <v>28</v>
      </c>
      <c r="M2484">
        <f t="shared" si="17"/>
        <v>785</v>
      </c>
    </row>
    <row r="2485" spans="1:13" hidden="1" x14ac:dyDescent="0.25">
      <c r="A2485" t="s">
        <v>344</v>
      </c>
      <c r="B2485" t="s">
        <v>496</v>
      </c>
      <c r="C2485" t="s">
        <v>499</v>
      </c>
      <c r="D2485" t="s">
        <v>497</v>
      </c>
      <c r="E2485">
        <v>2</v>
      </c>
      <c r="F2485">
        <v>12</v>
      </c>
      <c r="G2485">
        <v>200</v>
      </c>
      <c r="H2485">
        <v>18.600000000000001</v>
      </c>
      <c r="I2485" s="55">
        <f t="shared" si="16"/>
        <v>57.559067465202105</v>
      </c>
      <c r="J2485">
        <v>11</v>
      </c>
      <c r="K2485">
        <v>8</v>
      </c>
      <c r="L2485">
        <v>38</v>
      </c>
      <c r="M2485">
        <f t="shared" si="17"/>
        <v>185</v>
      </c>
    </row>
    <row r="2486" spans="1:13" hidden="1" x14ac:dyDescent="0.25">
      <c r="A2486" t="s">
        <v>344</v>
      </c>
      <c r="B2486" t="s">
        <v>496</v>
      </c>
      <c r="C2486" t="s">
        <v>499</v>
      </c>
      <c r="D2486" t="s">
        <v>497</v>
      </c>
      <c r="E2486">
        <v>2</v>
      </c>
      <c r="F2486">
        <v>12</v>
      </c>
      <c r="G2486">
        <v>240</v>
      </c>
      <c r="H2486">
        <v>18.600000000000001</v>
      </c>
      <c r="I2486" s="55">
        <f t="shared" si="16"/>
        <v>57.559067465202105</v>
      </c>
      <c r="J2486">
        <v>11</v>
      </c>
      <c r="K2486">
        <v>8</v>
      </c>
      <c r="L2486">
        <v>38</v>
      </c>
      <c r="M2486">
        <f t="shared" si="17"/>
        <v>225</v>
      </c>
    </row>
    <row r="2487" spans="1:13" hidden="1" x14ac:dyDescent="0.25">
      <c r="A2487" t="s">
        <v>344</v>
      </c>
      <c r="B2487" t="s">
        <v>496</v>
      </c>
      <c r="C2487" t="s">
        <v>499</v>
      </c>
      <c r="D2487" t="s">
        <v>497</v>
      </c>
      <c r="E2487">
        <v>2</v>
      </c>
      <c r="F2487">
        <v>12</v>
      </c>
      <c r="G2487">
        <v>280</v>
      </c>
      <c r="H2487">
        <v>18.600000000000001</v>
      </c>
      <c r="I2487" s="55">
        <f t="shared" si="16"/>
        <v>57.559067465202105</v>
      </c>
      <c r="J2487">
        <v>11</v>
      </c>
      <c r="K2487">
        <v>8</v>
      </c>
      <c r="L2487">
        <v>38</v>
      </c>
      <c r="M2487">
        <f t="shared" si="17"/>
        <v>265</v>
      </c>
    </row>
    <row r="2488" spans="1:13" hidden="1" x14ac:dyDescent="0.25">
      <c r="A2488" t="s">
        <v>344</v>
      </c>
      <c r="B2488" t="s">
        <v>496</v>
      </c>
      <c r="C2488" t="s">
        <v>499</v>
      </c>
      <c r="D2488" t="s">
        <v>497</v>
      </c>
      <c r="E2488">
        <v>2</v>
      </c>
      <c r="F2488">
        <v>12</v>
      </c>
      <c r="G2488">
        <v>300</v>
      </c>
      <c r="H2488">
        <v>18.600000000000001</v>
      </c>
      <c r="I2488" s="55">
        <f t="shared" si="16"/>
        <v>57.559067465202105</v>
      </c>
      <c r="J2488">
        <v>11</v>
      </c>
      <c r="K2488">
        <v>8</v>
      </c>
      <c r="L2488">
        <v>38</v>
      </c>
      <c r="M2488">
        <f t="shared" si="17"/>
        <v>285</v>
      </c>
    </row>
    <row r="2489" spans="1:13" hidden="1" x14ac:dyDescent="0.25">
      <c r="A2489" t="s">
        <v>344</v>
      </c>
      <c r="B2489" t="s">
        <v>496</v>
      </c>
      <c r="C2489" t="s">
        <v>499</v>
      </c>
      <c r="D2489" t="s">
        <v>497</v>
      </c>
      <c r="E2489">
        <v>2</v>
      </c>
      <c r="F2489">
        <v>12</v>
      </c>
      <c r="G2489">
        <v>350</v>
      </c>
      <c r="H2489">
        <v>18.600000000000001</v>
      </c>
      <c r="I2489" s="55">
        <f t="shared" si="16"/>
        <v>57.559067465202105</v>
      </c>
      <c r="J2489">
        <v>11</v>
      </c>
      <c r="K2489">
        <v>8</v>
      </c>
      <c r="L2489">
        <v>38</v>
      </c>
      <c r="M2489">
        <f t="shared" si="17"/>
        <v>335</v>
      </c>
    </row>
    <row r="2490" spans="1:13" hidden="1" x14ac:dyDescent="0.25">
      <c r="A2490" t="s">
        <v>344</v>
      </c>
      <c r="B2490" t="s">
        <v>496</v>
      </c>
      <c r="C2490" t="s">
        <v>499</v>
      </c>
      <c r="D2490" t="s">
        <v>497</v>
      </c>
      <c r="E2490">
        <v>2</v>
      </c>
      <c r="F2490">
        <v>12</v>
      </c>
      <c r="G2490">
        <v>400</v>
      </c>
      <c r="H2490">
        <v>18.600000000000001</v>
      </c>
      <c r="I2490" s="55">
        <f t="shared" si="16"/>
        <v>57.559067465202105</v>
      </c>
      <c r="J2490">
        <v>11</v>
      </c>
      <c r="K2490">
        <v>8</v>
      </c>
      <c r="L2490">
        <v>38</v>
      </c>
      <c r="M2490">
        <f t="shared" si="17"/>
        <v>385</v>
      </c>
    </row>
    <row r="2491" spans="1:13" hidden="1" x14ac:dyDescent="0.25">
      <c r="A2491" t="s">
        <v>344</v>
      </c>
      <c r="B2491" t="s">
        <v>496</v>
      </c>
      <c r="C2491" t="s">
        <v>499</v>
      </c>
      <c r="D2491" t="s">
        <v>497</v>
      </c>
      <c r="E2491">
        <v>2</v>
      </c>
      <c r="F2491">
        <v>12</v>
      </c>
      <c r="G2491">
        <v>450</v>
      </c>
      <c r="H2491">
        <v>18.600000000000001</v>
      </c>
      <c r="I2491" s="55">
        <f t="shared" si="16"/>
        <v>57.559067465202105</v>
      </c>
      <c r="J2491">
        <v>11</v>
      </c>
      <c r="K2491">
        <v>8</v>
      </c>
      <c r="L2491">
        <v>38</v>
      </c>
      <c r="M2491">
        <f t="shared" si="17"/>
        <v>435</v>
      </c>
    </row>
    <row r="2492" spans="1:13" hidden="1" x14ac:dyDescent="0.25">
      <c r="A2492" t="s">
        <v>344</v>
      </c>
      <c r="B2492" t="s">
        <v>496</v>
      </c>
      <c r="C2492" t="s">
        <v>499</v>
      </c>
      <c r="D2492" t="s">
        <v>497</v>
      </c>
      <c r="E2492">
        <v>2</v>
      </c>
      <c r="F2492">
        <v>12</v>
      </c>
      <c r="G2492">
        <v>500</v>
      </c>
      <c r="H2492">
        <v>18.600000000000001</v>
      </c>
      <c r="I2492" s="55">
        <f t="shared" si="16"/>
        <v>57.559067465202105</v>
      </c>
      <c r="J2492">
        <v>11</v>
      </c>
      <c r="K2492">
        <v>8</v>
      </c>
      <c r="L2492">
        <v>38</v>
      </c>
      <c r="M2492">
        <f t="shared" si="17"/>
        <v>485</v>
      </c>
    </row>
    <row r="2493" spans="1:13" hidden="1" x14ac:dyDescent="0.25">
      <c r="A2493" t="s">
        <v>344</v>
      </c>
      <c r="B2493" t="s">
        <v>496</v>
      </c>
      <c r="C2493" t="s">
        <v>499</v>
      </c>
      <c r="D2493" t="s">
        <v>497</v>
      </c>
      <c r="E2493">
        <v>2</v>
      </c>
      <c r="F2493">
        <v>12</v>
      </c>
      <c r="G2493">
        <v>550</v>
      </c>
      <c r="H2493">
        <v>18.600000000000001</v>
      </c>
      <c r="I2493" s="55">
        <f t="shared" si="16"/>
        <v>57.559067465202105</v>
      </c>
      <c r="J2493">
        <v>11</v>
      </c>
      <c r="K2493">
        <v>8</v>
      </c>
      <c r="L2493">
        <v>38</v>
      </c>
      <c r="M2493">
        <f t="shared" si="17"/>
        <v>535</v>
      </c>
    </row>
    <row r="2494" spans="1:13" hidden="1" x14ac:dyDescent="0.25">
      <c r="A2494" t="s">
        <v>344</v>
      </c>
      <c r="B2494" t="s">
        <v>496</v>
      </c>
      <c r="C2494" t="s">
        <v>499</v>
      </c>
      <c r="D2494" t="s">
        <v>497</v>
      </c>
      <c r="E2494">
        <v>2</v>
      </c>
      <c r="F2494">
        <v>12</v>
      </c>
      <c r="G2494">
        <v>600</v>
      </c>
      <c r="H2494">
        <v>18.600000000000001</v>
      </c>
      <c r="I2494" s="55">
        <f t="shared" si="16"/>
        <v>57.559067465202105</v>
      </c>
      <c r="J2494">
        <v>11</v>
      </c>
      <c r="K2494">
        <v>8</v>
      </c>
      <c r="L2494">
        <v>38</v>
      </c>
      <c r="M2494">
        <f t="shared" si="17"/>
        <v>585</v>
      </c>
    </row>
    <row r="2495" spans="1:13" hidden="1" x14ac:dyDescent="0.25">
      <c r="A2495" t="s">
        <v>344</v>
      </c>
      <c r="B2495" t="s">
        <v>496</v>
      </c>
      <c r="C2495" t="s">
        <v>498</v>
      </c>
      <c r="D2495" t="s">
        <v>497</v>
      </c>
      <c r="E2495">
        <v>3</v>
      </c>
      <c r="F2495">
        <v>8</v>
      </c>
      <c r="G2495">
        <v>100</v>
      </c>
      <c r="H2495">
        <v>15.1</v>
      </c>
      <c r="I2495" s="55">
        <f t="shared" si="16"/>
        <v>20.057484978342696</v>
      </c>
      <c r="J2495">
        <v>12</v>
      </c>
      <c r="K2495">
        <v>8</v>
      </c>
      <c r="L2495">
        <v>13</v>
      </c>
      <c r="M2495">
        <f t="shared" si="17"/>
        <v>85</v>
      </c>
    </row>
    <row r="2496" spans="1:13" hidden="1" x14ac:dyDescent="0.25">
      <c r="A2496" t="s">
        <v>344</v>
      </c>
      <c r="B2496" t="s">
        <v>496</v>
      </c>
      <c r="C2496" t="s">
        <v>498</v>
      </c>
      <c r="D2496" t="s">
        <v>497</v>
      </c>
      <c r="E2496">
        <v>3</v>
      </c>
      <c r="F2496">
        <v>8</v>
      </c>
      <c r="G2496">
        <v>120</v>
      </c>
      <c r="H2496">
        <v>15.1</v>
      </c>
      <c r="I2496" s="55">
        <f t="shared" si="16"/>
        <v>20.057484978342696</v>
      </c>
      <c r="J2496">
        <v>12</v>
      </c>
      <c r="K2496">
        <v>8</v>
      </c>
      <c r="L2496">
        <v>13</v>
      </c>
      <c r="M2496">
        <f t="shared" si="17"/>
        <v>105</v>
      </c>
    </row>
    <row r="2497" spans="1:13" hidden="1" x14ac:dyDescent="0.25">
      <c r="A2497" t="s">
        <v>344</v>
      </c>
      <c r="B2497" t="s">
        <v>496</v>
      </c>
      <c r="C2497" t="s">
        <v>498</v>
      </c>
      <c r="D2497" t="s">
        <v>497</v>
      </c>
      <c r="E2497">
        <v>3</v>
      </c>
      <c r="F2497">
        <v>8</v>
      </c>
      <c r="G2497">
        <v>140</v>
      </c>
      <c r="H2497">
        <v>15.1</v>
      </c>
      <c r="I2497" s="55">
        <f t="shared" si="16"/>
        <v>20.057484978342696</v>
      </c>
      <c r="J2497">
        <v>12</v>
      </c>
      <c r="K2497">
        <v>8</v>
      </c>
      <c r="L2497">
        <v>13</v>
      </c>
      <c r="M2497">
        <f t="shared" si="17"/>
        <v>125</v>
      </c>
    </row>
    <row r="2498" spans="1:13" hidden="1" x14ac:dyDescent="0.25">
      <c r="A2498" t="s">
        <v>344</v>
      </c>
      <c r="B2498" t="s">
        <v>496</v>
      </c>
      <c r="C2498" t="s">
        <v>498</v>
      </c>
      <c r="D2498" t="s">
        <v>497</v>
      </c>
      <c r="E2498">
        <v>3</v>
      </c>
      <c r="F2498">
        <v>8</v>
      </c>
      <c r="G2498">
        <v>160</v>
      </c>
      <c r="H2498">
        <v>15.1</v>
      </c>
      <c r="I2498" s="55">
        <f t="shared" si="16"/>
        <v>20.057484978342696</v>
      </c>
      <c r="J2498">
        <v>12</v>
      </c>
      <c r="K2498">
        <v>8</v>
      </c>
      <c r="L2498">
        <v>13</v>
      </c>
      <c r="M2498">
        <f t="shared" si="17"/>
        <v>145</v>
      </c>
    </row>
    <row r="2499" spans="1:13" hidden="1" x14ac:dyDescent="0.25">
      <c r="A2499" t="s">
        <v>344</v>
      </c>
      <c r="B2499" t="s">
        <v>496</v>
      </c>
      <c r="C2499" t="s">
        <v>498</v>
      </c>
      <c r="D2499" t="s">
        <v>497</v>
      </c>
      <c r="E2499">
        <v>3</v>
      </c>
      <c r="F2499">
        <v>8</v>
      </c>
      <c r="G2499">
        <v>180</v>
      </c>
      <c r="H2499">
        <v>15.1</v>
      </c>
      <c r="I2499" s="55">
        <f t="shared" si="16"/>
        <v>20.057484978342696</v>
      </c>
      <c r="J2499">
        <v>12</v>
      </c>
      <c r="K2499">
        <v>8</v>
      </c>
      <c r="L2499">
        <v>13</v>
      </c>
      <c r="M2499">
        <f t="shared" si="17"/>
        <v>165</v>
      </c>
    </row>
    <row r="2500" spans="1:13" hidden="1" x14ac:dyDescent="0.25">
      <c r="A2500" t="s">
        <v>344</v>
      </c>
      <c r="B2500" t="s">
        <v>496</v>
      </c>
      <c r="C2500" t="s">
        <v>498</v>
      </c>
      <c r="D2500" t="s">
        <v>497</v>
      </c>
      <c r="E2500">
        <v>3</v>
      </c>
      <c r="F2500">
        <v>8</v>
      </c>
      <c r="G2500">
        <v>200</v>
      </c>
      <c r="H2500">
        <v>15.1</v>
      </c>
      <c r="I2500" s="55">
        <f t="shared" si="16"/>
        <v>20.057484978342696</v>
      </c>
      <c r="J2500">
        <v>12</v>
      </c>
      <c r="K2500">
        <v>8</v>
      </c>
      <c r="L2500">
        <v>13</v>
      </c>
      <c r="M2500">
        <f t="shared" si="17"/>
        <v>185</v>
      </c>
    </row>
    <row r="2501" spans="1:13" hidden="1" x14ac:dyDescent="0.25">
      <c r="A2501" t="s">
        <v>344</v>
      </c>
      <c r="B2501" t="s">
        <v>496</v>
      </c>
      <c r="C2501" t="s">
        <v>498</v>
      </c>
      <c r="D2501" t="s">
        <v>497</v>
      </c>
      <c r="E2501">
        <v>3</v>
      </c>
      <c r="F2501">
        <v>8</v>
      </c>
      <c r="G2501">
        <v>220</v>
      </c>
      <c r="H2501">
        <v>15.1</v>
      </c>
      <c r="I2501" s="55">
        <f t="shared" si="16"/>
        <v>20.057484978342696</v>
      </c>
      <c r="J2501">
        <v>12</v>
      </c>
      <c r="K2501">
        <v>8</v>
      </c>
      <c r="L2501">
        <v>13</v>
      </c>
      <c r="M2501">
        <f t="shared" si="17"/>
        <v>205</v>
      </c>
    </row>
    <row r="2502" spans="1:13" hidden="1" x14ac:dyDescent="0.25">
      <c r="A2502" t="s">
        <v>344</v>
      </c>
      <c r="B2502" t="s">
        <v>496</v>
      </c>
      <c r="C2502" t="s">
        <v>498</v>
      </c>
      <c r="D2502" t="s">
        <v>497</v>
      </c>
      <c r="E2502">
        <v>3</v>
      </c>
      <c r="F2502">
        <v>8</v>
      </c>
      <c r="G2502">
        <v>240</v>
      </c>
      <c r="H2502">
        <v>15.1</v>
      </c>
      <c r="I2502" s="55">
        <f t="shared" si="16"/>
        <v>20.057484978342696</v>
      </c>
      <c r="J2502">
        <v>12</v>
      </c>
      <c r="K2502">
        <v>8</v>
      </c>
      <c r="L2502">
        <v>13</v>
      </c>
      <c r="M2502">
        <f t="shared" si="17"/>
        <v>225</v>
      </c>
    </row>
    <row r="2503" spans="1:13" hidden="1" x14ac:dyDescent="0.25">
      <c r="A2503" t="s">
        <v>344</v>
      </c>
      <c r="B2503" t="s">
        <v>496</v>
      </c>
      <c r="C2503" t="s">
        <v>498</v>
      </c>
      <c r="D2503" t="s">
        <v>497</v>
      </c>
      <c r="E2503">
        <v>3</v>
      </c>
      <c r="F2503">
        <v>8</v>
      </c>
      <c r="G2503">
        <v>260</v>
      </c>
      <c r="H2503">
        <v>15.1</v>
      </c>
      <c r="I2503" s="55">
        <f t="shared" si="16"/>
        <v>20.057484978342696</v>
      </c>
      <c r="J2503">
        <v>12</v>
      </c>
      <c r="K2503">
        <v>8</v>
      </c>
      <c r="L2503">
        <v>13</v>
      </c>
      <c r="M2503">
        <f t="shared" si="17"/>
        <v>245</v>
      </c>
    </row>
    <row r="2504" spans="1:13" hidden="1" x14ac:dyDescent="0.25">
      <c r="A2504" t="s">
        <v>344</v>
      </c>
      <c r="B2504" t="s">
        <v>496</v>
      </c>
      <c r="C2504" t="s">
        <v>498</v>
      </c>
      <c r="D2504" t="s">
        <v>497</v>
      </c>
      <c r="E2504">
        <v>3</v>
      </c>
      <c r="F2504">
        <v>8</v>
      </c>
      <c r="G2504">
        <v>280</v>
      </c>
      <c r="H2504">
        <v>15.1</v>
      </c>
      <c r="I2504" s="55">
        <f t="shared" ref="I2504:I2537" si="18">0.15*600*F2504^2.6/1000</f>
        <v>20.057484978342696</v>
      </c>
      <c r="J2504">
        <v>12</v>
      </c>
      <c r="K2504">
        <v>8</v>
      </c>
      <c r="L2504">
        <v>13</v>
      </c>
      <c r="M2504">
        <f t="shared" ref="M2504:M2537" si="19">G2504-15</f>
        <v>265</v>
      </c>
    </row>
    <row r="2505" spans="1:13" hidden="1" x14ac:dyDescent="0.25">
      <c r="A2505" t="s">
        <v>344</v>
      </c>
      <c r="B2505" t="s">
        <v>496</v>
      </c>
      <c r="C2505" t="s">
        <v>498</v>
      </c>
      <c r="D2505" t="s">
        <v>497</v>
      </c>
      <c r="E2505">
        <v>3</v>
      </c>
      <c r="F2505">
        <v>8</v>
      </c>
      <c r="G2505">
        <v>300</v>
      </c>
      <c r="H2505">
        <v>15.1</v>
      </c>
      <c r="I2505" s="55">
        <f t="shared" si="18"/>
        <v>20.057484978342696</v>
      </c>
      <c r="J2505">
        <v>12</v>
      </c>
      <c r="K2505">
        <v>8</v>
      </c>
      <c r="L2505">
        <v>13</v>
      </c>
      <c r="M2505">
        <f t="shared" si="19"/>
        <v>285</v>
      </c>
    </row>
    <row r="2506" spans="1:13" hidden="1" x14ac:dyDescent="0.25">
      <c r="A2506" t="s">
        <v>344</v>
      </c>
      <c r="B2506" t="s">
        <v>496</v>
      </c>
      <c r="C2506" t="s">
        <v>498</v>
      </c>
      <c r="D2506" t="s">
        <v>497</v>
      </c>
      <c r="E2506">
        <v>3</v>
      </c>
      <c r="F2506">
        <v>8</v>
      </c>
      <c r="G2506">
        <v>325</v>
      </c>
      <c r="H2506">
        <v>15.1</v>
      </c>
      <c r="I2506" s="55">
        <f t="shared" si="18"/>
        <v>20.057484978342696</v>
      </c>
      <c r="J2506">
        <v>12</v>
      </c>
      <c r="K2506">
        <v>8</v>
      </c>
      <c r="L2506">
        <v>13</v>
      </c>
      <c r="M2506">
        <f t="shared" si="19"/>
        <v>310</v>
      </c>
    </row>
    <row r="2507" spans="1:13" hidden="1" x14ac:dyDescent="0.25">
      <c r="A2507" t="s">
        <v>344</v>
      </c>
      <c r="B2507" t="s">
        <v>496</v>
      </c>
      <c r="C2507" t="s">
        <v>498</v>
      </c>
      <c r="D2507" t="s">
        <v>497</v>
      </c>
      <c r="E2507">
        <v>3</v>
      </c>
      <c r="F2507">
        <v>8</v>
      </c>
      <c r="G2507">
        <v>350</v>
      </c>
      <c r="H2507">
        <v>15.1</v>
      </c>
      <c r="I2507" s="55">
        <f t="shared" si="18"/>
        <v>20.057484978342696</v>
      </c>
      <c r="J2507">
        <v>12</v>
      </c>
      <c r="K2507">
        <v>8</v>
      </c>
      <c r="L2507">
        <v>13</v>
      </c>
      <c r="M2507">
        <f t="shared" si="19"/>
        <v>335</v>
      </c>
    </row>
    <row r="2508" spans="1:13" hidden="1" x14ac:dyDescent="0.25">
      <c r="A2508" t="s">
        <v>344</v>
      </c>
      <c r="B2508" t="s">
        <v>496</v>
      </c>
      <c r="C2508" t="s">
        <v>498</v>
      </c>
      <c r="D2508" t="s">
        <v>497</v>
      </c>
      <c r="E2508">
        <v>3</v>
      </c>
      <c r="F2508">
        <v>8</v>
      </c>
      <c r="G2508">
        <v>375</v>
      </c>
      <c r="H2508">
        <v>15.1</v>
      </c>
      <c r="I2508" s="55">
        <f t="shared" si="18"/>
        <v>20.057484978342696</v>
      </c>
      <c r="J2508">
        <v>12</v>
      </c>
      <c r="K2508">
        <v>8</v>
      </c>
      <c r="L2508">
        <v>13</v>
      </c>
      <c r="M2508">
        <f t="shared" si="19"/>
        <v>360</v>
      </c>
    </row>
    <row r="2509" spans="1:13" hidden="1" x14ac:dyDescent="0.25">
      <c r="A2509" t="s">
        <v>344</v>
      </c>
      <c r="B2509" t="s">
        <v>496</v>
      </c>
      <c r="C2509" t="s">
        <v>498</v>
      </c>
      <c r="D2509" t="s">
        <v>497</v>
      </c>
      <c r="E2509">
        <v>3</v>
      </c>
      <c r="F2509">
        <v>8</v>
      </c>
      <c r="G2509">
        <v>400</v>
      </c>
      <c r="H2509">
        <v>15.1</v>
      </c>
      <c r="I2509" s="55">
        <f t="shared" si="18"/>
        <v>20.057484978342696</v>
      </c>
      <c r="J2509">
        <v>12</v>
      </c>
      <c r="K2509">
        <v>8</v>
      </c>
      <c r="L2509">
        <v>13</v>
      </c>
      <c r="M2509">
        <f t="shared" si="19"/>
        <v>385</v>
      </c>
    </row>
    <row r="2510" spans="1:13" hidden="1" x14ac:dyDescent="0.25">
      <c r="A2510" t="s">
        <v>344</v>
      </c>
      <c r="B2510" t="s">
        <v>496</v>
      </c>
      <c r="C2510" t="s">
        <v>500</v>
      </c>
      <c r="D2510" t="s">
        <v>497</v>
      </c>
      <c r="E2510">
        <v>3</v>
      </c>
      <c r="F2510">
        <v>8</v>
      </c>
      <c r="G2510">
        <v>100</v>
      </c>
      <c r="H2510">
        <v>15.1</v>
      </c>
      <c r="I2510" s="55">
        <f t="shared" si="18"/>
        <v>20.057484978342696</v>
      </c>
      <c r="J2510">
        <v>12</v>
      </c>
      <c r="K2510">
        <v>8</v>
      </c>
      <c r="L2510">
        <v>13</v>
      </c>
      <c r="M2510">
        <f t="shared" si="19"/>
        <v>85</v>
      </c>
    </row>
    <row r="2511" spans="1:13" hidden="1" x14ac:dyDescent="0.25">
      <c r="A2511" t="s">
        <v>344</v>
      </c>
      <c r="B2511" t="s">
        <v>496</v>
      </c>
      <c r="C2511" t="s">
        <v>500</v>
      </c>
      <c r="D2511" t="s">
        <v>497</v>
      </c>
      <c r="E2511">
        <v>3</v>
      </c>
      <c r="F2511">
        <v>8</v>
      </c>
      <c r="G2511">
        <v>120</v>
      </c>
      <c r="H2511">
        <v>15.1</v>
      </c>
      <c r="I2511" s="55">
        <f t="shared" si="18"/>
        <v>20.057484978342696</v>
      </c>
      <c r="J2511">
        <v>12</v>
      </c>
      <c r="K2511">
        <v>8</v>
      </c>
      <c r="L2511">
        <v>13</v>
      </c>
      <c r="M2511">
        <f t="shared" si="19"/>
        <v>105</v>
      </c>
    </row>
    <row r="2512" spans="1:13" hidden="1" x14ac:dyDescent="0.25">
      <c r="A2512" t="s">
        <v>344</v>
      </c>
      <c r="B2512" t="s">
        <v>496</v>
      </c>
      <c r="C2512" t="s">
        <v>500</v>
      </c>
      <c r="D2512" t="s">
        <v>497</v>
      </c>
      <c r="E2512">
        <v>3</v>
      </c>
      <c r="F2512">
        <v>8</v>
      </c>
      <c r="G2512">
        <v>140</v>
      </c>
      <c r="H2512">
        <v>15.1</v>
      </c>
      <c r="I2512" s="55">
        <f t="shared" si="18"/>
        <v>20.057484978342696</v>
      </c>
      <c r="J2512">
        <v>12</v>
      </c>
      <c r="K2512">
        <v>8</v>
      </c>
      <c r="L2512">
        <v>13</v>
      </c>
      <c r="M2512">
        <f t="shared" si="19"/>
        <v>125</v>
      </c>
    </row>
    <row r="2513" spans="1:13" hidden="1" x14ac:dyDescent="0.25">
      <c r="A2513" t="s">
        <v>344</v>
      </c>
      <c r="B2513" t="s">
        <v>496</v>
      </c>
      <c r="C2513" t="s">
        <v>500</v>
      </c>
      <c r="D2513" t="s">
        <v>497</v>
      </c>
      <c r="E2513">
        <v>3</v>
      </c>
      <c r="F2513">
        <v>8</v>
      </c>
      <c r="G2513">
        <v>160</v>
      </c>
      <c r="H2513">
        <v>15.1</v>
      </c>
      <c r="I2513" s="55">
        <f t="shared" si="18"/>
        <v>20.057484978342696</v>
      </c>
      <c r="J2513">
        <v>12</v>
      </c>
      <c r="K2513">
        <v>8</v>
      </c>
      <c r="L2513">
        <v>13</v>
      </c>
      <c r="M2513">
        <f t="shared" si="19"/>
        <v>145</v>
      </c>
    </row>
    <row r="2514" spans="1:13" hidden="1" x14ac:dyDescent="0.25">
      <c r="A2514" t="s">
        <v>344</v>
      </c>
      <c r="B2514" t="s">
        <v>496</v>
      </c>
      <c r="C2514" t="s">
        <v>500</v>
      </c>
      <c r="D2514" t="s">
        <v>497</v>
      </c>
      <c r="E2514">
        <v>3</v>
      </c>
      <c r="F2514">
        <v>8</v>
      </c>
      <c r="G2514">
        <v>180</v>
      </c>
      <c r="H2514">
        <v>15.1</v>
      </c>
      <c r="I2514" s="55">
        <f t="shared" si="18"/>
        <v>20.057484978342696</v>
      </c>
      <c r="J2514">
        <v>12</v>
      </c>
      <c r="K2514">
        <v>8</v>
      </c>
      <c r="L2514">
        <v>13</v>
      </c>
      <c r="M2514">
        <f t="shared" si="19"/>
        <v>165</v>
      </c>
    </row>
    <row r="2515" spans="1:13" hidden="1" x14ac:dyDescent="0.25">
      <c r="A2515" t="s">
        <v>344</v>
      </c>
      <c r="B2515" t="s">
        <v>496</v>
      </c>
      <c r="C2515" t="s">
        <v>500</v>
      </c>
      <c r="D2515" t="s">
        <v>497</v>
      </c>
      <c r="E2515">
        <v>3</v>
      </c>
      <c r="F2515">
        <v>8</v>
      </c>
      <c r="G2515">
        <v>200</v>
      </c>
      <c r="H2515">
        <v>15.1</v>
      </c>
      <c r="I2515" s="55">
        <f t="shared" si="18"/>
        <v>20.057484978342696</v>
      </c>
      <c r="J2515">
        <v>12</v>
      </c>
      <c r="K2515">
        <v>8</v>
      </c>
      <c r="L2515">
        <v>13</v>
      </c>
      <c r="M2515">
        <f t="shared" si="19"/>
        <v>185</v>
      </c>
    </row>
    <row r="2516" spans="1:13" hidden="1" x14ac:dyDescent="0.25">
      <c r="A2516" t="s">
        <v>344</v>
      </c>
      <c r="B2516" t="s">
        <v>496</v>
      </c>
      <c r="C2516" t="s">
        <v>500</v>
      </c>
      <c r="D2516" t="s">
        <v>497</v>
      </c>
      <c r="E2516">
        <v>3</v>
      </c>
      <c r="F2516">
        <v>8</v>
      </c>
      <c r="G2516">
        <v>220</v>
      </c>
      <c r="H2516">
        <v>15.1</v>
      </c>
      <c r="I2516" s="55">
        <f t="shared" si="18"/>
        <v>20.057484978342696</v>
      </c>
      <c r="J2516">
        <v>12</v>
      </c>
      <c r="K2516">
        <v>8</v>
      </c>
      <c r="L2516">
        <v>13</v>
      </c>
      <c r="M2516">
        <f t="shared" si="19"/>
        <v>205</v>
      </c>
    </row>
    <row r="2517" spans="1:13" hidden="1" x14ac:dyDescent="0.25">
      <c r="A2517" t="s">
        <v>344</v>
      </c>
      <c r="B2517" t="s">
        <v>496</v>
      </c>
      <c r="C2517" t="s">
        <v>500</v>
      </c>
      <c r="D2517" t="s">
        <v>497</v>
      </c>
      <c r="E2517">
        <v>3</v>
      </c>
      <c r="F2517">
        <v>8</v>
      </c>
      <c r="G2517">
        <v>240</v>
      </c>
      <c r="H2517">
        <v>15.1</v>
      </c>
      <c r="I2517" s="55">
        <f t="shared" si="18"/>
        <v>20.057484978342696</v>
      </c>
      <c r="J2517">
        <v>12</v>
      </c>
      <c r="K2517">
        <v>8</v>
      </c>
      <c r="L2517">
        <v>13</v>
      </c>
      <c r="M2517">
        <f t="shared" si="19"/>
        <v>225</v>
      </c>
    </row>
    <row r="2518" spans="1:13" hidden="1" x14ac:dyDescent="0.25">
      <c r="A2518" t="s">
        <v>344</v>
      </c>
      <c r="B2518" t="s">
        <v>496</v>
      </c>
      <c r="C2518" t="s">
        <v>500</v>
      </c>
      <c r="D2518" t="s">
        <v>497</v>
      </c>
      <c r="E2518">
        <v>3</v>
      </c>
      <c r="F2518">
        <v>8</v>
      </c>
      <c r="G2518">
        <v>260</v>
      </c>
      <c r="H2518">
        <v>15.1</v>
      </c>
      <c r="I2518" s="55">
        <f t="shared" si="18"/>
        <v>20.057484978342696</v>
      </c>
      <c r="J2518">
        <v>12</v>
      </c>
      <c r="K2518">
        <v>8</v>
      </c>
      <c r="L2518">
        <v>13</v>
      </c>
      <c r="M2518">
        <f t="shared" si="19"/>
        <v>245</v>
      </c>
    </row>
    <row r="2519" spans="1:13" hidden="1" x14ac:dyDescent="0.25">
      <c r="A2519" t="s">
        <v>344</v>
      </c>
      <c r="B2519" t="s">
        <v>496</v>
      </c>
      <c r="C2519" t="s">
        <v>500</v>
      </c>
      <c r="D2519" t="s">
        <v>497</v>
      </c>
      <c r="E2519">
        <v>3</v>
      </c>
      <c r="F2519">
        <v>8</v>
      </c>
      <c r="G2519">
        <v>280</v>
      </c>
      <c r="H2519">
        <v>15.1</v>
      </c>
      <c r="I2519" s="55">
        <f t="shared" si="18"/>
        <v>20.057484978342696</v>
      </c>
      <c r="J2519">
        <v>12</v>
      </c>
      <c r="K2519">
        <v>8</v>
      </c>
      <c r="L2519">
        <v>13</v>
      </c>
      <c r="M2519">
        <f t="shared" si="19"/>
        <v>265</v>
      </c>
    </row>
    <row r="2520" spans="1:13" hidden="1" x14ac:dyDescent="0.25">
      <c r="A2520" t="s">
        <v>344</v>
      </c>
      <c r="B2520" t="s">
        <v>496</v>
      </c>
      <c r="C2520" t="s">
        <v>500</v>
      </c>
      <c r="D2520" t="s">
        <v>497</v>
      </c>
      <c r="E2520">
        <v>3</v>
      </c>
      <c r="F2520">
        <v>8</v>
      </c>
      <c r="G2520">
        <v>300</v>
      </c>
      <c r="H2520">
        <v>15.1</v>
      </c>
      <c r="I2520" s="55">
        <f t="shared" si="18"/>
        <v>20.057484978342696</v>
      </c>
      <c r="J2520">
        <v>12</v>
      </c>
      <c r="K2520">
        <v>8</v>
      </c>
      <c r="L2520">
        <v>13</v>
      </c>
      <c r="M2520">
        <f t="shared" si="19"/>
        <v>285</v>
      </c>
    </row>
    <row r="2521" spans="1:13" hidden="1" x14ac:dyDescent="0.25">
      <c r="A2521" t="s">
        <v>344</v>
      </c>
      <c r="B2521" t="s">
        <v>496</v>
      </c>
      <c r="C2521" t="s">
        <v>500</v>
      </c>
      <c r="D2521" t="s">
        <v>497</v>
      </c>
      <c r="E2521">
        <v>3</v>
      </c>
      <c r="F2521">
        <v>8</v>
      </c>
      <c r="G2521">
        <v>325</v>
      </c>
      <c r="H2521">
        <v>15.1</v>
      </c>
      <c r="I2521" s="55">
        <f t="shared" si="18"/>
        <v>20.057484978342696</v>
      </c>
      <c r="J2521">
        <v>12</v>
      </c>
      <c r="K2521">
        <v>8</v>
      </c>
      <c r="L2521">
        <v>13</v>
      </c>
      <c r="M2521">
        <f t="shared" si="19"/>
        <v>310</v>
      </c>
    </row>
    <row r="2522" spans="1:13" hidden="1" x14ac:dyDescent="0.25">
      <c r="A2522" t="s">
        <v>344</v>
      </c>
      <c r="B2522" t="s">
        <v>496</v>
      </c>
      <c r="C2522" t="s">
        <v>500</v>
      </c>
      <c r="D2522" t="s">
        <v>497</v>
      </c>
      <c r="E2522">
        <v>3</v>
      </c>
      <c r="F2522">
        <v>8</v>
      </c>
      <c r="G2522">
        <v>350</v>
      </c>
      <c r="H2522">
        <v>15.1</v>
      </c>
      <c r="I2522" s="55">
        <f t="shared" si="18"/>
        <v>20.057484978342696</v>
      </c>
      <c r="J2522">
        <v>12</v>
      </c>
      <c r="K2522">
        <v>8</v>
      </c>
      <c r="L2522">
        <v>13</v>
      </c>
      <c r="M2522">
        <f t="shared" si="19"/>
        <v>335</v>
      </c>
    </row>
    <row r="2523" spans="1:13" hidden="1" x14ac:dyDescent="0.25">
      <c r="A2523" t="s">
        <v>344</v>
      </c>
      <c r="B2523" t="s">
        <v>496</v>
      </c>
      <c r="C2523" t="s">
        <v>500</v>
      </c>
      <c r="D2523" t="s">
        <v>497</v>
      </c>
      <c r="E2523">
        <v>3</v>
      </c>
      <c r="F2523">
        <v>8</v>
      </c>
      <c r="G2523">
        <v>375</v>
      </c>
      <c r="H2523">
        <v>15.1</v>
      </c>
      <c r="I2523" s="55">
        <f t="shared" si="18"/>
        <v>20.057484978342696</v>
      </c>
      <c r="J2523">
        <v>12</v>
      </c>
      <c r="K2523">
        <v>8</v>
      </c>
      <c r="L2523">
        <v>13</v>
      </c>
      <c r="M2523">
        <f t="shared" si="19"/>
        <v>360</v>
      </c>
    </row>
    <row r="2524" spans="1:13" hidden="1" x14ac:dyDescent="0.25">
      <c r="A2524" t="s">
        <v>344</v>
      </c>
      <c r="B2524" t="s">
        <v>496</v>
      </c>
      <c r="C2524" t="s">
        <v>500</v>
      </c>
      <c r="D2524" t="s">
        <v>497</v>
      </c>
      <c r="E2524">
        <v>3</v>
      </c>
      <c r="F2524">
        <v>8</v>
      </c>
      <c r="G2524">
        <v>400</v>
      </c>
      <c r="H2524">
        <v>15.1</v>
      </c>
      <c r="I2524" s="55">
        <f t="shared" si="18"/>
        <v>20.057484978342696</v>
      </c>
      <c r="J2524">
        <v>12</v>
      </c>
      <c r="K2524">
        <v>8</v>
      </c>
      <c r="L2524">
        <v>13</v>
      </c>
      <c r="M2524">
        <f t="shared" si="19"/>
        <v>385</v>
      </c>
    </row>
    <row r="2525" spans="1:13" hidden="1" x14ac:dyDescent="0.25">
      <c r="A2525" t="s">
        <v>344</v>
      </c>
      <c r="B2525" t="s">
        <v>496</v>
      </c>
      <c r="C2525" t="s">
        <v>500</v>
      </c>
      <c r="D2525" t="s">
        <v>497</v>
      </c>
      <c r="E2525">
        <v>3</v>
      </c>
      <c r="F2525">
        <v>10</v>
      </c>
      <c r="G2525">
        <v>160</v>
      </c>
      <c r="H2525">
        <v>18.600000000000001</v>
      </c>
      <c r="I2525" s="55">
        <f t="shared" si="18"/>
        <v>35.829645349814783</v>
      </c>
      <c r="J2525">
        <v>11.5</v>
      </c>
      <c r="K2525">
        <v>8</v>
      </c>
      <c r="L2525">
        <v>20</v>
      </c>
      <c r="M2525">
        <f t="shared" si="19"/>
        <v>145</v>
      </c>
    </row>
    <row r="2526" spans="1:13" hidden="1" x14ac:dyDescent="0.25">
      <c r="A2526" t="s">
        <v>344</v>
      </c>
      <c r="B2526" t="s">
        <v>496</v>
      </c>
      <c r="C2526" t="s">
        <v>500</v>
      </c>
      <c r="D2526" t="s">
        <v>497</v>
      </c>
      <c r="E2526">
        <v>3</v>
      </c>
      <c r="F2526">
        <v>10</v>
      </c>
      <c r="G2526">
        <v>200</v>
      </c>
      <c r="H2526">
        <v>18.600000000000001</v>
      </c>
      <c r="I2526" s="55">
        <f t="shared" si="18"/>
        <v>35.829645349814783</v>
      </c>
      <c r="J2526">
        <v>11.5</v>
      </c>
      <c r="K2526">
        <v>8</v>
      </c>
      <c r="L2526">
        <v>20</v>
      </c>
      <c r="M2526">
        <f t="shared" si="19"/>
        <v>185</v>
      </c>
    </row>
    <row r="2527" spans="1:13" hidden="1" x14ac:dyDescent="0.25">
      <c r="A2527" t="s">
        <v>344</v>
      </c>
      <c r="B2527" t="s">
        <v>496</v>
      </c>
      <c r="C2527" t="s">
        <v>500</v>
      </c>
      <c r="D2527" t="s">
        <v>497</v>
      </c>
      <c r="E2527">
        <v>3</v>
      </c>
      <c r="F2527">
        <v>10</v>
      </c>
      <c r="G2527">
        <v>220</v>
      </c>
      <c r="H2527">
        <v>18.600000000000001</v>
      </c>
      <c r="I2527" s="55">
        <f t="shared" si="18"/>
        <v>35.829645349814783</v>
      </c>
      <c r="J2527">
        <v>11.5</v>
      </c>
      <c r="K2527">
        <v>8</v>
      </c>
      <c r="L2527">
        <v>20</v>
      </c>
      <c r="M2527">
        <f t="shared" si="19"/>
        <v>205</v>
      </c>
    </row>
    <row r="2528" spans="1:13" hidden="1" x14ac:dyDescent="0.25">
      <c r="A2528" t="s">
        <v>344</v>
      </c>
      <c r="B2528" t="s">
        <v>496</v>
      </c>
      <c r="C2528" t="s">
        <v>500</v>
      </c>
      <c r="D2528" t="s">
        <v>497</v>
      </c>
      <c r="E2528">
        <v>3</v>
      </c>
      <c r="F2528">
        <v>10</v>
      </c>
      <c r="G2528">
        <v>240</v>
      </c>
      <c r="H2528">
        <v>18.600000000000001</v>
      </c>
      <c r="I2528" s="55">
        <f t="shared" si="18"/>
        <v>35.829645349814783</v>
      </c>
      <c r="J2528">
        <v>11.5</v>
      </c>
      <c r="K2528">
        <v>8</v>
      </c>
      <c r="L2528">
        <v>20</v>
      </c>
      <c r="M2528">
        <f t="shared" si="19"/>
        <v>225</v>
      </c>
    </row>
    <row r="2529" spans="1:13" hidden="1" x14ac:dyDescent="0.25">
      <c r="A2529" t="s">
        <v>344</v>
      </c>
      <c r="B2529" t="s">
        <v>496</v>
      </c>
      <c r="C2529" t="s">
        <v>500</v>
      </c>
      <c r="D2529" t="s">
        <v>497</v>
      </c>
      <c r="E2529">
        <v>3</v>
      </c>
      <c r="F2529">
        <v>10</v>
      </c>
      <c r="G2529">
        <v>260</v>
      </c>
      <c r="H2529">
        <v>18.600000000000001</v>
      </c>
      <c r="I2529" s="55">
        <f t="shared" si="18"/>
        <v>35.829645349814783</v>
      </c>
      <c r="J2529">
        <v>11.5</v>
      </c>
      <c r="K2529">
        <v>8</v>
      </c>
      <c r="L2529">
        <v>20</v>
      </c>
      <c r="M2529">
        <f t="shared" si="19"/>
        <v>245</v>
      </c>
    </row>
    <row r="2530" spans="1:13" hidden="1" x14ac:dyDescent="0.25">
      <c r="A2530" t="s">
        <v>344</v>
      </c>
      <c r="B2530" t="s">
        <v>496</v>
      </c>
      <c r="C2530" t="s">
        <v>500</v>
      </c>
      <c r="D2530" t="s">
        <v>497</v>
      </c>
      <c r="E2530">
        <v>3</v>
      </c>
      <c r="F2530">
        <v>10</v>
      </c>
      <c r="G2530">
        <v>280</v>
      </c>
      <c r="H2530">
        <v>18.600000000000001</v>
      </c>
      <c r="I2530" s="55">
        <f t="shared" si="18"/>
        <v>35.829645349814783</v>
      </c>
      <c r="J2530">
        <v>11.5</v>
      </c>
      <c r="K2530">
        <v>8</v>
      </c>
      <c r="L2530">
        <v>20</v>
      </c>
      <c r="M2530">
        <f t="shared" si="19"/>
        <v>265</v>
      </c>
    </row>
    <row r="2531" spans="1:13" hidden="1" x14ac:dyDescent="0.25">
      <c r="A2531" t="s">
        <v>344</v>
      </c>
      <c r="B2531" t="s">
        <v>496</v>
      </c>
      <c r="C2531" t="s">
        <v>500</v>
      </c>
      <c r="D2531" t="s">
        <v>497</v>
      </c>
      <c r="E2531">
        <v>3</v>
      </c>
      <c r="F2531">
        <v>10</v>
      </c>
      <c r="G2531">
        <v>300</v>
      </c>
      <c r="H2531">
        <v>18.600000000000001</v>
      </c>
      <c r="I2531" s="55">
        <f t="shared" si="18"/>
        <v>35.829645349814783</v>
      </c>
      <c r="J2531">
        <v>11.5</v>
      </c>
      <c r="K2531">
        <v>8</v>
      </c>
      <c r="L2531">
        <v>20</v>
      </c>
      <c r="M2531">
        <f t="shared" si="19"/>
        <v>285</v>
      </c>
    </row>
    <row r="2532" spans="1:13" hidden="1" x14ac:dyDescent="0.25">
      <c r="A2532" t="s">
        <v>344</v>
      </c>
      <c r="B2532" t="s">
        <v>496</v>
      </c>
      <c r="C2532" t="s">
        <v>500</v>
      </c>
      <c r="D2532" t="s">
        <v>497</v>
      </c>
      <c r="E2532">
        <v>3</v>
      </c>
      <c r="F2532">
        <v>10</v>
      </c>
      <c r="G2532">
        <v>350</v>
      </c>
      <c r="H2532">
        <v>18.600000000000001</v>
      </c>
      <c r="I2532" s="55">
        <f t="shared" si="18"/>
        <v>35.829645349814783</v>
      </c>
      <c r="J2532">
        <v>11.5</v>
      </c>
      <c r="K2532">
        <v>8</v>
      </c>
      <c r="L2532">
        <v>20</v>
      </c>
      <c r="M2532">
        <f t="shared" si="19"/>
        <v>335</v>
      </c>
    </row>
    <row r="2533" spans="1:13" hidden="1" x14ac:dyDescent="0.25">
      <c r="A2533" t="s">
        <v>344</v>
      </c>
      <c r="B2533" t="s">
        <v>496</v>
      </c>
      <c r="C2533" t="s">
        <v>500</v>
      </c>
      <c r="D2533" t="s">
        <v>497</v>
      </c>
      <c r="E2533">
        <v>3</v>
      </c>
      <c r="F2533">
        <v>10</v>
      </c>
      <c r="G2533">
        <v>400</v>
      </c>
      <c r="H2533">
        <v>18.600000000000001</v>
      </c>
      <c r="I2533" s="55">
        <f t="shared" si="18"/>
        <v>35.829645349814783</v>
      </c>
      <c r="J2533">
        <v>11.5</v>
      </c>
      <c r="K2533">
        <v>8</v>
      </c>
      <c r="L2533">
        <v>20</v>
      </c>
      <c r="M2533">
        <f t="shared" si="19"/>
        <v>385</v>
      </c>
    </row>
    <row r="2534" spans="1:13" hidden="1" x14ac:dyDescent="0.25">
      <c r="A2534" t="s">
        <v>344</v>
      </c>
      <c r="B2534" t="s">
        <v>496</v>
      </c>
      <c r="C2534" t="s">
        <v>500</v>
      </c>
      <c r="D2534" t="s">
        <v>497</v>
      </c>
      <c r="E2534">
        <v>3</v>
      </c>
      <c r="F2534">
        <v>12</v>
      </c>
      <c r="G2534">
        <v>400</v>
      </c>
      <c r="H2534">
        <v>18.600000000000001</v>
      </c>
      <c r="I2534" s="55">
        <f t="shared" si="18"/>
        <v>57.559067465202105</v>
      </c>
      <c r="J2534">
        <v>11</v>
      </c>
      <c r="K2534">
        <v>8</v>
      </c>
      <c r="L2534">
        <v>28</v>
      </c>
      <c r="M2534">
        <f t="shared" si="19"/>
        <v>385</v>
      </c>
    </row>
    <row r="2535" spans="1:13" hidden="1" x14ac:dyDescent="0.25">
      <c r="A2535" t="s">
        <v>344</v>
      </c>
      <c r="B2535" t="s">
        <v>496</v>
      </c>
      <c r="C2535" t="s">
        <v>500</v>
      </c>
      <c r="D2535" t="s">
        <v>497</v>
      </c>
      <c r="E2535">
        <v>3</v>
      </c>
      <c r="F2535">
        <v>12</v>
      </c>
      <c r="G2535">
        <v>450</v>
      </c>
      <c r="H2535">
        <v>18.600000000000001</v>
      </c>
      <c r="I2535" s="55">
        <f t="shared" si="18"/>
        <v>57.559067465202105</v>
      </c>
      <c r="J2535">
        <v>11</v>
      </c>
      <c r="K2535">
        <v>8</v>
      </c>
      <c r="L2535">
        <v>28</v>
      </c>
      <c r="M2535">
        <f t="shared" si="19"/>
        <v>435</v>
      </c>
    </row>
    <row r="2536" spans="1:13" hidden="1" x14ac:dyDescent="0.25">
      <c r="A2536" t="s">
        <v>344</v>
      </c>
      <c r="B2536" t="s">
        <v>496</v>
      </c>
      <c r="C2536" t="s">
        <v>500</v>
      </c>
      <c r="D2536" t="s">
        <v>497</v>
      </c>
      <c r="E2536">
        <v>3</v>
      </c>
      <c r="F2536">
        <v>12</v>
      </c>
      <c r="G2536">
        <v>500</v>
      </c>
      <c r="H2536">
        <v>18.600000000000001</v>
      </c>
      <c r="I2536" s="55">
        <f t="shared" si="18"/>
        <v>57.559067465202105</v>
      </c>
      <c r="J2536">
        <v>11</v>
      </c>
      <c r="K2536">
        <v>8</v>
      </c>
      <c r="L2536">
        <v>28</v>
      </c>
      <c r="M2536">
        <f t="shared" si="19"/>
        <v>485</v>
      </c>
    </row>
    <row r="2537" spans="1:13" hidden="1" x14ac:dyDescent="0.25">
      <c r="A2537" t="s">
        <v>344</v>
      </c>
      <c r="B2537" t="s">
        <v>496</v>
      </c>
      <c r="C2537" t="s">
        <v>500</v>
      </c>
      <c r="D2537" t="s">
        <v>497</v>
      </c>
      <c r="E2537">
        <v>3</v>
      </c>
      <c r="F2537">
        <v>12</v>
      </c>
      <c r="G2537">
        <v>550</v>
      </c>
      <c r="H2537">
        <v>18.600000000000001</v>
      </c>
      <c r="I2537" s="55">
        <f t="shared" si="18"/>
        <v>57.559067465202105</v>
      </c>
      <c r="J2537">
        <v>11</v>
      </c>
      <c r="K2537">
        <v>8</v>
      </c>
      <c r="L2537">
        <v>28</v>
      </c>
      <c r="M2537">
        <f t="shared" si="19"/>
        <v>535</v>
      </c>
    </row>
    <row r="2538" spans="1:13" hidden="1" x14ac:dyDescent="0.25">
      <c r="A2538" t="s">
        <v>344</v>
      </c>
      <c r="B2538" t="s">
        <v>495</v>
      </c>
      <c r="C2538" t="s">
        <v>501</v>
      </c>
      <c r="D2538" t="s">
        <v>493</v>
      </c>
      <c r="E2538">
        <v>1</v>
      </c>
      <c r="F2538">
        <v>4</v>
      </c>
      <c r="G2538">
        <v>30</v>
      </c>
      <c r="H2538">
        <v>8</v>
      </c>
      <c r="I2538">
        <v>3.1</v>
      </c>
      <c r="J2538">
        <v>14.3</v>
      </c>
      <c r="K2538">
        <v>17.100000000000001</v>
      </c>
      <c r="L2538">
        <v>5</v>
      </c>
      <c r="M2538">
        <v>20</v>
      </c>
    </row>
    <row r="2539" spans="1:13" hidden="1" x14ac:dyDescent="0.25">
      <c r="A2539" t="s">
        <v>344</v>
      </c>
      <c r="B2539" t="s">
        <v>495</v>
      </c>
      <c r="C2539" t="s">
        <v>501</v>
      </c>
      <c r="D2539" t="s">
        <v>493</v>
      </c>
      <c r="E2539">
        <v>1</v>
      </c>
      <c r="F2539">
        <v>4</v>
      </c>
      <c r="G2539">
        <v>35</v>
      </c>
      <c r="H2539">
        <v>8</v>
      </c>
      <c r="I2539">
        <v>3.1</v>
      </c>
      <c r="J2539">
        <v>14.3</v>
      </c>
      <c r="K2539">
        <v>17.100000000000001</v>
      </c>
      <c r="L2539">
        <v>5</v>
      </c>
      <c r="M2539">
        <v>20</v>
      </c>
    </row>
    <row r="2540" spans="1:13" hidden="1" x14ac:dyDescent="0.25">
      <c r="A2540" t="s">
        <v>344</v>
      </c>
      <c r="B2540" t="s">
        <v>495</v>
      </c>
      <c r="C2540" t="s">
        <v>501</v>
      </c>
      <c r="D2540" t="s">
        <v>493</v>
      </c>
      <c r="E2540">
        <v>1</v>
      </c>
      <c r="F2540">
        <v>4</v>
      </c>
      <c r="G2540">
        <v>40</v>
      </c>
      <c r="H2540">
        <v>8</v>
      </c>
      <c r="I2540">
        <v>3.1</v>
      </c>
      <c r="J2540">
        <v>14.3</v>
      </c>
      <c r="K2540">
        <v>17.100000000000001</v>
      </c>
      <c r="L2540">
        <v>5</v>
      </c>
      <c r="M2540">
        <v>25</v>
      </c>
    </row>
    <row r="2541" spans="1:13" hidden="1" x14ac:dyDescent="0.25">
      <c r="A2541" t="s">
        <v>344</v>
      </c>
      <c r="B2541" t="s">
        <v>495</v>
      </c>
      <c r="C2541" t="s">
        <v>501</v>
      </c>
      <c r="D2541" t="s">
        <v>493</v>
      </c>
      <c r="E2541">
        <v>1</v>
      </c>
      <c r="F2541">
        <v>4</v>
      </c>
      <c r="G2541">
        <v>45</v>
      </c>
      <c r="H2541">
        <v>8</v>
      </c>
      <c r="I2541">
        <v>3.1</v>
      </c>
      <c r="J2541">
        <v>14.3</v>
      </c>
      <c r="K2541">
        <v>17.100000000000001</v>
      </c>
      <c r="L2541">
        <v>5</v>
      </c>
      <c r="M2541">
        <v>25</v>
      </c>
    </row>
    <row r="2542" spans="1:13" hidden="1" x14ac:dyDescent="0.25">
      <c r="A2542" t="s">
        <v>344</v>
      </c>
      <c r="B2542" t="s">
        <v>495</v>
      </c>
      <c r="C2542" t="s">
        <v>501</v>
      </c>
      <c r="D2542" t="s">
        <v>493</v>
      </c>
      <c r="E2542">
        <v>1</v>
      </c>
      <c r="F2542">
        <v>4</v>
      </c>
      <c r="G2542">
        <v>50</v>
      </c>
      <c r="H2542">
        <v>8</v>
      </c>
      <c r="I2542">
        <v>3.1</v>
      </c>
      <c r="J2542">
        <v>14.3</v>
      </c>
      <c r="K2542">
        <v>17.100000000000001</v>
      </c>
      <c r="L2542">
        <v>5</v>
      </c>
      <c r="M2542">
        <v>30</v>
      </c>
    </row>
    <row r="2543" spans="1:13" hidden="1" x14ac:dyDescent="0.25">
      <c r="A2543" t="s">
        <v>344</v>
      </c>
      <c r="B2543" t="s">
        <v>495</v>
      </c>
      <c r="C2543" t="s">
        <v>501</v>
      </c>
      <c r="D2543" t="s">
        <v>493</v>
      </c>
      <c r="E2543">
        <v>1</v>
      </c>
      <c r="F2543">
        <v>4</v>
      </c>
      <c r="G2543">
        <v>60</v>
      </c>
      <c r="H2543">
        <v>8</v>
      </c>
      <c r="I2543">
        <v>3.1</v>
      </c>
      <c r="J2543">
        <v>14.3</v>
      </c>
      <c r="K2543">
        <v>17.100000000000001</v>
      </c>
      <c r="L2543">
        <v>5</v>
      </c>
      <c r="M2543">
        <v>35</v>
      </c>
    </row>
    <row r="2544" spans="1:13" hidden="1" x14ac:dyDescent="0.25">
      <c r="A2544" t="s">
        <v>344</v>
      </c>
      <c r="B2544" t="s">
        <v>495</v>
      </c>
      <c r="C2544" t="s">
        <v>501</v>
      </c>
      <c r="D2544" t="s">
        <v>493</v>
      </c>
      <c r="E2544">
        <v>1</v>
      </c>
      <c r="F2544">
        <v>4</v>
      </c>
      <c r="G2544">
        <v>70</v>
      </c>
      <c r="H2544">
        <v>8</v>
      </c>
      <c r="I2544">
        <v>3.1</v>
      </c>
      <c r="J2544">
        <v>14.3</v>
      </c>
      <c r="K2544">
        <v>17.100000000000001</v>
      </c>
      <c r="L2544">
        <v>5</v>
      </c>
      <c r="M2544">
        <v>35</v>
      </c>
    </row>
    <row r="2545" spans="1:13" hidden="1" x14ac:dyDescent="0.25">
      <c r="A2545" t="s">
        <v>344</v>
      </c>
      <c r="B2545" t="s">
        <v>495</v>
      </c>
      <c r="C2545" t="s">
        <v>501</v>
      </c>
      <c r="D2545" t="s">
        <v>493</v>
      </c>
      <c r="E2545">
        <v>2</v>
      </c>
      <c r="F2545">
        <v>4.5</v>
      </c>
      <c r="G2545">
        <v>30</v>
      </c>
      <c r="H2545">
        <v>9</v>
      </c>
      <c r="I2545">
        <v>4.2</v>
      </c>
      <c r="J2545">
        <v>13.3</v>
      </c>
      <c r="K2545">
        <v>17.600000000000001</v>
      </c>
      <c r="L2545">
        <v>7</v>
      </c>
      <c r="M2545">
        <v>20</v>
      </c>
    </row>
    <row r="2546" spans="1:13" hidden="1" x14ac:dyDescent="0.25">
      <c r="A2546" t="s">
        <v>344</v>
      </c>
      <c r="B2546" t="s">
        <v>495</v>
      </c>
      <c r="C2546" t="s">
        <v>501</v>
      </c>
      <c r="D2546" t="s">
        <v>493</v>
      </c>
      <c r="E2546">
        <v>2</v>
      </c>
      <c r="F2546">
        <v>4.5</v>
      </c>
      <c r="G2546">
        <v>35</v>
      </c>
      <c r="H2546">
        <v>9</v>
      </c>
      <c r="I2546">
        <v>4.2</v>
      </c>
      <c r="J2546">
        <v>13.3</v>
      </c>
      <c r="K2546">
        <v>17.600000000000001</v>
      </c>
      <c r="L2546">
        <v>7</v>
      </c>
      <c r="M2546">
        <v>20</v>
      </c>
    </row>
    <row r="2547" spans="1:13" hidden="1" x14ac:dyDescent="0.25">
      <c r="A2547" t="s">
        <v>344</v>
      </c>
      <c r="B2547" t="s">
        <v>495</v>
      </c>
      <c r="C2547" t="s">
        <v>501</v>
      </c>
      <c r="D2547" t="s">
        <v>493</v>
      </c>
      <c r="E2547">
        <v>2</v>
      </c>
      <c r="F2547">
        <v>4.5</v>
      </c>
      <c r="G2547">
        <v>40</v>
      </c>
      <c r="H2547">
        <v>9</v>
      </c>
      <c r="I2547">
        <v>4.2</v>
      </c>
      <c r="J2547">
        <v>13.3</v>
      </c>
      <c r="K2547">
        <v>17.600000000000001</v>
      </c>
      <c r="L2547">
        <v>7</v>
      </c>
      <c r="M2547">
        <v>25</v>
      </c>
    </row>
    <row r="2548" spans="1:13" hidden="1" x14ac:dyDescent="0.25">
      <c r="A2548" t="s">
        <v>344</v>
      </c>
      <c r="B2548" t="s">
        <v>495</v>
      </c>
      <c r="C2548" t="s">
        <v>501</v>
      </c>
      <c r="D2548" t="s">
        <v>493</v>
      </c>
      <c r="E2548">
        <v>2</v>
      </c>
      <c r="F2548">
        <v>4.5</v>
      </c>
      <c r="G2548">
        <v>45</v>
      </c>
      <c r="H2548">
        <v>9</v>
      </c>
      <c r="I2548">
        <v>4.2</v>
      </c>
      <c r="J2548">
        <v>13.3</v>
      </c>
      <c r="K2548">
        <v>17.600000000000001</v>
      </c>
      <c r="L2548">
        <v>7</v>
      </c>
      <c r="M2548">
        <v>25</v>
      </c>
    </row>
    <row r="2549" spans="1:13" hidden="1" x14ac:dyDescent="0.25">
      <c r="A2549" t="s">
        <v>344</v>
      </c>
      <c r="B2549" t="s">
        <v>495</v>
      </c>
      <c r="C2549" t="s">
        <v>501</v>
      </c>
      <c r="D2549" t="s">
        <v>493</v>
      </c>
      <c r="E2549">
        <v>2</v>
      </c>
      <c r="F2549">
        <v>4.5</v>
      </c>
      <c r="G2549">
        <v>50</v>
      </c>
      <c r="H2549">
        <v>9</v>
      </c>
      <c r="I2549">
        <v>4.2</v>
      </c>
      <c r="J2549">
        <v>13.3</v>
      </c>
      <c r="K2549">
        <v>17.600000000000001</v>
      </c>
      <c r="L2549">
        <v>7</v>
      </c>
      <c r="M2549">
        <v>30</v>
      </c>
    </row>
    <row r="2550" spans="1:13" hidden="1" x14ac:dyDescent="0.25">
      <c r="A2550" t="s">
        <v>344</v>
      </c>
      <c r="B2550" t="s">
        <v>495</v>
      </c>
      <c r="C2550" t="s">
        <v>501</v>
      </c>
      <c r="D2550" t="s">
        <v>493</v>
      </c>
      <c r="E2550">
        <v>2</v>
      </c>
      <c r="F2550">
        <v>4.5</v>
      </c>
      <c r="G2550">
        <v>60</v>
      </c>
      <c r="H2550">
        <v>9</v>
      </c>
      <c r="I2550">
        <v>4.2</v>
      </c>
      <c r="J2550">
        <v>13.3</v>
      </c>
      <c r="K2550">
        <v>17.600000000000001</v>
      </c>
      <c r="L2550">
        <v>7</v>
      </c>
      <c r="M2550">
        <v>40</v>
      </c>
    </row>
    <row r="2551" spans="1:13" hidden="1" x14ac:dyDescent="0.25">
      <c r="A2551" t="s">
        <v>344</v>
      </c>
      <c r="B2551" t="s">
        <v>495</v>
      </c>
      <c r="C2551" t="s">
        <v>501</v>
      </c>
      <c r="D2551" t="s">
        <v>493</v>
      </c>
      <c r="E2551">
        <v>2</v>
      </c>
      <c r="F2551">
        <v>4.5</v>
      </c>
      <c r="G2551">
        <v>70</v>
      </c>
      <c r="H2551">
        <v>9</v>
      </c>
      <c r="I2551">
        <v>4.2</v>
      </c>
      <c r="J2551">
        <v>13.3</v>
      </c>
      <c r="K2551">
        <v>17.600000000000001</v>
      </c>
      <c r="L2551">
        <v>7</v>
      </c>
      <c r="M2551">
        <v>40</v>
      </c>
    </row>
    <row r="2552" spans="1:13" hidden="1" x14ac:dyDescent="0.25">
      <c r="A2552" t="s">
        <v>344</v>
      </c>
      <c r="B2552" t="s">
        <v>495</v>
      </c>
      <c r="C2552" t="s">
        <v>501</v>
      </c>
      <c r="D2552" t="s">
        <v>493</v>
      </c>
      <c r="E2552">
        <v>2</v>
      </c>
      <c r="F2552">
        <v>4.5</v>
      </c>
      <c r="G2552">
        <v>80</v>
      </c>
      <c r="H2552">
        <v>9</v>
      </c>
      <c r="I2552">
        <v>4.2</v>
      </c>
      <c r="J2552">
        <v>13.3</v>
      </c>
      <c r="K2552">
        <v>17.600000000000001</v>
      </c>
      <c r="L2552">
        <v>7</v>
      </c>
      <c r="M2552">
        <v>40</v>
      </c>
    </row>
    <row r="2553" spans="1:13" hidden="1" x14ac:dyDescent="0.25">
      <c r="A2553" t="s">
        <v>344</v>
      </c>
      <c r="B2553" t="s">
        <v>495</v>
      </c>
      <c r="C2553" t="s">
        <v>501</v>
      </c>
      <c r="D2553" t="s">
        <v>493</v>
      </c>
      <c r="E2553">
        <v>2</v>
      </c>
      <c r="F2553">
        <v>5</v>
      </c>
      <c r="G2553">
        <v>30</v>
      </c>
      <c r="H2553">
        <v>10</v>
      </c>
      <c r="I2553">
        <v>5.9</v>
      </c>
      <c r="J2553">
        <v>13.6</v>
      </c>
      <c r="K2553">
        <v>14.6</v>
      </c>
      <c r="L2553">
        <v>8.8000000000000007</v>
      </c>
      <c r="M2553">
        <v>20</v>
      </c>
    </row>
    <row r="2554" spans="1:13" hidden="1" x14ac:dyDescent="0.25">
      <c r="A2554" t="s">
        <v>344</v>
      </c>
      <c r="B2554" t="s">
        <v>495</v>
      </c>
      <c r="C2554" t="s">
        <v>501</v>
      </c>
      <c r="D2554" t="s">
        <v>493</v>
      </c>
      <c r="E2554">
        <v>2</v>
      </c>
      <c r="F2554">
        <v>5</v>
      </c>
      <c r="G2554">
        <v>35</v>
      </c>
      <c r="H2554">
        <v>10</v>
      </c>
      <c r="I2554">
        <v>5.9</v>
      </c>
      <c r="J2554">
        <v>13.6</v>
      </c>
      <c r="K2554">
        <v>14.6</v>
      </c>
      <c r="L2554">
        <v>8.8000000000000007</v>
      </c>
      <c r="M2554">
        <v>20</v>
      </c>
    </row>
    <row r="2555" spans="1:13" hidden="1" x14ac:dyDescent="0.25">
      <c r="A2555" t="s">
        <v>344</v>
      </c>
      <c r="B2555" t="s">
        <v>495</v>
      </c>
      <c r="C2555" t="s">
        <v>501</v>
      </c>
      <c r="D2555" t="s">
        <v>493</v>
      </c>
      <c r="E2555">
        <v>2</v>
      </c>
      <c r="F2555">
        <v>5</v>
      </c>
      <c r="G2555">
        <v>40</v>
      </c>
      <c r="H2555">
        <v>10</v>
      </c>
      <c r="I2555">
        <v>5.9</v>
      </c>
      <c r="J2555">
        <v>13.6</v>
      </c>
      <c r="K2555">
        <v>14.6</v>
      </c>
      <c r="L2555">
        <v>8.8000000000000007</v>
      </c>
      <c r="M2555">
        <v>25</v>
      </c>
    </row>
    <row r="2556" spans="1:13" hidden="1" x14ac:dyDescent="0.25">
      <c r="A2556" t="s">
        <v>344</v>
      </c>
      <c r="B2556" t="s">
        <v>495</v>
      </c>
      <c r="C2556" t="s">
        <v>501</v>
      </c>
      <c r="D2556" t="s">
        <v>493</v>
      </c>
      <c r="E2556">
        <v>2</v>
      </c>
      <c r="F2556">
        <v>5</v>
      </c>
      <c r="G2556">
        <v>50</v>
      </c>
      <c r="H2556">
        <v>10</v>
      </c>
      <c r="I2556">
        <v>5.9</v>
      </c>
      <c r="J2556">
        <v>13.6</v>
      </c>
      <c r="K2556">
        <v>14.6</v>
      </c>
      <c r="L2556">
        <v>8.8000000000000007</v>
      </c>
      <c r="M2556">
        <v>30</v>
      </c>
    </row>
    <row r="2557" spans="1:13" hidden="1" x14ac:dyDescent="0.25">
      <c r="A2557" t="s">
        <v>344</v>
      </c>
      <c r="B2557" t="s">
        <v>495</v>
      </c>
      <c r="C2557" t="s">
        <v>501</v>
      </c>
      <c r="D2557" t="s">
        <v>493</v>
      </c>
      <c r="E2557">
        <v>2</v>
      </c>
      <c r="F2557">
        <v>5</v>
      </c>
      <c r="G2557">
        <v>60</v>
      </c>
      <c r="H2557">
        <v>10</v>
      </c>
      <c r="I2557">
        <v>5.9</v>
      </c>
      <c r="J2557">
        <v>13.6</v>
      </c>
      <c r="K2557">
        <v>14.6</v>
      </c>
      <c r="L2557">
        <v>8.8000000000000007</v>
      </c>
      <c r="M2557">
        <v>40</v>
      </c>
    </row>
    <row r="2558" spans="1:13" hidden="1" x14ac:dyDescent="0.25">
      <c r="A2558" t="s">
        <v>344</v>
      </c>
      <c r="B2558" t="s">
        <v>495</v>
      </c>
      <c r="C2558" t="s">
        <v>501</v>
      </c>
      <c r="D2558" t="s">
        <v>493</v>
      </c>
      <c r="E2558">
        <v>2</v>
      </c>
      <c r="F2558">
        <v>5</v>
      </c>
      <c r="G2558">
        <v>70</v>
      </c>
      <c r="H2558">
        <v>10</v>
      </c>
      <c r="I2558">
        <v>5.9</v>
      </c>
      <c r="J2558">
        <v>13.6</v>
      </c>
      <c r="K2558">
        <v>14.6</v>
      </c>
      <c r="L2558">
        <v>8.8000000000000007</v>
      </c>
      <c r="M2558">
        <v>40</v>
      </c>
    </row>
    <row r="2559" spans="1:13" hidden="1" x14ac:dyDescent="0.25">
      <c r="A2559" t="s">
        <v>344</v>
      </c>
      <c r="B2559" t="s">
        <v>495</v>
      </c>
      <c r="C2559" t="s">
        <v>501</v>
      </c>
      <c r="D2559" t="s">
        <v>493</v>
      </c>
      <c r="E2559">
        <v>2</v>
      </c>
      <c r="F2559">
        <v>5</v>
      </c>
      <c r="G2559">
        <v>80</v>
      </c>
      <c r="H2559">
        <v>10</v>
      </c>
      <c r="I2559">
        <v>5.9</v>
      </c>
      <c r="J2559">
        <v>13.6</v>
      </c>
      <c r="K2559">
        <v>14.6</v>
      </c>
      <c r="L2559">
        <v>8.8000000000000007</v>
      </c>
      <c r="M2559">
        <v>50</v>
      </c>
    </row>
    <row r="2560" spans="1:13" hidden="1" x14ac:dyDescent="0.25">
      <c r="A2560" t="s">
        <v>344</v>
      </c>
      <c r="B2560" t="s">
        <v>495</v>
      </c>
      <c r="C2560" t="s">
        <v>501</v>
      </c>
      <c r="D2560" t="s">
        <v>493</v>
      </c>
      <c r="E2560">
        <v>2</v>
      </c>
      <c r="F2560">
        <v>5</v>
      </c>
      <c r="G2560">
        <v>90</v>
      </c>
      <c r="H2560">
        <v>10</v>
      </c>
      <c r="I2560">
        <v>5.9</v>
      </c>
      <c r="J2560">
        <v>13.6</v>
      </c>
      <c r="K2560">
        <v>14.6</v>
      </c>
      <c r="L2560">
        <v>8.8000000000000007</v>
      </c>
      <c r="M2560">
        <v>50</v>
      </c>
    </row>
    <row r="2561" spans="1:13" hidden="1" x14ac:dyDescent="0.25">
      <c r="A2561" t="s">
        <v>344</v>
      </c>
      <c r="B2561" t="s">
        <v>495</v>
      </c>
      <c r="C2561" t="s">
        <v>501</v>
      </c>
      <c r="D2561" t="s">
        <v>493</v>
      </c>
      <c r="E2561">
        <v>2</v>
      </c>
      <c r="F2561">
        <v>5</v>
      </c>
      <c r="G2561">
        <v>100</v>
      </c>
      <c r="H2561">
        <v>10</v>
      </c>
      <c r="I2561">
        <v>5.9</v>
      </c>
      <c r="J2561">
        <v>13.6</v>
      </c>
      <c r="K2561">
        <v>14.6</v>
      </c>
      <c r="L2561">
        <v>8.8000000000000007</v>
      </c>
      <c r="M2561">
        <v>60</v>
      </c>
    </row>
    <row r="2562" spans="1:13" hidden="1" x14ac:dyDescent="0.25">
      <c r="A2562" t="s">
        <v>344</v>
      </c>
      <c r="B2562" t="s">
        <v>495</v>
      </c>
      <c r="C2562" t="s">
        <v>501</v>
      </c>
      <c r="D2562" t="s">
        <v>493</v>
      </c>
      <c r="E2562">
        <v>2</v>
      </c>
      <c r="F2562">
        <v>5</v>
      </c>
      <c r="G2562">
        <v>110</v>
      </c>
      <c r="H2562">
        <v>10</v>
      </c>
      <c r="I2562">
        <v>5.9</v>
      </c>
      <c r="J2562">
        <v>13.6</v>
      </c>
      <c r="K2562">
        <v>14.6</v>
      </c>
      <c r="L2562">
        <v>8.8000000000000007</v>
      </c>
      <c r="M2562">
        <v>40</v>
      </c>
    </row>
    <row r="2563" spans="1:13" hidden="1" x14ac:dyDescent="0.25">
      <c r="A2563" t="s">
        <v>344</v>
      </c>
      <c r="B2563" t="s">
        <v>495</v>
      </c>
      <c r="C2563" t="s">
        <v>501</v>
      </c>
      <c r="D2563" t="s">
        <v>493</v>
      </c>
      <c r="E2563">
        <v>2</v>
      </c>
      <c r="F2563">
        <v>5</v>
      </c>
      <c r="G2563">
        <v>120</v>
      </c>
      <c r="H2563">
        <v>10</v>
      </c>
      <c r="I2563">
        <v>5.9</v>
      </c>
      <c r="J2563">
        <v>13.6</v>
      </c>
      <c r="K2563">
        <v>14.6</v>
      </c>
      <c r="L2563">
        <v>8.8000000000000007</v>
      </c>
      <c r="M2563">
        <v>40</v>
      </c>
    </row>
    <row r="2564" spans="1:13" hidden="1" x14ac:dyDescent="0.25">
      <c r="A2564" t="s">
        <v>344</v>
      </c>
      <c r="B2564" t="s">
        <v>495</v>
      </c>
      <c r="C2564" t="s">
        <v>501</v>
      </c>
      <c r="D2564" t="s">
        <v>493</v>
      </c>
      <c r="E2564">
        <v>2</v>
      </c>
      <c r="F2564">
        <v>6</v>
      </c>
      <c r="G2564">
        <v>50</v>
      </c>
      <c r="H2564">
        <v>12</v>
      </c>
      <c r="I2564">
        <v>10.7</v>
      </c>
      <c r="J2564">
        <v>13</v>
      </c>
      <c r="K2564">
        <v>14.6</v>
      </c>
      <c r="L2564">
        <v>13.1</v>
      </c>
      <c r="M2564">
        <v>30</v>
      </c>
    </row>
    <row r="2565" spans="1:13" hidden="1" x14ac:dyDescent="0.25">
      <c r="A2565" t="s">
        <v>344</v>
      </c>
      <c r="B2565" t="s">
        <v>495</v>
      </c>
      <c r="C2565" t="s">
        <v>501</v>
      </c>
      <c r="D2565" t="s">
        <v>493</v>
      </c>
      <c r="E2565">
        <v>2</v>
      </c>
      <c r="F2565">
        <v>6</v>
      </c>
      <c r="G2565">
        <v>60</v>
      </c>
      <c r="H2565">
        <v>12</v>
      </c>
      <c r="I2565">
        <v>10.7</v>
      </c>
      <c r="J2565">
        <v>13</v>
      </c>
      <c r="K2565">
        <v>14.6</v>
      </c>
      <c r="L2565">
        <v>13.1</v>
      </c>
      <c r="M2565">
        <v>40</v>
      </c>
    </row>
    <row r="2566" spans="1:13" hidden="1" x14ac:dyDescent="0.25">
      <c r="A2566" t="s">
        <v>344</v>
      </c>
      <c r="B2566" t="s">
        <v>495</v>
      </c>
      <c r="C2566" t="s">
        <v>501</v>
      </c>
      <c r="D2566" t="s">
        <v>493</v>
      </c>
      <c r="E2566">
        <v>2</v>
      </c>
      <c r="F2566">
        <v>6</v>
      </c>
      <c r="G2566">
        <v>70</v>
      </c>
      <c r="H2566">
        <v>12</v>
      </c>
      <c r="I2566">
        <v>10.7</v>
      </c>
      <c r="J2566">
        <v>13</v>
      </c>
      <c r="K2566">
        <v>14.6</v>
      </c>
      <c r="L2566">
        <v>13.1</v>
      </c>
      <c r="M2566">
        <v>40</v>
      </c>
    </row>
    <row r="2567" spans="1:13" hidden="1" x14ac:dyDescent="0.25">
      <c r="A2567" t="s">
        <v>344</v>
      </c>
      <c r="B2567" t="s">
        <v>495</v>
      </c>
      <c r="C2567" t="s">
        <v>501</v>
      </c>
      <c r="D2567" t="s">
        <v>493</v>
      </c>
      <c r="E2567">
        <v>2</v>
      </c>
      <c r="F2567">
        <v>6</v>
      </c>
      <c r="G2567">
        <v>80</v>
      </c>
      <c r="H2567">
        <v>12</v>
      </c>
      <c r="I2567">
        <v>10.7</v>
      </c>
      <c r="J2567">
        <v>13</v>
      </c>
      <c r="K2567">
        <v>14.6</v>
      </c>
      <c r="L2567">
        <v>13.1</v>
      </c>
      <c r="M2567">
        <v>50</v>
      </c>
    </row>
    <row r="2568" spans="1:13" hidden="1" x14ac:dyDescent="0.25">
      <c r="A2568" t="s">
        <v>344</v>
      </c>
      <c r="B2568" t="s">
        <v>495</v>
      </c>
      <c r="C2568" t="s">
        <v>501</v>
      </c>
      <c r="D2568" t="s">
        <v>493</v>
      </c>
      <c r="E2568">
        <v>2</v>
      </c>
      <c r="F2568">
        <v>6</v>
      </c>
      <c r="G2568">
        <v>90</v>
      </c>
      <c r="H2568">
        <v>12</v>
      </c>
      <c r="I2568">
        <v>10.7</v>
      </c>
      <c r="J2568">
        <v>13</v>
      </c>
      <c r="K2568">
        <v>14.6</v>
      </c>
      <c r="L2568">
        <v>13.1</v>
      </c>
      <c r="M2568">
        <v>50</v>
      </c>
    </row>
    <row r="2569" spans="1:13" hidden="1" x14ac:dyDescent="0.25">
      <c r="A2569" t="s">
        <v>344</v>
      </c>
      <c r="B2569" t="s">
        <v>495</v>
      </c>
      <c r="C2569" t="s">
        <v>501</v>
      </c>
      <c r="D2569" t="s">
        <v>493</v>
      </c>
      <c r="E2569">
        <v>2</v>
      </c>
      <c r="F2569">
        <v>6</v>
      </c>
      <c r="G2569">
        <v>100</v>
      </c>
      <c r="H2569">
        <v>12</v>
      </c>
      <c r="I2569">
        <v>10.7</v>
      </c>
      <c r="J2569">
        <v>13</v>
      </c>
      <c r="K2569">
        <v>14.6</v>
      </c>
      <c r="L2569">
        <v>13.1</v>
      </c>
      <c r="M2569">
        <v>60</v>
      </c>
    </row>
    <row r="2570" spans="1:13" hidden="1" x14ac:dyDescent="0.25">
      <c r="A2570" t="s">
        <v>344</v>
      </c>
      <c r="B2570" t="s">
        <v>495</v>
      </c>
      <c r="C2570" t="s">
        <v>501</v>
      </c>
      <c r="D2570" t="s">
        <v>493</v>
      </c>
      <c r="E2570">
        <v>2</v>
      </c>
      <c r="F2570">
        <v>6</v>
      </c>
      <c r="G2570">
        <v>110</v>
      </c>
      <c r="H2570">
        <v>12</v>
      </c>
      <c r="I2570">
        <v>10.7</v>
      </c>
      <c r="J2570">
        <v>13</v>
      </c>
      <c r="K2570">
        <v>14.6</v>
      </c>
      <c r="L2570">
        <v>13.1</v>
      </c>
      <c r="M2570">
        <v>60</v>
      </c>
    </row>
    <row r="2571" spans="1:13" hidden="1" x14ac:dyDescent="0.25">
      <c r="A2571" t="s">
        <v>344</v>
      </c>
      <c r="B2571" t="s">
        <v>495</v>
      </c>
      <c r="C2571" t="s">
        <v>501</v>
      </c>
      <c r="D2571" t="s">
        <v>493</v>
      </c>
      <c r="E2571">
        <v>2</v>
      </c>
      <c r="F2571">
        <v>6</v>
      </c>
      <c r="G2571">
        <v>120</v>
      </c>
      <c r="H2571">
        <v>12</v>
      </c>
      <c r="I2571">
        <v>10.7</v>
      </c>
      <c r="J2571">
        <v>13</v>
      </c>
      <c r="K2571">
        <v>14.6</v>
      </c>
      <c r="L2571">
        <v>13.1</v>
      </c>
      <c r="M2571">
        <v>70</v>
      </c>
    </row>
    <row r="2572" spans="1:13" hidden="1" x14ac:dyDescent="0.25">
      <c r="A2572" t="s">
        <v>344</v>
      </c>
      <c r="B2572" t="s">
        <v>495</v>
      </c>
      <c r="C2572" t="s">
        <v>501</v>
      </c>
      <c r="D2572" t="s">
        <v>493</v>
      </c>
      <c r="E2572">
        <v>2</v>
      </c>
      <c r="F2572">
        <v>6</v>
      </c>
      <c r="G2572">
        <v>130</v>
      </c>
      <c r="H2572">
        <v>12</v>
      </c>
      <c r="I2572">
        <v>10.7</v>
      </c>
      <c r="J2572">
        <v>13</v>
      </c>
      <c r="K2572">
        <v>14.6</v>
      </c>
      <c r="L2572">
        <v>13.1</v>
      </c>
      <c r="M2572">
        <v>70</v>
      </c>
    </row>
    <row r="2573" spans="1:13" hidden="1" x14ac:dyDescent="0.25">
      <c r="A2573" t="s">
        <v>344</v>
      </c>
      <c r="B2573" t="s">
        <v>495</v>
      </c>
      <c r="C2573" t="s">
        <v>501</v>
      </c>
      <c r="D2573" t="s">
        <v>493</v>
      </c>
      <c r="E2573">
        <v>2</v>
      </c>
      <c r="F2573">
        <v>6</v>
      </c>
      <c r="G2573">
        <v>140</v>
      </c>
      <c r="H2573">
        <v>12</v>
      </c>
      <c r="I2573">
        <v>10.7</v>
      </c>
      <c r="J2573">
        <v>13</v>
      </c>
      <c r="K2573">
        <v>14.6</v>
      </c>
      <c r="L2573">
        <v>13.1</v>
      </c>
      <c r="M2573">
        <v>70</v>
      </c>
    </row>
    <row r="2574" spans="1:13" hidden="1" x14ac:dyDescent="0.25">
      <c r="A2574" t="s">
        <v>344</v>
      </c>
      <c r="B2574" t="s">
        <v>495</v>
      </c>
      <c r="C2574" t="s">
        <v>501</v>
      </c>
      <c r="D2574" t="s">
        <v>493</v>
      </c>
      <c r="E2574">
        <v>2</v>
      </c>
      <c r="F2574">
        <v>6</v>
      </c>
      <c r="G2574">
        <v>150</v>
      </c>
      <c r="H2574">
        <v>12</v>
      </c>
      <c r="I2574">
        <v>10.7</v>
      </c>
      <c r="J2574">
        <v>13</v>
      </c>
      <c r="K2574">
        <v>14.6</v>
      </c>
      <c r="L2574">
        <v>13.1</v>
      </c>
      <c r="M2574">
        <v>70</v>
      </c>
    </row>
    <row r="2575" spans="1:13" hidden="1" x14ac:dyDescent="0.25">
      <c r="A2575" t="s">
        <v>344</v>
      </c>
      <c r="B2575" t="s">
        <v>495</v>
      </c>
      <c r="C2575" t="s">
        <v>501</v>
      </c>
      <c r="D2575" t="s">
        <v>493</v>
      </c>
      <c r="E2575">
        <v>2</v>
      </c>
      <c r="F2575">
        <v>6</v>
      </c>
      <c r="G2575">
        <v>160</v>
      </c>
      <c r="H2575">
        <v>12</v>
      </c>
      <c r="I2575">
        <v>10.7</v>
      </c>
      <c r="J2575">
        <v>13</v>
      </c>
      <c r="K2575">
        <v>14.6</v>
      </c>
      <c r="L2575">
        <v>13.1</v>
      </c>
      <c r="M2575">
        <v>70</v>
      </c>
    </row>
    <row r="2576" spans="1:13" hidden="1" x14ac:dyDescent="0.25">
      <c r="A2576" t="s">
        <v>344</v>
      </c>
      <c r="B2576" t="s">
        <v>495</v>
      </c>
      <c r="C2576" t="s">
        <v>501</v>
      </c>
      <c r="D2576" t="s">
        <v>493</v>
      </c>
      <c r="E2576">
        <v>2</v>
      </c>
      <c r="F2576">
        <v>6</v>
      </c>
      <c r="G2576">
        <v>180</v>
      </c>
      <c r="H2576">
        <v>12</v>
      </c>
      <c r="I2576">
        <v>10.7</v>
      </c>
      <c r="J2576">
        <v>13</v>
      </c>
      <c r="K2576">
        <v>14.6</v>
      </c>
      <c r="L2576">
        <v>13.1</v>
      </c>
      <c r="M2576">
        <v>70</v>
      </c>
    </row>
    <row r="2577" spans="1:13" hidden="1" x14ac:dyDescent="0.25">
      <c r="A2577" t="s">
        <v>344</v>
      </c>
      <c r="B2577" t="s">
        <v>495</v>
      </c>
      <c r="C2577" t="s">
        <v>501</v>
      </c>
      <c r="D2577" t="s">
        <v>493</v>
      </c>
      <c r="E2577">
        <v>2</v>
      </c>
      <c r="F2577">
        <v>6</v>
      </c>
      <c r="G2577">
        <v>200</v>
      </c>
      <c r="H2577">
        <v>12</v>
      </c>
      <c r="I2577">
        <v>10.7</v>
      </c>
      <c r="J2577">
        <v>13</v>
      </c>
      <c r="K2577">
        <v>14.6</v>
      </c>
      <c r="L2577">
        <v>13.1</v>
      </c>
      <c r="M2577">
        <v>70</v>
      </c>
    </row>
    <row r="2578" spans="1:13" hidden="1" x14ac:dyDescent="0.25">
      <c r="A2578" t="s">
        <v>344</v>
      </c>
      <c r="B2578" t="s">
        <v>495</v>
      </c>
      <c r="C2578" t="s">
        <v>501</v>
      </c>
      <c r="D2578" t="s">
        <v>493</v>
      </c>
      <c r="E2578">
        <v>2</v>
      </c>
      <c r="F2578">
        <v>6</v>
      </c>
      <c r="G2578">
        <v>220</v>
      </c>
      <c r="H2578">
        <v>12</v>
      </c>
      <c r="I2578">
        <v>10.7</v>
      </c>
      <c r="J2578">
        <v>13</v>
      </c>
      <c r="K2578">
        <v>14.6</v>
      </c>
      <c r="L2578">
        <v>13.1</v>
      </c>
      <c r="M2578">
        <v>70</v>
      </c>
    </row>
    <row r="2579" spans="1:13" hidden="1" x14ac:dyDescent="0.25">
      <c r="A2579" t="s">
        <v>344</v>
      </c>
      <c r="B2579" t="s">
        <v>495</v>
      </c>
      <c r="C2579" t="s">
        <v>501</v>
      </c>
      <c r="D2579" t="s">
        <v>493</v>
      </c>
      <c r="E2579">
        <v>2</v>
      </c>
      <c r="F2579">
        <v>6</v>
      </c>
      <c r="G2579">
        <v>240</v>
      </c>
      <c r="H2579">
        <v>12</v>
      </c>
      <c r="I2579">
        <v>10.7</v>
      </c>
      <c r="J2579">
        <v>13</v>
      </c>
      <c r="K2579">
        <v>14.6</v>
      </c>
      <c r="L2579">
        <v>13.1</v>
      </c>
      <c r="M2579">
        <v>70</v>
      </c>
    </row>
    <row r="2580" spans="1:13" hidden="1" x14ac:dyDescent="0.25">
      <c r="A2580" t="s">
        <v>344</v>
      </c>
      <c r="B2580" t="s">
        <v>495</v>
      </c>
      <c r="C2580" t="s">
        <v>501</v>
      </c>
      <c r="D2580" t="s">
        <v>493</v>
      </c>
      <c r="E2580">
        <v>2</v>
      </c>
      <c r="F2580">
        <v>6</v>
      </c>
      <c r="G2580">
        <v>260</v>
      </c>
      <c r="H2580">
        <v>12</v>
      </c>
      <c r="I2580">
        <v>10.7</v>
      </c>
      <c r="J2580">
        <v>13</v>
      </c>
      <c r="K2580">
        <v>14.6</v>
      </c>
      <c r="L2580">
        <v>13.1</v>
      </c>
      <c r="M2580">
        <v>70</v>
      </c>
    </row>
    <row r="2581" spans="1:13" hidden="1" x14ac:dyDescent="0.25">
      <c r="A2581" t="s">
        <v>344</v>
      </c>
      <c r="B2581" t="s">
        <v>495</v>
      </c>
      <c r="C2581" t="s">
        <v>501</v>
      </c>
      <c r="D2581" t="s">
        <v>493</v>
      </c>
      <c r="E2581">
        <v>2</v>
      </c>
      <c r="F2581">
        <v>6</v>
      </c>
      <c r="G2581">
        <v>280</v>
      </c>
      <c r="H2581">
        <v>12</v>
      </c>
      <c r="I2581">
        <v>10.7</v>
      </c>
      <c r="J2581">
        <v>13</v>
      </c>
      <c r="K2581">
        <v>14.6</v>
      </c>
      <c r="L2581">
        <v>13.1</v>
      </c>
      <c r="M2581">
        <v>70</v>
      </c>
    </row>
    <row r="2582" spans="1:13" hidden="1" x14ac:dyDescent="0.25">
      <c r="A2582" t="s">
        <v>344</v>
      </c>
      <c r="B2582" t="s">
        <v>495</v>
      </c>
      <c r="C2582" t="s">
        <v>501</v>
      </c>
      <c r="D2582" t="s">
        <v>493</v>
      </c>
      <c r="E2582">
        <v>2</v>
      </c>
      <c r="F2582">
        <v>6</v>
      </c>
      <c r="G2582">
        <v>300</v>
      </c>
      <c r="H2582">
        <v>12</v>
      </c>
      <c r="I2582">
        <v>10.7</v>
      </c>
      <c r="J2582">
        <v>13</v>
      </c>
      <c r="K2582">
        <v>14.6</v>
      </c>
      <c r="L2582">
        <v>13.1</v>
      </c>
      <c r="M2582">
        <v>70</v>
      </c>
    </row>
    <row r="2583" spans="1:13" hidden="1" x14ac:dyDescent="0.25">
      <c r="A2583" t="s">
        <v>344</v>
      </c>
      <c r="B2583" t="s">
        <v>495</v>
      </c>
      <c r="C2583" t="s">
        <v>501</v>
      </c>
      <c r="D2583" t="s">
        <v>493</v>
      </c>
      <c r="E2583">
        <v>2</v>
      </c>
      <c r="F2583">
        <v>8</v>
      </c>
      <c r="G2583">
        <v>80</v>
      </c>
      <c r="H2583">
        <v>15</v>
      </c>
      <c r="I2583">
        <v>22.6</v>
      </c>
      <c r="J2583">
        <v>10.9</v>
      </c>
      <c r="K2583">
        <v>12.4</v>
      </c>
      <c r="L2583">
        <v>23.3</v>
      </c>
      <c r="M2583">
        <v>50</v>
      </c>
    </row>
    <row r="2584" spans="1:13" hidden="1" x14ac:dyDescent="0.25">
      <c r="A2584" t="s">
        <v>344</v>
      </c>
      <c r="B2584" t="s">
        <v>495</v>
      </c>
      <c r="C2584" t="s">
        <v>501</v>
      </c>
      <c r="D2584" t="s">
        <v>493</v>
      </c>
      <c r="E2584">
        <v>2</v>
      </c>
      <c r="F2584">
        <v>8</v>
      </c>
      <c r="G2584">
        <v>90</v>
      </c>
      <c r="H2584">
        <v>15</v>
      </c>
      <c r="I2584">
        <v>22.6</v>
      </c>
      <c r="J2584">
        <v>10.9</v>
      </c>
      <c r="K2584">
        <v>12.4</v>
      </c>
      <c r="L2584">
        <v>23.3</v>
      </c>
      <c r="M2584">
        <v>50</v>
      </c>
    </row>
    <row r="2585" spans="1:13" hidden="1" x14ac:dyDescent="0.25">
      <c r="A2585" t="s">
        <v>344</v>
      </c>
      <c r="B2585" t="s">
        <v>495</v>
      </c>
      <c r="C2585" t="s">
        <v>501</v>
      </c>
      <c r="D2585" t="s">
        <v>493</v>
      </c>
      <c r="E2585">
        <v>2</v>
      </c>
      <c r="F2585">
        <v>8</v>
      </c>
      <c r="G2585">
        <v>100</v>
      </c>
      <c r="H2585">
        <v>15</v>
      </c>
      <c r="I2585">
        <v>22.6</v>
      </c>
      <c r="J2585">
        <v>10.9</v>
      </c>
      <c r="K2585">
        <v>12.4</v>
      </c>
      <c r="L2585">
        <v>23.3</v>
      </c>
      <c r="M2585">
        <v>60</v>
      </c>
    </row>
    <row r="2586" spans="1:13" hidden="1" x14ac:dyDescent="0.25">
      <c r="A2586" t="s">
        <v>344</v>
      </c>
      <c r="B2586" t="s">
        <v>495</v>
      </c>
      <c r="C2586" t="s">
        <v>501</v>
      </c>
      <c r="D2586" t="s">
        <v>493</v>
      </c>
      <c r="E2586">
        <v>2</v>
      </c>
      <c r="F2586">
        <v>8</v>
      </c>
      <c r="G2586">
        <v>120</v>
      </c>
      <c r="H2586">
        <v>15</v>
      </c>
      <c r="I2586">
        <v>22.6</v>
      </c>
      <c r="J2586">
        <v>10.9</v>
      </c>
      <c r="K2586">
        <v>12.4</v>
      </c>
      <c r="L2586">
        <v>23.3</v>
      </c>
      <c r="M2586">
        <v>80</v>
      </c>
    </row>
    <row r="2587" spans="1:13" hidden="1" x14ac:dyDescent="0.25">
      <c r="A2587" t="s">
        <v>344</v>
      </c>
      <c r="B2587" t="s">
        <v>495</v>
      </c>
      <c r="C2587" t="s">
        <v>501</v>
      </c>
      <c r="D2587" t="s">
        <v>493</v>
      </c>
      <c r="E2587">
        <v>2</v>
      </c>
      <c r="F2587">
        <v>8</v>
      </c>
      <c r="G2587">
        <v>140</v>
      </c>
      <c r="H2587">
        <v>15</v>
      </c>
      <c r="I2587">
        <v>22.6</v>
      </c>
      <c r="J2587">
        <v>10.9</v>
      </c>
      <c r="K2587">
        <v>12.4</v>
      </c>
      <c r="L2587">
        <v>23.3</v>
      </c>
      <c r="M2587">
        <v>80</v>
      </c>
    </row>
    <row r="2588" spans="1:13" hidden="1" x14ac:dyDescent="0.25">
      <c r="A2588" t="s">
        <v>344</v>
      </c>
      <c r="B2588" t="s">
        <v>495</v>
      </c>
      <c r="C2588" t="s">
        <v>501</v>
      </c>
      <c r="D2588" t="s">
        <v>493</v>
      </c>
      <c r="E2588">
        <v>2</v>
      </c>
      <c r="F2588">
        <v>8</v>
      </c>
      <c r="G2588">
        <v>160</v>
      </c>
      <c r="H2588">
        <v>15</v>
      </c>
      <c r="I2588">
        <v>22.6</v>
      </c>
      <c r="J2588">
        <v>10.9</v>
      </c>
      <c r="K2588">
        <v>12.4</v>
      </c>
      <c r="L2588">
        <v>23.3</v>
      </c>
      <c r="M2588">
        <v>80</v>
      </c>
    </row>
    <row r="2589" spans="1:13" hidden="1" x14ac:dyDescent="0.25">
      <c r="A2589" t="s">
        <v>344</v>
      </c>
      <c r="B2589" t="s">
        <v>495</v>
      </c>
      <c r="C2589" t="s">
        <v>501</v>
      </c>
      <c r="D2589" t="s">
        <v>493</v>
      </c>
      <c r="E2589">
        <v>2</v>
      </c>
      <c r="F2589">
        <v>8</v>
      </c>
      <c r="G2589">
        <v>180</v>
      </c>
      <c r="H2589">
        <v>15</v>
      </c>
      <c r="I2589">
        <v>22.6</v>
      </c>
      <c r="J2589">
        <v>10.9</v>
      </c>
      <c r="K2589">
        <v>12.4</v>
      </c>
      <c r="L2589">
        <v>23.3</v>
      </c>
      <c r="M2589">
        <v>100</v>
      </c>
    </row>
    <row r="2590" spans="1:13" hidden="1" x14ac:dyDescent="0.25">
      <c r="A2590" t="s">
        <v>344</v>
      </c>
      <c r="B2590" t="s">
        <v>495</v>
      </c>
      <c r="C2590" t="s">
        <v>501</v>
      </c>
      <c r="D2590" t="s">
        <v>493</v>
      </c>
      <c r="E2590">
        <v>2</v>
      </c>
      <c r="F2590">
        <v>8</v>
      </c>
      <c r="G2590">
        <v>200</v>
      </c>
      <c r="H2590">
        <v>15</v>
      </c>
      <c r="I2590">
        <v>22.6</v>
      </c>
      <c r="J2590">
        <v>10.9</v>
      </c>
      <c r="K2590">
        <v>12.4</v>
      </c>
      <c r="L2590">
        <v>23.3</v>
      </c>
      <c r="M2590">
        <v>100</v>
      </c>
    </row>
    <row r="2591" spans="1:13" hidden="1" x14ac:dyDescent="0.25">
      <c r="A2591" t="s">
        <v>344</v>
      </c>
      <c r="B2591" t="s">
        <v>495</v>
      </c>
      <c r="C2591" t="s">
        <v>501</v>
      </c>
      <c r="D2591" t="s">
        <v>493</v>
      </c>
      <c r="E2591">
        <v>2</v>
      </c>
      <c r="F2591">
        <v>8</v>
      </c>
      <c r="G2591">
        <v>220</v>
      </c>
      <c r="H2591">
        <v>15</v>
      </c>
      <c r="I2591">
        <v>22.6</v>
      </c>
      <c r="J2591">
        <v>10.9</v>
      </c>
      <c r="K2591">
        <v>12.4</v>
      </c>
      <c r="L2591">
        <v>23.3</v>
      </c>
      <c r="M2591">
        <v>100</v>
      </c>
    </row>
    <row r="2592" spans="1:13" hidden="1" x14ac:dyDescent="0.25">
      <c r="A2592" t="s">
        <v>344</v>
      </c>
      <c r="B2592" t="s">
        <v>495</v>
      </c>
      <c r="C2592" t="s">
        <v>501</v>
      </c>
      <c r="D2592" t="s">
        <v>493</v>
      </c>
      <c r="E2592">
        <v>2</v>
      </c>
      <c r="F2592">
        <v>8</v>
      </c>
      <c r="G2592">
        <v>240</v>
      </c>
      <c r="H2592">
        <v>15</v>
      </c>
      <c r="I2592">
        <v>22.6</v>
      </c>
      <c r="J2592">
        <v>10.9</v>
      </c>
      <c r="K2592">
        <v>12.4</v>
      </c>
      <c r="L2592">
        <v>23.3</v>
      </c>
      <c r="M2592">
        <v>100</v>
      </c>
    </row>
    <row r="2593" spans="1:13" hidden="1" x14ac:dyDescent="0.25">
      <c r="A2593" t="s">
        <v>344</v>
      </c>
      <c r="B2593" t="s">
        <v>495</v>
      </c>
      <c r="C2593" t="s">
        <v>501</v>
      </c>
      <c r="D2593" t="s">
        <v>493</v>
      </c>
      <c r="E2593">
        <v>2</v>
      </c>
      <c r="F2593">
        <v>8</v>
      </c>
      <c r="G2593">
        <v>260</v>
      </c>
      <c r="H2593">
        <v>15</v>
      </c>
      <c r="I2593">
        <v>22.6</v>
      </c>
      <c r="J2593">
        <v>10.9</v>
      </c>
      <c r="K2593">
        <v>12.4</v>
      </c>
      <c r="L2593">
        <v>23.3</v>
      </c>
      <c r="M2593">
        <v>100</v>
      </c>
    </row>
    <row r="2594" spans="1:13" hidden="1" x14ac:dyDescent="0.25">
      <c r="A2594" t="s">
        <v>344</v>
      </c>
      <c r="B2594" t="s">
        <v>495</v>
      </c>
      <c r="C2594" t="s">
        <v>501</v>
      </c>
      <c r="D2594" t="s">
        <v>493</v>
      </c>
      <c r="E2594">
        <v>2</v>
      </c>
      <c r="F2594">
        <v>8</v>
      </c>
      <c r="G2594">
        <v>280</v>
      </c>
      <c r="H2594">
        <v>15</v>
      </c>
      <c r="I2594">
        <v>22.6</v>
      </c>
      <c r="J2594">
        <v>10.9</v>
      </c>
      <c r="K2594">
        <v>12.4</v>
      </c>
      <c r="L2594">
        <v>23.3</v>
      </c>
      <c r="M2594">
        <v>100</v>
      </c>
    </row>
    <row r="2595" spans="1:13" hidden="1" x14ac:dyDescent="0.25">
      <c r="A2595" t="s">
        <v>344</v>
      </c>
      <c r="B2595" t="s">
        <v>495</v>
      </c>
      <c r="C2595" t="s">
        <v>501</v>
      </c>
      <c r="D2595" t="s">
        <v>493</v>
      </c>
      <c r="E2595">
        <v>2</v>
      </c>
      <c r="F2595">
        <v>8</v>
      </c>
      <c r="G2595">
        <v>300</v>
      </c>
      <c r="H2595">
        <v>15</v>
      </c>
      <c r="I2595">
        <v>22.6</v>
      </c>
      <c r="J2595">
        <v>10.9</v>
      </c>
      <c r="K2595">
        <v>12.4</v>
      </c>
      <c r="L2595">
        <v>23.3</v>
      </c>
      <c r="M2595">
        <v>100</v>
      </c>
    </row>
    <row r="2596" spans="1:13" hidden="1" x14ac:dyDescent="0.25">
      <c r="A2596" t="s">
        <v>344</v>
      </c>
      <c r="B2596" t="s">
        <v>495</v>
      </c>
      <c r="C2596" t="s">
        <v>501</v>
      </c>
      <c r="D2596" t="s">
        <v>493</v>
      </c>
      <c r="E2596">
        <v>2</v>
      </c>
      <c r="F2596">
        <v>8</v>
      </c>
      <c r="G2596">
        <v>320</v>
      </c>
      <c r="H2596">
        <v>15</v>
      </c>
      <c r="I2596">
        <v>22.6</v>
      </c>
      <c r="J2596">
        <v>10.9</v>
      </c>
      <c r="K2596">
        <v>12.4</v>
      </c>
      <c r="L2596">
        <v>23.3</v>
      </c>
      <c r="M2596">
        <v>100</v>
      </c>
    </row>
    <row r="2597" spans="1:13" hidden="1" x14ac:dyDescent="0.25">
      <c r="A2597" t="s">
        <v>344</v>
      </c>
      <c r="B2597" t="s">
        <v>495</v>
      </c>
      <c r="C2597" t="s">
        <v>501</v>
      </c>
      <c r="D2597" t="s">
        <v>493</v>
      </c>
      <c r="E2597">
        <v>2</v>
      </c>
      <c r="F2597">
        <v>8</v>
      </c>
      <c r="G2597">
        <v>340</v>
      </c>
      <c r="H2597">
        <v>15</v>
      </c>
      <c r="I2597">
        <v>22.6</v>
      </c>
      <c r="J2597">
        <v>10.9</v>
      </c>
      <c r="K2597">
        <v>12.4</v>
      </c>
      <c r="L2597">
        <v>23.3</v>
      </c>
      <c r="M2597">
        <v>100</v>
      </c>
    </row>
    <row r="2598" spans="1:13" hidden="1" x14ac:dyDescent="0.25">
      <c r="A2598" t="s">
        <v>344</v>
      </c>
      <c r="B2598" t="s">
        <v>495</v>
      </c>
      <c r="C2598" t="s">
        <v>501</v>
      </c>
      <c r="D2598" t="s">
        <v>493</v>
      </c>
      <c r="E2598">
        <v>2</v>
      </c>
      <c r="F2598">
        <v>8</v>
      </c>
      <c r="G2598">
        <v>360</v>
      </c>
      <c r="H2598">
        <v>15</v>
      </c>
      <c r="I2598">
        <v>22.6</v>
      </c>
      <c r="J2598">
        <v>10.9</v>
      </c>
      <c r="K2598">
        <v>12.4</v>
      </c>
      <c r="L2598">
        <v>23.3</v>
      </c>
      <c r="M2598">
        <v>100</v>
      </c>
    </row>
    <row r="2599" spans="1:13" hidden="1" x14ac:dyDescent="0.25">
      <c r="A2599" t="s">
        <v>344</v>
      </c>
      <c r="B2599" t="s">
        <v>495</v>
      </c>
      <c r="C2599" t="s">
        <v>501</v>
      </c>
      <c r="D2599" t="s">
        <v>493</v>
      </c>
      <c r="E2599">
        <v>2</v>
      </c>
      <c r="F2599">
        <v>8</v>
      </c>
      <c r="G2599">
        <v>380</v>
      </c>
      <c r="H2599">
        <v>15</v>
      </c>
      <c r="I2599">
        <v>22.6</v>
      </c>
      <c r="J2599">
        <v>10.9</v>
      </c>
      <c r="K2599">
        <v>12.4</v>
      </c>
      <c r="L2599">
        <v>23.3</v>
      </c>
      <c r="M2599">
        <v>100</v>
      </c>
    </row>
    <row r="2600" spans="1:13" hidden="1" x14ac:dyDescent="0.25">
      <c r="A2600" t="s">
        <v>344</v>
      </c>
      <c r="B2600" t="s">
        <v>495</v>
      </c>
      <c r="C2600" t="s">
        <v>501</v>
      </c>
      <c r="D2600" t="s">
        <v>493</v>
      </c>
      <c r="E2600">
        <v>2</v>
      </c>
      <c r="F2600">
        <v>8</v>
      </c>
      <c r="G2600">
        <v>400</v>
      </c>
      <c r="H2600">
        <v>15</v>
      </c>
      <c r="I2600">
        <v>22.6</v>
      </c>
      <c r="J2600">
        <v>10.9</v>
      </c>
      <c r="K2600">
        <v>12.4</v>
      </c>
      <c r="L2600">
        <v>23.3</v>
      </c>
      <c r="M2600">
        <v>100</v>
      </c>
    </row>
    <row r="2601" spans="1:13" hidden="1" x14ac:dyDescent="0.25">
      <c r="A2601" t="s">
        <v>344</v>
      </c>
      <c r="B2601" t="s">
        <v>495</v>
      </c>
      <c r="C2601" t="s">
        <v>501</v>
      </c>
      <c r="D2601" t="s">
        <v>493</v>
      </c>
      <c r="E2601">
        <v>2</v>
      </c>
      <c r="F2601">
        <v>8</v>
      </c>
      <c r="G2601">
        <v>420</v>
      </c>
      <c r="H2601">
        <v>15</v>
      </c>
      <c r="I2601">
        <v>22.6</v>
      </c>
      <c r="J2601">
        <v>10.9</v>
      </c>
      <c r="K2601">
        <v>12.4</v>
      </c>
      <c r="L2601">
        <v>23.3</v>
      </c>
      <c r="M2601">
        <v>100</v>
      </c>
    </row>
    <row r="2602" spans="1:13" hidden="1" x14ac:dyDescent="0.25">
      <c r="A2602" t="s">
        <v>344</v>
      </c>
      <c r="B2602" t="s">
        <v>495</v>
      </c>
      <c r="C2602" t="s">
        <v>501</v>
      </c>
      <c r="D2602" t="s">
        <v>493</v>
      </c>
      <c r="E2602">
        <v>2</v>
      </c>
      <c r="F2602">
        <v>8</v>
      </c>
      <c r="G2602">
        <v>440</v>
      </c>
      <c r="H2602">
        <v>15</v>
      </c>
      <c r="I2602">
        <v>22.6</v>
      </c>
      <c r="J2602">
        <v>10.9</v>
      </c>
      <c r="K2602">
        <v>12.4</v>
      </c>
      <c r="L2602">
        <v>23.3</v>
      </c>
      <c r="M2602">
        <v>100</v>
      </c>
    </row>
    <row r="2603" spans="1:13" hidden="1" x14ac:dyDescent="0.25">
      <c r="A2603" t="s">
        <v>344</v>
      </c>
      <c r="B2603" t="s">
        <v>495</v>
      </c>
      <c r="C2603" t="s">
        <v>501</v>
      </c>
      <c r="D2603" t="s">
        <v>493</v>
      </c>
      <c r="E2603">
        <v>2</v>
      </c>
      <c r="F2603">
        <v>8</v>
      </c>
      <c r="G2603">
        <v>460</v>
      </c>
      <c r="H2603">
        <v>15</v>
      </c>
      <c r="I2603">
        <v>22.6</v>
      </c>
      <c r="J2603">
        <v>10.9</v>
      </c>
      <c r="K2603">
        <v>12.4</v>
      </c>
      <c r="L2603">
        <v>23.3</v>
      </c>
      <c r="M2603">
        <v>100</v>
      </c>
    </row>
    <row r="2604" spans="1:13" hidden="1" x14ac:dyDescent="0.25">
      <c r="A2604" t="s">
        <v>344</v>
      </c>
      <c r="B2604" t="s">
        <v>495</v>
      </c>
      <c r="C2604" t="s">
        <v>501</v>
      </c>
      <c r="D2604" t="s">
        <v>493</v>
      </c>
      <c r="E2604">
        <v>2</v>
      </c>
      <c r="F2604">
        <v>8</v>
      </c>
      <c r="G2604">
        <v>480</v>
      </c>
      <c r="H2604">
        <v>15</v>
      </c>
      <c r="I2604">
        <v>22.6</v>
      </c>
      <c r="J2604">
        <v>10.9</v>
      </c>
      <c r="K2604">
        <v>12.4</v>
      </c>
      <c r="L2604">
        <v>23.3</v>
      </c>
      <c r="M2604">
        <v>100</v>
      </c>
    </row>
    <row r="2605" spans="1:13" hidden="1" x14ac:dyDescent="0.25">
      <c r="A2605" t="s">
        <v>344</v>
      </c>
      <c r="B2605" t="s">
        <v>495</v>
      </c>
      <c r="C2605" t="s">
        <v>501</v>
      </c>
      <c r="D2605" t="s">
        <v>493</v>
      </c>
      <c r="E2605">
        <v>2</v>
      </c>
      <c r="F2605">
        <v>8</v>
      </c>
      <c r="G2605">
        <v>500</v>
      </c>
      <c r="H2605">
        <v>15</v>
      </c>
      <c r="I2605">
        <v>22.6</v>
      </c>
      <c r="J2605">
        <v>10.9</v>
      </c>
      <c r="K2605">
        <v>12.4</v>
      </c>
      <c r="L2605">
        <v>23.3</v>
      </c>
      <c r="M2605">
        <v>100</v>
      </c>
    </row>
    <row r="2606" spans="1:13" hidden="1" x14ac:dyDescent="0.25">
      <c r="A2606" t="s">
        <v>344</v>
      </c>
      <c r="B2606" t="s">
        <v>495</v>
      </c>
      <c r="C2606" t="s">
        <v>501</v>
      </c>
      <c r="D2606" t="s">
        <v>493</v>
      </c>
      <c r="E2606">
        <v>2</v>
      </c>
      <c r="F2606">
        <v>10</v>
      </c>
      <c r="G2606">
        <v>80</v>
      </c>
      <c r="H2606">
        <v>18.5</v>
      </c>
      <c r="I2606">
        <v>33.6</v>
      </c>
      <c r="J2606">
        <v>11</v>
      </c>
      <c r="K2606">
        <v>12.2</v>
      </c>
      <c r="L2606">
        <v>35</v>
      </c>
      <c r="M2606">
        <v>50</v>
      </c>
    </row>
    <row r="2607" spans="1:13" hidden="1" x14ac:dyDescent="0.25">
      <c r="A2607" t="s">
        <v>344</v>
      </c>
      <c r="B2607" t="s">
        <v>495</v>
      </c>
      <c r="C2607" t="s">
        <v>501</v>
      </c>
      <c r="D2607" t="s">
        <v>493</v>
      </c>
      <c r="E2607">
        <v>2</v>
      </c>
      <c r="F2607">
        <v>10</v>
      </c>
      <c r="G2607">
        <v>100</v>
      </c>
      <c r="H2607">
        <v>18.5</v>
      </c>
      <c r="I2607">
        <v>33.6</v>
      </c>
      <c r="J2607">
        <v>11</v>
      </c>
      <c r="K2607">
        <v>12.2</v>
      </c>
      <c r="L2607">
        <v>35</v>
      </c>
      <c r="M2607">
        <v>60</v>
      </c>
    </row>
    <row r="2608" spans="1:13" hidden="1" x14ac:dyDescent="0.25">
      <c r="A2608" t="s">
        <v>344</v>
      </c>
      <c r="B2608" t="s">
        <v>495</v>
      </c>
      <c r="C2608" t="s">
        <v>501</v>
      </c>
      <c r="D2608" t="s">
        <v>493</v>
      </c>
      <c r="E2608">
        <v>2</v>
      </c>
      <c r="F2608">
        <v>10</v>
      </c>
      <c r="G2608">
        <v>120</v>
      </c>
      <c r="H2608">
        <v>18.5</v>
      </c>
      <c r="I2608">
        <v>33.6</v>
      </c>
      <c r="J2608">
        <v>11</v>
      </c>
      <c r="K2608">
        <v>12.2</v>
      </c>
      <c r="L2608">
        <v>35</v>
      </c>
      <c r="M2608">
        <v>80</v>
      </c>
    </row>
    <row r="2609" spans="1:13" hidden="1" x14ac:dyDescent="0.25">
      <c r="A2609" t="s">
        <v>344</v>
      </c>
      <c r="B2609" t="s">
        <v>495</v>
      </c>
      <c r="C2609" t="s">
        <v>501</v>
      </c>
      <c r="D2609" t="s">
        <v>493</v>
      </c>
      <c r="E2609">
        <v>2</v>
      </c>
      <c r="F2609">
        <v>10</v>
      </c>
      <c r="G2609">
        <v>140</v>
      </c>
      <c r="H2609">
        <v>18.5</v>
      </c>
      <c r="I2609">
        <v>33.6</v>
      </c>
      <c r="J2609">
        <v>11</v>
      </c>
      <c r="K2609">
        <v>12.2</v>
      </c>
      <c r="L2609">
        <v>35</v>
      </c>
      <c r="M2609">
        <v>80</v>
      </c>
    </row>
    <row r="2610" spans="1:13" hidden="1" x14ac:dyDescent="0.25">
      <c r="A2610" t="s">
        <v>344</v>
      </c>
      <c r="B2610" t="s">
        <v>495</v>
      </c>
      <c r="C2610" t="s">
        <v>501</v>
      </c>
      <c r="D2610" t="s">
        <v>493</v>
      </c>
      <c r="E2610">
        <v>2</v>
      </c>
      <c r="F2610">
        <v>10</v>
      </c>
      <c r="G2610">
        <v>160</v>
      </c>
      <c r="H2610">
        <v>18.5</v>
      </c>
      <c r="I2610">
        <v>33.6</v>
      </c>
      <c r="J2610">
        <v>11</v>
      </c>
      <c r="K2610">
        <v>12.2</v>
      </c>
      <c r="L2610">
        <v>35</v>
      </c>
      <c r="M2610">
        <v>80</v>
      </c>
    </row>
    <row r="2611" spans="1:13" hidden="1" x14ac:dyDescent="0.25">
      <c r="A2611" t="s">
        <v>344</v>
      </c>
      <c r="B2611" t="s">
        <v>495</v>
      </c>
      <c r="C2611" t="s">
        <v>501</v>
      </c>
      <c r="D2611" t="s">
        <v>493</v>
      </c>
      <c r="E2611">
        <v>2</v>
      </c>
      <c r="F2611">
        <v>10</v>
      </c>
      <c r="G2611">
        <v>180</v>
      </c>
      <c r="H2611">
        <v>18.5</v>
      </c>
      <c r="I2611">
        <v>33.6</v>
      </c>
      <c r="J2611">
        <v>11</v>
      </c>
      <c r="K2611">
        <v>12.2</v>
      </c>
      <c r="L2611">
        <v>35</v>
      </c>
      <c r="M2611">
        <v>100</v>
      </c>
    </row>
    <row r="2612" spans="1:13" hidden="1" x14ac:dyDescent="0.25">
      <c r="A2612" t="s">
        <v>344</v>
      </c>
      <c r="B2612" t="s">
        <v>495</v>
      </c>
      <c r="C2612" t="s">
        <v>501</v>
      </c>
      <c r="D2612" t="s">
        <v>493</v>
      </c>
      <c r="E2612">
        <v>2</v>
      </c>
      <c r="F2612">
        <v>10</v>
      </c>
      <c r="G2612">
        <v>200</v>
      </c>
      <c r="H2612">
        <v>18.5</v>
      </c>
      <c r="I2612">
        <v>33.6</v>
      </c>
      <c r="J2612">
        <v>11</v>
      </c>
      <c r="K2612">
        <v>12.2</v>
      </c>
      <c r="L2612">
        <v>35</v>
      </c>
      <c r="M2612">
        <v>100</v>
      </c>
    </row>
    <row r="2613" spans="1:13" hidden="1" x14ac:dyDescent="0.25">
      <c r="A2613" t="s">
        <v>344</v>
      </c>
      <c r="B2613" t="s">
        <v>495</v>
      </c>
      <c r="C2613" t="s">
        <v>501</v>
      </c>
      <c r="D2613" t="s">
        <v>493</v>
      </c>
      <c r="E2613">
        <v>2</v>
      </c>
      <c r="F2613">
        <v>10</v>
      </c>
      <c r="G2613">
        <v>220</v>
      </c>
      <c r="H2613">
        <v>18.5</v>
      </c>
      <c r="I2613">
        <v>33.6</v>
      </c>
      <c r="J2613">
        <v>11</v>
      </c>
      <c r="K2613">
        <v>12.2</v>
      </c>
      <c r="L2613">
        <v>35</v>
      </c>
      <c r="M2613">
        <v>100</v>
      </c>
    </row>
    <row r="2614" spans="1:13" hidden="1" x14ac:dyDescent="0.25">
      <c r="A2614" t="s">
        <v>344</v>
      </c>
      <c r="B2614" t="s">
        <v>495</v>
      </c>
      <c r="C2614" t="s">
        <v>501</v>
      </c>
      <c r="D2614" t="s">
        <v>493</v>
      </c>
      <c r="E2614">
        <v>2</v>
      </c>
      <c r="F2614">
        <v>10</v>
      </c>
      <c r="G2614">
        <v>240</v>
      </c>
      <c r="H2614">
        <v>18.5</v>
      </c>
      <c r="I2614">
        <v>33.6</v>
      </c>
      <c r="J2614">
        <v>11</v>
      </c>
      <c r="K2614">
        <v>12.2</v>
      </c>
      <c r="L2614">
        <v>35</v>
      </c>
      <c r="M2614">
        <v>100</v>
      </c>
    </row>
    <row r="2615" spans="1:13" hidden="1" x14ac:dyDescent="0.25">
      <c r="A2615" t="s">
        <v>344</v>
      </c>
      <c r="B2615" t="s">
        <v>495</v>
      </c>
      <c r="C2615" t="s">
        <v>501</v>
      </c>
      <c r="D2615" t="s">
        <v>493</v>
      </c>
      <c r="E2615">
        <v>2</v>
      </c>
      <c r="F2615">
        <v>10</v>
      </c>
      <c r="G2615">
        <v>260</v>
      </c>
      <c r="H2615">
        <v>18.5</v>
      </c>
      <c r="I2615">
        <v>33.6</v>
      </c>
      <c r="J2615">
        <v>11</v>
      </c>
      <c r="K2615">
        <v>12.2</v>
      </c>
      <c r="L2615">
        <v>35</v>
      </c>
      <c r="M2615">
        <v>100</v>
      </c>
    </row>
    <row r="2616" spans="1:13" hidden="1" x14ac:dyDescent="0.25">
      <c r="A2616" t="s">
        <v>344</v>
      </c>
      <c r="B2616" t="s">
        <v>495</v>
      </c>
      <c r="C2616" t="s">
        <v>501</v>
      </c>
      <c r="D2616" t="s">
        <v>493</v>
      </c>
      <c r="E2616">
        <v>2</v>
      </c>
      <c r="F2616">
        <v>10</v>
      </c>
      <c r="G2616">
        <v>280</v>
      </c>
      <c r="H2616">
        <v>18.5</v>
      </c>
      <c r="I2616">
        <v>33.6</v>
      </c>
      <c r="J2616">
        <v>11</v>
      </c>
      <c r="K2616">
        <v>12.2</v>
      </c>
      <c r="L2616">
        <v>35</v>
      </c>
      <c r="M2616">
        <v>100</v>
      </c>
    </row>
    <row r="2617" spans="1:13" hidden="1" x14ac:dyDescent="0.25">
      <c r="A2617" t="s">
        <v>344</v>
      </c>
      <c r="B2617" t="s">
        <v>495</v>
      </c>
      <c r="C2617" t="s">
        <v>501</v>
      </c>
      <c r="D2617" t="s">
        <v>493</v>
      </c>
      <c r="E2617">
        <v>2</v>
      </c>
      <c r="F2617">
        <v>10</v>
      </c>
      <c r="G2617">
        <v>300</v>
      </c>
      <c r="H2617">
        <v>18.5</v>
      </c>
      <c r="I2617">
        <v>33.6</v>
      </c>
      <c r="J2617">
        <v>11</v>
      </c>
      <c r="K2617">
        <v>12.2</v>
      </c>
      <c r="L2617">
        <v>35</v>
      </c>
      <c r="M2617">
        <v>100</v>
      </c>
    </row>
    <row r="2618" spans="1:13" hidden="1" x14ac:dyDescent="0.25">
      <c r="A2618" t="s">
        <v>344</v>
      </c>
      <c r="B2618" t="s">
        <v>495</v>
      </c>
      <c r="C2618" t="s">
        <v>501</v>
      </c>
      <c r="D2618" t="s">
        <v>493</v>
      </c>
      <c r="E2618">
        <v>2</v>
      </c>
      <c r="F2618">
        <v>10</v>
      </c>
      <c r="G2618">
        <v>320</v>
      </c>
      <c r="H2618">
        <v>18.5</v>
      </c>
      <c r="I2618">
        <v>33.6</v>
      </c>
      <c r="J2618">
        <v>11</v>
      </c>
      <c r="K2618">
        <v>12.2</v>
      </c>
      <c r="L2618">
        <v>35</v>
      </c>
      <c r="M2618">
        <v>100</v>
      </c>
    </row>
    <row r="2619" spans="1:13" hidden="1" x14ac:dyDescent="0.25">
      <c r="A2619" t="s">
        <v>344</v>
      </c>
      <c r="B2619" t="s">
        <v>495</v>
      </c>
      <c r="C2619" t="s">
        <v>501</v>
      </c>
      <c r="D2619" t="s">
        <v>493</v>
      </c>
      <c r="E2619">
        <v>2</v>
      </c>
      <c r="F2619">
        <v>10</v>
      </c>
      <c r="G2619">
        <v>340</v>
      </c>
      <c r="H2619">
        <v>18.5</v>
      </c>
      <c r="I2619">
        <v>33.6</v>
      </c>
      <c r="J2619">
        <v>11</v>
      </c>
      <c r="K2619">
        <v>12.2</v>
      </c>
      <c r="L2619">
        <v>35</v>
      </c>
      <c r="M2619">
        <v>100</v>
      </c>
    </row>
    <row r="2620" spans="1:13" hidden="1" x14ac:dyDescent="0.25">
      <c r="A2620" t="s">
        <v>344</v>
      </c>
      <c r="B2620" t="s">
        <v>495</v>
      </c>
      <c r="C2620" t="s">
        <v>501</v>
      </c>
      <c r="D2620" t="s">
        <v>493</v>
      </c>
      <c r="E2620">
        <v>2</v>
      </c>
      <c r="F2620">
        <v>10</v>
      </c>
      <c r="G2620">
        <v>360</v>
      </c>
      <c r="H2620">
        <v>18.5</v>
      </c>
      <c r="I2620">
        <v>33.6</v>
      </c>
      <c r="J2620">
        <v>11</v>
      </c>
      <c r="K2620">
        <v>12.2</v>
      </c>
      <c r="L2620">
        <v>35</v>
      </c>
      <c r="M2620">
        <v>100</v>
      </c>
    </row>
    <row r="2621" spans="1:13" hidden="1" x14ac:dyDescent="0.25">
      <c r="A2621" t="s">
        <v>344</v>
      </c>
      <c r="B2621" t="s">
        <v>495</v>
      </c>
      <c r="C2621" t="s">
        <v>501</v>
      </c>
      <c r="D2621" t="s">
        <v>493</v>
      </c>
      <c r="E2621">
        <v>2</v>
      </c>
      <c r="F2621">
        <v>10</v>
      </c>
      <c r="G2621">
        <v>380</v>
      </c>
      <c r="H2621">
        <v>18.5</v>
      </c>
      <c r="I2621">
        <v>33.6</v>
      </c>
      <c r="J2621">
        <v>11</v>
      </c>
      <c r="K2621">
        <v>12.2</v>
      </c>
      <c r="L2621">
        <v>35</v>
      </c>
      <c r="M2621">
        <v>100</v>
      </c>
    </row>
    <row r="2622" spans="1:13" hidden="1" x14ac:dyDescent="0.25">
      <c r="A2622" t="s">
        <v>344</v>
      </c>
      <c r="B2622" t="s">
        <v>495</v>
      </c>
      <c r="C2622" t="s">
        <v>501</v>
      </c>
      <c r="D2622" t="s">
        <v>493</v>
      </c>
      <c r="E2622">
        <v>2</v>
      </c>
      <c r="F2622">
        <v>10</v>
      </c>
      <c r="G2622">
        <v>400</v>
      </c>
      <c r="H2622">
        <v>18.5</v>
      </c>
      <c r="I2622">
        <v>33.6</v>
      </c>
      <c r="J2622">
        <v>11</v>
      </c>
      <c r="K2622">
        <v>12.2</v>
      </c>
      <c r="L2622">
        <v>35</v>
      </c>
      <c r="M2622">
        <v>100</v>
      </c>
    </row>
    <row r="2623" spans="1:13" hidden="1" x14ac:dyDescent="0.25">
      <c r="A2623" t="s">
        <v>344</v>
      </c>
      <c r="B2623" t="s">
        <v>495</v>
      </c>
      <c r="C2623" t="s">
        <v>501</v>
      </c>
      <c r="D2623" t="s">
        <v>493</v>
      </c>
      <c r="E2623">
        <v>2</v>
      </c>
      <c r="F2623">
        <v>10</v>
      </c>
      <c r="G2623">
        <v>420</v>
      </c>
      <c r="H2623">
        <v>18.5</v>
      </c>
      <c r="I2623">
        <v>33.6</v>
      </c>
      <c r="J2623">
        <v>11</v>
      </c>
      <c r="K2623">
        <v>12.2</v>
      </c>
      <c r="L2623">
        <v>35</v>
      </c>
      <c r="M2623">
        <v>100</v>
      </c>
    </row>
    <row r="2624" spans="1:13" hidden="1" x14ac:dyDescent="0.25">
      <c r="A2624" t="s">
        <v>344</v>
      </c>
      <c r="B2624" t="s">
        <v>495</v>
      </c>
      <c r="C2624" t="s">
        <v>501</v>
      </c>
      <c r="D2624" t="s">
        <v>493</v>
      </c>
      <c r="E2624">
        <v>2</v>
      </c>
      <c r="F2624">
        <v>10</v>
      </c>
      <c r="G2624">
        <v>440</v>
      </c>
      <c r="H2624">
        <v>18.5</v>
      </c>
      <c r="I2624">
        <v>33.6</v>
      </c>
      <c r="J2624">
        <v>11</v>
      </c>
      <c r="K2624">
        <v>12.2</v>
      </c>
      <c r="L2624">
        <v>35</v>
      </c>
      <c r="M2624">
        <v>100</v>
      </c>
    </row>
    <row r="2625" spans="1:13" hidden="1" x14ac:dyDescent="0.25">
      <c r="A2625" t="s">
        <v>344</v>
      </c>
      <c r="B2625" t="s">
        <v>495</v>
      </c>
      <c r="C2625" t="s">
        <v>501</v>
      </c>
      <c r="D2625" t="s">
        <v>493</v>
      </c>
      <c r="E2625">
        <v>2</v>
      </c>
      <c r="F2625">
        <v>10</v>
      </c>
      <c r="G2625">
        <v>460</v>
      </c>
      <c r="H2625">
        <v>18.5</v>
      </c>
      <c r="I2625">
        <v>33.6</v>
      </c>
      <c r="J2625">
        <v>11</v>
      </c>
      <c r="K2625">
        <v>12.2</v>
      </c>
      <c r="L2625">
        <v>35</v>
      </c>
      <c r="M2625">
        <v>100</v>
      </c>
    </row>
    <row r="2626" spans="1:13" hidden="1" x14ac:dyDescent="0.25">
      <c r="A2626" t="s">
        <v>344</v>
      </c>
      <c r="B2626" t="s">
        <v>495</v>
      </c>
      <c r="C2626" t="s">
        <v>501</v>
      </c>
      <c r="D2626" t="s">
        <v>493</v>
      </c>
      <c r="E2626">
        <v>2</v>
      </c>
      <c r="F2626">
        <v>10</v>
      </c>
      <c r="G2626">
        <v>480</v>
      </c>
      <c r="H2626">
        <v>18.5</v>
      </c>
      <c r="I2626">
        <v>33.6</v>
      </c>
      <c r="J2626">
        <v>11</v>
      </c>
      <c r="K2626">
        <v>12.2</v>
      </c>
      <c r="L2626">
        <v>35</v>
      </c>
      <c r="M2626">
        <v>100</v>
      </c>
    </row>
    <row r="2627" spans="1:13" hidden="1" x14ac:dyDescent="0.25">
      <c r="A2627" t="s">
        <v>344</v>
      </c>
      <c r="B2627" t="s">
        <v>495</v>
      </c>
      <c r="C2627" t="s">
        <v>501</v>
      </c>
      <c r="D2627" t="s">
        <v>493</v>
      </c>
      <c r="E2627">
        <v>2</v>
      </c>
      <c r="F2627">
        <v>10</v>
      </c>
      <c r="G2627">
        <v>500</v>
      </c>
      <c r="H2627">
        <v>18.5</v>
      </c>
      <c r="I2627">
        <v>33.6</v>
      </c>
      <c r="J2627">
        <v>11</v>
      </c>
      <c r="K2627">
        <v>12.2</v>
      </c>
      <c r="L2627">
        <v>35</v>
      </c>
      <c r="M2627">
        <v>100</v>
      </c>
    </row>
    <row r="2628" spans="1:13" hidden="1" x14ac:dyDescent="0.25">
      <c r="A2628" t="s">
        <v>344</v>
      </c>
      <c r="B2628" t="s">
        <v>495</v>
      </c>
      <c r="C2628" t="s">
        <v>501</v>
      </c>
      <c r="D2628" t="s">
        <v>493</v>
      </c>
      <c r="E2628">
        <v>2</v>
      </c>
      <c r="F2628">
        <v>12</v>
      </c>
      <c r="G2628">
        <v>100</v>
      </c>
      <c r="H2628">
        <v>21</v>
      </c>
      <c r="I2628">
        <v>46.9</v>
      </c>
      <c r="J2628">
        <v>11.2</v>
      </c>
      <c r="K2628">
        <v>10.3</v>
      </c>
      <c r="L2628">
        <v>42</v>
      </c>
      <c r="M2628">
        <v>60</v>
      </c>
    </row>
    <row r="2629" spans="1:13" hidden="1" x14ac:dyDescent="0.25">
      <c r="A2629" t="s">
        <v>344</v>
      </c>
      <c r="B2629" t="s">
        <v>495</v>
      </c>
      <c r="C2629" t="s">
        <v>501</v>
      </c>
      <c r="D2629" t="s">
        <v>493</v>
      </c>
      <c r="E2629">
        <v>2</v>
      </c>
      <c r="F2629">
        <v>12</v>
      </c>
      <c r="G2629">
        <v>120</v>
      </c>
      <c r="H2629">
        <v>21</v>
      </c>
      <c r="I2629">
        <v>46.9</v>
      </c>
      <c r="J2629">
        <v>11.2</v>
      </c>
      <c r="K2629">
        <v>10.3</v>
      </c>
      <c r="L2629">
        <v>42</v>
      </c>
      <c r="M2629">
        <v>80</v>
      </c>
    </row>
    <row r="2630" spans="1:13" hidden="1" x14ac:dyDescent="0.25">
      <c r="A2630" t="s">
        <v>344</v>
      </c>
      <c r="B2630" t="s">
        <v>495</v>
      </c>
      <c r="C2630" t="s">
        <v>501</v>
      </c>
      <c r="D2630" t="s">
        <v>493</v>
      </c>
      <c r="E2630">
        <v>2</v>
      </c>
      <c r="F2630">
        <v>12</v>
      </c>
      <c r="G2630">
        <v>140</v>
      </c>
      <c r="H2630">
        <v>21</v>
      </c>
      <c r="I2630">
        <v>46.9</v>
      </c>
      <c r="J2630">
        <v>11.2</v>
      </c>
      <c r="K2630">
        <v>10.3</v>
      </c>
      <c r="L2630">
        <v>42</v>
      </c>
      <c r="M2630">
        <v>80</v>
      </c>
    </row>
    <row r="2631" spans="1:13" hidden="1" x14ac:dyDescent="0.25">
      <c r="A2631" t="s">
        <v>344</v>
      </c>
      <c r="B2631" t="s">
        <v>495</v>
      </c>
      <c r="C2631" t="s">
        <v>501</v>
      </c>
      <c r="D2631" t="s">
        <v>493</v>
      </c>
      <c r="E2631">
        <v>2</v>
      </c>
      <c r="F2631">
        <v>12</v>
      </c>
      <c r="G2631">
        <v>160</v>
      </c>
      <c r="H2631">
        <v>21</v>
      </c>
      <c r="I2631">
        <v>46.9</v>
      </c>
      <c r="J2631">
        <v>11.2</v>
      </c>
      <c r="K2631">
        <v>10.3</v>
      </c>
      <c r="L2631">
        <v>42</v>
      </c>
      <c r="M2631">
        <v>80</v>
      </c>
    </row>
    <row r="2632" spans="1:13" hidden="1" x14ac:dyDescent="0.25">
      <c r="A2632" t="s">
        <v>344</v>
      </c>
      <c r="B2632" t="s">
        <v>495</v>
      </c>
      <c r="C2632" t="s">
        <v>501</v>
      </c>
      <c r="D2632" t="s">
        <v>493</v>
      </c>
      <c r="E2632">
        <v>2</v>
      </c>
      <c r="F2632">
        <v>12</v>
      </c>
      <c r="G2632">
        <v>180</v>
      </c>
      <c r="H2632">
        <v>21</v>
      </c>
      <c r="I2632">
        <v>46.9</v>
      </c>
      <c r="J2632">
        <v>11.2</v>
      </c>
      <c r="K2632">
        <v>10.3</v>
      </c>
      <c r="L2632">
        <v>42</v>
      </c>
      <c r="M2632">
        <v>100</v>
      </c>
    </row>
    <row r="2633" spans="1:13" hidden="1" x14ac:dyDescent="0.25">
      <c r="A2633" t="s">
        <v>344</v>
      </c>
      <c r="B2633" t="s">
        <v>495</v>
      </c>
      <c r="C2633" t="s">
        <v>501</v>
      </c>
      <c r="D2633" t="s">
        <v>493</v>
      </c>
      <c r="E2633">
        <v>2</v>
      </c>
      <c r="F2633">
        <v>12</v>
      </c>
      <c r="G2633">
        <v>200</v>
      </c>
      <c r="H2633">
        <v>21</v>
      </c>
      <c r="I2633">
        <v>46.9</v>
      </c>
      <c r="J2633">
        <v>11.2</v>
      </c>
      <c r="K2633">
        <v>10.3</v>
      </c>
      <c r="L2633">
        <v>42</v>
      </c>
      <c r="M2633">
        <v>100</v>
      </c>
    </row>
    <row r="2634" spans="1:13" hidden="1" x14ac:dyDescent="0.25">
      <c r="A2634" t="s">
        <v>344</v>
      </c>
      <c r="B2634" t="s">
        <v>495</v>
      </c>
      <c r="C2634" t="s">
        <v>501</v>
      </c>
      <c r="D2634" t="s">
        <v>493</v>
      </c>
      <c r="E2634">
        <v>2</v>
      </c>
      <c r="F2634">
        <v>12</v>
      </c>
      <c r="G2634">
        <v>220</v>
      </c>
      <c r="H2634">
        <v>21</v>
      </c>
      <c r="I2634">
        <v>46.9</v>
      </c>
      <c r="J2634">
        <v>11.2</v>
      </c>
      <c r="K2634">
        <v>10.3</v>
      </c>
      <c r="L2634">
        <v>42</v>
      </c>
      <c r="M2634">
        <v>100</v>
      </c>
    </row>
    <row r="2635" spans="1:13" hidden="1" x14ac:dyDescent="0.25">
      <c r="A2635" t="s">
        <v>344</v>
      </c>
      <c r="B2635" t="s">
        <v>495</v>
      </c>
      <c r="C2635" t="s">
        <v>501</v>
      </c>
      <c r="D2635" t="s">
        <v>493</v>
      </c>
      <c r="E2635">
        <v>2</v>
      </c>
      <c r="F2635">
        <v>12</v>
      </c>
      <c r="G2635">
        <v>240</v>
      </c>
      <c r="H2635">
        <v>21</v>
      </c>
      <c r="I2635">
        <v>46.9</v>
      </c>
      <c r="J2635">
        <v>11.2</v>
      </c>
      <c r="K2635">
        <v>10.3</v>
      </c>
      <c r="L2635">
        <v>42</v>
      </c>
      <c r="M2635">
        <v>100</v>
      </c>
    </row>
    <row r="2636" spans="1:13" hidden="1" x14ac:dyDescent="0.25">
      <c r="A2636" t="s">
        <v>344</v>
      </c>
      <c r="B2636" t="s">
        <v>495</v>
      </c>
      <c r="C2636" t="s">
        <v>501</v>
      </c>
      <c r="D2636" t="s">
        <v>493</v>
      </c>
      <c r="E2636">
        <v>2</v>
      </c>
      <c r="F2636">
        <v>12</v>
      </c>
      <c r="G2636">
        <v>260</v>
      </c>
      <c r="H2636">
        <v>21</v>
      </c>
      <c r="I2636">
        <v>46.9</v>
      </c>
      <c r="J2636">
        <v>11.2</v>
      </c>
      <c r="K2636">
        <v>10.3</v>
      </c>
      <c r="L2636">
        <v>42</v>
      </c>
      <c r="M2636">
        <v>100</v>
      </c>
    </row>
    <row r="2637" spans="1:13" hidden="1" x14ac:dyDescent="0.25">
      <c r="A2637" t="s">
        <v>344</v>
      </c>
      <c r="B2637" t="s">
        <v>495</v>
      </c>
      <c r="C2637" t="s">
        <v>501</v>
      </c>
      <c r="D2637" t="s">
        <v>493</v>
      </c>
      <c r="E2637">
        <v>2</v>
      </c>
      <c r="F2637">
        <v>12</v>
      </c>
      <c r="G2637">
        <v>280</v>
      </c>
      <c r="H2637">
        <v>21</v>
      </c>
      <c r="I2637">
        <v>46.9</v>
      </c>
      <c r="J2637">
        <v>11.2</v>
      </c>
      <c r="K2637">
        <v>10.3</v>
      </c>
      <c r="L2637">
        <v>42</v>
      </c>
      <c r="M2637">
        <v>100</v>
      </c>
    </row>
    <row r="2638" spans="1:13" hidden="1" x14ac:dyDescent="0.25">
      <c r="A2638" t="s">
        <v>344</v>
      </c>
      <c r="B2638" t="s">
        <v>495</v>
      </c>
      <c r="C2638" t="s">
        <v>501</v>
      </c>
      <c r="D2638" t="s">
        <v>493</v>
      </c>
      <c r="E2638">
        <v>2</v>
      </c>
      <c r="F2638">
        <v>12</v>
      </c>
      <c r="G2638">
        <v>300</v>
      </c>
      <c r="H2638">
        <v>21</v>
      </c>
      <c r="I2638">
        <v>46.9</v>
      </c>
      <c r="J2638">
        <v>11.2</v>
      </c>
      <c r="K2638">
        <v>10.3</v>
      </c>
      <c r="L2638">
        <v>42</v>
      </c>
      <c r="M2638">
        <v>120</v>
      </c>
    </row>
    <row r="2639" spans="1:13" hidden="1" x14ac:dyDescent="0.25">
      <c r="A2639" t="s">
        <v>344</v>
      </c>
      <c r="B2639" t="s">
        <v>495</v>
      </c>
      <c r="C2639" t="s">
        <v>501</v>
      </c>
      <c r="D2639" t="s">
        <v>493</v>
      </c>
      <c r="E2639">
        <v>2</v>
      </c>
      <c r="F2639">
        <v>12</v>
      </c>
      <c r="G2639">
        <v>320</v>
      </c>
      <c r="H2639">
        <v>21</v>
      </c>
      <c r="I2639">
        <v>46.9</v>
      </c>
      <c r="J2639">
        <v>11.2</v>
      </c>
      <c r="K2639">
        <v>10.3</v>
      </c>
      <c r="L2639">
        <v>42</v>
      </c>
      <c r="M2639">
        <v>120</v>
      </c>
    </row>
    <row r="2640" spans="1:13" hidden="1" x14ac:dyDescent="0.25">
      <c r="A2640" t="s">
        <v>344</v>
      </c>
      <c r="B2640" t="s">
        <v>495</v>
      </c>
      <c r="C2640" t="s">
        <v>501</v>
      </c>
      <c r="D2640" t="s">
        <v>493</v>
      </c>
      <c r="E2640">
        <v>2</v>
      </c>
      <c r="F2640">
        <v>12</v>
      </c>
      <c r="G2640">
        <v>340</v>
      </c>
      <c r="H2640">
        <v>21</v>
      </c>
      <c r="I2640">
        <v>46.9</v>
      </c>
      <c r="J2640">
        <v>11.2</v>
      </c>
      <c r="K2640">
        <v>10.3</v>
      </c>
      <c r="L2640">
        <v>42</v>
      </c>
      <c r="M2640">
        <v>120</v>
      </c>
    </row>
    <row r="2641" spans="1:13" hidden="1" x14ac:dyDescent="0.25">
      <c r="A2641" t="s">
        <v>344</v>
      </c>
      <c r="B2641" t="s">
        <v>495</v>
      </c>
      <c r="C2641" t="s">
        <v>501</v>
      </c>
      <c r="D2641" t="s">
        <v>493</v>
      </c>
      <c r="E2641">
        <v>2</v>
      </c>
      <c r="F2641">
        <v>12</v>
      </c>
      <c r="G2641">
        <v>360</v>
      </c>
      <c r="H2641">
        <v>21</v>
      </c>
      <c r="I2641">
        <v>46.9</v>
      </c>
      <c r="J2641">
        <v>11.2</v>
      </c>
      <c r="K2641">
        <v>10.3</v>
      </c>
      <c r="L2641">
        <v>42</v>
      </c>
      <c r="M2641">
        <v>120</v>
      </c>
    </row>
    <row r="2642" spans="1:13" hidden="1" x14ac:dyDescent="0.25">
      <c r="A2642" t="s">
        <v>344</v>
      </c>
      <c r="B2642" t="s">
        <v>495</v>
      </c>
      <c r="C2642" t="s">
        <v>501</v>
      </c>
      <c r="D2642" t="s">
        <v>493</v>
      </c>
      <c r="E2642">
        <v>2</v>
      </c>
      <c r="F2642">
        <v>12</v>
      </c>
      <c r="G2642">
        <v>380</v>
      </c>
      <c r="H2642">
        <v>21</v>
      </c>
      <c r="I2642">
        <v>46.9</v>
      </c>
      <c r="J2642">
        <v>11.2</v>
      </c>
      <c r="K2642">
        <v>10.3</v>
      </c>
      <c r="L2642">
        <v>42</v>
      </c>
      <c r="M2642">
        <v>120</v>
      </c>
    </row>
    <row r="2643" spans="1:13" hidden="1" x14ac:dyDescent="0.25">
      <c r="A2643" t="s">
        <v>344</v>
      </c>
      <c r="B2643" t="s">
        <v>495</v>
      </c>
      <c r="C2643" t="s">
        <v>501</v>
      </c>
      <c r="D2643" t="s">
        <v>493</v>
      </c>
      <c r="E2643">
        <v>2</v>
      </c>
      <c r="F2643">
        <v>12</v>
      </c>
      <c r="G2643">
        <v>400</v>
      </c>
      <c r="H2643">
        <v>21</v>
      </c>
      <c r="I2643">
        <v>46.9</v>
      </c>
      <c r="J2643">
        <v>11.2</v>
      </c>
      <c r="K2643">
        <v>10.3</v>
      </c>
      <c r="L2643">
        <v>42</v>
      </c>
      <c r="M2643">
        <v>120</v>
      </c>
    </row>
    <row r="2644" spans="1:13" hidden="1" x14ac:dyDescent="0.25">
      <c r="A2644" t="s">
        <v>344</v>
      </c>
      <c r="B2644" t="s">
        <v>495</v>
      </c>
      <c r="C2644" t="s">
        <v>502</v>
      </c>
      <c r="D2644" t="s">
        <v>494</v>
      </c>
      <c r="E2644">
        <v>2</v>
      </c>
      <c r="F2644">
        <v>6</v>
      </c>
      <c r="G2644">
        <v>60</v>
      </c>
      <c r="H2644">
        <v>14</v>
      </c>
      <c r="I2644">
        <v>10.7</v>
      </c>
      <c r="J2644">
        <v>13</v>
      </c>
      <c r="K2644">
        <v>16.7</v>
      </c>
      <c r="L2644">
        <v>13.1</v>
      </c>
      <c r="M2644">
        <v>40</v>
      </c>
    </row>
    <row r="2645" spans="1:13" hidden="1" x14ac:dyDescent="0.25">
      <c r="A2645" t="s">
        <v>344</v>
      </c>
      <c r="B2645" t="s">
        <v>495</v>
      </c>
      <c r="C2645" t="s">
        <v>502</v>
      </c>
      <c r="D2645" t="s">
        <v>494</v>
      </c>
      <c r="E2645">
        <v>2</v>
      </c>
      <c r="F2645">
        <v>6</v>
      </c>
      <c r="G2645">
        <v>80</v>
      </c>
      <c r="H2645">
        <v>14</v>
      </c>
      <c r="I2645">
        <v>10.7</v>
      </c>
      <c r="J2645">
        <v>13</v>
      </c>
      <c r="K2645">
        <v>16.7</v>
      </c>
      <c r="L2645">
        <v>13.1</v>
      </c>
      <c r="M2645">
        <v>50</v>
      </c>
    </row>
    <row r="2646" spans="1:13" hidden="1" x14ac:dyDescent="0.25">
      <c r="A2646" t="s">
        <v>344</v>
      </c>
      <c r="B2646" t="s">
        <v>495</v>
      </c>
      <c r="C2646" t="s">
        <v>502</v>
      </c>
      <c r="D2646" t="s">
        <v>494</v>
      </c>
      <c r="E2646">
        <v>2</v>
      </c>
      <c r="F2646">
        <v>6</v>
      </c>
      <c r="G2646">
        <v>100</v>
      </c>
      <c r="H2646">
        <v>14</v>
      </c>
      <c r="I2646">
        <v>10.7</v>
      </c>
      <c r="J2646">
        <v>13</v>
      </c>
      <c r="K2646">
        <v>16.7</v>
      </c>
      <c r="L2646">
        <v>13.1</v>
      </c>
      <c r="M2646">
        <v>60</v>
      </c>
    </row>
    <row r="2647" spans="1:13" hidden="1" x14ac:dyDescent="0.25">
      <c r="A2647" t="s">
        <v>344</v>
      </c>
      <c r="B2647" t="s">
        <v>495</v>
      </c>
      <c r="C2647" t="s">
        <v>502</v>
      </c>
      <c r="D2647" t="s">
        <v>494</v>
      </c>
      <c r="E2647">
        <v>2</v>
      </c>
      <c r="F2647">
        <v>6</v>
      </c>
      <c r="G2647">
        <v>120</v>
      </c>
      <c r="H2647">
        <v>14</v>
      </c>
      <c r="I2647">
        <v>10.7</v>
      </c>
      <c r="J2647">
        <v>13</v>
      </c>
      <c r="K2647">
        <v>16.7</v>
      </c>
      <c r="L2647">
        <v>13.1</v>
      </c>
      <c r="M2647">
        <v>70</v>
      </c>
    </row>
    <row r="2648" spans="1:13" hidden="1" x14ac:dyDescent="0.25">
      <c r="A2648" t="s">
        <v>344</v>
      </c>
      <c r="B2648" t="s">
        <v>495</v>
      </c>
      <c r="C2648" t="s">
        <v>502</v>
      </c>
      <c r="D2648" t="s">
        <v>494</v>
      </c>
      <c r="E2648">
        <v>2</v>
      </c>
      <c r="F2648">
        <v>6</v>
      </c>
      <c r="G2648">
        <v>140</v>
      </c>
      <c r="H2648">
        <v>14</v>
      </c>
      <c r="I2648">
        <v>10.7</v>
      </c>
      <c r="J2648">
        <v>13</v>
      </c>
      <c r="K2648">
        <v>16.7</v>
      </c>
      <c r="L2648">
        <v>13.1</v>
      </c>
      <c r="M2648">
        <v>70</v>
      </c>
    </row>
    <row r="2649" spans="1:13" hidden="1" x14ac:dyDescent="0.25">
      <c r="A2649" t="s">
        <v>344</v>
      </c>
      <c r="B2649" t="s">
        <v>495</v>
      </c>
      <c r="C2649" t="s">
        <v>502</v>
      </c>
      <c r="D2649" t="s">
        <v>494</v>
      </c>
      <c r="E2649">
        <v>2</v>
      </c>
      <c r="F2649">
        <v>6</v>
      </c>
      <c r="G2649">
        <v>160</v>
      </c>
      <c r="H2649">
        <v>14</v>
      </c>
      <c r="I2649">
        <v>10.7</v>
      </c>
      <c r="J2649">
        <v>13</v>
      </c>
      <c r="K2649">
        <v>16.7</v>
      </c>
      <c r="L2649">
        <v>13.1</v>
      </c>
      <c r="M2649">
        <v>70</v>
      </c>
    </row>
    <row r="2650" spans="1:13" hidden="1" x14ac:dyDescent="0.25">
      <c r="A2650" t="s">
        <v>344</v>
      </c>
      <c r="B2650" t="s">
        <v>495</v>
      </c>
      <c r="C2650" t="s">
        <v>502</v>
      </c>
      <c r="D2650" t="s">
        <v>494</v>
      </c>
      <c r="E2650">
        <v>2</v>
      </c>
      <c r="F2650">
        <v>6</v>
      </c>
      <c r="G2650">
        <v>180</v>
      </c>
      <c r="H2650">
        <v>14</v>
      </c>
      <c r="I2650">
        <v>10.7</v>
      </c>
      <c r="J2650">
        <v>13</v>
      </c>
      <c r="K2650">
        <v>16.7</v>
      </c>
      <c r="L2650">
        <v>13.1</v>
      </c>
      <c r="M2650">
        <v>70</v>
      </c>
    </row>
    <row r="2651" spans="1:13" hidden="1" x14ac:dyDescent="0.25">
      <c r="A2651" t="s">
        <v>344</v>
      </c>
      <c r="B2651" t="s">
        <v>495</v>
      </c>
      <c r="C2651" t="s">
        <v>502</v>
      </c>
      <c r="D2651" t="s">
        <v>494</v>
      </c>
      <c r="E2651">
        <v>2</v>
      </c>
      <c r="F2651">
        <v>6</v>
      </c>
      <c r="G2651">
        <v>200</v>
      </c>
      <c r="H2651">
        <v>14</v>
      </c>
      <c r="I2651">
        <v>10.7</v>
      </c>
      <c r="J2651">
        <v>13</v>
      </c>
      <c r="K2651">
        <v>16.7</v>
      </c>
      <c r="L2651">
        <v>13.1</v>
      </c>
      <c r="M2651">
        <v>70</v>
      </c>
    </row>
    <row r="2652" spans="1:13" hidden="1" x14ac:dyDescent="0.25">
      <c r="A2652" t="s">
        <v>344</v>
      </c>
      <c r="B2652" t="s">
        <v>495</v>
      </c>
      <c r="C2652" t="s">
        <v>502</v>
      </c>
      <c r="D2652" t="s">
        <v>494</v>
      </c>
      <c r="E2652">
        <v>2</v>
      </c>
      <c r="F2652">
        <v>6</v>
      </c>
      <c r="G2652">
        <v>220</v>
      </c>
      <c r="H2652">
        <v>14</v>
      </c>
      <c r="I2652">
        <v>10.7</v>
      </c>
      <c r="J2652">
        <v>13</v>
      </c>
      <c r="K2652">
        <v>16.7</v>
      </c>
      <c r="L2652">
        <v>13.1</v>
      </c>
      <c r="M2652">
        <v>70</v>
      </c>
    </row>
    <row r="2653" spans="1:13" hidden="1" x14ac:dyDescent="0.25">
      <c r="A2653" t="s">
        <v>344</v>
      </c>
      <c r="B2653" t="s">
        <v>495</v>
      </c>
      <c r="C2653" t="s">
        <v>502</v>
      </c>
      <c r="D2653" t="s">
        <v>494</v>
      </c>
      <c r="E2653">
        <v>2</v>
      </c>
      <c r="F2653">
        <v>6</v>
      </c>
      <c r="G2653">
        <v>240</v>
      </c>
      <c r="H2653">
        <v>14</v>
      </c>
      <c r="I2653">
        <v>10.7</v>
      </c>
      <c r="J2653">
        <v>13</v>
      </c>
      <c r="K2653">
        <v>16.7</v>
      </c>
      <c r="L2653">
        <v>13.1</v>
      </c>
      <c r="M2653">
        <v>70</v>
      </c>
    </row>
    <row r="2654" spans="1:13" hidden="1" x14ac:dyDescent="0.25">
      <c r="A2654" t="s">
        <v>344</v>
      </c>
      <c r="B2654" t="s">
        <v>495</v>
      </c>
      <c r="C2654" t="s">
        <v>502</v>
      </c>
      <c r="D2654" t="s">
        <v>494</v>
      </c>
      <c r="E2654">
        <v>2</v>
      </c>
      <c r="F2654">
        <v>6</v>
      </c>
      <c r="G2654">
        <v>260</v>
      </c>
      <c r="H2654">
        <v>14</v>
      </c>
      <c r="I2654">
        <v>10.7</v>
      </c>
      <c r="J2654">
        <v>13</v>
      </c>
      <c r="K2654">
        <v>16.7</v>
      </c>
      <c r="L2654">
        <v>13.1</v>
      </c>
      <c r="M2654">
        <v>70</v>
      </c>
    </row>
    <row r="2655" spans="1:13" hidden="1" x14ac:dyDescent="0.25">
      <c r="A2655" t="s">
        <v>344</v>
      </c>
      <c r="B2655" t="s">
        <v>495</v>
      </c>
      <c r="C2655" t="s">
        <v>502</v>
      </c>
      <c r="D2655" t="s">
        <v>494</v>
      </c>
      <c r="E2655">
        <v>2</v>
      </c>
      <c r="F2655">
        <v>6</v>
      </c>
      <c r="G2655">
        <v>280</v>
      </c>
      <c r="H2655">
        <v>14</v>
      </c>
      <c r="I2655">
        <v>10.7</v>
      </c>
      <c r="J2655">
        <v>13</v>
      </c>
      <c r="K2655">
        <v>16.7</v>
      </c>
      <c r="L2655">
        <v>13.1</v>
      </c>
      <c r="M2655">
        <v>70</v>
      </c>
    </row>
    <row r="2656" spans="1:13" hidden="1" x14ac:dyDescent="0.25">
      <c r="A2656" t="s">
        <v>344</v>
      </c>
      <c r="B2656" t="s">
        <v>495</v>
      </c>
      <c r="C2656" t="s">
        <v>502</v>
      </c>
      <c r="D2656" t="s">
        <v>494</v>
      </c>
      <c r="E2656">
        <v>2</v>
      </c>
      <c r="F2656">
        <v>6</v>
      </c>
      <c r="G2656">
        <v>300</v>
      </c>
      <c r="H2656">
        <v>14</v>
      </c>
      <c r="I2656">
        <v>10.7</v>
      </c>
      <c r="J2656">
        <v>13</v>
      </c>
      <c r="K2656">
        <v>16.7</v>
      </c>
      <c r="L2656">
        <v>13.1</v>
      </c>
      <c r="M2656">
        <v>70</v>
      </c>
    </row>
    <row r="2657" spans="1:13" hidden="1" x14ac:dyDescent="0.25">
      <c r="A2657" t="s">
        <v>344</v>
      </c>
      <c r="B2657" t="s">
        <v>495</v>
      </c>
      <c r="C2657" t="s">
        <v>502</v>
      </c>
      <c r="D2657" t="s">
        <v>494</v>
      </c>
      <c r="E2657">
        <v>2</v>
      </c>
      <c r="F2657">
        <v>8</v>
      </c>
      <c r="G2657">
        <v>80</v>
      </c>
      <c r="H2657">
        <v>20</v>
      </c>
      <c r="I2657">
        <v>22.6</v>
      </c>
      <c r="J2657">
        <v>10.9</v>
      </c>
      <c r="K2657">
        <v>17.600000000000001</v>
      </c>
      <c r="L2657">
        <v>23.3</v>
      </c>
      <c r="M2657">
        <v>50</v>
      </c>
    </row>
    <row r="2658" spans="1:13" hidden="1" x14ac:dyDescent="0.25">
      <c r="A2658" t="s">
        <v>344</v>
      </c>
      <c r="B2658" t="s">
        <v>495</v>
      </c>
      <c r="C2658" t="s">
        <v>502</v>
      </c>
      <c r="D2658" t="s">
        <v>494</v>
      </c>
      <c r="E2658">
        <v>2</v>
      </c>
      <c r="F2658">
        <v>8</v>
      </c>
      <c r="G2658">
        <v>100</v>
      </c>
      <c r="H2658">
        <v>20</v>
      </c>
      <c r="I2658">
        <v>22.6</v>
      </c>
      <c r="J2658">
        <v>10.9</v>
      </c>
      <c r="K2658">
        <v>17.600000000000001</v>
      </c>
      <c r="L2658">
        <v>23.3</v>
      </c>
      <c r="M2658">
        <v>60</v>
      </c>
    </row>
    <row r="2659" spans="1:13" hidden="1" x14ac:dyDescent="0.25">
      <c r="A2659" t="s">
        <v>344</v>
      </c>
      <c r="B2659" t="s">
        <v>495</v>
      </c>
      <c r="C2659" t="s">
        <v>502</v>
      </c>
      <c r="D2659" t="s">
        <v>494</v>
      </c>
      <c r="E2659">
        <v>2</v>
      </c>
      <c r="F2659">
        <v>8</v>
      </c>
      <c r="G2659">
        <v>120</v>
      </c>
      <c r="H2659">
        <v>20</v>
      </c>
      <c r="I2659">
        <v>22.6</v>
      </c>
      <c r="J2659">
        <v>10.9</v>
      </c>
      <c r="K2659">
        <v>17.600000000000001</v>
      </c>
      <c r="L2659">
        <v>23.3</v>
      </c>
      <c r="M2659">
        <v>80</v>
      </c>
    </row>
    <row r="2660" spans="1:13" hidden="1" x14ac:dyDescent="0.25">
      <c r="A2660" t="s">
        <v>344</v>
      </c>
      <c r="B2660" t="s">
        <v>495</v>
      </c>
      <c r="C2660" t="s">
        <v>502</v>
      </c>
      <c r="D2660" t="s">
        <v>494</v>
      </c>
      <c r="E2660">
        <v>2</v>
      </c>
      <c r="F2660">
        <v>8</v>
      </c>
      <c r="G2660">
        <v>140</v>
      </c>
      <c r="H2660">
        <v>20</v>
      </c>
      <c r="I2660">
        <v>22.6</v>
      </c>
      <c r="J2660">
        <v>10.9</v>
      </c>
      <c r="K2660">
        <v>17.600000000000001</v>
      </c>
      <c r="L2660">
        <v>23.3</v>
      </c>
      <c r="M2660">
        <v>80</v>
      </c>
    </row>
    <row r="2661" spans="1:13" hidden="1" x14ac:dyDescent="0.25">
      <c r="A2661" t="s">
        <v>344</v>
      </c>
      <c r="B2661" t="s">
        <v>495</v>
      </c>
      <c r="C2661" t="s">
        <v>502</v>
      </c>
      <c r="D2661" t="s">
        <v>494</v>
      </c>
      <c r="E2661">
        <v>2</v>
      </c>
      <c r="F2661">
        <v>8</v>
      </c>
      <c r="G2661">
        <v>160</v>
      </c>
      <c r="H2661">
        <v>20</v>
      </c>
      <c r="I2661">
        <v>22.6</v>
      </c>
      <c r="J2661">
        <v>10.9</v>
      </c>
      <c r="K2661">
        <v>17.600000000000001</v>
      </c>
      <c r="L2661">
        <v>23.3</v>
      </c>
      <c r="M2661">
        <v>80</v>
      </c>
    </row>
    <row r="2662" spans="1:13" hidden="1" x14ac:dyDescent="0.25">
      <c r="A2662" t="s">
        <v>344</v>
      </c>
      <c r="B2662" t="s">
        <v>495</v>
      </c>
      <c r="C2662" t="s">
        <v>502</v>
      </c>
      <c r="D2662" t="s">
        <v>494</v>
      </c>
      <c r="E2662">
        <v>2</v>
      </c>
      <c r="F2662">
        <v>8</v>
      </c>
      <c r="G2662">
        <v>180</v>
      </c>
      <c r="H2662">
        <v>20</v>
      </c>
      <c r="I2662">
        <v>22.6</v>
      </c>
      <c r="J2662">
        <v>10.9</v>
      </c>
      <c r="K2662">
        <v>17.600000000000001</v>
      </c>
      <c r="L2662">
        <v>23.3</v>
      </c>
      <c r="M2662">
        <v>100</v>
      </c>
    </row>
    <row r="2663" spans="1:13" hidden="1" x14ac:dyDescent="0.25">
      <c r="A2663" t="s">
        <v>344</v>
      </c>
      <c r="B2663" t="s">
        <v>495</v>
      </c>
      <c r="C2663" t="s">
        <v>502</v>
      </c>
      <c r="D2663" t="s">
        <v>494</v>
      </c>
      <c r="E2663">
        <v>2</v>
      </c>
      <c r="F2663">
        <v>8</v>
      </c>
      <c r="G2663">
        <v>200</v>
      </c>
      <c r="H2663">
        <v>20</v>
      </c>
      <c r="I2663">
        <v>22.6</v>
      </c>
      <c r="J2663">
        <v>10.9</v>
      </c>
      <c r="K2663">
        <v>17.600000000000001</v>
      </c>
      <c r="L2663">
        <v>23.3</v>
      </c>
      <c r="M2663">
        <v>100</v>
      </c>
    </row>
    <row r="2664" spans="1:13" hidden="1" x14ac:dyDescent="0.25">
      <c r="A2664" t="s">
        <v>344</v>
      </c>
      <c r="B2664" t="s">
        <v>495</v>
      </c>
      <c r="C2664" t="s">
        <v>502</v>
      </c>
      <c r="D2664" t="s">
        <v>494</v>
      </c>
      <c r="E2664">
        <v>2</v>
      </c>
      <c r="F2664">
        <v>8</v>
      </c>
      <c r="G2664">
        <v>220</v>
      </c>
      <c r="H2664">
        <v>20</v>
      </c>
      <c r="I2664">
        <v>22.6</v>
      </c>
      <c r="J2664">
        <v>10.9</v>
      </c>
      <c r="K2664">
        <v>17.600000000000001</v>
      </c>
      <c r="L2664">
        <v>23.3</v>
      </c>
      <c r="M2664">
        <v>100</v>
      </c>
    </row>
    <row r="2665" spans="1:13" hidden="1" x14ac:dyDescent="0.25">
      <c r="A2665" t="s">
        <v>344</v>
      </c>
      <c r="B2665" t="s">
        <v>495</v>
      </c>
      <c r="C2665" t="s">
        <v>502</v>
      </c>
      <c r="D2665" t="s">
        <v>494</v>
      </c>
      <c r="E2665">
        <v>2</v>
      </c>
      <c r="F2665">
        <v>8</v>
      </c>
      <c r="G2665">
        <v>240</v>
      </c>
      <c r="H2665">
        <v>20</v>
      </c>
      <c r="I2665">
        <v>22.6</v>
      </c>
      <c r="J2665">
        <v>10.9</v>
      </c>
      <c r="K2665">
        <v>17.600000000000001</v>
      </c>
      <c r="L2665">
        <v>23.3</v>
      </c>
      <c r="M2665">
        <v>100</v>
      </c>
    </row>
    <row r="2666" spans="1:13" hidden="1" x14ac:dyDescent="0.25">
      <c r="A2666" t="s">
        <v>344</v>
      </c>
      <c r="B2666" t="s">
        <v>495</v>
      </c>
      <c r="C2666" t="s">
        <v>502</v>
      </c>
      <c r="D2666" t="s">
        <v>494</v>
      </c>
      <c r="E2666">
        <v>2</v>
      </c>
      <c r="F2666">
        <v>8</v>
      </c>
      <c r="G2666">
        <v>260</v>
      </c>
      <c r="H2666">
        <v>20</v>
      </c>
      <c r="I2666">
        <v>22.6</v>
      </c>
      <c r="J2666">
        <v>10.9</v>
      </c>
      <c r="K2666">
        <v>17.600000000000001</v>
      </c>
      <c r="L2666">
        <v>23.3</v>
      </c>
      <c r="M2666">
        <v>100</v>
      </c>
    </row>
    <row r="2667" spans="1:13" hidden="1" x14ac:dyDescent="0.25">
      <c r="A2667" t="s">
        <v>344</v>
      </c>
      <c r="B2667" t="s">
        <v>495</v>
      </c>
      <c r="C2667" t="s">
        <v>502</v>
      </c>
      <c r="D2667" t="s">
        <v>494</v>
      </c>
      <c r="E2667">
        <v>2</v>
      </c>
      <c r="F2667">
        <v>8</v>
      </c>
      <c r="G2667">
        <v>280</v>
      </c>
      <c r="H2667">
        <v>20</v>
      </c>
      <c r="I2667">
        <v>22.6</v>
      </c>
      <c r="J2667">
        <v>10.9</v>
      </c>
      <c r="K2667">
        <v>17.600000000000001</v>
      </c>
      <c r="L2667">
        <v>23.3</v>
      </c>
      <c r="M2667">
        <v>100</v>
      </c>
    </row>
    <row r="2668" spans="1:13" hidden="1" x14ac:dyDescent="0.25">
      <c r="A2668" t="s">
        <v>344</v>
      </c>
      <c r="B2668" t="s">
        <v>495</v>
      </c>
      <c r="C2668" t="s">
        <v>502</v>
      </c>
      <c r="D2668" t="s">
        <v>494</v>
      </c>
      <c r="E2668">
        <v>2</v>
      </c>
      <c r="F2668">
        <v>8</v>
      </c>
      <c r="G2668">
        <v>300</v>
      </c>
      <c r="H2668">
        <v>20</v>
      </c>
      <c r="I2668">
        <v>22.6</v>
      </c>
      <c r="J2668">
        <v>10.9</v>
      </c>
      <c r="K2668">
        <v>17.600000000000001</v>
      </c>
      <c r="L2668">
        <v>23.3</v>
      </c>
      <c r="M2668">
        <v>100</v>
      </c>
    </row>
    <row r="2669" spans="1:13" hidden="1" x14ac:dyDescent="0.25">
      <c r="A2669" t="s">
        <v>344</v>
      </c>
      <c r="B2669" t="s">
        <v>495</v>
      </c>
      <c r="C2669" t="s">
        <v>502</v>
      </c>
      <c r="D2669" t="s">
        <v>494</v>
      </c>
      <c r="E2669">
        <v>2</v>
      </c>
      <c r="F2669">
        <v>8</v>
      </c>
      <c r="G2669">
        <v>320</v>
      </c>
      <c r="H2669">
        <v>20</v>
      </c>
      <c r="I2669">
        <v>22.6</v>
      </c>
      <c r="J2669">
        <v>10.9</v>
      </c>
      <c r="K2669">
        <v>17.600000000000001</v>
      </c>
      <c r="L2669">
        <v>23.3</v>
      </c>
      <c r="M2669">
        <v>100</v>
      </c>
    </row>
    <row r="2670" spans="1:13" hidden="1" x14ac:dyDescent="0.25">
      <c r="A2670" t="s">
        <v>344</v>
      </c>
      <c r="B2670" t="s">
        <v>495</v>
      </c>
      <c r="C2670" t="s">
        <v>502</v>
      </c>
      <c r="D2670" t="s">
        <v>494</v>
      </c>
      <c r="E2670">
        <v>2</v>
      </c>
      <c r="F2670">
        <v>8</v>
      </c>
      <c r="G2670">
        <v>340</v>
      </c>
      <c r="H2670">
        <v>20</v>
      </c>
      <c r="I2670">
        <v>22.6</v>
      </c>
      <c r="J2670">
        <v>10.9</v>
      </c>
      <c r="K2670">
        <v>17.600000000000001</v>
      </c>
      <c r="L2670">
        <v>23.3</v>
      </c>
      <c r="M2670">
        <v>100</v>
      </c>
    </row>
    <row r="2671" spans="1:13" hidden="1" x14ac:dyDescent="0.25">
      <c r="A2671" t="s">
        <v>344</v>
      </c>
      <c r="B2671" t="s">
        <v>495</v>
      </c>
      <c r="C2671" t="s">
        <v>502</v>
      </c>
      <c r="D2671" t="s">
        <v>494</v>
      </c>
      <c r="E2671">
        <v>2</v>
      </c>
      <c r="F2671">
        <v>8</v>
      </c>
      <c r="G2671">
        <v>360</v>
      </c>
      <c r="H2671">
        <v>20</v>
      </c>
      <c r="I2671">
        <v>22.6</v>
      </c>
      <c r="J2671">
        <v>10.9</v>
      </c>
      <c r="K2671">
        <v>17.600000000000001</v>
      </c>
      <c r="L2671">
        <v>23.3</v>
      </c>
      <c r="M2671">
        <v>100</v>
      </c>
    </row>
    <row r="2672" spans="1:13" hidden="1" x14ac:dyDescent="0.25">
      <c r="A2672" t="s">
        <v>344</v>
      </c>
      <c r="B2672" t="s">
        <v>495</v>
      </c>
      <c r="C2672" t="s">
        <v>502</v>
      </c>
      <c r="D2672" t="s">
        <v>494</v>
      </c>
      <c r="E2672">
        <v>2</v>
      </c>
      <c r="F2672">
        <v>8</v>
      </c>
      <c r="G2672">
        <v>380</v>
      </c>
      <c r="H2672">
        <v>20</v>
      </c>
      <c r="I2672">
        <v>22.6</v>
      </c>
      <c r="J2672">
        <v>10.9</v>
      </c>
      <c r="K2672">
        <v>17.600000000000001</v>
      </c>
      <c r="L2672">
        <v>23.3</v>
      </c>
      <c r="M2672">
        <v>100</v>
      </c>
    </row>
    <row r="2673" spans="1:13" hidden="1" x14ac:dyDescent="0.25">
      <c r="A2673" t="s">
        <v>344</v>
      </c>
      <c r="B2673" t="s">
        <v>495</v>
      </c>
      <c r="C2673" t="s">
        <v>502</v>
      </c>
      <c r="D2673" t="s">
        <v>494</v>
      </c>
      <c r="E2673">
        <v>2</v>
      </c>
      <c r="F2673">
        <v>8</v>
      </c>
      <c r="G2673">
        <v>400</v>
      </c>
      <c r="H2673">
        <v>20</v>
      </c>
      <c r="I2673">
        <v>22.6</v>
      </c>
      <c r="J2673">
        <v>10.9</v>
      </c>
      <c r="K2673">
        <v>17.600000000000001</v>
      </c>
      <c r="L2673">
        <v>23.3</v>
      </c>
      <c r="M2673">
        <v>100</v>
      </c>
    </row>
    <row r="2674" spans="1:13" hidden="1" x14ac:dyDescent="0.25">
      <c r="A2674" t="s">
        <v>344</v>
      </c>
      <c r="B2674" t="s">
        <v>495</v>
      </c>
      <c r="C2674" t="s">
        <v>502</v>
      </c>
      <c r="D2674" t="s">
        <v>494</v>
      </c>
      <c r="E2674">
        <v>2</v>
      </c>
      <c r="F2674">
        <v>8</v>
      </c>
      <c r="G2674">
        <v>450</v>
      </c>
      <c r="H2674">
        <v>20</v>
      </c>
      <c r="I2674">
        <v>22.6</v>
      </c>
      <c r="J2674">
        <v>10.9</v>
      </c>
      <c r="K2674">
        <v>17.600000000000001</v>
      </c>
      <c r="L2674">
        <v>23.3</v>
      </c>
      <c r="M2674">
        <v>100</v>
      </c>
    </row>
    <row r="2675" spans="1:13" hidden="1" x14ac:dyDescent="0.25">
      <c r="A2675" t="s">
        <v>344</v>
      </c>
      <c r="B2675" t="s">
        <v>495</v>
      </c>
      <c r="C2675" t="s">
        <v>502</v>
      </c>
      <c r="D2675" t="s">
        <v>494</v>
      </c>
      <c r="E2675">
        <v>2</v>
      </c>
      <c r="F2675">
        <v>8</v>
      </c>
      <c r="G2675">
        <v>500</v>
      </c>
      <c r="H2675">
        <v>20</v>
      </c>
      <c r="I2675">
        <v>22.6</v>
      </c>
      <c r="J2675">
        <v>10.9</v>
      </c>
      <c r="K2675">
        <v>17.600000000000001</v>
      </c>
      <c r="L2675">
        <v>23.3</v>
      </c>
      <c r="M2675">
        <v>100</v>
      </c>
    </row>
    <row r="2676" spans="1:13" hidden="1" x14ac:dyDescent="0.25">
      <c r="A2676" t="s">
        <v>344</v>
      </c>
      <c r="B2676" t="s">
        <v>495</v>
      </c>
      <c r="C2676" t="s">
        <v>502</v>
      </c>
      <c r="D2676" t="s">
        <v>494</v>
      </c>
      <c r="E2676">
        <v>2</v>
      </c>
      <c r="F2676">
        <v>10</v>
      </c>
      <c r="G2676">
        <v>100</v>
      </c>
      <c r="H2676">
        <v>25</v>
      </c>
      <c r="I2676">
        <v>33.6</v>
      </c>
      <c r="J2676">
        <v>11</v>
      </c>
      <c r="K2676">
        <v>15.2</v>
      </c>
      <c r="L2676">
        <v>35</v>
      </c>
      <c r="M2676">
        <v>60</v>
      </c>
    </row>
    <row r="2677" spans="1:13" hidden="1" x14ac:dyDescent="0.25">
      <c r="A2677" t="s">
        <v>344</v>
      </c>
      <c r="B2677" t="s">
        <v>495</v>
      </c>
      <c r="C2677" t="s">
        <v>502</v>
      </c>
      <c r="D2677" t="s">
        <v>494</v>
      </c>
      <c r="E2677">
        <v>2</v>
      </c>
      <c r="F2677">
        <v>10</v>
      </c>
      <c r="G2677">
        <v>120</v>
      </c>
      <c r="H2677">
        <v>25</v>
      </c>
      <c r="I2677">
        <v>33.6</v>
      </c>
      <c r="J2677">
        <v>11</v>
      </c>
      <c r="K2677">
        <v>15.2</v>
      </c>
      <c r="L2677">
        <v>35</v>
      </c>
      <c r="M2677">
        <v>80</v>
      </c>
    </row>
    <row r="2678" spans="1:13" hidden="1" x14ac:dyDescent="0.25">
      <c r="A2678" t="s">
        <v>344</v>
      </c>
      <c r="B2678" t="s">
        <v>495</v>
      </c>
      <c r="C2678" t="s">
        <v>502</v>
      </c>
      <c r="D2678" t="s">
        <v>494</v>
      </c>
      <c r="E2678">
        <v>2</v>
      </c>
      <c r="F2678">
        <v>10</v>
      </c>
      <c r="G2678">
        <v>140</v>
      </c>
      <c r="H2678">
        <v>25</v>
      </c>
      <c r="I2678">
        <v>33.6</v>
      </c>
      <c r="J2678">
        <v>11</v>
      </c>
      <c r="K2678">
        <v>15.2</v>
      </c>
      <c r="L2678">
        <v>35</v>
      </c>
      <c r="M2678">
        <v>80</v>
      </c>
    </row>
    <row r="2679" spans="1:13" hidden="1" x14ac:dyDescent="0.25">
      <c r="A2679" t="s">
        <v>344</v>
      </c>
      <c r="B2679" t="s">
        <v>495</v>
      </c>
      <c r="C2679" t="s">
        <v>502</v>
      </c>
      <c r="D2679" t="s">
        <v>494</v>
      </c>
      <c r="E2679">
        <v>2</v>
      </c>
      <c r="F2679">
        <v>10</v>
      </c>
      <c r="G2679">
        <v>160</v>
      </c>
      <c r="H2679">
        <v>25</v>
      </c>
      <c r="I2679">
        <v>33.6</v>
      </c>
      <c r="J2679">
        <v>11</v>
      </c>
      <c r="K2679">
        <v>15.2</v>
      </c>
      <c r="L2679">
        <v>35</v>
      </c>
      <c r="M2679">
        <v>80</v>
      </c>
    </row>
    <row r="2680" spans="1:13" hidden="1" x14ac:dyDescent="0.25">
      <c r="A2680" t="s">
        <v>344</v>
      </c>
      <c r="B2680" t="s">
        <v>495</v>
      </c>
      <c r="C2680" t="s">
        <v>502</v>
      </c>
      <c r="D2680" t="s">
        <v>494</v>
      </c>
      <c r="E2680">
        <v>2</v>
      </c>
      <c r="F2680">
        <v>10</v>
      </c>
      <c r="G2680">
        <v>180</v>
      </c>
      <c r="H2680">
        <v>25</v>
      </c>
      <c r="I2680">
        <v>33.6</v>
      </c>
      <c r="J2680">
        <v>11</v>
      </c>
      <c r="K2680">
        <v>15.2</v>
      </c>
      <c r="L2680">
        <v>35</v>
      </c>
      <c r="M2680">
        <v>100</v>
      </c>
    </row>
    <row r="2681" spans="1:13" hidden="1" x14ac:dyDescent="0.25">
      <c r="A2681" t="s">
        <v>344</v>
      </c>
      <c r="B2681" t="s">
        <v>495</v>
      </c>
      <c r="C2681" t="s">
        <v>502</v>
      </c>
      <c r="D2681" t="s">
        <v>494</v>
      </c>
      <c r="E2681">
        <v>2</v>
      </c>
      <c r="F2681">
        <v>10</v>
      </c>
      <c r="G2681">
        <v>200</v>
      </c>
      <c r="H2681">
        <v>25</v>
      </c>
      <c r="I2681">
        <v>33.6</v>
      </c>
      <c r="J2681">
        <v>11</v>
      </c>
      <c r="K2681">
        <v>15.2</v>
      </c>
      <c r="L2681">
        <v>35</v>
      </c>
      <c r="M2681">
        <v>100</v>
      </c>
    </row>
    <row r="2682" spans="1:13" hidden="1" x14ac:dyDescent="0.25">
      <c r="A2682" t="s">
        <v>344</v>
      </c>
      <c r="B2682" t="s">
        <v>495</v>
      </c>
      <c r="C2682" t="s">
        <v>502</v>
      </c>
      <c r="D2682" t="s">
        <v>494</v>
      </c>
      <c r="E2682">
        <v>2</v>
      </c>
      <c r="F2682">
        <v>10</v>
      </c>
      <c r="G2682">
        <v>220</v>
      </c>
      <c r="H2682">
        <v>25</v>
      </c>
      <c r="I2682">
        <v>33.6</v>
      </c>
      <c r="J2682">
        <v>11</v>
      </c>
      <c r="K2682">
        <v>15.2</v>
      </c>
      <c r="L2682">
        <v>35</v>
      </c>
      <c r="M2682">
        <v>100</v>
      </c>
    </row>
    <row r="2683" spans="1:13" hidden="1" x14ac:dyDescent="0.25">
      <c r="A2683" t="s">
        <v>344</v>
      </c>
      <c r="B2683" t="s">
        <v>495</v>
      </c>
      <c r="C2683" t="s">
        <v>502</v>
      </c>
      <c r="D2683" t="s">
        <v>494</v>
      </c>
      <c r="E2683">
        <v>2</v>
      </c>
      <c r="F2683">
        <v>10</v>
      </c>
      <c r="G2683">
        <v>240</v>
      </c>
      <c r="H2683">
        <v>25</v>
      </c>
      <c r="I2683">
        <v>33.6</v>
      </c>
      <c r="J2683">
        <v>11</v>
      </c>
      <c r="K2683">
        <v>15.2</v>
      </c>
      <c r="L2683">
        <v>35</v>
      </c>
      <c r="M2683">
        <v>100</v>
      </c>
    </row>
    <row r="2684" spans="1:13" hidden="1" x14ac:dyDescent="0.25">
      <c r="A2684" t="s">
        <v>344</v>
      </c>
      <c r="B2684" t="s">
        <v>495</v>
      </c>
      <c r="C2684" t="s">
        <v>502</v>
      </c>
      <c r="D2684" t="s">
        <v>494</v>
      </c>
      <c r="E2684">
        <v>2</v>
      </c>
      <c r="F2684">
        <v>10</v>
      </c>
      <c r="G2684">
        <v>260</v>
      </c>
      <c r="H2684">
        <v>25</v>
      </c>
      <c r="I2684">
        <v>33.6</v>
      </c>
      <c r="J2684">
        <v>11</v>
      </c>
      <c r="K2684">
        <v>15.2</v>
      </c>
      <c r="L2684">
        <v>35</v>
      </c>
      <c r="M2684">
        <v>100</v>
      </c>
    </row>
    <row r="2685" spans="1:13" hidden="1" x14ac:dyDescent="0.25">
      <c r="A2685" t="s">
        <v>344</v>
      </c>
      <c r="B2685" t="s">
        <v>495</v>
      </c>
      <c r="C2685" t="s">
        <v>502</v>
      </c>
      <c r="D2685" t="s">
        <v>494</v>
      </c>
      <c r="E2685">
        <v>2</v>
      </c>
      <c r="F2685">
        <v>10</v>
      </c>
      <c r="G2685">
        <v>280</v>
      </c>
      <c r="H2685">
        <v>25</v>
      </c>
      <c r="I2685">
        <v>33.6</v>
      </c>
      <c r="J2685">
        <v>11</v>
      </c>
      <c r="K2685">
        <v>15.2</v>
      </c>
      <c r="L2685">
        <v>35</v>
      </c>
      <c r="M2685">
        <v>100</v>
      </c>
    </row>
    <row r="2686" spans="1:13" hidden="1" x14ac:dyDescent="0.25">
      <c r="A2686" t="s">
        <v>344</v>
      </c>
      <c r="B2686" t="s">
        <v>495</v>
      </c>
      <c r="C2686" t="s">
        <v>502</v>
      </c>
      <c r="D2686" t="s">
        <v>494</v>
      </c>
      <c r="E2686">
        <v>2</v>
      </c>
      <c r="F2686">
        <v>10</v>
      </c>
      <c r="G2686">
        <v>300</v>
      </c>
      <c r="H2686">
        <v>25</v>
      </c>
      <c r="I2686">
        <v>33.6</v>
      </c>
      <c r="J2686">
        <v>11</v>
      </c>
      <c r="K2686">
        <v>15.2</v>
      </c>
      <c r="L2686">
        <v>35</v>
      </c>
      <c r="M2686">
        <v>100</v>
      </c>
    </row>
    <row r="2687" spans="1:13" hidden="1" x14ac:dyDescent="0.25">
      <c r="A2687" t="s">
        <v>344</v>
      </c>
      <c r="B2687" t="s">
        <v>495</v>
      </c>
      <c r="C2687" t="s">
        <v>502</v>
      </c>
      <c r="D2687" t="s">
        <v>494</v>
      </c>
      <c r="E2687">
        <v>2</v>
      </c>
      <c r="F2687">
        <v>10</v>
      </c>
      <c r="G2687">
        <v>320</v>
      </c>
      <c r="H2687">
        <v>25</v>
      </c>
      <c r="I2687">
        <v>33.6</v>
      </c>
      <c r="J2687">
        <v>11</v>
      </c>
      <c r="K2687">
        <v>15.2</v>
      </c>
      <c r="L2687">
        <v>35</v>
      </c>
      <c r="M2687">
        <v>100</v>
      </c>
    </row>
    <row r="2688" spans="1:13" hidden="1" x14ac:dyDescent="0.25">
      <c r="A2688" t="s">
        <v>344</v>
      </c>
      <c r="B2688" t="s">
        <v>495</v>
      </c>
      <c r="C2688" t="s">
        <v>502</v>
      </c>
      <c r="D2688" t="s">
        <v>494</v>
      </c>
      <c r="E2688">
        <v>2</v>
      </c>
      <c r="F2688">
        <v>10</v>
      </c>
      <c r="G2688">
        <v>340</v>
      </c>
      <c r="H2688">
        <v>25</v>
      </c>
      <c r="I2688">
        <v>33.6</v>
      </c>
      <c r="J2688">
        <v>11</v>
      </c>
      <c r="K2688">
        <v>15.2</v>
      </c>
      <c r="L2688">
        <v>35</v>
      </c>
      <c r="M2688">
        <v>100</v>
      </c>
    </row>
    <row r="2689" spans="1:13" hidden="1" x14ac:dyDescent="0.25">
      <c r="A2689" t="s">
        <v>344</v>
      </c>
      <c r="B2689" t="s">
        <v>495</v>
      </c>
      <c r="C2689" t="s">
        <v>502</v>
      </c>
      <c r="D2689" t="s">
        <v>494</v>
      </c>
      <c r="E2689">
        <v>2</v>
      </c>
      <c r="F2689">
        <v>10</v>
      </c>
      <c r="G2689">
        <v>360</v>
      </c>
      <c r="H2689">
        <v>25</v>
      </c>
      <c r="I2689">
        <v>33.6</v>
      </c>
      <c r="J2689">
        <v>11</v>
      </c>
      <c r="K2689">
        <v>15.2</v>
      </c>
      <c r="L2689">
        <v>35</v>
      </c>
      <c r="M2689">
        <v>100</v>
      </c>
    </row>
    <row r="2690" spans="1:13" hidden="1" x14ac:dyDescent="0.25">
      <c r="A2690" t="s">
        <v>344</v>
      </c>
      <c r="B2690" t="s">
        <v>495</v>
      </c>
      <c r="C2690" t="s">
        <v>502</v>
      </c>
      <c r="D2690" t="s">
        <v>494</v>
      </c>
      <c r="E2690">
        <v>2</v>
      </c>
      <c r="F2690">
        <v>10</v>
      </c>
      <c r="G2690">
        <v>380</v>
      </c>
      <c r="H2690">
        <v>25</v>
      </c>
      <c r="I2690">
        <v>33.6</v>
      </c>
      <c r="J2690">
        <v>11</v>
      </c>
      <c r="K2690">
        <v>15.2</v>
      </c>
      <c r="L2690">
        <v>35</v>
      </c>
      <c r="M2690">
        <v>100</v>
      </c>
    </row>
    <row r="2691" spans="1:13" hidden="1" x14ac:dyDescent="0.25">
      <c r="A2691" t="s">
        <v>344</v>
      </c>
      <c r="B2691" t="s">
        <v>495</v>
      </c>
      <c r="C2691" t="s">
        <v>502</v>
      </c>
      <c r="D2691" t="s">
        <v>494</v>
      </c>
      <c r="E2691">
        <v>2</v>
      </c>
      <c r="F2691">
        <v>10</v>
      </c>
      <c r="G2691">
        <v>400</v>
      </c>
      <c r="H2691">
        <v>25</v>
      </c>
      <c r="I2691">
        <v>33.6</v>
      </c>
      <c r="J2691">
        <v>11</v>
      </c>
      <c r="K2691">
        <v>15.2</v>
      </c>
      <c r="L2691">
        <v>35</v>
      </c>
      <c r="M2691">
        <v>100</v>
      </c>
    </row>
    <row r="2692" spans="1:13" hidden="1" x14ac:dyDescent="0.25">
      <c r="A2692" t="s">
        <v>344</v>
      </c>
      <c r="B2692" t="s">
        <v>495</v>
      </c>
      <c r="C2692" t="s">
        <v>502</v>
      </c>
      <c r="D2692" t="s">
        <v>494</v>
      </c>
      <c r="E2692">
        <v>2</v>
      </c>
      <c r="F2692">
        <v>10</v>
      </c>
      <c r="G2692">
        <v>450</v>
      </c>
      <c r="H2692">
        <v>25</v>
      </c>
      <c r="I2692">
        <v>33.6</v>
      </c>
      <c r="J2692">
        <v>11</v>
      </c>
      <c r="K2692">
        <v>15.2</v>
      </c>
      <c r="L2692">
        <v>35</v>
      </c>
      <c r="M2692">
        <v>100</v>
      </c>
    </row>
    <row r="2693" spans="1:13" hidden="1" x14ac:dyDescent="0.25">
      <c r="A2693" t="s">
        <v>344</v>
      </c>
      <c r="B2693" t="s">
        <v>495</v>
      </c>
      <c r="C2693" t="s">
        <v>502</v>
      </c>
      <c r="D2693" t="s">
        <v>494</v>
      </c>
      <c r="E2693">
        <v>2</v>
      </c>
      <c r="F2693">
        <v>10</v>
      </c>
      <c r="G2693">
        <v>500</v>
      </c>
      <c r="H2693">
        <v>25</v>
      </c>
      <c r="I2693">
        <v>33.6</v>
      </c>
      <c r="J2693">
        <v>11</v>
      </c>
      <c r="K2693">
        <v>15.2</v>
      </c>
      <c r="L2693">
        <v>35</v>
      </c>
      <c r="M2693">
        <v>100</v>
      </c>
    </row>
    <row r="2694" spans="1:13" hidden="1" x14ac:dyDescent="0.25">
      <c r="A2694" t="s">
        <v>344</v>
      </c>
      <c r="B2694" t="s">
        <v>495</v>
      </c>
      <c r="C2694" t="s">
        <v>503</v>
      </c>
      <c r="D2694" t="s">
        <v>504</v>
      </c>
      <c r="E2694">
        <v>2</v>
      </c>
      <c r="F2694">
        <v>8</v>
      </c>
      <c r="G2694">
        <v>50</v>
      </c>
      <c r="H2694">
        <v>12</v>
      </c>
      <c r="I2694">
        <v>22.6</v>
      </c>
      <c r="J2694">
        <v>10.9</v>
      </c>
      <c r="K2694">
        <v>16.5</v>
      </c>
      <c r="L2694">
        <v>23.3</v>
      </c>
      <c r="M2694">
        <v>30</v>
      </c>
    </row>
    <row r="2695" spans="1:13" hidden="1" x14ac:dyDescent="0.25">
      <c r="A2695" t="s">
        <v>344</v>
      </c>
      <c r="B2695" t="s">
        <v>495</v>
      </c>
      <c r="C2695" t="s">
        <v>503</v>
      </c>
      <c r="D2695" t="s">
        <v>504</v>
      </c>
      <c r="E2695">
        <v>2</v>
      </c>
      <c r="F2695">
        <v>8</v>
      </c>
      <c r="G2695">
        <v>60</v>
      </c>
      <c r="H2695">
        <v>12</v>
      </c>
      <c r="I2695">
        <v>22.6</v>
      </c>
      <c r="J2695">
        <v>10.9</v>
      </c>
      <c r="K2695">
        <v>16.5</v>
      </c>
      <c r="L2695">
        <v>23.3</v>
      </c>
      <c r="M2695">
        <v>40</v>
      </c>
    </row>
    <row r="2696" spans="1:13" hidden="1" x14ac:dyDescent="0.25">
      <c r="A2696" t="s">
        <v>344</v>
      </c>
      <c r="B2696" t="s">
        <v>495</v>
      </c>
      <c r="C2696" t="s">
        <v>503</v>
      </c>
      <c r="D2696" t="s">
        <v>504</v>
      </c>
      <c r="E2696">
        <v>2</v>
      </c>
      <c r="F2696">
        <v>8</v>
      </c>
      <c r="G2696">
        <v>70</v>
      </c>
      <c r="H2696">
        <v>12</v>
      </c>
      <c r="I2696">
        <v>22.6</v>
      </c>
      <c r="J2696">
        <v>10.9</v>
      </c>
      <c r="K2696">
        <v>16.5</v>
      </c>
      <c r="L2696">
        <v>23.3</v>
      </c>
      <c r="M2696">
        <v>40</v>
      </c>
    </row>
    <row r="2697" spans="1:13" hidden="1" x14ac:dyDescent="0.25">
      <c r="A2697" t="s">
        <v>344</v>
      </c>
      <c r="B2697" t="s">
        <v>495</v>
      </c>
      <c r="C2697" t="s">
        <v>503</v>
      </c>
      <c r="D2697" t="s">
        <v>504</v>
      </c>
      <c r="E2697">
        <v>2</v>
      </c>
      <c r="F2697">
        <v>8</v>
      </c>
      <c r="G2697">
        <v>80</v>
      </c>
      <c r="H2697">
        <v>12</v>
      </c>
      <c r="I2697">
        <v>22.6</v>
      </c>
      <c r="J2697">
        <v>10.9</v>
      </c>
      <c r="K2697">
        <v>16.5</v>
      </c>
      <c r="L2697">
        <v>23.3</v>
      </c>
      <c r="M2697">
        <v>50</v>
      </c>
    </row>
    <row r="2698" spans="1:13" hidden="1" x14ac:dyDescent="0.25">
      <c r="A2698" t="s">
        <v>344</v>
      </c>
      <c r="B2698" t="s">
        <v>495</v>
      </c>
      <c r="C2698" t="s">
        <v>503</v>
      </c>
      <c r="D2698" t="s">
        <v>504</v>
      </c>
      <c r="E2698">
        <v>2</v>
      </c>
      <c r="F2698">
        <v>8</v>
      </c>
      <c r="G2698">
        <v>100</v>
      </c>
      <c r="H2698">
        <v>12</v>
      </c>
      <c r="I2698">
        <v>22.6</v>
      </c>
      <c r="J2698">
        <v>10.9</v>
      </c>
      <c r="K2698">
        <v>16.5</v>
      </c>
      <c r="L2698">
        <v>23.3</v>
      </c>
      <c r="M2698">
        <v>60</v>
      </c>
    </row>
    <row r="2699" spans="1:13" hidden="1" x14ac:dyDescent="0.25">
      <c r="A2699" t="s">
        <v>344</v>
      </c>
      <c r="B2699" t="s">
        <v>495</v>
      </c>
      <c r="C2699" t="s">
        <v>503</v>
      </c>
      <c r="D2699" t="s">
        <v>504</v>
      </c>
      <c r="E2699">
        <v>2</v>
      </c>
      <c r="F2699">
        <v>8</v>
      </c>
      <c r="G2699">
        <v>120</v>
      </c>
      <c r="H2699">
        <v>12</v>
      </c>
      <c r="I2699">
        <v>22.6</v>
      </c>
      <c r="J2699">
        <v>10.9</v>
      </c>
      <c r="K2699">
        <v>16.5</v>
      </c>
      <c r="L2699">
        <v>23.3</v>
      </c>
      <c r="M2699">
        <v>80</v>
      </c>
    </row>
    <row r="2700" spans="1:13" hidden="1" x14ac:dyDescent="0.25">
      <c r="A2700" t="s">
        <v>344</v>
      </c>
      <c r="B2700" t="s">
        <v>495</v>
      </c>
      <c r="C2700" t="s">
        <v>503</v>
      </c>
      <c r="D2700" t="s">
        <v>504</v>
      </c>
      <c r="E2700">
        <v>2</v>
      </c>
      <c r="F2700">
        <v>8</v>
      </c>
      <c r="G2700">
        <v>140</v>
      </c>
      <c r="H2700">
        <v>12</v>
      </c>
      <c r="I2700">
        <v>22.6</v>
      </c>
      <c r="J2700">
        <v>10.9</v>
      </c>
      <c r="K2700">
        <v>16.5</v>
      </c>
      <c r="L2700">
        <v>23.3</v>
      </c>
      <c r="M2700">
        <v>80</v>
      </c>
    </row>
    <row r="2701" spans="1:13" hidden="1" x14ac:dyDescent="0.25">
      <c r="A2701" t="s">
        <v>344</v>
      </c>
      <c r="B2701" t="s">
        <v>495</v>
      </c>
      <c r="C2701" t="s">
        <v>503</v>
      </c>
      <c r="D2701" t="s">
        <v>504</v>
      </c>
      <c r="E2701">
        <v>2</v>
      </c>
      <c r="F2701">
        <v>8</v>
      </c>
      <c r="G2701">
        <v>160</v>
      </c>
      <c r="H2701">
        <v>12</v>
      </c>
      <c r="I2701">
        <v>22.6</v>
      </c>
      <c r="J2701">
        <v>10.9</v>
      </c>
      <c r="K2701">
        <v>16.5</v>
      </c>
      <c r="L2701">
        <v>23.3</v>
      </c>
      <c r="M2701">
        <v>80</v>
      </c>
    </row>
    <row r="2702" spans="1:13" hidden="1" x14ac:dyDescent="0.25">
      <c r="A2702" t="s">
        <v>344</v>
      </c>
      <c r="B2702" t="s">
        <v>495</v>
      </c>
      <c r="C2702" t="s">
        <v>503</v>
      </c>
      <c r="D2702" t="s">
        <v>504</v>
      </c>
      <c r="E2702">
        <v>2</v>
      </c>
      <c r="F2702">
        <v>8</v>
      </c>
      <c r="G2702">
        <v>180</v>
      </c>
      <c r="H2702">
        <v>12</v>
      </c>
      <c r="I2702">
        <v>22.6</v>
      </c>
      <c r="J2702">
        <v>10.9</v>
      </c>
      <c r="K2702">
        <v>16.5</v>
      </c>
      <c r="L2702">
        <v>23.3</v>
      </c>
      <c r="M2702">
        <v>100</v>
      </c>
    </row>
    <row r="2703" spans="1:13" hidden="1" x14ac:dyDescent="0.25">
      <c r="A2703" t="s">
        <v>344</v>
      </c>
      <c r="B2703" t="s">
        <v>495</v>
      </c>
      <c r="C2703" t="s">
        <v>503</v>
      </c>
      <c r="D2703" t="s">
        <v>504</v>
      </c>
      <c r="E2703">
        <v>2</v>
      </c>
      <c r="F2703">
        <v>8</v>
      </c>
      <c r="G2703">
        <v>200</v>
      </c>
      <c r="H2703">
        <v>12</v>
      </c>
      <c r="I2703">
        <v>22.6</v>
      </c>
      <c r="J2703">
        <v>10.9</v>
      </c>
      <c r="K2703">
        <v>16.5</v>
      </c>
      <c r="L2703">
        <v>23.3</v>
      </c>
      <c r="M2703">
        <v>100</v>
      </c>
    </row>
    <row r="2704" spans="1:13" hidden="1" x14ac:dyDescent="0.25">
      <c r="A2704" t="s">
        <v>344</v>
      </c>
      <c r="B2704" t="s">
        <v>495</v>
      </c>
      <c r="C2704" t="s">
        <v>503</v>
      </c>
      <c r="D2704" t="s">
        <v>504</v>
      </c>
      <c r="E2704">
        <v>2</v>
      </c>
      <c r="F2704">
        <v>8</v>
      </c>
      <c r="G2704">
        <v>220</v>
      </c>
      <c r="H2704">
        <v>12</v>
      </c>
      <c r="I2704">
        <v>22.6</v>
      </c>
      <c r="J2704">
        <v>10.9</v>
      </c>
      <c r="K2704">
        <v>16.5</v>
      </c>
      <c r="L2704">
        <v>23.3</v>
      </c>
      <c r="M2704">
        <v>100</v>
      </c>
    </row>
    <row r="2705" spans="1:13" hidden="1" x14ac:dyDescent="0.25">
      <c r="A2705" t="s">
        <v>344</v>
      </c>
      <c r="B2705" t="s">
        <v>495</v>
      </c>
      <c r="C2705" t="s">
        <v>503</v>
      </c>
      <c r="D2705" t="s">
        <v>504</v>
      </c>
      <c r="E2705">
        <v>2</v>
      </c>
      <c r="F2705">
        <v>8</v>
      </c>
      <c r="G2705">
        <v>240</v>
      </c>
      <c r="H2705">
        <v>12</v>
      </c>
      <c r="I2705">
        <v>22.6</v>
      </c>
      <c r="J2705">
        <v>10.9</v>
      </c>
      <c r="K2705">
        <v>16.5</v>
      </c>
      <c r="L2705">
        <v>23.3</v>
      </c>
      <c r="M2705">
        <v>100</v>
      </c>
    </row>
    <row r="2706" spans="1:13" hidden="1" x14ac:dyDescent="0.25">
      <c r="A2706" t="s">
        <v>344</v>
      </c>
      <c r="B2706" t="s">
        <v>495</v>
      </c>
      <c r="C2706" t="s">
        <v>503</v>
      </c>
      <c r="D2706" t="s">
        <v>504</v>
      </c>
      <c r="E2706">
        <v>2</v>
      </c>
      <c r="F2706">
        <v>8</v>
      </c>
      <c r="G2706">
        <v>260</v>
      </c>
      <c r="H2706">
        <v>12</v>
      </c>
      <c r="I2706">
        <v>22.6</v>
      </c>
      <c r="J2706">
        <v>10.9</v>
      </c>
      <c r="K2706">
        <v>16.5</v>
      </c>
      <c r="L2706">
        <v>23.3</v>
      </c>
      <c r="M2706">
        <v>100</v>
      </c>
    </row>
    <row r="2707" spans="1:13" hidden="1" x14ac:dyDescent="0.25">
      <c r="A2707" t="s">
        <v>344</v>
      </c>
      <c r="B2707" t="s">
        <v>495</v>
      </c>
      <c r="C2707" t="s">
        <v>503</v>
      </c>
      <c r="D2707" t="s">
        <v>504</v>
      </c>
      <c r="E2707">
        <v>2</v>
      </c>
      <c r="F2707">
        <v>8</v>
      </c>
      <c r="G2707">
        <v>280</v>
      </c>
      <c r="H2707">
        <v>12</v>
      </c>
      <c r="I2707">
        <v>22.6</v>
      </c>
      <c r="J2707">
        <v>10.9</v>
      </c>
      <c r="K2707">
        <v>16.5</v>
      </c>
      <c r="L2707">
        <v>23.3</v>
      </c>
      <c r="M2707">
        <v>100</v>
      </c>
    </row>
    <row r="2708" spans="1:13" hidden="1" x14ac:dyDescent="0.25">
      <c r="A2708" t="s">
        <v>344</v>
      </c>
      <c r="B2708" t="s">
        <v>495</v>
      </c>
      <c r="C2708" t="s">
        <v>503</v>
      </c>
      <c r="D2708" t="s">
        <v>504</v>
      </c>
      <c r="E2708">
        <v>2</v>
      </c>
      <c r="F2708">
        <v>8</v>
      </c>
      <c r="G2708">
        <v>300</v>
      </c>
      <c r="H2708">
        <v>12</v>
      </c>
      <c r="I2708">
        <v>22.6</v>
      </c>
      <c r="J2708">
        <v>10.9</v>
      </c>
      <c r="K2708">
        <v>16.5</v>
      </c>
      <c r="L2708">
        <v>23.3</v>
      </c>
      <c r="M2708">
        <v>100</v>
      </c>
    </row>
    <row r="2709" spans="1:13" hidden="1" x14ac:dyDescent="0.25">
      <c r="A2709" t="s">
        <v>344</v>
      </c>
      <c r="B2709" t="s">
        <v>495</v>
      </c>
      <c r="C2709" t="s">
        <v>503</v>
      </c>
      <c r="D2709" t="s">
        <v>504</v>
      </c>
      <c r="E2709">
        <v>2</v>
      </c>
      <c r="F2709">
        <v>8</v>
      </c>
      <c r="G2709">
        <v>320</v>
      </c>
      <c r="H2709">
        <v>12</v>
      </c>
      <c r="I2709">
        <v>22.6</v>
      </c>
      <c r="J2709">
        <v>10.9</v>
      </c>
      <c r="K2709">
        <v>16.5</v>
      </c>
      <c r="L2709">
        <v>23.3</v>
      </c>
      <c r="M2709">
        <v>100</v>
      </c>
    </row>
    <row r="2710" spans="1:13" hidden="1" x14ac:dyDescent="0.25">
      <c r="A2710" t="s">
        <v>344</v>
      </c>
      <c r="B2710" t="s">
        <v>495</v>
      </c>
      <c r="C2710" t="s">
        <v>503</v>
      </c>
      <c r="D2710" t="s">
        <v>504</v>
      </c>
      <c r="E2710">
        <v>2</v>
      </c>
      <c r="F2710">
        <v>8</v>
      </c>
      <c r="G2710">
        <v>340</v>
      </c>
      <c r="H2710">
        <v>12</v>
      </c>
      <c r="I2710">
        <v>22.6</v>
      </c>
      <c r="J2710">
        <v>10.9</v>
      </c>
      <c r="K2710">
        <v>16.5</v>
      </c>
      <c r="L2710">
        <v>23.3</v>
      </c>
      <c r="M2710">
        <v>100</v>
      </c>
    </row>
    <row r="2711" spans="1:13" hidden="1" x14ac:dyDescent="0.25">
      <c r="A2711" t="s">
        <v>344</v>
      </c>
      <c r="B2711" t="s">
        <v>495</v>
      </c>
      <c r="C2711" t="s">
        <v>503</v>
      </c>
      <c r="D2711" t="s">
        <v>504</v>
      </c>
      <c r="E2711">
        <v>2</v>
      </c>
      <c r="F2711">
        <v>8</v>
      </c>
      <c r="G2711">
        <v>360</v>
      </c>
      <c r="H2711">
        <v>12</v>
      </c>
      <c r="I2711">
        <v>22.6</v>
      </c>
      <c r="J2711">
        <v>10.9</v>
      </c>
      <c r="K2711">
        <v>16.5</v>
      </c>
      <c r="L2711">
        <v>23.3</v>
      </c>
      <c r="M2711">
        <v>100</v>
      </c>
    </row>
    <row r="2712" spans="1:13" hidden="1" x14ac:dyDescent="0.25">
      <c r="A2712" t="s">
        <v>344</v>
      </c>
      <c r="B2712" t="s">
        <v>495</v>
      </c>
      <c r="C2712" t="s">
        <v>503</v>
      </c>
      <c r="D2712" t="s">
        <v>504</v>
      </c>
      <c r="E2712">
        <v>2</v>
      </c>
      <c r="F2712">
        <v>8</v>
      </c>
      <c r="G2712">
        <v>380</v>
      </c>
      <c r="H2712">
        <v>12</v>
      </c>
      <c r="I2712">
        <v>22.6</v>
      </c>
      <c r="J2712">
        <v>10.9</v>
      </c>
      <c r="K2712">
        <v>16.5</v>
      </c>
      <c r="L2712">
        <v>23.3</v>
      </c>
      <c r="M2712">
        <v>100</v>
      </c>
    </row>
    <row r="2713" spans="1:13" hidden="1" x14ac:dyDescent="0.25">
      <c r="A2713" t="s">
        <v>344</v>
      </c>
      <c r="B2713" t="s">
        <v>495</v>
      </c>
      <c r="C2713" t="s">
        <v>503</v>
      </c>
      <c r="D2713" t="s">
        <v>504</v>
      </c>
      <c r="E2713">
        <v>2</v>
      </c>
      <c r="F2713">
        <v>8</v>
      </c>
      <c r="G2713">
        <v>400</v>
      </c>
      <c r="H2713">
        <v>12</v>
      </c>
      <c r="I2713">
        <v>22.6</v>
      </c>
      <c r="J2713">
        <v>10.9</v>
      </c>
      <c r="K2713">
        <v>16.5</v>
      </c>
      <c r="L2713">
        <v>23.3</v>
      </c>
      <c r="M2713">
        <v>100</v>
      </c>
    </row>
    <row r="2714" spans="1:13" hidden="1" x14ac:dyDescent="0.25">
      <c r="A2714" t="s">
        <v>344</v>
      </c>
      <c r="B2714" t="s">
        <v>495</v>
      </c>
      <c r="C2714" t="s">
        <v>503</v>
      </c>
      <c r="D2714" t="s">
        <v>504</v>
      </c>
      <c r="E2714">
        <v>2</v>
      </c>
      <c r="F2714">
        <v>10</v>
      </c>
      <c r="G2714">
        <v>60</v>
      </c>
      <c r="H2714">
        <v>15</v>
      </c>
      <c r="I2714">
        <v>33.6</v>
      </c>
      <c r="J2714">
        <v>11</v>
      </c>
      <c r="K2714">
        <v>16.7</v>
      </c>
      <c r="L2714">
        <v>35</v>
      </c>
      <c r="M2714">
        <v>40</v>
      </c>
    </row>
    <row r="2715" spans="1:13" hidden="1" x14ac:dyDescent="0.25">
      <c r="A2715" t="s">
        <v>344</v>
      </c>
      <c r="B2715" t="s">
        <v>495</v>
      </c>
      <c r="C2715" t="s">
        <v>503</v>
      </c>
      <c r="D2715" t="s">
        <v>504</v>
      </c>
      <c r="E2715">
        <v>2</v>
      </c>
      <c r="F2715">
        <v>10</v>
      </c>
      <c r="G2715">
        <v>70</v>
      </c>
      <c r="H2715">
        <v>15</v>
      </c>
      <c r="I2715">
        <v>33.6</v>
      </c>
      <c r="J2715">
        <v>11</v>
      </c>
      <c r="K2715">
        <v>16.7</v>
      </c>
      <c r="L2715">
        <v>35</v>
      </c>
      <c r="M2715">
        <v>40</v>
      </c>
    </row>
    <row r="2716" spans="1:13" hidden="1" x14ac:dyDescent="0.25">
      <c r="A2716" t="s">
        <v>344</v>
      </c>
      <c r="B2716" t="s">
        <v>495</v>
      </c>
      <c r="C2716" t="s">
        <v>503</v>
      </c>
      <c r="D2716" t="s">
        <v>504</v>
      </c>
      <c r="E2716">
        <v>2</v>
      </c>
      <c r="F2716">
        <v>10</v>
      </c>
      <c r="G2716">
        <v>80</v>
      </c>
      <c r="H2716">
        <v>15</v>
      </c>
      <c r="I2716">
        <v>33.6</v>
      </c>
      <c r="J2716">
        <v>11</v>
      </c>
      <c r="K2716">
        <v>16.7</v>
      </c>
      <c r="L2716">
        <v>35</v>
      </c>
      <c r="M2716">
        <v>50</v>
      </c>
    </row>
    <row r="2717" spans="1:13" hidden="1" x14ac:dyDescent="0.25">
      <c r="A2717" t="s">
        <v>344</v>
      </c>
      <c r="B2717" t="s">
        <v>495</v>
      </c>
      <c r="C2717" t="s">
        <v>503</v>
      </c>
      <c r="D2717" t="s">
        <v>504</v>
      </c>
      <c r="E2717">
        <v>2</v>
      </c>
      <c r="F2717">
        <v>10</v>
      </c>
      <c r="G2717">
        <v>100</v>
      </c>
      <c r="H2717">
        <v>15</v>
      </c>
      <c r="I2717">
        <v>33.6</v>
      </c>
      <c r="J2717">
        <v>11</v>
      </c>
      <c r="K2717">
        <v>16.7</v>
      </c>
      <c r="L2717">
        <v>35</v>
      </c>
      <c r="M2717">
        <v>60</v>
      </c>
    </row>
    <row r="2718" spans="1:13" hidden="1" x14ac:dyDescent="0.25">
      <c r="A2718" t="s">
        <v>344</v>
      </c>
      <c r="B2718" t="s">
        <v>495</v>
      </c>
      <c r="C2718" t="s">
        <v>503</v>
      </c>
      <c r="D2718" t="s">
        <v>504</v>
      </c>
      <c r="E2718">
        <v>2</v>
      </c>
      <c r="F2718">
        <v>10</v>
      </c>
      <c r="G2718">
        <v>120</v>
      </c>
      <c r="H2718">
        <v>15</v>
      </c>
      <c r="I2718">
        <v>33.6</v>
      </c>
      <c r="J2718">
        <v>11</v>
      </c>
      <c r="K2718">
        <v>16.7</v>
      </c>
      <c r="L2718">
        <v>35</v>
      </c>
      <c r="M2718">
        <v>80</v>
      </c>
    </row>
    <row r="2719" spans="1:13" hidden="1" x14ac:dyDescent="0.25">
      <c r="A2719" t="s">
        <v>344</v>
      </c>
      <c r="B2719" t="s">
        <v>495</v>
      </c>
      <c r="C2719" t="s">
        <v>503</v>
      </c>
      <c r="D2719" t="s">
        <v>504</v>
      </c>
      <c r="E2719">
        <v>2</v>
      </c>
      <c r="F2719">
        <v>10</v>
      </c>
      <c r="G2719">
        <v>140</v>
      </c>
      <c r="H2719">
        <v>15</v>
      </c>
      <c r="I2719">
        <v>33.6</v>
      </c>
      <c r="J2719">
        <v>11</v>
      </c>
      <c r="K2719">
        <v>16.7</v>
      </c>
      <c r="L2719">
        <v>35</v>
      </c>
      <c r="M2719">
        <v>80</v>
      </c>
    </row>
    <row r="2720" spans="1:13" hidden="1" x14ac:dyDescent="0.25">
      <c r="A2720" t="s">
        <v>344</v>
      </c>
      <c r="B2720" t="s">
        <v>495</v>
      </c>
      <c r="C2720" t="s">
        <v>503</v>
      </c>
      <c r="D2720" t="s">
        <v>504</v>
      </c>
      <c r="E2720">
        <v>2</v>
      </c>
      <c r="F2720">
        <v>10</v>
      </c>
      <c r="G2720">
        <v>160</v>
      </c>
      <c r="H2720">
        <v>15</v>
      </c>
      <c r="I2720">
        <v>33.6</v>
      </c>
      <c r="J2720">
        <v>11</v>
      </c>
      <c r="K2720">
        <v>16.7</v>
      </c>
      <c r="L2720">
        <v>35</v>
      </c>
      <c r="M2720">
        <v>80</v>
      </c>
    </row>
    <row r="2721" spans="1:13" hidden="1" x14ac:dyDescent="0.25">
      <c r="A2721" t="s">
        <v>344</v>
      </c>
      <c r="B2721" t="s">
        <v>495</v>
      </c>
      <c r="C2721" t="s">
        <v>503</v>
      </c>
      <c r="D2721" t="s">
        <v>504</v>
      </c>
      <c r="E2721">
        <v>2</v>
      </c>
      <c r="F2721">
        <v>10</v>
      </c>
      <c r="G2721">
        <v>180</v>
      </c>
      <c r="H2721">
        <v>15</v>
      </c>
      <c r="I2721">
        <v>33.6</v>
      </c>
      <c r="J2721">
        <v>11</v>
      </c>
      <c r="K2721">
        <v>16.7</v>
      </c>
      <c r="L2721">
        <v>35</v>
      </c>
      <c r="M2721">
        <v>100</v>
      </c>
    </row>
    <row r="2722" spans="1:13" hidden="1" x14ac:dyDescent="0.25">
      <c r="A2722" t="s">
        <v>344</v>
      </c>
      <c r="B2722" t="s">
        <v>495</v>
      </c>
      <c r="C2722" t="s">
        <v>503</v>
      </c>
      <c r="D2722" t="s">
        <v>504</v>
      </c>
      <c r="E2722">
        <v>2</v>
      </c>
      <c r="F2722">
        <v>10</v>
      </c>
      <c r="G2722">
        <v>200</v>
      </c>
      <c r="H2722">
        <v>15</v>
      </c>
      <c r="I2722">
        <v>33.6</v>
      </c>
      <c r="J2722">
        <v>11</v>
      </c>
      <c r="K2722">
        <v>16.7</v>
      </c>
      <c r="L2722">
        <v>35</v>
      </c>
      <c r="M2722">
        <v>100</v>
      </c>
    </row>
    <row r="2723" spans="1:13" hidden="1" x14ac:dyDescent="0.25">
      <c r="A2723" t="s">
        <v>344</v>
      </c>
      <c r="B2723" t="s">
        <v>495</v>
      </c>
      <c r="C2723" t="s">
        <v>503</v>
      </c>
      <c r="D2723" t="s">
        <v>504</v>
      </c>
      <c r="E2723">
        <v>2</v>
      </c>
      <c r="F2723">
        <v>10</v>
      </c>
      <c r="G2723">
        <v>220</v>
      </c>
      <c r="H2723">
        <v>15</v>
      </c>
      <c r="I2723">
        <v>33.6</v>
      </c>
      <c r="J2723">
        <v>11</v>
      </c>
      <c r="K2723">
        <v>16.7</v>
      </c>
      <c r="L2723">
        <v>35</v>
      </c>
      <c r="M2723">
        <v>100</v>
      </c>
    </row>
    <row r="2724" spans="1:13" hidden="1" x14ac:dyDescent="0.25">
      <c r="A2724" t="s">
        <v>344</v>
      </c>
      <c r="B2724" t="s">
        <v>495</v>
      </c>
      <c r="C2724" t="s">
        <v>503</v>
      </c>
      <c r="D2724" t="s">
        <v>504</v>
      </c>
      <c r="E2724">
        <v>2</v>
      </c>
      <c r="F2724">
        <v>10</v>
      </c>
      <c r="G2724">
        <v>240</v>
      </c>
      <c r="H2724">
        <v>15</v>
      </c>
      <c r="I2724">
        <v>33.6</v>
      </c>
      <c r="J2724">
        <v>11</v>
      </c>
      <c r="K2724">
        <v>16.7</v>
      </c>
      <c r="L2724">
        <v>35</v>
      </c>
      <c r="M2724">
        <v>100</v>
      </c>
    </row>
    <row r="2725" spans="1:13" hidden="1" x14ac:dyDescent="0.25">
      <c r="A2725" t="s">
        <v>344</v>
      </c>
      <c r="B2725" t="s">
        <v>495</v>
      </c>
      <c r="C2725" t="s">
        <v>503</v>
      </c>
      <c r="D2725" t="s">
        <v>504</v>
      </c>
      <c r="E2725">
        <v>2</v>
      </c>
      <c r="F2725">
        <v>10</v>
      </c>
      <c r="G2725">
        <v>260</v>
      </c>
      <c r="H2725">
        <v>15</v>
      </c>
      <c r="I2725">
        <v>33.6</v>
      </c>
      <c r="J2725">
        <v>11</v>
      </c>
      <c r="K2725">
        <v>16.7</v>
      </c>
      <c r="L2725">
        <v>35</v>
      </c>
      <c r="M2725">
        <v>100</v>
      </c>
    </row>
    <row r="2726" spans="1:13" hidden="1" x14ac:dyDescent="0.25">
      <c r="A2726" t="s">
        <v>344</v>
      </c>
      <c r="B2726" t="s">
        <v>495</v>
      </c>
      <c r="C2726" t="s">
        <v>503</v>
      </c>
      <c r="D2726" t="s">
        <v>504</v>
      </c>
      <c r="E2726">
        <v>2</v>
      </c>
      <c r="F2726">
        <v>10</v>
      </c>
      <c r="G2726">
        <v>280</v>
      </c>
      <c r="H2726">
        <v>15</v>
      </c>
      <c r="I2726">
        <v>33.6</v>
      </c>
      <c r="J2726">
        <v>11</v>
      </c>
      <c r="K2726">
        <v>16.7</v>
      </c>
      <c r="L2726">
        <v>35</v>
      </c>
      <c r="M2726">
        <v>100</v>
      </c>
    </row>
    <row r="2727" spans="1:13" hidden="1" x14ac:dyDescent="0.25">
      <c r="A2727" t="s">
        <v>344</v>
      </c>
      <c r="B2727" t="s">
        <v>495</v>
      </c>
      <c r="C2727" t="s">
        <v>503</v>
      </c>
      <c r="D2727" t="s">
        <v>504</v>
      </c>
      <c r="E2727">
        <v>2</v>
      </c>
      <c r="F2727">
        <v>10</v>
      </c>
      <c r="G2727">
        <v>300</v>
      </c>
      <c r="H2727">
        <v>15</v>
      </c>
      <c r="I2727">
        <v>33.6</v>
      </c>
      <c r="J2727">
        <v>11</v>
      </c>
      <c r="K2727">
        <v>16.7</v>
      </c>
      <c r="L2727">
        <v>35</v>
      </c>
      <c r="M2727">
        <v>100</v>
      </c>
    </row>
    <row r="2728" spans="1:13" hidden="1" x14ac:dyDescent="0.25">
      <c r="A2728" t="s">
        <v>344</v>
      </c>
      <c r="B2728" t="s">
        <v>495</v>
      </c>
      <c r="C2728" t="s">
        <v>503</v>
      </c>
      <c r="D2728" t="s">
        <v>504</v>
      </c>
      <c r="E2728">
        <v>2</v>
      </c>
      <c r="F2728">
        <v>10</v>
      </c>
      <c r="G2728">
        <v>350</v>
      </c>
      <c r="H2728">
        <v>15</v>
      </c>
      <c r="I2728">
        <v>33.6</v>
      </c>
      <c r="J2728">
        <v>11</v>
      </c>
      <c r="K2728">
        <v>16.7</v>
      </c>
      <c r="L2728">
        <v>35</v>
      </c>
      <c r="M2728">
        <v>100</v>
      </c>
    </row>
    <row r="2729" spans="1:13" hidden="1" x14ac:dyDescent="0.25">
      <c r="A2729" t="s">
        <v>344</v>
      </c>
      <c r="B2729" t="s">
        <v>495</v>
      </c>
      <c r="C2729" t="s">
        <v>503</v>
      </c>
      <c r="D2729" t="s">
        <v>504</v>
      </c>
      <c r="E2729">
        <v>2</v>
      </c>
      <c r="F2729">
        <v>10</v>
      </c>
      <c r="G2729">
        <v>400</v>
      </c>
      <c r="H2729">
        <v>15</v>
      </c>
      <c r="I2729">
        <v>33.6</v>
      </c>
      <c r="J2729">
        <v>11</v>
      </c>
      <c r="K2729">
        <v>16.7</v>
      </c>
      <c r="L2729">
        <v>35</v>
      </c>
      <c r="M2729">
        <v>100</v>
      </c>
    </row>
    <row r="2730" spans="1:13" hidden="1" x14ac:dyDescent="0.25">
      <c r="A2730" t="s">
        <v>344</v>
      </c>
      <c r="B2730" t="s">
        <v>495</v>
      </c>
      <c r="C2730" t="s">
        <v>503</v>
      </c>
      <c r="D2730" t="s">
        <v>504</v>
      </c>
      <c r="E2730">
        <v>2</v>
      </c>
      <c r="F2730">
        <v>12</v>
      </c>
      <c r="G2730">
        <v>80</v>
      </c>
      <c r="H2730">
        <v>17</v>
      </c>
      <c r="I2730">
        <v>46.9</v>
      </c>
      <c r="J2730">
        <v>11.2</v>
      </c>
      <c r="K2730">
        <v>17.100000000000001</v>
      </c>
      <c r="L2730">
        <v>42</v>
      </c>
      <c r="M2730">
        <v>50</v>
      </c>
    </row>
    <row r="2731" spans="1:13" hidden="1" x14ac:dyDescent="0.25">
      <c r="A2731" t="s">
        <v>344</v>
      </c>
      <c r="B2731" t="s">
        <v>495</v>
      </c>
      <c r="C2731" t="s">
        <v>503</v>
      </c>
      <c r="D2731" t="s">
        <v>504</v>
      </c>
      <c r="E2731">
        <v>2</v>
      </c>
      <c r="F2731">
        <v>12</v>
      </c>
      <c r="G2731">
        <v>100</v>
      </c>
      <c r="H2731">
        <v>17</v>
      </c>
      <c r="I2731">
        <v>46.9</v>
      </c>
      <c r="J2731">
        <v>11.2</v>
      </c>
      <c r="K2731">
        <v>17.100000000000001</v>
      </c>
      <c r="L2731">
        <v>42</v>
      </c>
      <c r="M2731">
        <v>60</v>
      </c>
    </row>
    <row r="2732" spans="1:13" hidden="1" x14ac:dyDescent="0.25">
      <c r="A2732" t="s">
        <v>344</v>
      </c>
      <c r="B2732" t="s">
        <v>495</v>
      </c>
      <c r="C2732" t="s">
        <v>503</v>
      </c>
      <c r="D2732" t="s">
        <v>504</v>
      </c>
      <c r="E2732">
        <v>2</v>
      </c>
      <c r="F2732">
        <v>12</v>
      </c>
      <c r="G2732">
        <v>120</v>
      </c>
      <c r="H2732">
        <v>17</v>
      </c>
      <c r="I2732">
        <v>46.9</v>
      </c>
      <c r="J2732">
        <v>11.2</v>
      </c>
      <c r="K2732">
        <v>17.100000000000001</v>
      </c>
      <c r="L2732">
        <v>42</v>
      </c>
      <c r="M2732">
        <v>80</v>
      </c>
    </row>
    <row r="2733" spans="1:13" hidden="1" x14ac:dyDescent="0.25">
      <c r="A2733" t="s">
        <v>344</v>
      </c>
      <c r="B2733" t="s">
        <v>495</v>
      </c>
      <c r="C2733" t="s">
        <v>503</v>
      </c>
      <c r="D2733" t="s">
        <v>504</v>
      </c>
      <c r="E2733">
        <v>2</v>
      </c>
      <c r="F2733">
        <v>12</v>
      </c>
      <c r="G2733">
        <v>140</v>
      </c>
      <c r="H2733">
        <v>17</v>
      </c>
      <c r="I2733">
        <v>46.9</v>
      </c>
      <c r="J2733">
        <v>11.2</v>
      </c>
      <c r="K2733">
        <v>17.100000000000001</v>
      </c>
      <c r="L2733">
        <v>42</v>
      </c>
      <c r="M2733">
        <v>80</v>
      </c>
    </row>
    <row r="2734" spans="1:13" hidden="1" x14ac:dyDescent="0.25">
      <c r="A2734" t="s">
        <v>344</v>
      </c>
      <c r="B2734" t="s">
        <v>495</v>
      </c>
      <c r="C2734" t="s">
        <v>503</v>
      </c>
      <c r="D2734" t="s">
        <v>504</v>
      </c>
      <c r="E2734">
        <v>2</v>
      </c>
      <c r="F2734">
        <v>12</v>
      </c>
      <c r="G2734">
        <v>160</v>
      </c>
      <c r="H2734">
        <v>17</v>
      </c>
      <c r="I2734">
        <v>46.9</v>
      </c>
      <c r="J2734">
        <v>11.2</v>
      </c>
      <c r="K2734">
        <v>17.100000000000001</v>
      </c>
      <c r="L2734">
        <v>42</v>
      </c>
      <c r="M2734">
        <v>80</v>
      </c>
    </row>
    <row r="2735" spans="1:13" hidden="1" x14ac:dyDescent="0.25">
      <c r="A2735" t="s">
        <v>344</v>
      </c>
      <c r="B2735" t="s">
        <v>495</v>
      </c>
      <c r="C2735" t="s">
        <v>503</v>
      </c>
      <c r="D2735" t="s">
        <v>504</v>
      </c>
      <c r="E2735">
        <v>2</v>
      </c>
      <c r="F2735">
        <v>12</v>
      </c>
      <c r="G2735">
        <v>180</v>
      </c>
      <c r="H2735">
        <v>17</v>
      </c>
      <c r="I2735">
        <v>46.9</v>
      </c>
      <c r="J2735">
        <v>11.2</v>
      </c>
      <c r="K2735">
        <v>17.100000000000001</v>
      </c>
      <c r="L2735">
        <v>42</v>
      </c>
      <c r="M2735">
        <v>100</v>
      </c>
    </row>
    <row r="2736" spans="1:13" hidden="1" x14ac:dyDescent="0.25">
      <c r="A2736" t="s">
        <v>344</v>
      </c>
      <c r="B2736" t="s">
        <v>495</v>
      </c>
      <c r="C2736" t="s">
        <v>503</v>
      </c>
      <c r="D2736" t="s">
        <v>504</v>
      </c>
      <c r="E2736">
        <v>2</v>
      </c>
      <c r="F2736">
        <v>12</v>
      </c>
      <c r="G2736">
        <v>200</v>
      </c>
      <c r="H2736">
        <v>17</v>
      </c>
      <c r="I2736">
        <v>46.9</v>
      </c>
      <c r="J2736">
        <v>11.2</v>
      </c>
      <c r="K2736">
        <v>17.100000000000001</v>
      </c>
      <c r="L2736">
        <v>42</v>
      </c>
      <c r="M2736">
        <v>100</v>
      </c>
    </row>
    <row r="2737" spans="1:13" hidden="1" x14ac:dyDescent="0.25">
      <c r="A2737" t="s">
        <v>344</v>
      </c>
      <c r="B2737" t="s">
        <v>495</v>
      </c>
      <c r="C2737" t="s">
        <v>503</v>
      </c>
      <c r="D2737" t="s">
        <v>504</v>
      </c>
      <c r="E2737">
        <v>2</v>
      </c>
      <c r="F2737">
        <v>12</v>
      </c>
      <c r="G2737">
        <v>220</v>
      </c>
      <c r="H2737">
        <v>17</v>
      </c>
      <c r="I2737">
        <v>46.9</v>
      </c>
      <c r="J2737">
        <v>11.2</v>
      </c>
      <c r="K2737">
        <v>17.100000000000001</v>
      </c>
      <c r="L2737">
        <v>42</v>
      </c>
      <c r="M2737">
        <v>100</v>
      </c>
    </row>
    <row r="2738" spans="1:13" hidden="1" x14ac:dyDescent="0.25">
      <c r="A2738" t="s">
        <v>344</v>
      </c>
      <c r="B2738" t="s">
        <v>495</v>
      </c>
      <c r="C2738" t="s">
        <v>503</v>
      </c>
      <c r="D2738" t="s">
        <v>504</v>
      </c>
      <c r="E2738">
        <v>2</v>
      </c>
      <c r="F2738">
        <v>12</v>
      </c>
      <c r="G2738">
        <v>240</v>
      </c>
      <c r="H2738">
        <v>17</v>
      </c>
      <c r="I2738">
        <v>46.9</v>
      </c>
      <c r="J2738">
        <v>11.2</v>
      </c>
      <c r="K2738">
        <v>17.100000000000001</v>
      </c>
      <c r="L2738">
        <v>42</v>
      </c>
      <c r="M2738">
        <v>100</v>
      </c>
    </row>
    <row r="2739" spans="1:13" hidden="1" x14ac:dyDescent="0.25">
      <c r="A2739" t="s">
        <v>344</v>
      </c>
      <c r="B2739" t="s">
        <v>495</v>
      </c>
      <c r="C2739" t="s">
        <v>503</v>
      </c>
      <c r="D2739" t="s">
        <v>504</v>
      </c>
      <c r="E2739">
        <v>2</v>
      </c>
      <c r="F2739">
        <v>12</v>
      </c>
      <c r="G2739">
        <v>260</v>
      </c>
      <c r="H2739">
        <v>17</v>
      </c>
      <c r="I2739">
        <v>46.9</v>
      </c>
      <c r="J2739">
        <v>11.2</v>
      </c>
      <c r="K2739">
        <v>17.100000000000001</v>
      </c>
      <c r="L2739">
        <v>42</v>
      </c>
      <c r="M2739">
        <v>100</v>
      </c>
    </row>
    <row r="2740" spans="1:13" hidden="1" x14ac:dyDescent="0.25">
      <c r="A2740" t="s">
        <v>344</v>
      </c>
      <c r="B2740" t="s">
        <v>495</v>
      </c>
      <c r="C2740" t="s">
        <v>503</v>
      </c>
      <c r="D2740" t="s">
        <v>504</v>
      </c>
      <c r="E2740">
        <v>2</v>
      </c>
      <c r="F2740">
        <v>12</v>
      </c>
      <c r="G2740">
        <v>280</v>
      </c>
      <c r="H2740">
        <v>17</v>
      </c>
      <c r="I2740">
        <v>46.9</v>
      </c>
      <c r="J2740">
        <v>11.2</v>
      </c>
      <c r="K2740">
        <v>17.100000000000001</v>
      </c>
      <c r="L2740">
        <v>42</v>
      </c>
      <c r="M2740">
        <v>100</v>
      </c>
    </row>
    <row r="2741" spans="1:13" hidden="1" x14ac:dyDescent="0.25">
      <c r="A2741" t="s">
        <v>344</v>
      </c>
      <c r="B2741" t="s">
        <v>495</v>
      </c>
      <c r="C2741" t="s">
        <v>503</v>
      </c>
      <c r="D2741" t="s">
        <v>504</v>
      </c>
      <c r="E2741">
        <v>2</v>
      </c>
      <c r="F2741">
        <v>12</v>
      </c>
      <c r="G2741">
        <v>300</v>
      </c>
      <c r="H2741">
        <v>17</v>
      </c>
      <c r="I2741">
        <v>46.9</v>
      </c>
      <c r="J2741">
        <v>11.2</v>
      </c>
      <c r="K2741">
        <v>17.100000000000001</v>
      </c>
      <c r="L2741">
        <v>42</v>
      </c>
      <c r="M2741">
        <v>120</v>
      </c>
    </row>
    <row r="2742" spans="1:13" hidden="1" x14ac:dyDescent="0.25">
      <c r="A2742" t="s">
        <v>344</v>
      </c>
      <c r="B2742" t="s">
        <v>495</v>
      </c>
      <c r="C2742" t="s">
        <v>503</v>
      </c>
      <c r="D2742" t="s">
        <v>504</v>
      </c>
      <c r="E2742">
        <v>2</v>
      </c>
      <c r="F2742">
        <v>12</v>
      </c>
      <c r="G2742">
        <v>350</v>
      </c>
      <c r="H2742">
        <v>17</v>
      </c>
      <c r="I2742">
        <v>46.9</v>
      </c>
      <c r="J2742">
        <v>11.2</v>
      </c>
      <c r="K2742">
        <v>17.100000000000001</v>
      </c>
      <c r="L2742">
        <v>42</v>
      </c>
      <c r="M2742">
        <v>120</v>
      </c>
    </row>
    <row r="2743" spans="1:13" hidden="1" x14ac:dyDescent="0.25">
      <c r="A2743" t="s">
        <v>344</v>
      </c>
      <c r="B2743" t="s">
        <v>495</v>
      </c>
      <c r="C2743" t="s">
        <v>503</v>
      </c>
      <c r="D2743" t="s">
        <v>504</v>
      </c>
      <c r="E2743">
        <v>2</v>
      </c>
      <c r="F2743">
        <v>12</v>
      </c>
      <c r="G2743">
        <v>400</v>
      </c>
      <c r="H2743">
        <v>17</v>
      </c>
      <c r="I2743">
        <v>46.9</v>
      </c>
      <c r="J2743">
        <v>11.2</v>
      </c>
      <c r="K2743">
        <v>17.100000000000001</v>
      </c>
      <c r="L2743">
        <v>42</v>
      </c>
      <c r="M2743">
        <v>120</v>
      </c>
    </row>
    <row r="2744" spans="1:13" hidden="1" x14ac:dyDescent="0.25">
      <c r="A2744" t="s">
        <v>344</v>
      </c>
      <c r="B2744" t="s">
        <v>495</v>
      </c>
      <c r="C2744" t="s">
        <v>505</v>
      </c>
      <c r="D2744" t="s">
        <v>506</v>
      </c>
      <c r="E2744">
        <v>2</v>
      </c>
      <c r="F2744">
        <v>6</v>
      </c>
      <c r="G2744">
        <v>80</v>
      </c>
      <c r="H2744">
        <v>13</v>
      </c>
      <c r="I2744">
        <v>10.7</v>
      </c>
      <c r="J2744">
        <v>13</v>
      </c>
      <c r="K2744">
        <v>19.7</v>
      </c>
      <c r="L2744">
        <v>13.1</v>
      </c>
      <c r="M2744">
        <v>50</v>
      </c>
    </row>
    <row r="2745" spans="1:13" hidden="1" x14ac:dyDescent="0.25">
      <c r="A2745" t="s">
        <v>344</v>
      </c>
      <c r="B2745" t="s">
        <v>495</v>
      </c>
      <c r="C2745" t="s">
        <v>505</v>
      </c>
      <c r="D2745" t="s">
        <v>506</v>
      </c>
      <c r="E2745">
        <v>2</v>
      </c>
      <c r="F2745">
        <v>6</v>
      </c>
      <c r="G2745">
        <v>100</v>
      </c>
      <c r="H2745">
        <v>13</v>
      </c>
      <c r="I2745">
        <v>10.7</v>
      </c>
      <c r="J2745">
        <v>13</v>
      </c>
      <c r="K2745">
        <v>19.7</v>
      </c>
      <c r="L2745">
        <v>13.1</v>
      </c>
      <c r="M2745">
        <v>60</v>
      </c>
    </row>
    <row r="2746" spans="1:13" hidden="1" x14ac:dyDescent="0.25">
      <c r="A2746" t="s">
        <v>344</v>
      </c>
      <c r="B2746" t="s">
        <v>495</v>
      </c>
      <c r="C2746" t="s">
        <v>505</v>
      </c>
      <c r="D2746" t="s">
        <v>506</v>
      </c>
      <c r="E2746">
        <v>2</v>
      </c>
      <c r="F2746">
        <v>6</v>
      </c>
      <c r="G2746">
        <v>120</v>
      </c>
      <c r="H2746">
        <v>13</v>
      </c>
      <c r="I2746">
        <v>10.7</v>
      </c>
      <c r="J2746">
        <v>13</v>
      </c>
      <c r="K2746">
        <v>19.7</v>
      </c>
      <c r="L2746">
        <v>13.1</v>
      </c>
      <c r="M2746">
        <v>70</v>
      </c>
    </row>
    <row r="2747" spans="1:13" hidden="1" x14ac:dyDescent="0.25">
      <c r="A2747" t="s">
        <v>344</v>
      </c>
      <c r="B2747" t="s">
        <v>495</v>
      </c>
      <c r="C2747" t="s">
        <v>505</v>
      </c>
      <c r="D2747" t="s">
        <v>506</v>
      </c>
      <c r="E2747">
        <v>2</v>
      </c>
      <c r="F2747">
        <v>6</v>
      </c>
      <c r="G2747">
        <v>140</v>
      </c>
      <c r="H2747">
        <v>13</v>
      </c>
      <c r="I2747">
        <v>10.7</v>
      </c>
      <c r="J2747">
        <v>13</v>
      </c>
      <c r="K2747">
        <v>19.7</v>
      </c>
      <c r="L2747">
        <v>13.1</v>
      </c>
      <c r="M2747">
        <v>70</v>
      </c>
    </row>
    <row r="2748" spans="1:13" hidden="1" x14ac:dyDescent="0.25">
      <c r="A2748" t="s">
        <v>344</v>
      </c>
      <c r="B2748" t="s">
        <v>495</v>
      </c>
      <c r="C2748" t="s">
        <v>505</v>
      </c>
      <c r="D2748" t="s">
        <v>506</v>
      </c>
      <c r="E2748">
        <v>2</v>
      </c>
      <c r="F2748">
        <v>6</v>
      </c>
      <c r="G2748">
        <v>160</v>
      </c>
      <c r="H2748">
        <v>13</v>
      </c>
      <c r="I2748">
        <v>10.7</v>
      </c>
      <c r="J2748">
        <v>13</v>
      </c>
      <c r="K2748">
        <v>19.7</v>
      </c>
      <c r="L2748">
        <v>13.1</v>
      </c>
      <c r="M2748">
        <v>70</v>
      </c>
    </row>
    <row r="2749" spans="1:13" hidden="1" x14ac:dyDescent="0.25">
      <c r="A2749" t="s">
        <v>344</v>
      </c>
      <c r="B2749" t="s">
        <v>495</v>
      </c>
      <c r="C2749" t="s">
        <v>505</v>
      </c>
      <c r="D2749" t="s">
        <v>506</v>
      </c>
      <c r="E2749">
        <v>2</v>
      </c>
      <c r="F2749">
        <v>6</v>
      </c>
      <c r="G2749">
        <v>180</v>
      </c>
      <c r="H2749">
        <v>13</v>
      </c>
      <c r="I2749">
        <v>10.7</v>
      </c>
      <c r="J2749">
        <v>13</v>
      </c>
      <c r="K2749">
        <v>19.7</v>
      </c>
      <c r="L2749">
        <v>13.1</v>
      </c>
      <c r="M2749">
        <v>70</v>
      </c>
    </row>
    <row r="2750" spans="1:13" hidden="1" x14ac:dyDescent="0.25">
      <c r="A2750" t="s">
        <v>344</v>
      </c>
      <c r="B2750" t="s">
        <v>495</v>
      </c>
      <c r="C2750" t="s">
        <v>505</v>
      </c>
      <c r="D2750" t="s">
        <v>506</v>
      </c>
      <c r="E2750">
        <v>2</v>
      </c>
      <c r="F2750">
        <v>6</v>
      </c>
      <c r="G2750">
        <v>200</v>
      </c>
      <c r="H2750">
        <v>13</v>
      </c>
      <c r="I2750">
        <v>10.7</v>
      </c>
      <c r="J2750">
        <v>13</v>
      </c>
      <c r="K2750">
        <v>19.7</v>
      </c>
      <c r="L2750">
        <v>13.1</v>
      </c>
      <c r="M2750">
        <v>70</v>
      </c>
    </row>
    <row r="2751" spans="1:13" hidden="1" x14ac:dyDescent="0.25">
      <c r="A2751" t="s">
        <v>344</v>
      </c>
      <c r="B2751" t="s">
        <v>495</v>
      </c>
      <c r="C2751" t="s">
        <v>505</v>
      </c>
      <c r="D2751" t="s">
        <v>506</v>
      </c>
      <c r="E2751">
        <v>2</v>
      </c>
      <c r="F2751">
        <v>8</v>
      </c>
      <c r="G2751">
        <v>80</v>
      </c>
      <c r="H2751">
        <v>19</v>
      </c>
      <c r="I2751">
        <v>22.6</v>
      </c>
      <c r="J2751">
        <v>10.9</v>
      </c>
      <c r="K2751">
        <v>22.9</v>
      </c>
      <c r="L2751">
        <v>23.3</v>
      </c>
      <c r="M2751">
        <v>50</v>
      </c>
    </row>
    <row r="2752" spans="1:13" hidden="1" x14ac:dyDescent="0.25">
      <c r="A2752" t="s">
        <v>344</v>
      </c>
      <c r="B2752" t="s">
        <v>495</v>
      </c>
      <c r="C2752" t="s">
        <v>505</v>
      </c>
      <c r="D2752" t="s">
        <v>506</v>
      </c>
      <c r="E2752">
        <v>2</v>
      </c>
      <c r="F2752">
        <v>8</v>
      </c>
      <c r="G2752">
        <v>100</v>
      </c>
      <c r="H2752">
        <v>19</v>
      </c>
      <c r="I2752">
        <v>22.6</v>
      </c>
      <c r="J2752">
        <v>10.9</v>
      </c>
      <c r="K2752">
        <v>22.9</v>
      </c>
      <c r="L2752">
        <v>23.3</v>
      </c>
      <c r="M2752">
        <v>60</v>
      </c>
    </row>
    <row r="2753" spans="1:13" hidden="1" x14ac:dyDescent="0.25">
      <c r="A2753" t="s">
        <v>344</v>
      </c>
      <c r="B2753" t="s">
        <v>495</v>
      </c>
      <c r="C2753" t="s">
        <v>505</v>
      </c>
      <c r="D2753" t="s">
        <v>506</v>
      </c>
      <c r="E2753">
        <v>2</v>
      </c>
      <c r="F2753">
        <v>8</v>
      </c>
      <c r="G2753">
        <v>120</v>
      </c>
      <c r="H2753">
        <v>19</v>
      </c>
      <c r="I2753">
        <v>22.6</v>
      </c>
      <c r="J2753">
        <v>10.9</v>
      </c>
      <c r="K2753">
        <v>22.9</v>
      </c>
      <c r="L2753">
        <v>23.3</v>
      </c>
      <c r="M2753">
        <v>80</v>
      </c>
    </row>
    <row r="2754" spans="1:13" hidden="1" x14ac:dyDescent="0.25">
      <c r="A2754" t="s">
        <v>344</v>
      </c>
      <c r="B2754" t="s">
        <v>495</v>
      </c>
      <c r="C2754" t="s">
        <v>505</v>
      </c>
      <c r="D2754" t="s">
        <v>506</v>
      </c>
      <c r="E2754">
        <v>2</v>
      </c>
      <c r="F2754">
        <v>8</v>
      </c>
      <c r="G2754">
        <v>140</v>
      </c>
      <c r="H2754">
        <v>19</v>
      </c>
      <c r="I2754">
        <v>22.6</v>
      </c>
      <c r="J2754">
        <v>10.9</v>
      </c>
      <c r="K2754">
        <v>22.9</v>
      </c>
      <c r="L2754">
        <v>23.3</v>
      </c>
      <c r="M2754">
        <v>80</v>
      </c>
    </row>
    <row r="2755" spans="1:13" hidden="1" x14ac:dyDescent="0.25">
      <c r="A2755" t="s">
        <v>344</v>
      </c>
      <c r="B2755" t="s">
        <v>495</v>
      </c>
      <c r="C2755" t="s">
        <v>505</v>
      </c>
      <c r="D2755" t="s">
        <v>506</v>
      </c>
      <c r="E2755">
        <v>2</v>
      </c>
      <c r="F2755">
        <v>8</v>
      </c>
      <c r="G2755">
        <v>160</v>
      </c>
      <c r="H2755">
        <v>19</v>
      </c>
      <c r="I2755">
        <v>22.6</v>
      </c>
      <c r="J2755">
        <v>10.9</v>
      </c>
      <c r="K2755">
        <v>22.9</v>
      </c>
      <c r="L2755">
        <v>23.3</v>
      </c>
      <c r="M2755">
        <v>80</v>
      </c>
    </row>
    <row r="2756" spans="1:13" hidden="1" x14ac:dyDescent="0.25">
      <c r="A2756" t="s">
        <v>344</v>
      </c>
      <c r="B2756" t="s">
        <v>495</v>
      </c>
      <c r="C2756" t="s">
        <v>505</v>
      </c>
      <c r="D2756" t="s">
        <v>506</v>
      </c>
      <c r="E2756">
        <v>2</v>
      </c>
      <c r="F2756">
        <v>8</v>
      </c>
      <c r="G2756">
        <v>180</v>
      </c>
      <c r="H2756">
        <v>19</v>
      </c>
      <c r="I2756">
        <v>22.6</v>
      </c>
      <c r="J2756">
        <v>10.9</v>
      </c>
      <c r="K2756">
        <v>22.9</v>
      </c>
      <c r="L2756">
        <v>23.3</v>
      </c>
      <c r="M2756">
        <v>100</v>
      </c>
    </row>
    <row r="2757" spans="1:13" hidden="1" x14ac:dyDescent="0.25">
      <c r="A2757" t="s">
        <v>344</v>
      </c>
      <c r="B2757" t="s">
        <v>495</v>
      </c>
      <c r="C2757" t="s">
        <v>505</v>
      </c>
      <c r="D2757" t="s">
        <v>506</v>
      </c>
      <c r="E2757">
        <v>2</v>
      </c>
      <c r="F2757">
        <v>8</v>
      </c>
      <c r="G2757">
        <v>200</v>
      </c>
      <c r="H2757">
        <v>19</v>
      </c>
      <c r="I2757">
        <v>22.6</v>
      </c>
      <c r="J2757">
        <v>10.9</v>
      </c>
      <c r="K2757">
        <v>22.9</v>
      </c>
      <c r="L2757">
        <v>23.3</v>
      </c>
      <c r="M2757">
        <v>100</v>
      </c>
    </row>
    <row r="2758" spans="1:13" hidden="1" x14ac:dyDescent="0.25">
      <c r="A2758" t="s">
        <v>344</v>
      </c>
      <c r="B2758" t="s">
        <v>495</v>
      </c>
      <c r="C2758" t="s">
        <v>505</v>
      </c>
      <c r="D2758" t="s">
        <v>506</v>
      </c>
      <c r="E2758">
        <v>2</v>
      </c>
      <c r="F2758">
        <v>8</v>
      </c>
      <c r="G2758">
        <v>220</v>
      </c>
      <c r="H2758">
        <v>19</v>
      </c>
      <c r="I2758">
        <v>22.6</v>
      </c>
      <c r="J2758">
        <v>10.9</v>
      </c>
      <c r="K2758">
        <v>22.9</v>
      </c>
      <c r="L2758">
        <v>23.3</v>
      </c>
      <c r="M2758">
        <v>100</v>
      </c>
    </row>
    <row r="2759" spans="1:13" hidden="1" x14ac:dyDescent="0.25">
      <c r="A2759" t="s">
        <v>344</v>
      </c>
      <c r="B2759" t="s">
        <v>495</v>
      </c>
      <c r="C2759" t="s">
        <v>505</v>
      </c>
      <c r="D2759" t="s">
        <v>506</v>
      </c>
      <c r="E2759">
        <v>2</v>
      </c>
      <c r="F2759">
        <v>8</v>
      </c>
      <c r="G2759">
        <v>240</v>
      </c>
      <c r="H2759">
        <v>19</v>
      </c>
      <c r="I2759">
        <v>22.6</v>
      </c>
      <c r="J2759">
        <v>10.9</v>
      </c>
      <c r="K2759">
        <v>22.9</v>
      </c>
      <c r="L2759">
        <v>23.3</v>
      </c>
      <c r="M2759">
        <v>100</v>
      </c>
    </row>
    <row r="2760" spans="1:13" hidden="1" x14ac:dyDescent="0.25">
      <c r="A2760" t="s">
        <v>344</v>
      </c>
      <c r="B2760" t="s">
        <v>495</v>
      </c>
      <c r="C2760" t="s">
        <v>505</v>
      </c>
      <c r="D2760" t="s">
        <v>506</v>
      </c>
      <c r="E2760">
        <v>2</v>
      </c>
      <c r="F2760">
        <v>8</v>
      </c>
      <c r="G2760">
        <v>260</v>
      </c>
      <c r="H2760">
        <v>19</v>
      </c>
      <c r="I2760">
        <v>22.6</v>
      </c>
      <c r="J2760">
        <v>10.9</v>
      </c>
      <c r="K2760">
        <v>22.9</v>
      </c>
      <c r="L2760">
        <v>23.3</v>
      </c>
      <c r="M2760">
        <v>100</v>
      </c>
    </row>
    <row r="2761" spans="1:13" hidden="1" x14ac:dyDescent="0.25">
      <c r="A2761" t="s">
        <v>344</v>
      </c>
      <c r="B2761" t="s">
        <v>495</v>
      </c>
      <c r="C2761" t="s">
        <v>505</v>
      </c>
      <c r="D2761" t="s">
        <v>506</v>
      </c>
      <c r="E2761">
        <v>2</v>
      </c>
      <c r="F2761">
        <v>8</v>
      </c>
      <c r="G2761">
        <v>280</v>
      </c>
      <c r="H2761">
        <v>19</v>
      </c>
      <c r="I2761">
        <v>22.6</v>
      </c>
      <c r="J2761">
        <v>10.9</v>
      </c>
      <c r="K2761">
        <v>22.9</v>
      </c>
      <c r="L2761">
        <v>23.3</v>
      </c>
      <c r="M2761">
        <v>100</v>
      </c>
    </row>
    <row r="2762" spans="1:13" hidden="1" x14ac:dyDescent="0.25">
      <c r="A2762" t="s">
        <v>344</v>
      </c>
      <c r="B2762" t="s">
        <v>495</v>
      </c>
      <c r="C2762" t="s">
        <v>505</v>
      </c>
      <c r="D2762" t="s">
        <v>506</v>
      </c>
      <c r="E2762">
        <v>2</v>
      </c>
      <c r="F2762">
        <v>8</v>
      </c>
      <c r="G2762">
        <v>300</v>
      </c>
      <c r="H2762">
        <v>19</v>
      </c>
      <c r="I2762">
        <v>22.6</v>
      </c>
      <c r="J2762">
        <v>10.9</v>
      </c>
      <c r="K2762">
        <v>22.9</v>
      </c>
      <c r="L2762">
        <v>23.3</v>
      </c>
      <c r="M2762">
        <v>100</v>
      </c>
    </row>
    <row r="2763" spans="1:13" hidden="1" x14ac:dyDescent="0.25">
      <c r="A2763" t="s">
        <v>344</v>
      </c>
      <c r="B2763" t="s">
        <v>495</v>
      </c>
      <c r="C2763" t="s">
        <v>505</v>
      </c>
      <c r="D2763" t="s">
        <v>506</v>
      </c>
      <c r="E2763">
        <v>2</v>
      </c>
      <c r="F2763">
        <v>8</v>
      </c>
      <c r="G2763">
        <v>320</v>
      </c>
      <c r="H2763">
        <v>19</v>
      </c>
      <c r="I2763">
        <v>22.6</v>
      </c>
      <c r="J2763">
        <v>10.9</v>
      </c>
      <c r="K2763">
        <v>22.9</v>
      </c>
      <c r="L2763">
        <v>23.3</v>
      </c>
      <c r="M2763">
        <v>100</v>
      </c>
    </row>
    <row r="2764" spans="1:13" hidden="1" x14ac:dyDescent="0.25">
      <c r="A2764" t="s">
        <v>344</v>
      </c>
      <c r="B2764" t="s">
        <v>495</v>
      </c>
      <c r="C2764" t="s">
        <v>505</v>
      </c>
      <c r="D2764" t="s">
        <v>506</v>
      </c>
      <c r="E2764">
        <v>2</v>
      </c>
      <c r="F2764">
        <v>8</v>
      </c>
      <c r="G2764">
        <v>340</v>
      </c>
      <c r="H2764">
        <v>19</v>
      </c>
      <c r="I2764">
        <v>22.6</v>
      </c>
      <c r="J2764">
        <v>10.9</v>
      </c>
      <c r="K2764">
        <v>22.9</v>
      </c>
      <c r="L2764">
        <v>23.3</v>
      </c>
      <c r="M2764">
        <v>100</v>
      </c>
    </row>
    <row r="2765" spans="1:13" hidden="1" x14ac:dyDescent="0.25">
      <c r="A2765" t="s">
        <v>344</v>
      </c>
      <c r="B2765" t="s">
        <v>495</v>
      </c>
      <c r="C2765" t="s">
        <v>505</v>
      </c>
      <c r="D2765" t="s">
        <v>506</v>
      </c>
      <c r="E2765">
        <v>2</v>
      </c>
      <c r="F2765">
        <v>8</v>
      </c>
      <c r="G2765">
        <v>360</v>
      </c>
      <c r="H2765">
        <v>19</v>
      </c>
      <c r="I2765">
        <v>22.6</v>
      </c>
      <c r="J2765">
        <v>10.9</v>
      </c>
      <c r="K2765">
        <v>22.9</v>
      </c>
      <c r="L2765">
        <v>23.3</v>
      </c>
      <c r="M2765">
        <v>100</v>
      </c>
    </row>
    <row r="2766" spans="1:13" hidden="1" x14ac:dyDescent="0.25">
      <c r="A2766" t="s">
        <v>344</v>
      </c>
      <c r="B2766" t="s">
        <v>495</v>
      </c>
      <c r="C2766" t="s">
        <v>505</v>
      </c>
      <c r="D2766" t="s">
        <v>506</v>
      </c>
      <c r="E2766">
        <v>2</v>
      </c>
      <c r="F2766">
        <v>8</v>
      </c>
      <c r="G2766">
        <v>380</v>
      </c>
      <c r="H2766">
        <v>19</v>
      </c>
      <c r="I2766">
        <v>22.6</v>
      </c>
      <c r="J2766">
        <v>10.9</v>
      </c>
      <c r="K2766">
        <v>22.9</v>
      </c>
      <c r="L2766">
        <v>23.3</v>
      </c>
      <c r="M2766">
        <v>100</v>
      </c>
    </row>
    <row r="2767" spans="1:13" hidden="1" x14ac:dyDescent="0.25">
      <c r="A2767" t="s">
        <v>344</v>
      </c>
      <c r="B2767" t="s">
        <v>495</v>
      </c>
      <c r="C2767" t="s">
        <v>505</v>
      </c>
      <c r="D2767" t="s">
        <v>506</v>
      </c>
      <c r="E2767">
        <v>2</v>
      </c>
      <c r="F2767">
        <v>8</v>
      </c>
      <c r="G2767">
        <v>400</v>
      </c>
      <c r="H2767">
        <v>19</v>
      </c>
      <c r="I2767">
        <v>22.6</v>
      </c>
      <c r="J2767">
        <v>10.9</v>
      </c>
      <c r="K2767">
        <v>22.9</v>
      </c>
      <c r="L2767">
        <v>23.3</v>
      </c>
      <c r="M2767">
        <v>100</v>
      </c>
    </row>
    <row r="2768" spans="1:13" hidden="1" x14ac:dyDescent="0.25">
      <c r="A2768" t="s">
        <v>344</v>
      </c>
      <c r="B2768" t="s">
        <v>495</v>
      </c>
      <c r="C2768" t="s">
        <v>505</v>
      </c>
      <c r="D2768" t="s">
        <v>506</v>
      </c>
      <c r="E2768">
        <v>2</v>
      </c>
      <c r="F2768">
        <v>10</v>
      </c>
      <c r="G2768">
        <v>120</v>
      </c>
      <c r="H2768">
        <v>24</v>
      </c>
      <c r="I2768">
        <v>33.6</v>
      </c>
      <c r="J2768">
        <v>11</v>
      </c>
      <c r="K2768">
        <v>12.3</v>
      </c>
      <c r="L2768">
        <v>35</v>
      </c>
      <c r="M2768">
        <v>80</v>
      </c>
    </row>
    <row r="2769" spans="1:13" hidden="1" x14ac:dyDescent="0.25">
      <c r="A2769" t="s">
        <v>344</v>
      </c>
      <c r="B2769" t="s">
        <v>495</v>
      </c>
      <c r="C2769" t="s">
        <v>505</v>
      </c>
      <c r="D2769" t="s">
        <v>506</v>
      </c>
      <c r="E2769">
        <v>2</v>
      </c>
      <c r="F2769">
        <v>10</v>
      </c>
      <c r="G2769">
        <v>140</v>
      </c>
      <c r="H2769">
        <v>24</v>
      </c>
      <c r="I2769">
        <v>33.6</v>
      </c>
      <c r="J2769">
        <v>11</v>
      </c>
      <c r="K2769">
        <v>12.3</v>
      </c>
      <c r="L2769">
        <v>35</v>
      </c>
      <c r="M2769">
        <v>80</v>
      </c>
    </row>
    <row r="2770" spans="1:13" hidden="1" x14ac:dyDescent="0.25">
      <c r="A2770" t="s">
        <v>344</v>
      </c>
      <c r="B2770" t="s">
        <v>495</v>
      </c>
      <c r="C2770" t="s">
        <v>505</v>
      </c>
      <c r="D2770" t="s">
        <v>506</v>
      </c>
      <c r="E2770">
        <v>2</v>
      </c>
      <c r="F2770">
        <v>10</v>
      </c>
      <c r="G2770">
        <v>160</v>
      </c>
      <c r="H2770">
        <v>24</v>
      </c>
      <c r="I2770">
        <v>33.6</v>
      </c>
      <c r="J2770">
        <v>11</v>
      </c>
      <c r="K2770">
        <v>12.3</v>
      </c>
      <c r="L2770">
        <v>35</v>
      </c>
      <c r="M2770">
        <v>80</v>
      </c>
    </row>
    <row r="2771" spans="1:13" hidden="1" x14ac:dyDescent="0.25">
      <c r="A2771" t="s">
        <v>344</v>
      </c>
      <c r="B2771" t="s">
        <v>495</v>
      </c>
      <c r="C2771" t="s">
        <v>505</v>
      </c>
      <c r="D2771" t="s">
        <v>506</v>
      </c>
      <c r="E2771">
        <v>2</v>
      </c>
      <c r="F2771">
        <v>10</v>
      </c>
      <c r="G2771">
        <v>180</v>
      </c>
      <c r="H2771">
        <v>24</v>
      </c>
      <c r="I2771">
        <v>33.6</v>
      </c>
      <c r="J2771">
        <v>11</v>
      </c>
      <c r="K2771">
        <v>12.3</v>
      </c>
      <c r="L2771">
        <v>35</v>
      </c>
      <c r="M2771">
        <v>100</v>
      </c>
    </row>
    <row r="2772" spans="1:13" hidden="1" x14ac:dyDescent="0.25">
      <c r="A2772" t="s">
        <v>344</v>
      </c>
      <c r="B2772" t="s">
        <v>495</v>
      </c>
      <c r="C2772" t="s">
        <v>505</v>
      </c>
      <c r="D2772" t="s">
        <v>506</v>
      </c>
      <c r="E2772">
        <v>2</v>
      </c>
      <c r="F2772">
        <v>10</v>
      </c>
      <c r="G2772">
        <v>200</v>
      </c>
      <c r="H2772">
        <v>24</v>
      </c>
      <c r="I2772">
        <v>33.6</v>
      </c>
      <c r="J2772">
        <v>11</v>
      </c>
      <c r="K2772">
        <v>12.3</v>
      </c>
      <c r="L2772">
        <v>35</v>
      </c>
      <c r="M2772">
        <v>100</v>
      </c>
    </row>
    <row r="2773" spans="1:13" hidden="1" x14ac:dyDescent="0.25">
      <c r="A2773" t="s">
        <v>344</v>
      </c>
      <c r="B2773" t="s">
        <v>495</v>
      </c>
      <c r="C2773" t="s">
        <v>505</v>
      </c>
      <c r="D2773" t="s">
        <v>506</v>
      </c>
      <c r="E2773">
        <v>2</v>
      </c>
      <c r="F2773">
        <v>10</v>
      </c>
      <c r="G2773">
        <v>220</v>
      </c>
      <c r="H2773">
        <v>24</v>
      </c>
      <c r="I2773">
        <v>33.6</v>
      </c>
      <c r="J2773">
        <v>11</v>
      </c>
      <c r="K2773">
        <v>12.3</v>
      </c>
      <c r="L2773">
        <v>35</v>
      </c>
      <c r="M2773">
        <v>100</v>
      </c>
    </row>
    <row r="2774" spans="1:13" hidden="1" x14ac:dyDescent="0.25">
      <c r="A2774" t="s">
        <v>344</v>
      </c>
      <c r="B2774" t="s">
        <v>495</v>
      </c>
      <c r="C2774" t="s">
        <v>505</v>
      </c>
      <c r="D2774" t="s">
        <v>506</v>
      </c>
      <c r="E2774">
        <v>2</v>
      </c>
      <c r="F2774">
        <v>10</v>
      </c>
      <c r="G2774">
        <v>240</v>
      </c>
      <c r="H2774">
        <v>24</v>
      </c>
      <c r="I2774">
        <v>33.6</v>
      </c>
      <c r="J2774">
        <v>11</v>
      </c>
      <c r="K2774">
        <v>12.3</v>
      </c>
      <c r="L2774">
        <v>35</v>
      </c>
      <c r="M2774">
        <v>100</v>
      </c>
    </row>
    <row r="2775" spans="1:13" hidden="1" x14ac:dyDescent="0.25">
      <c r="A2775" t="s">
        <v>344</v>
      </c>
      <c r="B2775" t="s">
        <v>495</v>
      </c>
      <c r="C2775" t="s">
        <v>505</v>
      </c>
      <c r="D2775" t="s">
        <v>506</v>
      </c>
      <c r="E2775">
        <v>2</v>
      </c>
      <c r="F2775">
        <v>10</v>
      </c>
      <c r="G2775">
        <v>260</v>
      </c>
      <c r="H2775">
        <v>24</v>
      </c>
      <c r="I2775">
        <v>33.6</v>
      </c>
      <c r="J2775">
        <v>11</v>
      </c>
      <c r="K2775">
        <v>12.3</v>
      </c>
      <c r="L2775">
        <v>35</v>
      </c>
      <c r="M2775">
        <v>100</v>
      </c>
    </row>
    <row r="2776" spans="1:13" hidden="1" x14ac:dyDescent="0.25">
      <c r="A2776" t="s">
        <v>344</v>
      </c>
      <c r="B2776" t="s">
        <v>495</v>
      </c>
      <c r="C2776" t="s">
        <v>505</v>
      </c>
      <c r="D2776" t="s">
        <v>506</v>
      </c>
      <c r="E2776">
        <v>2</v>
      </c>
      <c r="F2776">
        <v>10</v>
      </c>
      <c r="G2776">
        <v>280</v>
      </c>
      <c r="H2776">
        <v>24</v>
      </c>
      <c r="I2776">
        <v>33.6</v>
      </c>
      <c r="J2776">
        <v>11</v>
      </c>
      <c r="K2776">
        <v>12.3</v>
      </c>
      <c r="L2776">
        <v>35</v>
      </c>
      <c r="M2776">
        <v>100</v>
      </c>
    </row>
    <row r="2777" spans="1:13" hidden="1" x14ac:dyDescent="0.25">
      <c r="A2777" t="s">
        <v>344</v>
      </c>
      <c r="B2777" t="s">
        <v>495</v>
      </c>
      <c r="C2777" t="s">
        <v>505</v>
      </c>
      <c r="D2777" t="s">
        <v>506</v>
      </c>
      <c r="E2777">
        <v>2</v>
      </c>
      <c r="F2777">
        <v>10</v>
      </c>
      <c r="G2777">
        <v>300</v>
      </c>
      <c r="H2777">
        <v>24</v>
      </c>
      <c r="I2777">
        <v>33.6</v>
      </c>
      <c r="J2777">
        <v>11</v>
      </c>
      <c r="K2777">
        <v>12.3</v>
      </c>
      <c r="L2777">
        <v>35</v>
      </c>
      <c r="M2777">
        <v>100</v>
      </c>
    </row>
    <row r="2778" spans="1:13" hidden="1" x14ac:dyDescent="0.25">
      <c r="A2778" t="s">
        <v>344</v>
      </c>
      <c r="B2778" t="s">
        <v>495</v>
      </c>
      <c r="C2778" t="s">
        <v>505</v>
      </c>
      <c r="D2778" t="s">
        <v>506</v>
      </c>
      <c r="E2778">
        <v>2</v>
      </c>
      <c r="F2778">
        <v>10</v>
      </c>
      <c r="G2778">
        <v>350</v>
      </c>
      <c r="H2778">
        <v>24</v>
      </c>
      <c r="I2778">
        <v>33.6</v>
      </c>
      <c r="J2778">
        <v>11</v>
      </c>
      <c r="K2778">
        <v>12.3</v>
      </c>
      <c r="L2778">
        <v>35</v>
      </c>
      <c r="M2778">
        <v>100</v>
      </c>
    </row>
    <row r="2779" spans="1:13" hidden="1" x14ac:dyDescent="0.25">
      <c r="A2779" t="s">
        <v>344</v>
      </c>
      <c r="B2779" t="s">
        <v>495</v>
      </c>
      <c r="C2779" t="s">
        <v>505</v>
      </c>
      <c r="D2779" t="s">
        <v>506</v>
      </c>
      <c r="E2779">
        <v>2</v>
      </c>
      <c r="F2779">
        <v>10</v>
      </c>
      <c r="G2779">
        <v>400</v>
      </c>
      <c r="H2779">
        <v>24</v>
      </c>
      <c r="I2779">
        <v>33.6</v>
      </c>
      <c r="J2779">
        <v>11</v>
      </c>
      <c r="K2779">
        <v>12.3</v>
      </c>
      <c r="L2779">
        <v>35</v>
      </c>
      <c r="M2779">
        <v>100</v>
      </c>
    </row>
    <row r="2780" spans="1:13" hidden="1" x14ac:dyDescent="0.25">
      <c r="A2780" t="s">
        <v>344</v>
      </c>
      <c r="B2780" t="s">
        <v>495</v>
      </c>
      <c r="C2780" t="s">
        <v>507</v>
      </c>
      <c r="D2780" t="s">
        <v>508</v>
      </c>
      <c r="E2780">
        <v>3</v>
      </c>
      <c r="F2780">
        <v>8</v>
      </c>
      <c r="G2780">
        <v>100</v>
      </c>
      <c r="H2780">
        <v>15</v>
      </c>
      <c r="I2780">
        <v>13.8</v>
      </c>
      <c r="J2780">
        <v>13.1</v>
      </c>
      <c r="K2780">
        <v>12.4</v>
      </c>
      <c r="L2780">
        <v>13.5</v>
      </c>
      <c r="M2780">
        <v>54</v>
      </c>
    </row>
    <row r="2781" spans="1:13" hidden="1" x14ac:dyDescent="0.25">
      <c r="A2781" t="s">
        <v>344</v>
      </c>
      <c r="B2781" t="s">
        <v>495</v>
      </c>
      <c r="C2781" t="s">
        <v>507</v>
      </c>
      <c r="D2781" t="s">
        <v>508</v>
      </c>
      <c r="E2781">
        <v>3</v>
      </c>
      <c r="F2781">
        <v>8</v>
      </c>
      <c r="G2781">
        <v>120</v>
      </c>
      <c r="H2781">
        <v>15</v>
      </c>
      <c r="I2781">
        <v>13.8</v>
      </c>
      <c r="J2781">
        <v>13.1</v>
      </c>
      <c r="K2781">
        <v>12.4</v>
      </c>
      <c r="L2781">
        <v>13.5</v>
      </c>
      <c r="M2781">
        <v>54</v>
      </c>
    </row>
    <row r="2782" spans="1:13" hidden="1" x14ac:dyDescent="0.25">
      <c r="A2782" t="s">
        <v>344</v>
      </c>
      <c r="B2782" t="s">
        <v>495</v>
      </c>
      <c r="C2782" t="s">
        <v>507</v>
      </c>
      <c r="D2782" t="s">
        <v>508</v>
      </c>
      <c r="E2782">
        <v>3</v>
      </c>
      <c r="F2782">
        <v>8</v>
      </c>
      <c r="G2782">
        <v>140</v>
      </c>
      <c r="H2782">
        <v>15</v>
      </c>
      <c r="I2782">
        <v>13.8</v>
      </c>
      <c r="J2782">
        <v>13.1</v>
      </c>
      <c r="K2782">
        <v>12.4</v>
      </c>
      <c r="L2782">
        <v>13.5</v>
      </c>
      <c r="M2782">
        <v>84</v>
      </c>
    </row>
    <row r="2783" spans="1:13" hidden="1" x14ac:dyDescent="0.25">
      <c r="A2783" t="s">
        <v>344</v>
      </c>
      <c r="B2783" t="s">
        <v>495</v>
      </c>
      <c r="C2783" t="s">
        <v>509</v>
      </c>
      <c r="D2783" t="s">
        <v>510</v>
      </c>
      <c r="E2783">
        <v>3</v>
      </c>
      <c r="F2783">
        <v>8</v>
      </c>
      <c r="G2783">
        <v>100</v>
      </c>
      <c r="H2783">
        <v>20</v>
      </c>
      <c r="I2783">
        <v>13.8</v>
      </c>
      <c r="J2783">
        <v>13.1</v>
      </c>
      <c r="K2783">
        <v>17.600000000000001</v>
      </c>
      <c r="L2783">
        <v>13.5</v>
      </c>
      <c r="M2783">
        <v>54</v>
      </c>
    </row>
    <row r="2784" spans="1:13" hidden="1" x14ac:dyDescent="0.25">
      <c r="A2784" t="s">
        <v>344</v>
      </c>
      <c r="B2784" t="s">
        <v>495</v>
      </c>
      <c r="C2784" t="s">
        <v>509</v>
      </c>
      <c r="D2784" t="s">
        <v>510</v>
      </c>
      <c r="E2784">
        <v>3</v>
      </c>
      <c r="F2784">
        <v>8</v>
      </c>
      <c r="G2784">
        <v>120</v>
      </c>
      <c r="H2784">
        <v>20</v>
      </c>
      <c r="I2784">
        <v>13.8</v>
      </c>
      <c r="J2784">
        <v>13.1</v>
      </c>
      <c r="K2784">
        <v>17.600000000000001</v>
      </c>
      <c r="L2784">
        <v>13.5</v>
      </c>
      <c r="M2784">
        <v>54</v>
      </c>
    </row>
    <row r="2785" spans="1:13" hidden="1" x14ac:dyDescent="0.25">
      <c r="A2785" t="s">
        <v>344</v>
      </c>
      <c r="B2785" t="s">
        <v>495</v>
      </c>
      <c r="C2785" t="s">
        <v>509</v>
      </c>
      <c r="D2785" t="s">
        <v>510</v>
      </c>
      <c r="E2785">
        <v>3</v>
      </c>
      <c r="F2785">
        <v>8</v>
      </c>
      <c r="G2785">
        <v>140</v>
      </c>
      <c r="H2785">
        <v>20</v>
      </c>
      <c r="I2785">
        <v>13.8</v>
      </c>
      <c r="J2785">
        <v>13.1</v>
      </c>
      <c r="K2785">
        <v>17.600000000000001</v>
      </c>
      <c r="L2785">
        <v>13.5</v>
      </c>
      <c r="M2785">
        <v>84</v>
      </c>
    </row>
    <row r="2786" spans="1:13" hidden="1" x14ac:dyDescent="0.25">
      <c r="A2786" t="s">
        <v>344</v>
      </c>
      <c r="B2786" t="s">
        <v>495</v>
      </c>
      <c r="C2786" t="s">
        <v>491</v>
      </c>
      <c r="D2786" t="s">
        <v>493</v>
      </c>
      <c r="E2786">
        <v>1</v>
      </c>
      <c r="F2786">
        <v>4</v>
      </c>
      <c r="G2786">
        <v>30</v>
      </c>
      <c r="H2786">
        <v>8</v>
      </c>
      <c r="I2786">
        <v>3.2</v>
      </c>
      <c r="J2786">
        <v>14.8</v>
      </c>
      <c r="K2786">
        <v>17.100000000000001</v>
      </c>
      <c r="L2786">
        <v>5</v>
      </c>
      <c r="M2786">
        <v>24</v>
      </c>
    </row>
    <row r="2787" spans="1:13" hidden="1" x14ac:dyDescent="0.25">
      <c r="A2787" t="s">
        <v>344</v>
      </c>
      <c r="B2787" t="s">
        <v>495</v>
      </c>
      <c r="C2787" t="s">
        <v>491</v>
      </c>
      <c r="D2787" t="s">
        <v>493</v>
      </c>
      <c r="E2787">
        <v>1</v>
      </c>
      <c r="F2787">
        <v>4</v>
      </c>
      <c r="G2787">
        <v>35</v>
      </c>
      <c r="H2787">
        <v>8</v>
      </c>
      <c r="I2787">
        <v>3.2</v>
      </c>
      <c r="J2787">
        <v>14.8</v>
      </c>
      <c r="K2787">
        <v>17.100000000000001</v>
      </c>
      <c r="L2787">
        <v>5</v>
      </c>
      <c r="M2787">
        <v>24</v>
      </c>
    </row>
    <row r="2788" spans="1:13" hidden="1" x14ac:dyDescent="0.25">
      <c r="A2788" t="s">
        <v>344</v>
      </c>
      <c r="B2788" t="s">
        <v>495</v>
      </c>
      <c r="C2788" t="s">
        <v>491</v>
      </c>
      <c r="D2788" t="s">
        <v>493</v>
      </c>
      <c r="E2788">
        <v>1</v>
      </c>
      <c r="F2788">
        <v>4</v>
      </c>
      <c r="G2788">
        <v>40</v>
      </c>
      <c r="H2788">
        <v>8</v>
      </c>
      <c r="I2788">
        <v>3.2</v>
      </c>
      <c r="J2788">
        <v>14.8</v>
      </c>
      <c r="K2788">
        <v>17.100000000000001</v>
      </c>
      <c r="L2788">
        <v>5</v>
      </c>
      <c r="M2788">
        <v>30</v>
      </c>
    </row>
    <row r="2789" spans="1:13" hidden="1" x14ac:dyDescent="0.25">
      <c r="A2789" t="s">
        <v>344</v>
      </c>
      <c r="B2789" t="s">
        <v>495</v>
      </c>
      <c r="C2789" t="s">
        <v>491</v>
      </c>
      <c r="D2789" t="s">
        <v>493</v>
      </c>
      <c r="E2789">
        <v>1</v>
      </c>
      <c r="F2789">
        <v>4</v>
      </c>
      <c r="G2789">
        <v>50</v>
      </c>
      <c r="H2789">
        <v>8</v>
      </c>
      <c r="I2789">
        <v>3.2</v>
      </c>
      <c r="J2789">
        <v>14.8</v>
      </c>
      <c r="K2789">
        <v>17.100000000000001</v>
      </c>
      <c r="L2789">
        <v>5</v>
      </c>
      <c r="M2789">
        <v>30</v>
      </c>
    </row>
    <row r="2790" spans="1:13" hidden="1" x14ac:dyDescent="0.25">
      <c r="A2790" t="s">
        <v>344</v>
      </c>
      <c r="B2790" t="s">
        <v>495</v>
      </c>
      <c r="C2790" t="s">
        <v>491</v>
      </c>
      <c r="D2790" t="s">
        <v>493</v>
      </c>
      <c r="E2790">
        <v>1</v>
      </c>
      <c r="F2790">
        <v>4</v>
      </c>
      <c r="G2790">
        <v>60</v>
      </c>
      <c r="H2790">
        <v>8</v>
      </c>
      <c r="I2790">
        <v>3.2</v>
      </c>
      <c r="J2790">
        <v>14.8</v>
      </c>
      <c r="K2790">
        <v>17.100000000000001</v>
      </c>
      <c r="L2790">
        <v>5</v>
      </c>
      <c r="M2790">
        <v>35</v>
      </c>
    </row>
    <row r="2791" spans="1:13" hidden="1" x14ac:dyDescent="0.25">
      <c r="A2791" t="s">
        <v>344</v>
      </c>
      <c r="B2791" t="s">
        <v>495</v>
      </c>
      <c r="C2791" t="s">
        <v>491</v>
      </c>
      <c r="D2791" t="s">
        <v>493</v>
      </c>
      <c r="E2791">
        <v>1</v>
      </c>
      <c r="F2791">
        <v>4</v>
      </c>
      <c r="G2791">
        <v>70</v>
      </c>
      <c r="H2791">
        <v>8</v>
      </c>
      <c r="I2791">
        <v>3.2</v>
      </c>
      <c r="J2791">
        <v>14.8</v>
      </c>
      <c r="K2791">
        <v>17.100000000000001</v>
      </c>
      <c r="L2791">
        <v>5</v>
      </c>
      <c r="M2791">
        <v>35</v>
      </c>
    </row>
    <row r="2792" spans="1:13" hidden="1" x14ac:dyDescent="0.25">
      <c r="A2792" t="s">
        <v>344</v>
      </c>
      <c r="B2792" t="s">
        <v>495</v>
      </c>
      <c r="C2792" t="s">
        <v>491</v>
      </c>
      <c r="D2792" t="s">
        <v>493</v>
      </c>
      <c r="E2792">
        <v>2</v>
      </c>
      <c r="F2792">
        <v>4.5</v>
      </c>
      <c r="G2792">
        <v>50</v>
      </c>
      <c r="H2792">
        <v>9</v>
      </c>
      <c r="I2792">
        <v>4.9000000000000004</v>
      </c>
      <c r="J2792">
        <v>13.8</v>
      </c>
      <c r="K2792">
        <v>17.600000000000001</v>
      </c>
      <c r="L2792">
        <v>5.8</v>
      </c>
      <c r="M2792">
        <v>29</v>
      </c>
    </row>
    <row r="2793" spans="1:13" hidden="1" x14ac:dyDescent="0.25">
      <c r="A2793" t="s">
        <v>344</v>
      </c>
      <c r="B2793" t="s">
        <v>495</v>
      </c>
      <c r="C2793" t="s">
        <v>491</v>
      </c>
      <c r="D2793" t="s">
        <v>493</v>
      </c>
      <c r="E2793">
        <v>2</v>
      </c>
      <c r="F2793">
        <v>4.5</v>
      </c>
      <c r="G2793">
        <v>60</v>
      </c>
      <c r="H2793">
        <v>9</v>
      </c>
      <c r="I2793">
        <v>4.9000000000000004</v>
      </c>
      <c r="J2793">
        <v>13.8</v>
      </c>
      <c r="K2793">
        <v>17.600000000000001</v>
      </c>
      <c r="L2793">
        <v>5.8</v>
      </c>
      <c r="M2793">
        <v>29</v>
      </c>
    </row>
    <row r="2794" spans="1:13" hidden="1" x14ac:dyDescent="0.25">
      <c r="A2794" t="s">
        <v>344</v>
      </c>
      <c r="B2794" t="s">
        <v>495</v>
      </c>
      <c r="C2794" t="s">
        <v>491</v>
      </c>
      <c r="D2794" t="s">
        <v>493</v>
      </c>
      <c r="E2794">
        <v>2</v>
      </c>
      <c r="F2794">
        <v>4.5</v>
      </c>
      <c r="G2794">
        <v>70</v>
      </c>
      <c r="H2794">
        <v>9</v>
      </c>
      <c r="I2794">
        <v>4.9000000000000004</v>
      </c>
      <c r="J2794">
        <v>13.8</v>
      </c>
      <c r="K2794">
        <v>17.600000000000001</v>
      </c>
      <c r="L2794">
        <v>5.8</v>
      </c>
      <c r="M2794">
        <v>39</v>
      </c>
    </row>
    <row r="2795" spans="1:13" hidden="1" x14ac:dyDescent="0.25">
      <c r="A2795" t="s">
        <v>344</v>
      </c>
      <c r="B2795" t="s">
        <v>495</v>
      </c>
      <c r="C2795" t="s">
        <v>491</v>
      </c>
      <c r="D2795" t="s">
        <v>493</v>
      </c>
      <c r="E2795">
        <v>2</v>
      </c>
      <c r="F2795">
        <v>4.5</v>
      </c>
      <c r="G2795">
        <v>80</v>
      </c>
      <c r="H2795">
        <v>9</v>
      </c>
      <c r="I2795">
        <v>4.9000000000000004</v>
      </c>
      <c r="J2795">
        <v>13.8</v>
      </c>
      <c r="K2795">
        <v>17.600000000000001</v>
      </c>
      <c r="L2795">
        <v>5.8</v>
      </c>
      <c r="M2795">
        <v>39</v>
      </c>
    </row>
    <row r="2796" spans="1:13" hidden="1" x14ac:dyDescent="0.25">
      <c r="A2796" t="s">
        <v>344</v>
      </c>
      <c r="B2796" t="s">
        <v>495</v>
      </c>
      <c r="C2796" t="s">
        <v>491</v>
      </c>
      <c r="D2796" t="s">
        <v>493</v>
      </c>
      <c r="E2796">
        <v>2</v>
      </c>
      <c r="F2796">
        <v>5</v>
      </c>
      <c r="G2796">
        <v>50</v>
      </c>
      <c r="H2796">
        <v>10</v>
      </c>
      <c r="I2796">
        <v>6.5</v>
      </c>
      <c r="J2796">
        <v>12.8</v>
      </c>
      <c r="K2796">
        <v>14.6</v>
      </c>
      <c r="L2796">
        <v>8.5</v>
      </c>
      <c r="M2796">
        <v>30</v>
      </c>
    </row>
    <row r="2797" spans="1:13" hidden="1" x14ac:dyDescent="0.25">
      <c r="A2797" t="s">
        <v>344</v>
      </c>
      <c r="B2797" t="s">
        <v>495</v>
      </c>
      <c r="C2797" t="s">
        <v>491</v>
      </c>
      <c r="D2797" t="s">
        <v>493</v>
      </c>
      <c r="E2797">
        <v>2</v>
      </c>
      <c r="F2797">
        <v>5</v>
      </c>
      <c r="G2797">
        <v>60</v>
      </c>
      <c r="H2797">
        <v>10</v>
      </c>
      <c r="I2797">
        <v>6.5</v>
      </c>
      <c r="J2797">
        <v>12.8</v>
      </c>
      <c r="K2797">
        <v>14.6</v>
      </c>
      <c r="L2797">
        <v>8.5</v>
      </c>
      <c r="M2797">
        <v>30</v>
      </c>
    </row>
    <row r="2798" spans="1:13" hidden="1" x14ac:dyDescent="0.25">
      <c r="A2798" t="s">
        <v>344</v>
      </c>
      <c r="B2798" t="s">
        <v>495</v>
      </c>
      <c r="C2798" t="s">
        <v>491</v>
      </c>
      <c r="D2798" t="s">
        <v>493</v>
      </c>
      <c r="E2798">
        <v>2</v>
      </c>
      <c r="F2798">
        <v>5</v>
      </c>
      <c r="G2798">
        <v>70</v>
      </c>
      <c r="H2798">
        <v>10</v>
      </c>
      <c r="I2798">
        <v>6.5</v>
      </c>
      <c r="J2798">
        <v>12.8</v>
      </c>
      <c r="K2798">
        <v>14.6</v>
      </c>
      <c r="L2798">
        <v>8.5</v>
      </c>
      <c r="M2798">
        <v>37</v>
      </c>
    </row>
    <row r="2799" spans="1:13" hidden="1" x14ac:dyDescent="0.25">
      <c r="A2799" t="s">
        <v>344</v>
      </c>
      <c r="B2799" t="s">
        <v>495</v>
      </c>
      <c r="C2799" t="s">
        <v>491</v>
      </c>
      <c r="D2799" t="s">
        <v>493</v>
      </c>
      <c r="E2799">
        <v>2</v>
      </c>
      <c r="F2799">
        <v>5</v>
      </c>
      <c r="G2799">
        <v>80</v>
      </c>
      <c r="H2799">
        <v>10</v>
      </c>
      <c r="I2799">
        <v>6.5</v>
      </c>
      <c r="J2799">
        <v>12.8</v>
      </c>
      <c r="K2799">
        <v>14.6</v>
      </c>
      <c r="L2799">
        <v>8.5</v>
      </c>
      <c r="M2799">
        <v>37</v>
      </c>
    </row>
    <row r="2800" spans="1:13" hidden="1" x14ac:dyDescent="0.25">
      <c r="A2800" t="s">
        <v>344</v>
      </c>
      <c r="B2800" t="s">
        <v>495</v>
      </c>
      <c r="C2800" t="s">
        <v>491</v>
      </c>
      <c r="D2800" t="s">
        <v>493</v>
      </c>
      <c r="E2800">
        <v>2</v>
      </c>
      <c r="F2800">
        <v>5</v>
      </c>
      <c r="G2800">
        <v>90</v>
      </c>
      <c r="H2800">
        <v>10</v>
      </c>
      <c r="I2800">
        <v>6.5</v>
      </c>
      <c r="J2800">
        <v>12.8</v>
      </c>
      <c r="K2800">
        <v>14.6</v>
      </c>
      <c r="L2800">
        <v>8.5</v>
      </c>
      <c r="M2800">
        <v>55</v>
      </c>
    </row>
    <row r="2801" spans="1:13" hidden="1" x14ac:dyDescent="0.25">
      <c r="A2801" t="s">
        <v>344</v>
      </c>
      <c r="B2801" t="s">
        <v>495</v>
      </c>
      <c r="C2801" t="s">
        <v>491</v>
      </c>
      <c r="D2801" t="s">
        <v>493</v>
      </c>
      <c r="E2801">
        <v>2</v>
      </c>
      <c r="F2801">
        <v>5</v>
      </c>
      <c r="G2801">
        <v>100</v>
      </c>
      <c r="H2801">
        <v>10</v>
      </c>
      <c r="I2801">
        <v>6.5</v>
      </c>
      <c r="J2801">
        <v>12.8</v>
      </c>
      <c r="K2801">
        <v>14.6</v>
      </c>
      <c r="L2801">
        <v>8.5</v>
      </c>
      <c r="M2801">
        <v>55</v>
      </c>
    </row>
    <row r="2802" spans="1:13" hidden="1" x14ac:dyDescent="0.25">
      <c r="A2802" t="s">
        <v>344</v>
      </c>
      <c r="B2802" t="s">
        <v>495</v>
      </c>
      <c r="C2802" t="s">
        <v>491</v>
      </c>
      <c r="D2802" t="s">
        <v>493</v>
      </c>
      <c r="E2802">
        <v>2</v>
      </c>
      <c r="F2802">
        <v>5</v>
      </c>
      <c r="G2802">
        <v>120</v>
      </c>
      <c r="H2802">
        <v>10</v>
      </c>
      <c r="I2802">
        <v>6.5</v>
      </c>
      <c r="J2802">
        <v>12.8</v>
      </c>
      <c r="K2802">
        <v>14.6</v>
      </c>
      <c r="L2802">
        <v>8.5</v>
      </c>
      <c r="M2802">
        <v>55</v>
      </c>
    </row>
    <row r="2803" spans="1:13" hidden="1" x14ac:dyDescent="0.25">
      <c r="A2803" t="s">
        <v>344</v>
      </c>
      <c r="B2803" t="s">
        <v>495</v>
      </c>
      <c r="C2803" t="s">
        <v>491</v>
      </c>
      <c r="D2803" t="s">
        <v>493</v>
      </c>
      <c r="E2803">
        <v>2</v>
      </c>
      <c r="F2803">
        <v>6</v>
      </c>
      <c r="G2803">
        <v>60</v>
      </c>
      <c r="H2803">
        <v>12</v>
      </c>
      <c r="I2803">
        <v>10.1</v>
      </c>
      <c r="J2803">
        <v>13.5</v>
      </c>
      <c r="K2803">
        <v>14.6</v>
      </c>
      <c r="L2803">
        <v>12.4</v>
      </c>
      <c r="M2803">
        <v>36</v>
      </c>
    </row>
    <row r="2804" spans="1:13" hidden="1" x14ac:dyDescent="0.25">
      <c r="A2804" t="s">
        <v>344</v>
      </c>
      <c r="B2804" t="s">
        <v>495</v>
      </c>
      <c r="C2804" t="s">
        <v>491</v>
      </c>
      <c r="D2804" t="s">
        <v>493</v>
      </c>
      <c r="E2804">
        <v>2</v>
      </c>
      <c r="F2804">
        <v>6</v>
      </c>
      <c r="G2804">
        <v>70</v>
      </c>
      <c r="H2804">
        <v>12</v>
      </c>
      <c r="I2804">
        <v>10.1</v>
      </c>
      <c r="J2804">
        <v>13.5</v>
      </c>
      <c r="K2804">
        <v>14.6</v>
      </c>
      <c r="L2804">
        <v>12.4</v>
      </c>
      <c r="M2804">
        <v>36</v>
      </c>
    </row>
    <row r="2805" spans="1:13" hidden="1" x14ac:dyDescent="0.25">
      <c r="A2805" t="s">
        <v>344</v>
      </c>
      <c r="B2805" t="s">
        <v>495</v>
      </c>
      <c r="C2805" t="s">
        <v>491</v>
      </c>
      <c r="D2805" t="s">
        <v>493</v>
      </c>
      <c r="E2805">
        <v>2</v>
      </c>
      <c r="F2805">
        <v>6</v>
      </c>
      <c r="G2805">
        <v>80</v>
      </c>
      <c r="H2805">
        <v>12</v>
      </c>
      <c r="I2805">
        <v>10.1</v>
      </c>
      <c r="J2805">
        <v>13.5</v>
      </c>
      <c r="K2805">
        <v>14.6</v>
      </c>
      <c r="L2805">
        <v>12.4</v>
      </c>
      <c r="M2805">
        <v>48</v>
      </c>
    </row>
    <row r="2806" spans="1:13" hidden="1" x14ac:dyDescent="0.25">
      <c r="A2806" t="s">
        <v>344</v>
      </c>
      <c r="B2806" t="s">
        <v>495</v>
      </c>
      <c r="C2806" t="s">
        <v>491</v>
      </c>
      <c r="D2806" t="s">
        <v>493</v>
      </c>
      <c r="E2806">
        <v>2</v>
      </c>
      <c r="F2806">
        <v>6</v>
      </c>
      <c r="G2806">
        <v>90</v>
      </c>
      <c r="H2806">
        <v>12</v>
      </c>
      <c r="I2806">
        <v>10.1</v>
      </c>
      <c r="J2806">
        <v>13.5</v>
      </c>
      <c r="K2806">
        <v>14.6</v>
      </c>
      <c r="L2806">
        <v>12.4</v>
      </c>
      <c r="M2806">
        <v>48</v>
      </c>
    </row>
    <row r="2807" spans="1:13" hidden="1" x14ac:dyDescent="0.25">
      <c r="A2807" t="s">
        <v>344</v>
      </c>
      <c r="B2807" t="s">
        <v>495</v>
      </c>
      <c r="C2807" t="s">
        <v>491</v>
      </c>
      <c r="D2807" t="s">
        <v>493</v>
      </c>
      <c r="E2807">
        <v>2</v>
      </c>
      <c r="F2807">
        <v>6</v>
      </c>
      <c r="G2807">
        <v>100</v>
      </c>
      <c r="H2807">
        <v>12</v>
      </c>
      <c r="I2807">
        <v>10.1</v>
      </c>
      <c r="J2807">
        <v>13.5</v>
      </c>
      <c r="K2807">
        <v>14.6</v>
      </c>
      <c r="L2807">
        <v>12.4</v>
      </c>
      <c r="M2807">
        <v>48</v>
      </c>
    </row>
    <row r="2808" spans="1:13" hidden="1" x14ac:dyDescent="0.25">
      <c r="A2808" t="s">
        <v>344</v>
      </c>
      <c r="B2808" t="s">
        <v>495</v>
      </c>
      <c r="C2808" t="s">
        <v>491</v>
      </c>
      <c r="D2808" t="s">
        <v>493</v>
      </c>
      <c r="E2808">
        <v>2</v>
      </c>
      <c r="F2808">
        <v>6</v>
      </c>
      <c r="G2808">
        <v>110</v>
      </c>
      <c r="H2808">
        <v>12</v>
      </c>
      <c r="I2808">
        <v>10.1</v>
      </c>
      <c r="J2808">
        <v>13.5</v>
      </c>
      <c r="K2808">
        <v>14.6</v>
      </c>
      <c r="L2808">
        <v>12.4</v>
      </c>
      <c r="M2808">
        <v>64</v>
      </c>
    </row>
    <row r="2809" spans="1:13" hidden="1" x14ac:dyDescent="0.25">
      <c r="A2809" t="s">
        <v>344</v>
      </c>
      <c r="B2809" t="s">
        <v>495</v>
      </c>
      <c r="C2809" t="s">
        <v>491</v>
      </c>
      <c r="D2809" t="s">
        <v>493</v>
      </c>
      <c r="E2809">
        <v>2</v>
      </c>
      <c r="F2809">
        <v>6</v>
      </c>
      <c r="G2809">
        <v>120</v>
      </c>
      <c r="H2809">
        <v>12</v>
      </c>
      <c r="I2809">
        <v>10.1</v>
      </c>
      <c r="J2809">
        <v>13.5</v>
      </c>
      <c r="K2809">
        <v>14.6</v>
      </c>
      <c r="L2809">
        <v>12.4</v>
      </c>
      <c r="M2809">
        <v>64</v>
      </c>
    </row>
    <row r="2810" spans="1:13" hidden="1" x14ac:dyDescent="0.25">
      <c r="A2810" t="s">
        <v>344</v>
      </c>
      <c r="B2810" t="s">
        <v>495</v>
      </c>
      <c r="C2810" t="s">
        <v>491</v>
      </c>
      <c r="D2810" t="s">
        <v>493</v>
      </c>
      <c r="E2810">
        <v>2</v>
      </c>
      <c r="F2810">
        <v>6</v>
      </c>
      <c r="G2810">
        <v>130</v>
      </c>
      <c r="H2810">
        <v>12</v>
      </c>
      <c r="I2810">
        <v>10.1</v>
      </c>
      <c r="J2810">
        <v>13.5</v>
      </c>
      <c r="K2810">
        <v>14.6</v>
      </c>
      <c r="L2810">
        <v>12.4</v>
      </c>
      <c r="M2810">
        <v>64</v>
      </c>
    </row>
    <row r="2811" spans="1:13" hidden="1" x14ac:dyDescent="0.25">
      <c r="A2811" t="s">
        <v>344</v>
      </c>
      <c r="B2811" t="s">
        <v>495</v>
      </c>
      <c r="C2811" t="s">
        <v>491</v>
      </c>
      <c r="D2811" t="s">
        <v>493</v>
      </c>
      <c r="E2811">
        <v>2</v>
      </c>
      <c r="F2811">
        <v>6</v>
      </c>
      <c r="G2811">
        <v>140</v>
      </c>
      <c r="H2811">
        <v>12</v>
      </c>
      <c r="I2811">
        <v>10.1</v>
      </c>
      <c r="J2811">
        <v>13.5</v>
      </c>
      <c r="K2811">
        <v>14.6</v>
      </c>
      <c r="L2811">
        <v>12.4</v>
      </c>
      <c r="M2811">
        <v>64</v>
      </c>
    </row>
    <row r="2812" spans="1:13" hidden="1" x14ac:dyDescent="0.25">
      <c r="A2812" t="s">
        <v>344</v>
      </c>
      <c r="B2812" t="s">
        <v>495</v>
      </c>
      <c r="C2812" t="s">
        <v>491</v>
      </c>
      <c r="D2812" t="s">
        <v>493</v>
      </c>
      <c r="E2812">
        <v>2</v>
      </c>
      <c r="F2812">
        <v>6</v>
      </c>
      <c r="G2812">
        <v>150</v>
      </c>
      <c r="H2812">
        <v>12</v>
      </c>
      <c r="I2812">
        <v>10.1</v>
      </c>
      <c r="J2812">
        <v>13.5</v>
      </c>
      <c r="K2812">
        <v>14.6</v>
      </c>
      <c r="L2812">
        <v>12.4</v>
      </c>
      <c r="M2812">
        <v>64</v>
      </c>
    </row>
    <row r="2813" spans="1:13" hidden="1" x14ac:dyDescent="0.25">
      <c r="A2813" t="s">
        <v>344</v>
      </c>
      <c r="B2813" t="s">
        <v>495</v>
      </c>
      <c r="C2813" t="s">
        <v>491</v>
      </c>
      <c r="D2813" t="s">
        <v>493</v>
      </c>
      <c r="E2813">
        <v>2</v>
      </c>
      <c r="F2813">
        <v>6</v>
      </c>
      <c r="G2813">
        <v>160</v>
      </c>
      <c r="H2813">
        <v>12</v>
      </c>
      <c r="I2813">
        <v>10.1</v>
      </c>
      <c r="J2813">
        <v>13.5</v>
      </c>
      <c r="K2813">
        <v>14.6</v>
      </c>
      <c r="L2813">
        <v>12.4</v>
      </c>
      <c r="M2813">
        <v>64</v>
      </c>
    </row>
    <row r="2814" spans="1:13" hidden="1" x14ac:dyDescent="0.25">
      <c r="A2814" t="s">
        <v>344</v>
      </c>
      <c r="B2814" t="s">
        <v>495</v>
      </c>
      <c r="C2814" t="s">
        <v>491</v>
      </c>
      <c r="D2814" t="s">
        <v>493</v>
      </c>
      <c r="E2814">
        <v>2</v>
      </c>
      <c r="F2814">
        <v>6</v>
      </c>
      <c r="G2814">
        <v>180</v>
      </c>
      <c r="H2814">
        <v>12</v>
      </c>
      <c r="I2814">
        <v>10.1</v>
      </c>
      <c r="J2814">
        <v>13.5</v>
      </c>
      <c r="K2814">
        <v>14.6</v>
      </c>
      <c r="L2814">
        <v>12.4</v>
      </c>
      <c r="M2814">
        <v>64</v>
      </c>
    </row>
    <row r="2815" spans="1:13" hidden="1" x14ac:dyDescent="0.25">
      <c r="A2815" t="s">
        <v>344</v>
      </c>
      <c r="B2815" t="s">
        <v>495</v>
      </c>
      <c r="C2815" t="s">
        <v>491</v>
      </c>
      <c r="D2815" t="s">
        <v>493</v>
      </c>
      <c r="E2815">
        <v>2</v>
      </c>
      <c r="F2815">
        <v>6</v>
      </c>
      <c r="G2815">
        <v>200</v>
      </c>
      <c r="H2815">
        <v>12</v>
      </c>
      <c r="I2815">
        <v>10.1</v>
      </c>
      <c r="J2815">
        <v>13.5</v>
      </c>
      <c r="K2815">
        <v>14.6</v>
      </c>
      <c r="L2815">
        <v>12.4</v>
      </c>
      <c r="M2815">
        <v>64</v>
      </c>
    </row>
    <row r="2816" spans="1:13" hidden="1" x14ac:dyDescent="0.25">
      <c r="A2816" t="s">
        <v>344</v>
      </c>
      <c r="B2816" t="s">
        <v>495</v>
      </c>
      <c r="C2816" t="s">
        <v>491</v>
      </c>
      <c r="D2816" t="s">
        <v>493</v>
      </c>
      <c r="E2816">
        <v>2</v>
      </c>
      <c r="F2816">
        <v>6</v>
      </c>
      <c r="G2816">
        <v>220</v>
      </c>
      <c r="H2816">
        <v>12</v>
      </c>
      <c r="I2816">
        <v>10.1</v>
      </c>
      <c r="J2816">
        <v>13.5</v>
      </c>
      <c r="K2816">
        <v>14.6</v>
      </c>
      <c r="L2816">
        <v>12.4</v>
      </c>
      <c r="M2816">
        <v>64</v>
      </c>
    </row>
    <row r="2817" spans="1:13" hidden="1" x14ac:dyDescent="0.25">
      <c r="A2817" t="s">
        <v>344</v>
      </c>
      <c r="B2817" t="s">
        <v>495</v>
      </c>
      <c r="C2817" t="s">
        <v>491</v>
      </c>
      <c r="D2817" t="s">
        <v>493</v>
      </c>
      <c r="E2817">
        <v>2</v>
      </c>
      <c r="F2817">
        <v>6</v>
      </c>
      <c r="G2817">
        <v>240</v>
      </c>
      <c r="H2817">
        <v>12</v>
      </c>
      <c r="I2817">
        <v>10.1</v>
      </c>
      <c r="J2817">
        <v>13.5</v>
      </c>
      <c r="K2817">
        <v>14.6</v>
      </c>
      <c r="L2817">
        <v>12.4</v>
      </c>
      <c r="M2817">
        <v>64</v>
      </c>
    </row>
    <row r="2818" spans="1:13" hidden="1" x14ac:dyDescent="0.25">
      <c r="A2818" t="s">
        <v>344</v>
      </c>
      <c r="B2818" t="s">
        <v>495</v>
      </c>
      <c r="C2818" t="s">
        <v>491</v>
      </c>
      <c r="D2818" t="s">
        <v>493</v>
      </c>
      <c r="E2818">
        <v>2</v>
      </c>
      <c r="F2818">
        <v>6</v>
      </c>
      <c r="G2818">
        <v>260</v>
      </c>
      <c r="H2818">
        <v>12</v>
      </c>
      <c r="I2818">
        <v>10.1</v>
      </c>
      <c r="J2818">
        <v>13.5</v>
      </c>
      <c r="K2818">
        <v>14.6</v>
      </c>
      <c r="L2818">
        <v>12.4</v>
      </c>
      <c r="M2818">
        <v>64</v>
      </c>
    </row>
    <row r="2819" spans="1:13" hidden="1" x14ac:dyDescent="0.25">
      <c r="A2819" t="s">
        <v>344</v>
      </c>
      <c r="B2819" t="s">
        <v>495</v>
      </c>
      <c r="C2819" t="s">
        <v>491</v>
      </c>
      <c r="D2819" t="s">
        <v>493</v>
      </c>
      <c r="E2819">
        <v>2</v>
      </c>
      <c r="F2819">
        <v>6</v>
      </c>
      <c r="G2819">
        <v>280</v>
      </c>
      <c r="H2819">
        <v>12</v>
      </c>
      <c r="I2819">
        <v>10.1</v>
      </c>
      <c r="J2819">
        <v>13.5</v>
      </c>
      <c r="K2819">
        <v>14.6</v>
      </c>
      <c r="L2819">
        <v>12.4</v>
      </c>
      <c r="M2819">
        <v>64</v>
      </c>
    </row>
    <row r="2820" spans="1:13" hidden="1" x14ac:dyDescent="0.25">
      <c r="A2820" t="s">
        <v>344</v>
      </c>
      <c r="B2820" t="s">
        <v>495</v>
      </c>
      <c r="C2820" t="s">
        <v>491</v>
      </c>
      <c r="D2820" t="s">
        <v>493</v>
      </c>
      <c r="E2820">
        <v>2</v>
      </c>
      <c r="F2820">
        <v>6</v>
      </c>
      <c r="G2820">
        <v>300</v>
      </c>
      <c r="H2820">
        <v>12</v>
      </c>
      <c r="I2820">
        <v>10.1</v>
      </c>
      <c r="J2820">
        <v>13.5</v>
      </c>
      <c r="K2820">
        <v>14.6</v>
      </c>
      <c r="L2820">
        <v>12.4</v>
      </c>
      <c r="M2820">
        <v>64</v>
      </c>
    </row>
    <row r="2821" spans="1:13" hidden="1" x14ac:dyDescent="0.25">
      <c r="A2821" t="s">
        <v>344</v>
      </c>
      <c r="B2821" t="s">
        <v>495</v>
      </c>
      <c r="C2821" t="s">
        <v>491</v>
      </c>
      <c r="D2821" t="s">
        <v>493</v>
      </c>
      <c r="E2821">
        <v>2</v>
      </c>
      <c r="F2821">
        <v>8</v>
      </c>
      <c r="G2821">
        <v>80</v>
      </c>
      <c r="H2821">
        <v>15</v>
      </c>
      <c r="I2821">
        <v>21</v>
      </c>
      <c r="J2821">
        <v>13.1</v>
      </c>
      <c r="K2821">
        <v>12.4</v>
      </c>
      <c r="L2821">
        <v>22</v>
      </c>
      <c r="M2821">
        <v>54</v>
      </c>
    </row>
    <row r="2822" spans="1:13" hidden="1" x14ac:dyDescent="0.25">
      <c r="A2822" t="s">
        <v>344</v>
      </c>
      <c r="B2822" t="s">
        <v>495</v>
      </c>
      <c r="C2822" t="s">
        <v>491</v>
      </c>
      <c r="D2822" t="s">
        <v>493</v>
      </c>
      <c r="E2822">
        <v>2</v>
      </c>
      <c r="F2822">
        <v>8</v>
      </c>
      <c r="G2822">
        <v>100</v>
      </c>
      <c r="H2822">
        <v>15</v>
      </c>
      <c r="I2822">
        <v>21</v>
      </c>
      <c r="J2822">
        <v>13.1</v>
      </c>
      <c r="K2822">
        <v>12.4</v>
      </c>
      <c r="L2822">
        <v>22</v>
      </c>
      <c r="M2822">
        <v>54</v>
      </c>
    </row>
    <row r="2823" spans="1:13" hidden="1" x14ac:dyDescent="0.25">
      <c r="A2823" t="s">
        <v>344</v>
      </c>
      <c r="B2823" t="s">
        <v>495</v>
      </c>
      <c r="C2823" t="s">
        <v>491</v>
      </c>
      <c r="D2823" t="s">
        <v>493</v>
      </c>
      <c r="E2823">
        <v>2</v>
      </c>
      <c r="F2823">
        <v>8</v>
      </c>
      <c r="G2823">
        <v>120</v>
      </c>
      <c r="H2823">
        <v>15</v>
      </c>
      <c r="I2823">
        <v>21</v>
      </c>
      <c r="J2823">
        <v>13.1</v>
      </c>
      <c r="K2823">
        <v>12.4</v>
      </c>
      <c r="L2823">
        <v>22</v>
      </c>
      <c r="M2823">
        <v>54</v>
      </c>
    </row>
    <row r="2824" spans="1:13" hidden="1" x14ac:dyDescent="0.25">
      <c r="A2824" t="s">
        <v>344</v>
      </c>
      <c r="B2824" t="s">
        <v>495</v>
      </c>
      <c r="C2824" t="s">
        <v>491</v>
      </c>
      <c r="D2824" t="s">
        <v>493</v>
      </c>
      <c r="E2824">
        <v>2</v>
      </c>
      <c r="F2824">
        <v>8</v>
      </c>
      <c r="G2824">
        <v>140</v>
      </c>
      <c r="H2824">
        <v>15</v>
      </c>
      <c r="I2824">
        <v>21</v>
      </c>
      <c r="J2824">
        <v>13.1</v>
      </c>
      <c r="K2824">
        <v>12.4</v>
      </c>
      <c r="L2824">
        <v>22</v>
      </c>
      <c r="M2824">
        <v>84</v>
      </c>
    </row>
    <row r="2825" spans="1:13" hidden="1" x14ac:dyDescent="0.25">
      <c r="A2825" t="s">
        <v>344</v>
      </c>
      <c r="B2825" t="s">
        <v>495</v>
      </c>
      <c r="C2825" t="s">
        <v>491</v>
      </c>
      <c r="D2825" t="s">
        <v>493</v>
      </c>
      <c r="E2825">
        <v>2</v>
      </c>
      <c r="F2825">
        <v>8</v>
      </c>
      <c r="G2825">
        <v>160</v>
      </c>
      <c r="H2825">
        <v>15</v>
      </c>
      <c r="I2825">
        <v>21</v>
      </c>
      <c r="J2825">
        <v>13.1</v>
      </c>
      <c r="K2825">
        <v>12.4</v>
      </c>
      <c r="L2825">
        <v>22</v>
      </c>
      <c r="M2825">
        <v>84</v>
      </c>
    </row>
    <row r="2826" spans="1:13" hidden="1" x14ac:dyDescent="0.25">
      <c r="A2826" t="s">
        <v>344</v>
      </c>
      <c r="B2826" t="s">
        <v>495</v>
      </c>
      <c r="C2826" t="s">
        <v>491</v>
      </c>
      <c r="D2826" t="s">
        <v>493</v>
      </c>
      <c r="E2826">
        <v>2</v>
      </c>
      <c r="F2826">
        <v>8</v>
      </c>
      <c r="G2826">
        <v>180</v>
      </c>
      <c r="H2826">
        <v>15</v>
      </c>
      <c r="I2826">
        <v>21</v>
      </c>
      <c r="J2826">
        <v>13.1</v>
      </c>
      <c r="K2826">
        <v>12.4</v>
      </c>
      <c r="L2826">
        <v>22</v>
      </c>
      <c r="M2826">
        <v>100</v>
      </c>
    </row>
    <row r="2827" spans="1:13" hidden="1" x14ac:dyDescent="0.25">
      <c r="A2827" t="s">
        <v>344</v>
      </c>
      <c r="B2827" t="s">
        <v>495</v>
      </c>
      <c r="C2827" t="s">
        <v>491</v>
      </c>
      <c r="D2827" t="s">
        <v>493</v>
      </c>
      <c r="E2827">
        <v>2</v>
      </c>
      <c r="F2827">
        <v>8</v>
      </c>
      <c r="G2827">
        <v>200</v>
      </c>
      <c r="H2827">
        <v>15</v>
      </c>
      <c r="I2827">
        <v>21</v>
      </c>
      <c r="J2827">
        <v>13.1</v>
      </c>
      <c r="K2827">
        <v>12.4</v>
      </c>
      <c r="L2827">
        <v>22</v>
      </c>
      <c r="M2827">
        <v>100</v>
      </c>
    </row>
    <row r="2828" spans="1:13" hidden="1" x14ac:dyDescent="0.25">
      <c r="A2828" t="s">
        <v>344</v>
      </c>
      <c r="B2828" t="s">
        <v>495</v>
      </c>
      <c r="C2828" t="s">
        <v>491</v>
      </c>
      <c r="D2828" t="s">
        <v>493</v>
      </c>
      <c r="E2828">
        <v>2</v>
      </c>
      <c r="F2828">
        <v>8</v>
      </c>
      <c r="G2828">
        <v>220</v>
      </c>
      <c r="H2828">
        <v>15</v>
      </c>
      <c r="I2828">
        <v>21</v>
      </c>
      <c r="J2828">
        <v>13.1</v>
      </c>
      <c r="K2828">
        <v>12.4</v>
      </c>
      <c r="L2828">
        <v>22</v>
      </c>
      <c r="M2828">
        <v>100</v>
      </c>
    </row>
    <row r="2829" spans="1:13" hidden="1" x14ac:dyDescent="0.25">
      <c r="A2829" t="s">
        <v>344</v>
      </c>
      <c r="B2829" t="s">
        <v>495</v>
      </c>
      <c r="C2829" t="s">
        <v>491</v>
      </c>
      <c r="D2829" t="s">
        <v>493</v>
      </c>
      <c r="E2829">
        <v>2</v>
      </c>
      <c r="F2829">
        <v>8</v>
      </c>
      <c r="G2829">
        <v>240</v>
      </c>
      <c r="H2829">
        <v>15</v>
      </c>
      <c r="I2829">
        <v>21</v>
      </c>
      <c r="J2829">
        <v>13.1</v>
      </c>
      <c r="K2829">
        <v>12.4</v>
      </c>
      <c r="L2829">
        <v>22</v>
      </c>
      <c r="M2829">
        <v>100</v>
      </c>
    </row>
    <row r="2830" spans="1:13" hidden="1" x14ac:dyDescent="0.25">
      <c r="A2830" t="s">
        <v>344</v>
      </c>
      <c r="B2830" t="s">
        <v>495</v>
      </c>
      <c r="C2830" t="s">
        <v>491</v>
      </c>
      <c r="D2830" t="s">
        <v>493</v>
      </c>
      <c r="E2830">
        <v>2</v>
      </c>
      <c r="F2830">
        <v>8</v>
      </c>
      <c r="G2830">
        <v>260</v>
      </c>
      <c r="H2830">
        <v>15</v>
      </c>
      <c r="I2830">
        <v>21</v>
      </c>
      <c r="J2830">
        <v>13.1</v>
      </c>
      <c r="K2830">
        <v>12.4</v>
      </c>
      <c r="L2830">
        <v>22</v>
      </c>
      <c r="M2830">
        <v>100</v>
      </c>
    </row>
    <row r="2831" spans="1:13" hidden="1" x14ac:dyDescent="0.25">
      <c r="A2831" t="s">
        <v>344</v>
      </c>
      <c r="B2831" t="s">
        <v>495</v>
      </c>
      <c r="C2831" t="s">
        <v>491</v>
      </c>
      <c r="D2831" t="s">
        <v>493</v>
      </c>
      <c r="E2831">
        <v>2</v>
      </c>
      <c r="F2831">
        <v>8</v>
      </c>
      <c r="G2831">
        <v>280</v>
      </c>
      <c r="H2831">
        <v>15</v>
      </c>
      <c r="I2831">
        <v>21</v>
      </c>
      <c r="J2831">
        <v>13.1</v>
      </c>
      <c r="K2831">
        <v>12.4</v>
      </c>
      <c r="L2831">
        <v>22</v>
      </c>
      <c r="M2831">
        <v>100</v>
      </c>
    </row>
    <row r="2832" spans="1:13" hidden="1" x14ac:dyDescent="0.25">
      <c r="A2832" t="s">
        <v>344</v>
      </c>
      <c r="B2832" t="s">
        <v>495</v>
      </c>
      <c r="C2832" t="s">
        <v>491</v>
      </c>
      <c r="D2832" t="s">
        <v>493</v>
      </c>
      <c r="E2832">
        <v>2</v>
      </c>
      <c r="F2832">
        <v>8</v>
      </c>
      <c r="G2832">
        <v>300</v>
      </c>
      <c r="H2832">
        <v>15</v>
      </c>
      <c r="I2832">
        <v>21</v>
      </c>
      <c r="J2832">
        <v>13.1</v>
      </c>
      <c r="K2832">
        <v>12.4</v>
      </c>
      <c r="L2832">
        <v>22</v>
      </c>
      <c r="M2832">
        <v>100</v>
      </c>
    </row>
    <row r="2833" spans="1:13" hidden="1" x14ac:dyDescent="0.25">
      <c r="A2833" t="s">
        <v>344</v>
      </c>
      <c r="B2833" t="s">
        <v>495</v>
      </c>
      <c r="C2833" t="s">
        <v>491</v>
      </c>
      <c r="D2833" t="s">
        <v>493</v>
      </c>
      <c r="E2833">
        <v>2</v>
      </c>
      <c r="F2833">
        <v>8</v>
      </c>
      <c r="G2833">
        <v>320</v>
      </c>
      <c r="H2833">
        <v>15</v>
      </c>
      <c r="I2833">
        <v>21</v>
      </c>
      <c r="J2833">
        <v>13.1</v>
      </c>
      <c r="K2833">
        <v>12.4</v>
      </c>
      <c r="L2833">
        <v>22</v>
      </c>
      <c r="M2833">
        <v>100</v>
      </c>
    </row>
    <row r="2834" spans="1:13" hidden="1" x14ac:dyDescent="0.25">
      <c r="A2834" t="s">
        <v>344</v>
      </c>
      <c r="B2834" t="s">
        <v>495</v>
      </c>
      <c r="C2834" t="s">
        <v>491</v>
      </c>
      <c r="D2834" t="s">
        <v>493</v>
      </c>
      <c r="E2834">
        <v>2</v>
      </c>
      <c r="F2834">
        <v>8</v>
      </c>
      <c r="G2834">
        <v>340</v>
      </c>
      <c r="H2834">
        <v>15</v>
      </c>
      <c r="I2834">
        <v>21</v>
      </c>
      <c r="J2834">
        <v>13.1</v>
      </c>
      <c r="K2834">
        <v>12.4</v>
      </c>
      <c r="L2834">
        <v>22</v>
      </c>
      <c r="M2834">
        <v>100</v>
      </c>
    </row>
    <row r="2835" spans="1:13" hidden="1" x14ac:dyDescent="0.25">
      <c r="A2835" t="s">
        <v>344</v>
      </c>
      <c r="B2835" t="s">
        <v>495</v>
      </c>
      <c r="C2835" t="s">
        <v>491</v>
      </c>
      <c r="D2835" t="s">
        <v>493</v>
      </c>
      <c r="E2835">
        <v>2</v>
      </c>
      <c r="F2835">
        <v>8</v>
      </c>
      <c r="G2835">
        <v>360</v>
      </c>
      <c r="H2835">
        <v>15</v>
      </c>
      <c r="I2835">
        <v>21</v>
      </c>
      <c r="J2835">
        <v>13.1</v>
      </c>
      <c r="K2835">
        <v>12.4</v>
      </c>
      <c r="L2835">
        <v>22</v>
      </c>
      <c r="M2835">
        <v>100</v>
      </c>
    </row>
    <row r="2836" spans="1:13" hidden="1" x14ac:dyDescent="0.25">
      <c r="A2836" t="s">
        <v>344</v>
      </c>
      <c r="B2836" t="s">
        <v>495</v>
      </c>
      <c r="C2836" t="s">
        <v>491</v>
      </c>
      <c r="D2836" t="s">
        <v>493</v>
      </c>
      <c r="E2836">
        <v>2</v>
      </c>
      <c r="F2836">
        <v>8</v>
      </c>
      <c r="G2836">
        <v>380</v>
      </c>
      <c r="H2836">
        <v>15</v>
      </c>
      <c r="I2836">
        <v>21</v>
      </c>
      <c r="J2836">
        <v>13.1</v>
      </c>
      <c r="K2836">
        <v>12.4</v>
      </c>
      <c r="L2836">
        <v>22</v>
      </c>
      <c r="M2836">
        <v>100</v>
      </c>
    </row>
    <row r="2837" spans="1:13" hidden="1" x14ac:dyDescent="0.25">
      <c r="A2837" t="s">
        <v>344</v>
      </c>
      <c r="B2837" t="s">
        <v>495</v>
      </c>
      <c r="C2837" t="s">
        <v>491</v>
      </c>
      <c r="D2837" t="s">
        <v>493</v>
      </c>
      <c r="E2837">
        <v>2</v>
      </c>
      <c r="F2837">
        <v>8</v>
      </c>
      <c r="G2837">
        <v>400</v>
      </c>
      <c r="H2837">
        <v>15</v>
      </c>
      <c r="I2837">
        <v>21</v>
      </c>
      <c r="J2837">
        <v>13.1</v>
      </c>
      <c r="K2837">
        <v>12.4</v>
      </c>
      <c r="L2837">
        <v>22</v>
      </c>
      <c r="M2837">
        <v>100</v>
      </c>
    </row>
    <row r="2838" spans="1:13" hidden="1" x14ac:dyDescent="0.25">
      <c r="A2838" t="s">
        <v>344</v>
      </c>
      <c r="B2838" t="s">
        <v>495</v>
      </c>
      <c r="C2838" t="s">
        <v>491</v>
      </c>
      <c r="D2838" t="s">
        <v>493</v>
      </c>
      <c r="E2838">
        <v>2</v>
      </c>
      <c r="F2838">
        <v>10</v>
      </c>
      <c r="G2838">
        <v>80</v>
      </c>
      <c r="H2838">
        <v>18.5</v>
      </c>
      <c r="I2838">
        <v>33</v>
      </c>
      <c r="J2838">
        <v>12.5</v>
      </c>
      <c r="K2838">
        <v>12.2</v>
      </c>
      <c r="L2838">
        <v>32</v>
      </c>
      <c r="M2838">
        <v>60</v>
      </c>
    </row>
    <row r="2839" spans="1:13" hidden="1" x14ac:dyDescent="0.25">
      <c r="A2839" t="s">
        <v>344</v>
      </c>
      <c r="B2839" t="s">
        <v>495</v>
      </c>
      <c r="C2839" t="s">
        <v>491</v>
      </c>
      <c r="D2839" t="s">
        <v>493</v>
      </c>
      <c r="E2839">
        <v>2</v>
      </c>
      <c r="F2839">
        <v>10</v>
      </c>
      <c r="G2839">
        <v>100</v>
      </c>
      <c r="H2839">
        <v>18.5</v>
      </c>
      <c r="I2839">
        <v>33</v>
      </c>
      <c r="J2839">
        <v>12.5</v>
      </c>
      <c r="K2839">
        <v>12.2</v>
      </c>
      <c r="L2839">
        <v>32</v>
      </c>
      <c r="M2839">
        <v>60</v>
      </c>
    </row>
    <row r="2840" spans="1:13" hidden="1" x14ac:dyDescent="0.25">
      <c r="A2840" t="s">
        <v>344</v>
      </c>
      <c r="B2840" t="s">
        <v>495</v>
      </c>
      <c r="C2840" t="s">
        <v>491</v>
      </c>
      <c r="D2840" t="s">
        <v>493</v>
      </c>
      <c r="E2840">
        <v>2</v>
      </c>
      <c r="F2840">
        <v>10</v>
      </c>
      <c r="G2840">
        <v>120</v>
      </c>
      <c r="H2840">
        <v>18.5</v>
      </c>
      <c r="I2840">
        <v>33</v>
      </c>
      <c r="J2840">
        <v>12.5</v>
      </c>
      <c r="K2840">
        <v>12.2</v>
      </c>
      <c r="L2840">
        <v>32</v>
      </c>
      <c r="M2840">
        <v>60</v>
      </c>
    </row>
    <row r="2841" spans="1:13" hidden="1" x14ac:dyDescent="0.25">
      <c r="A2841" t="s">
        <v>344</v>
      </c>
      <c r="B2841" t="s">
        <v>495</v>
      </c>
      <c r="C2841" t="s">
        <v>491</v>
      </c>
      <c r="D2841" t="s">
        <v>493</v>
      </c>
      <c r="E2841">
        <v>2</v>
      </c>
      <c r="F2841">
        <v>10</v>
      </c>
      <c r="G2841">
        <v>140</v>
      </c>
      <c r="H2841">
        <v>18.5</v>
      </c>
      <c r="I2841">
        <v>33</v>
      </c>
      <c r="J2841">
        <v>12.5</v>
      </c>
      <c r="K2841">
        <v>12.2</v>
      </c>
      <c r="L2841">
        <v>32</v>
      </c>
      <c r="M2841">
        <v>60</v>
      </c>
    </row>
    <row r="2842" spans="1:13" hidden="1" x14ac:dyDescent="0.25">
      <c r="A2842" t="s">
        <v>344</v>
      </c>
      <c r="B2842" t="s">
        <v>495</v>
      </c>
      <c r="C2842" t="s">
        <v>491</v>
      </c>
      <c r="D2842" t="s">
        <v>493</v>
      </c>
      <c r="E2842">
        <v>2</v>
      </c>
      <c r="F2842">
        <v>10</v>
      </c>
      <c r="G2842">
        <v>160</v>
      </c>
      <c r="H2842">
        <v>18.5</v>
      </c>
      <c r="I2842">
        <v>33</v>
      </c>
      <c r="J2842">
        <v>12.5</v>
      </c>
      <c r="K2842">
        <v>12.2</v>
      </c>
      <c r="L2842">
        <v>32</v>
      </c>
      <c r="M2842">
        <v>100</v>
      </c>
    </row>
    <row r="2843" spans="1:13" hidden="1" x14ac:dyDescent="0.25">
      <c r="A2843" t="s">
        <v>344</v>
      </c>
      <c r="B2843" t="s">
        <v>495</v>
      </c>
      <c r="C2843" t="s">
        <v>491</v>
      </c>
      <c r="D2843" t="s">
        <v>493</v>
      </c>
      <c r="E2843">
        <v>2</v>
      </c>
      <c r="F2843">
        <v>10</v>
      </c>
      <c r="G2843">
        <v>180</v>
      </c>
      <c r="H2843">
        <v>18.5</v>
      </c>
      <c r="I2843">
        <v>33</v>
      </c>
      <c r="J2843">
        <v>12.5</v>
      </c>
      <c r="K2843">
        <v>12.2</v>
      </c>
      <c r="L2843">
        <v>32</v>
      </c>
      <c r="M2843">
        <v>100</v>
      </c>
    </row>
    <row r="2844" spans="1:13" hidden="1" x14ac:dyDescent="0.25">
      <c r="A2844" t="s">
        <v>344</v>
      </c>
      <c r="B2844" t="s">
        <v>495</v>
      </c>
      <c r="C2844" t="s">
        <v>491</v>
      </c>
      <c r="D2844" t="s">
        <v>493</v>
      </c>
      <c r="E2844">
        <v>2</v>
      </c>
      <c r="F2844">
        <v>10</v>
      </c>
      <c r="G2844">
        <v>200</v>
      </c>
      <c r="H2844">
        <v>18.5</v>
      </c>
      <c r="I2844">
        <v>33</v>
      </c>
      <c r="J2844">
        <v>12.5</v>
      </c>
      <c r="K2844">
        <v>12.2</v>
      </c>
      <c r="L2844">
        <v>32</v>
      </c>
      <c r="M2844">
        <v>100</v>
      </c>
    </row>
    <row r="2845" spans="1:13" hidden="1" x14ac:dyDescent="0.25">
      <c r="A2845" t="s">
        <v>344</v>
      </c>
      <c r="B2845" t="s">
        <v>495</v>
      </c>
      <c r="C2845" t="s">
        <v>491</v>
      </c>
      <c r="D2845" t="s">
        <v>493</v>
      </c>
      <c r="E2845">
        <v>2</v>
      </c>
      <c r="F2845">
        <v>10</v>
      </c>
      <c r="G2845">
        <v>220</v>
      </c>
      <c r="H2845">
        <v>18.5</v>
      </c>
      <c r="I2845">
        <v>33</v>
      </c>
      <c r="J2845">
        <v>12.5</v>
      </c>
      <c r="K2845">
        <v>12.2</v>
      </c>
      <c r="L2845">
        <v>32</v>
      </c>
      <c r="M2845">
        <v>100</v>
      </c>
    </row>
    <row r="2846" spans="1:13" hidden="1" x14ac:dyDescent="0.25">
      <c r="A2846" t="s">
        <v>344</v>
      </c>
      <c r="B2846" t="s">
        <v>495</v>
      </c>
      <c r="C2846" t="s">
        <v>491</v>
      </c>
      <c r="D2846" t="s">
        <v>493</v>
      </c>
      <c r="E2846">
        <v>2</v>
      </c>
      <c r="F2846">
        <v>10</v>
      </c>
      <c r="G2846">
        <v>240</v>
      </c>
      <c r="H2846">
        <v>18.5</v>
      </c>
      <c r="I2846">
        <v>33</v>
      </c>
      <c r="J2846">
        <v>12.5</v>
      </c>
      <c r="K2846">
        <v>12.2</v>
      </c>
      <c r="L2846">
        <v>32</v>
      </c>
      <c r="M2846">
        <v>100</v>
      </c>
    </row>
    <row r="2847" spans="1:13" hidden="1" x14ac:dyDescent="0.25">
      <c r="A2847" t="s">
        <v>344</v>
      </c>
      <c r="B2847" t="s">
        <v>495</v>
      </c>
      <c r="C2847" t="s">
        <v>491</v>
      </c>
      <c r="D2847" t="s">
        <v>493</v>
      </c>
      <c r="E2847">
        <v>2</v>
      </c>
      <c r="F2847">
        <v>10</v>
      </c>
      <c r="G2847">
        <v>260</v>
      </c>
      <c r="H2847">
        <v>18.5</v>
      </c>
      <c r="I2847">
        <v>33</v>
      </c>
      <c r="J2847">
        <v>12.5</v>
      </c>
      <c r="K2847">
        <v>12.2</v>
      </c>
      <c r="L2847">
        <v>32</v>
      </c>
      <c r="M2847">
        <v>100</v>
      </c>
    </row>
    <row r="2848" spans="1:13" hidden="1" x14ac:dyDescent="0.25">
      <c r="A2848" t="s">
        <v>344</v>
      </c>
      <c r="B2848" t="s">
        <v>495</v>
      </c>
      <c r="C2848" t="s">
        <v>491</v>
      </c>
      <c r="D2848" t="s">
        <v>493</v>
      </c>
      <c r="E2848">
        <v>2</v>
      </c>
      <c r="F2848">
        <v>10</v>
      </c>
      <c r="G2848">
        <v>280</v>
      </c>
      <c r="H2848">
        <v>18.5</v>
      </c>
      <c r="I2848">
        <v>33</v>
      </c>
      <c r="J2848">
        <v>12.5</v>
      </c>
      <c r="K2848">
        <v>12.2</v>
      </c>
      <c r="L2848">
        <v>32</v>
      </c>
      <c r="M2848">
        <v>100</v>
      </c>
    </row>
    <row r="2849" spans="1:13" hidden="1" x14ac:dyDescent="0.25">
      <c r="A2849" t="s">
        <v>344</v>
      </c>
      <c r="B2849" t="s">
        <v>495</v>
      </c>
      <c r="C2849" t="s">
        <v>491</v>
      </c>
      <c r="D2849" t="s">
        <v>493</v>
      </c>
      <c r="E2849">
        <v>2</v>
      </c>
      <c r="F2849">
        <v>10</v>
      </c>
      <c r="G2849">
        <v>300</v>
      </c>
      <c r="H2849">
        <v>18.5</v>
      </c>
      <c r="I2849">
        <v>33</v>
      </c>
      <c r="J2849">
        <v>12.5</v>
      </c>
      <c r="K2849">
        <v>12.2</v>
      </c>
      <c r="L2849">
        <v>32</v>
      </c>
      <c r="M2849">
        <v>100</v>
      </c>
    </row>
    <row r="2850" spans="1:13" hidden="1" x14ac:dyDescent="0.25">
      <c r="A2850" t="s">
        <v>344</v>
      </c>
      <c r="B2850" t="s">
        <v>495</v>
      </c>
      <c r="C2850" t="s">
        <v>491</v>
      </c>
      <c r="D2850" t="s">
        <v>493</v>
      </c>
      <c r="E2850">
        <v>2</v>
      </c>
      <c r="F2850">
        <v>10</v>
      </c>
      <c r="G2850">
        <v>320</v>
      </c>
      <c r="H2850">
        <v>18.5</v>
      </c>
      <c r="I2850">
        <v>33</v>
      </c>
      <c r="J2850">
        <v>12.5</v>
      </c>
      <c r="K2850">
        <v>12.2</v>
      </c>
      <c r="L2850">
        <v>32</v>
      </c>
      <c r="M2850">
        <v>100</v>
      </c>
    </row>
    <row r="2851" spans="1:13" hidden="1" x14ac:dyDescent="0.25">
      <c r="A2851" t="s">
        <v>344</v>
      </c>
      <c r="B2851" t="s">
        <v>495</v>
      </c>
      <c r="C2851" t="s">
        <v>491</v>
      </c>
      <c r="D2851" t="s">
        <v>493</v>
      </c>
      <c r="E2851">
        <v>2</v>
      </c>
      <c r="F2851">
        <v>10</v>
      </c>
      <c r="G2851">
        <v>340</v>
      </c>
      <c r="H2851">
        <v>18.5</v>
      </c>
      <c r="I2851">
        <v>33</v>
      </c>
      <c r="J2851">
        <v>12.5</v>
      </c>
      <c r="K2851">
        <v>12.2</v>
      </c>
      <c r="L2851">
        <v>32</v>
      </c>
      <c r="M2851">
        <v>100</v>
      </c>
    </row>
    <row r="2852" spans="1:13" hidden="1" x14ac:dyDescent="0.25">
      <c r="A2852" t="s">
        <v>344</v>
      </c>
      <c r="B2852" t="s">
        <v>495</v>
      </c>
      <c r="C2852" t="s">
        <v>491</v>
      </c>
      <c r="D2852" t="s">
        <v>493</v>
      </c>
      <c r="E2852">
        <v>2</v>
      </c>
      <c r="F2852">
        <v>10</v>
      </c>
      <c r="G2852">
        <v>360</v>
      </c>
      <c r="H2852">
        <v>18.5</v>
      </c>
      <c r="I2852">
        <v>33</v>
      </c>
      <c r="J2852">
        <v>12.5</v>
      </c>
      <c r="K2852">
        <v>12.2</v>
      </c>
      <c r="L2852">
        <v>32</v>
      </c>
      <c r="M2852">
        <v>100</v>
      </c>
    </row>
    <row r="2853" spans="1:13" hidden="1" x14ac:dyDescent="0.25">
      <c r="A2853" t="s">
        <v>344</v>
      </c>
      <c r="B2853" t="s">
        <v>495</v>
      </c>
      <c r="C2853" t="s">
        <v>491</v>
      </c>
      <c r="D2853" t="s">
        <v>493</v>
      </c>
      <c r="E2853">
        <v>2</v>
      </c>
      <c r="F2853">
        <v>10</v>
      </c>
      <c r="G2853">
        <v>380</v>
      </c>
      <c r="H2853">
        <v>18.5</v>
      </c>
      <c r="I2853">
        <v>33</v>
      </c>
      <c r="J2853">
        <v>12.5</v>
      </c>
      <c r="K2853">
        <v>12.2</v>
      </c>
      <c r="L2853">
        <v>32</v>
      </c>
      <c r="M2853">
        <v>100</v>
      </c>
    </row>
    <row r="2854" spans="1:13" hidden="1" x14ac:dyDescent="0.25">
      <c r="A2854" t="s">
        <v>344</v>
      </c>
      <c r="B2854" t="s">
        <v>495</v>
      </c>
      <c r="C2854" t="s">
        <v>491</v>
      </c>
      <c r="D2854" t="s">
        <v>493</v>
      </c>
      <c r="E2854">
        <v>2</v>
      </c>
      <c r="F2854">
        <v>10</v>
      </c>
      <c r="G2854">
        <v>400</v>
      </c>
      <c r="H2854">
        <v>18.5</v>
      </c>
      <c r="I2854">
        <v>33</v>
      </c>
      <c r="J2854">
        <v>12.5</v>
      </c>
      <c r="K2854">
        <v>12.2</v>
      </c>
      <c r="L2854">
        <v>32</v>
      </c>
      <c r="M2854">
        <v>100</v>
      </c>
    </row>
    <row r="2855" spans="1:13" hidden="1" x14ac:dyDescent="0.25">
      <c r="A2855" t="s">
        <v>344</v>
      </c>
      <c r="B2855" t="s">
        <v>495</v>
      </c>
      <c r="C2855" t="s">
        <v>492</v>
      </c>
      <c r="D2855" t="s">
        <v>494</v>
      </c>
      <c r="E2855">
        <v>2</v>
      </c>
      <c r="F2855">
        <v>6</v>
      </c>
      <c r="G2855">
        <v>60</v>
      </c>
      <c r="H2855">
        <v>14</v>
      </c>
      <c r="I2855">
        <v>10.1</v>
      </c>
      <c r="J2855">
        <v>13.5</v>
      </c>
      <c r="K2855">
        <v>16.7</v>
      </c>
      <c r="L2855">
        <v>12.4</v>
      </c>
      <c r="M2855">
        <v>36</v>
      </c>
    </row>
    <row r="2856" spans="1:13" hidden="1" x14ac:dyDescent="0.25">
      <c r="A2856" t="s">
        <v>344</v>
      </c>
      <c r="B2856" t="s">
        <v>495</v>
      </c>
      <c r="C2856" t="s">
        <v>492</v>
      </c>
      <c r="D2856" t="s">
        <v>494</v>
      </c>
      <c r="E2856">
        <v>2</v>
      </c>
      <c r="F2856">
        <v>6</v>
      </c>
      <c r="G2856">
        <v>80</v>
      </c>
      <c r="H2856">
        <v>14</v>
      </c>
      <c r="I2856">
        <v>10.1</v>
      </c>
      <c r="J2856">
        <v>13.5</v>
      </c>
      <c r="K2856">
        <v>16.7</v>
      </c>
      <c r="L2856">
        <v>12.4</v>
      </c>
      <c r="M2856">
        <v>48</v>
      </c>
    </row>
    <row r="2857" spans="1:13" hidden="1" x14ac:dyDescent="0.25">
      <c r="A2857" t="s">
        <v>344</v>
      </c>
      <c r="B2857" t="s">
        <v>495</v>
      </c>
      <c r="C2857" t="s">
        <v>492</v>
      </c>
      <c r="D2857" t="s">
        <v>494</v>
      </c>
      <c r="E2857">
        <v>2</v>
      </c>
      <c r="F2857">
        <v>6</v>
      </c>
      <c r="G2857">
        <v>100</v>
      </c>
      <c r="H2857">
        <v>14</v>
      </c>
      <c r="I2857">
        <v>10.1</v>
      </c>
      <c r="J2857">
        <v>13.5</v>
      </c>
      <c r="K2857">
        <v>16.7</v>
      </c>
      <c r="L2857">
        <v>12.4</v>
      </c>
      <c r="M2857">
        <v>48</v>
      </c>
    </row>
    <row r="2858" spans="1:13" hidden="1" x14ac:dyDescent="0.25">
      <c r="A2858" t="s">
        <v>344</v>
      </c>
      <c r="B2858" t="s">
        <v>495</v>
      </c>
      <c r="C2858" t="s">
        <v>492</v>
      </c>
      <c r="D2858" t="s">
        <v>494</v>
      </c>
      <c r="E2858">
        <v>2</v>
      </c>
      <c r="F2858">
        <v>6</v>
      </c>
      <c r="G2858">
        <v>120</v>
      </c>
      <c r="H2858">
        <v>14</v>
      </c>
      <c r="I2858">
        <v>10.1</v>
      </c>
      <c r="J2858">
        <v>13.5</v>
      </c>
      <c r="K2858">
        <v>16.7</v>
      </c>
      <c r="L2858">
        <v>12.4</v>
      </c>
      <c r="M2858">
        <v>64</v>
      </c>
    </row>
    <row r="2859" spans="1:13" hidden="1" x14ac:dyDescent="0.25">
      <c r="A2859" t="s">
        <v>344</v>
      </c>
      <c r="B2859" t="s">
        <v>495</v>
      </c>
      <c r="C2859" t="s">
        <v>492</v>
      </c>
      <c r="D2859" t="s">
        <v>494</v>
      </c>
      <c r="E2859">
        <v>2</v>
      </c>
      <c r="F2859">
        <v>6</v>
      </c>
      <c r="G2859">
        <v>140</v>
      </c>
      <c r="H2859">
        <v>14</v>
      </c>
      <c r="I2859">
        <v>10.1</v>
      </c>
      <c r="J2859">
        <v>13.5</v>
      </c>
      <c r="K2859">
        <v>16.7</v>
      </c>
      <c r="L2859">
        <v>12.4</v>
      </c>
      <c r="M2859">
        <v>64</v>
      </c>
    </row>
    <row r="2860" spans="1:13" hidden="1" x14ac:dyDescent="0.25">
      <c r="A2860" t="s">
        <v>344</v>
      </c>
      <c r="B2860" t="s">
        <v>495</v>
      </c>
      <c r="C2860" t="s">
        <v>492</v>
      </c>
      <c r="D2860" t="s">
        <v>494</v>
      </c>
      <c r="E2860">
        <v>2</v>
      </c>
      <c r="F2860">
        <v>6</v>
      </c>
      <c r="G2860">
        <v>160</v>
      </c>
      <c r="H2860">
        <v>14</v>
      </c>
      <c r="I2860">
        <v>10.1</v>
      </c>
      <c r="J2860">
        <v>13.5</v>
      </c>
      <c r="K2860">
        <v>16.7</v>
      </c>
      <c r="L2860">
        <v>12.4</v>
      </c>
      <c r="M2860">
        <v>64</v>
      </c>
    </row>
    <row r="2861" spans="1:13" hidden="1" x14ac:dyDescent="0.25">
      <c r="A2861" t="s">
        <v>344</v>
      </c>
      <c r="B2861" t="s">
        <v>495</v>
      </c>
      <c r="C2861" t="s">
        <v>492</v>
      </c>
      <c r="D2861" t="s">
        <v>494</v>
      </c>
      <c r="E2861">
        <v>2</v>
      </c>
      <c r="F2861">
        <v>6</v>
      </c>
      <c r="G2861">
        <v>180</v>
      </c>
      <c r="H2861">
        <v>14</v>
      </c>
      <c r="I2861">
        <v>10.1</v>
      </c>
      <c r="J2861">
        <v>13.5</v>
      </c>
      <c r="K2861">
        <v>16.7</v>
      </c>
      <c r="L2861">
        <v>12.4</v>
      </c>
      <c r="M2861">
        <v>64</v>
      </c>
    </row>
    <row r="2862" spans="1:13" hidden="1" x14ac:dyDescent="0.25">
      <c r="A2862" t="s">
        <v>344</v>
      </c>
      <c r="B2862" t="s">
        <v>495</v>
      </c>
      <c r="C2862" t="s">
        <v>492</v>
      </c>
      <c r="D2862" t="s">
        <v>494</v>
      </c>
      <c r="E2862">
        <v>2</v>
      </c>
      <c r="F2862">
        <v>6</v>
      </c>
      <c r="G2862">
        <v>200</v>
      </c>
      <c r="H2862">
        <v>14</v>
      </c>
      <c r="I2862">
        <v>10.1</v>
      </c>
      <c r="J2862">
        <v>13.5</v>
      </c>
      <c r="K2862">
        <v>16.7</v>
      </c>
      <c r="L2862">
        <v>12.4</v>
      </c>
      <c r="M2862">
        <v>64</v>
      </c>
    </row>
    <row r="2863" spans="1:13" hidden="1" x14ac:dyDescent="0.25">
      <c r="A2863" t="s">
        <v>344</v>
      </c>
      <c r="B2863" t="s">
        <v>495</v>
      </c>
      <c r="C2863" t="s">
        <v>492</v>
      </c>
      <c r="D2863" t="s">
        <v>494</v>
      </c>
      <c r="E2863">
        <v>2</v>
      </c>
      <c r="F2863">
        <v>8</v>
      </c>
      <c r="G2863">
        <v>80</v>
      </c>
      <c r="H2863">
        <v>20</v>
      </c>
      <c r="I2863">
        <v>21</v>
      </c>
      <c r="J2863">
        <v>13.1</v>
      </c>
      <c r="K2863">
        <v>17.600000000000001</v>
      </c>
      <c r="L2863">
        <v>22</v>
      </c>
      <c r="M2863">
        <v>54</v>
      </c>
    </row>
    <row r="2864" spans="1:13" hidden="1" x14ac:dyDescent="0.25">
      <c r="A2864" t="s">
        <v>344</v>
      </c>
      <c r="B2864" t="s">
        <v>495</v>
      </c>
      <c r="C2864" t="s">
        <v>492</v>
      </c>
      <c r="D2864" t="s">
        <v>494</v>
      </c>
      <c r="E2864">
        <v>2</v>
      </c>
      <c r="F2864">
        <v>8</v>
      </c>
      <c r="G2864">
        <v>100</v>
      </c>
      <c r="H2864">
        <v>20</v>
      </c>
      <c r="I2864">
        <v>21</v>
      </c>
      <c r="J2864">
        <v>13.1</v>
      </c>
      <c r="K2864">
        <v>17.600000000000001</v>
      </c>
      <c r="L2864">
        <v>22</v>
      </c>
      <c r="M2864">
        <v>54</v>
      </c>
    </row>
    <row r="2865" spans="1:13" hidden="1" x14ac:dyDescent="0.25">
      <c r="A2865" t="s">
        <v>344</v>
      </c>
      <c r="B2865" t="s">
        <v>495</v>
      </c>
      <c r="C2865" t="s">
        <v>492</v>
      </c>
      <c r="D2865" t="s">
        <v>494</v>
      </c>
      <c r="E2865">
        <v>2</v>
      </c>
      <c r="F2865">
        <v>8</v>
      </c>
      <c r="G2865">
        <v>120</v>
      </c>
      <c r="H2865">
        <v>20</v>
      </c>
      <c r="I2865">
        <v>21</v>
      </c>
      <c r="J2865">
        <v>13.1</v>
      </c>
      <c r="K2865">
        <v>17.600000000000001</v>
      </c>
      <c r="L2865">
        <v>22</v>
      </c>
      <c r="M2865">
        <v>54</v>
      </c>
    </row>
    <row r="2866" spans="1:13" hidden="1" x14ac:dyDescent="0.25">
      <c r="A2866" t="s">
        <v>344</v>
      </c>
      <c r="B2866" t="s">
        <v>495</v>
      </c>
      <c r="C2866" t="s">
        <v>492</v>
      </c>
      <c r="D2866" t="s">
        <v>494</v>
      </c>
      <c r="E2866">
        <v>2</v>
      </c>
      <c r="F2866">
        <v>8</v>
      </c>
      <c r="G2866">
        <v>140</v>
      </c>
      <c r="H2866">
        <v>20</v>
      </c>
      <c r="I2866">
        <v>21</v>
      </c>
      <c r="J2866">
        <v>13.1</v>
      </c>
      <c r="K2866">
        <v>17.600000000000001</v>
      </c>
      <c r="L2866">
        <v>22</v>
      </c>
      <c r="M2866">
        <v>84</v>
      </c>
    </row>
    <row r="2867" spans="1:13" hidden="1" x14ac:dyDescent="0.25">
      <c r="A2867" t="s">
        <v>344</v>
      </c>
      <c r="B2867" t="s">
        <v>495</v>
      </c>
      <c r="C2867" t="s">
        <v>492</v>
      </c>
      <c r="D2867" t="s">
        <v>494</v>
      </c>
      <c r="E2867">
        <v>2</v>
      </c>
      <c r="F2867">
        <v>8</v>
      </c>
      <c r="G2867">
        <v>160</v>
      </c>
      <c r="H2867">
        <v>20</v>
      </c>
      <c r="I2867">
        <v>21</v>
      </c>
      <c r="J2867">
        <v>13.1</v>
      </c>
      <c r="K2867">
        <v>17.600000000000001</v>
      </c>
      <c r="L2867">
        <v>22</v>
      </c>
      <c r="M2867">
        <v>84</v>
      </c>
    </row>
    <row r="2868" spans="1:13" hidden="1" x14ac:dyDescent="0.25">
      <c r="A2868" t="s">
        <v>344</v>
      </c>
      <c r="B2868" t="s">
        <v>495</v>
      </c>
      <c r="C2868" t="s">
        <v>492</v>
      </c>
      <c r="D2868" t="s">
        <v>494</v>
      </c>
      <c r="E2868">
        <v>2</v>
      </c>
      <c r="F2868">
        <v>8</v>
      </c>
      <c r="G2868">
        <v>180</v>
      </c>
      <c r="H2868">
        <v>20</v>
      </c>
      <c r="I2868">
        <v>21</v>
      </c>
      <c r="J2868">
        <v>13.1</v>
      </c>
      <c r="K2868">
        <v>17.600000000000001</v>
      </c>
      <c r="L2868">
        <v>22</v>
      </c>
      <c r="M2868">
        <v>100</v>
      </c>
    </row>
    <row r="2869" spans="1:13" hidden="1" x14ac:dyDescent="0.25">
      <c r="A2869" t="s">
        <v>344</v>
      </c>
      <c r="B2869" t="s">
        <v>495</v>
      </c>
      <c r="C2869" t="s">
        <v>492</v>
      </c>
      <c r="D2869" t="s">
        <v>494</v>
      </c>
      <c r="E2869">
        <v>2</v>
      </c>
      <c r="F2869">
        <v>8</v>
      </c>
      <c r="G2869">
        <v>200</v>
      </c>
      <c r="H2869">
        <v>20</v>
      </c>
      <c r="I2869">
        <v>21</v>
      </c>
      <c r="J2869">
        <v>13.1</v>
      </c>
      <c r="K2869">
        <v>17.600000000000001</v>
      </c>
      <c r="L2869">
        <v>22</v>
      </c>
      <c r="M2869">
        <v>100</v>
      </c>
    </row>
    <row r="2870" spans="1:13" hidden="1" x14ac:dyDescent="0.25">
      <c r="A2870" t="s">
        <v>344</v>
      </c>
      <c r="B2870" t="s">
        <v>495</v>
      </c>
      <c r="C2870" t="s">
        <v>492</v>
      </c>
      <c r="D2870" t="s">
        <v>494</v>
      </c>
      <c r="E2870">
        <v>2</v>
      </c>
      <c r="F2870">
        <v>8</v>
      </c>
      <c r="G2870">
        <v>220</v>
      </c>
      <c r="H2870">
        <v>20</v>
      </c>
      <c r="I2870">
        <v>21</v>
      </c>
      <c r="J2870">
        <v>13.1</v>
      </c>
      <c r="K2870">
        <v>17.600000000000001</v>
      </c>
      <c r="L2870">
        <v>22</v>
      </c>
      <c r="M2870">
        <v>100</v>
      </c>
    </row>
    <row r="2871" spans="1:13" hidden="1" x14ac:dyDescent="0.25">
      <c r="A2871" t="s">
        <v>344</v>
      </c>
      <c r="B2871" t="s">
        <v>495</v>
      </c>
      <c r="C2871" t="s">
        <v>492</v>
      </c>
      <c r="D2871" t="s">
        <v>494</v>
      </c>
      <c r="E2871">
        <v>2</v>
      </c>
      <c r="F2871">
        <v>8</v>
      </c>
      <c r="G2871">
        <v>240</v>
      </c>
      <c r="H2871">
        <v>20</v>
      </c>
      <c r="I2871">
        <v>21</v>
      </c>
      <c r="J2871">
        <v>13.1</v>
      </c>
      <c r="K2871">
        <v>17.600000000000001</v>
      </c>
      <c r="L2871">
        <v>22</v>
      </c>
      <c r="M2871">
        <v>100</v>
      </c>
    </row>
    <row r="2872" spans="1:13" hidden="1" x14ac:dyDescent="0.25">
      <c r="A2872" t="s">
        <v>344</v>
      </c>
      <c r="B2872" t="s">
        <v>495</v>
      </c>
      <c r="C2872" t="s">
        <v>492</v>
      </c>
      <c r="D2872" t="s">
        <v>494</v>
      </c>
      <c r="E2872">
        <v>2</v>
      </c>
      <c r="F2872">
        <v>8</v>
      </c>
      <c r="G2872">
        <v>260</v>
      </c>
      <c r="H2872">
        <v>20</v>
      </c>
      <c r="I2872">
        <v>21</v>
      </c>
      <c r="J2872">
        <v>13.1</v>
      </c>
      <c r="K2872">
        <v>17.600000000000001</v>
      </c>
      <c r="L2872">
        <v>22</v>
      </c>
      <c r="M2872">
        <v>100</v>
      </c>
    </row>
    <row r="2873" spans="1:13" hidden="1" x14ac:dyDescent="0.25">
      <c r="A2873" t="s">
        <v>344</v>
      </c>
      <c r="B2873" t="s">
        <v>495</v>
      </c>
      <c r="C2873" t="s">
        <v>492</v>
      </c>
      <c r="D2873" t="s">
        <v>494</v>
      </c>
      <c r="E2873">
        <v>2</v>
      </c>
      <c r="F2873">
        <v>8</v>
      </c>
      <c r="G2873">
        <v>280</v>
      </c>
      <c r="H2873">
        <v>20</v>
      </c>
      <c r="I2873">
        <v>21</v>
      </c>
      <c r="J2873">
        <v>13.1</v>
      </c>
      <c r="K2873">
        <v>17.600000000000001</v>
      </c>
      <c r="L2873">
        <v>22</v>
      </c>
      <c r="M2873">
        <v>100</v>
      </c>
    </row>
    <row r="2874" spans="1:13" hidden="1" x14ac:dyDescent="0.25">
      <c r="A2874" t="s">
        <v>344</v>
      </c>
      <c r="B2874" t="s">
        <v>495</v>
      </c>
      <c r="C2874" t="s">
        <v>492</v>
      </c>
      <c r="D2874" t="s">
        <v>494</v>
      </c>
      <c r="E2874">
        <v>2</v>
      </c>
      <c r="F2874">
        <v>8</v>
      </c>
      <c r="G2874">
        <v>300</v>
      </c>
      <c r="H2874">
        <v>20</v>
      </c>
      <c r="I2874">
        <v>21</v>
      </c>
      <c r="J2874">
        <v>13.1</v>
      </c>
      <c r="K2874">
        <v>17.600000000000001</v>
      </c>
      <c r="L2874">
        <v>22</v>
      </c>
      <c r="M2874">
        <v>100</v>
      </c>
    </row>
    <row r="2875" spans="1:13" hidden="1" x14ac:dyDescent="0.25">
      <c r="A2875" t="s">
        <v>344</v>
      </c>
      <c r="B2875" t="s">
        <v>495</v>
      </c>
      <c r="C2875" t="s">
        <v>492</v>
      </c>
      <c r="D2875" t="s">
        <v>494</v>
      </c>
      <c r="E2875">
        <v>2</v>
      </c>
      <c r="F2875">
        <v>8</v>
      </c>
      <c r="G2875">
        <v>320</v>
      </c>
      <c r="H2875">
        <v>20</v>
      </c>
      <c r="I2875">
        <v>21</v>
      </c>
      <c r="J2875">
        <v>13.1</v>
      </c>
      <c r="K2875">
        <v>17.600000000000001</v>
      </c>
      <c r="L2875">
        <v>22</v>
      </c>
      <c r="M2875">
        <v>100</v>
      </c>
    </row>
    <row r="2876" spans="1:13" hidden="1" x14ac:dyDescent="0.25">
      <c r="A2876" t="s">
        <v>344</v>
      </c>
      <c r="B2876" t="s">
        <v>495</v>
      </c>
      <c r="C2876" t="s">
        <v>492</v>
      </c>
      <c r="D2876" t="s">
        <v>494</v>
      </c>
      <c r="E2876">
        <v>2</v>
      </c>
      <c r="F2876">
        <v>8</v>
      </c>
      <c r="G2876">
        <v>340</v>
      </c>
      <c r="H2876">
        <v>20</v>
      </c>
      <c r="I2876">
        <v>21</v>
      </c>
      <c r="J2876">
        <v>13.1</v>
      </c>
      <c r="K2876">
        <v>17.600000000000001</v>
      </c>
      <c r="L2876">
        <v>22</v>
      </c>
      <c r="M2876">
        <v>100</v>
      </c>
    </row>
    <row r="2877" spans="1:13" hidden="1" x14ac:dyDescent="0.25">
      <c r="A2877" t="s">
        <v>344</v>
      </c>
      <c r="B2877" t="s">
        <v>495</v>
      </c>
      <c r="C2877" t="s">
        <v>492</v>
      </c>
      <c r="D2877" t="s">
        <v>494</v>
      </c>
      <c r="E2877">
        <v>2</v>
      </c>
      <c r="F2877">
        <v>8</v>
      </c>
      <c r="G2877">
        <v>360</v>
      </c>
      <c r="H2877">
        <v>20</v>
      </c>
      <c r="I2877">
        <v>21</v>
      </c>
      <c r="J2877">
        <v>13.1</v>
      </c>
      <c r="K2877">
        <v>17.600000000000001</v>
      </c>
      <c r="L2877">
        <v>22</v>
      </c>
      <c r="M2877">
        <v>100</v>
      </c>
    </row>
    <row r="2878" spans="1:13" hidden="1" x14ac:dyDescent="0.25">
      <c r="A2878" t="s">
        <v>344</v>
      </c>
      <c r="B2878" t="s">
        <v>495</v>
      </c>
      <c r="C2878" t="s">
        <v>492</v>
      </c>
      <c r="D2878" t="s">
        <v>494</v>
      </c>
      <c r="E2878">
        <v>2</v>
      </c>
      <c r="F2878">
        <v>8</v>
      </c>
      <c r="G2878">
        <v>380</v>
      </c>
      <c r="H2878">
        <v>20</v>
      </c>
      <c r="I2878">
        <v>21</v>
      </c>
      <c r="J2878">
        <v>13.1</v>
      </c>
      <c r="K2878">
        <v>17.600000000000001</v>
      </c>
      <c r="L2878">
        <v>22</v>
      </c>
      <c r="M2878">
        <v>100</v>
      </c>
    </row>
    <row r="2879" spans="1:13" hidden="1" x14ac:dyDescent="0.25">
      <c r="A2879" t="s">
        <v>344</v>
      </c>
      <c r="B2879" t="s">
        <v>495</v>
      </c>
      <c r="C2879" t="s">
        <v>492</v>
      </c>
      <c r="D2879" t="s">
        <v>494</v>
      </c>
      <c r="E2879">
        <v>2</v>
      </c>
      <c r="F2879">
        <v>8</v>
      </c>
      <c r="G2879">
        <v>400</v>
      </c>
      <c r="H2879">
        <v>20</v>
      </c>
      <c r="I2879">
        <v>21</v>
      </c>
      <c r="J2879">
        <v>13.1</v>
      </c>
      <c r="K2879">
        <v>17.600000000000001</v>
      </c>
      <c r="L2879">
        <v>22</v>
      </c>
      <c r="M2879">
        <v>100</v>
      </c>
    </row>
    <row r="2880" spans="1:13" hidden="1" x14ac:dyDescent="0.25">
      <c r="A2880" t="s">
        <v>344</v>
      </c>
      <c r="B2880" t="s">
        <v>495</v>
      </c>
      <c r="C2880" t="s">
        <v>492</v>
      </c>
      <c r="D2880" t="s">
        <v>494</v>
      </c>
      <c r="E2880">
        <v>2</v>
      </c>
      <c r="F2880">
        <v>10</v>
      </c>
      <c r="G2880">
        <v>100</v>
      </c>
      <c r="H2880">
        <v>25</v>
      </c>
      <c r="I2880">
        <v>33</v>
      </c>
      <c r="J2880">
        <v>12.5</v>
      </c>
      <c r="K2880">
        <v>15.2</v>
      </c>
      <c r="L2880">
        <v>32</v>
      </c>
      <c r="M2880">
        <v>60</v>
      </c>
    </row>
    <row r="2881" spans="1:13" hidden="1" x14ac:dyDescent="0.25">
      <c r="A2881" t="s">
        <v>344</v>
      </c>
      <c r="B2881" t="s">
        <v>495</v>
      </c>
      <c r="C2881" t="s">
        <v>492</v>
      </c>
      <c r="D2881" t="s">
        <v>494</v>
      </c>
      <c r="E2881">
        <v>2</v>
      </c>
      <c r="F2881">
        <v>10</v>
      </c>
      <c r="G2881">
        <v>120</v>
      </c>
      <c r="H2881">
        <v>25</v>
      </c>
      <c r="I2881">
        <v>33</v>
      </c>
      <c r="J2881">
        <v>12.5</v>
      </c>
      <c r="K2881">
        <v>15.2</v>
      </c>
      <c r="L2881">
        <v>32</v>
      </c>
      <c r="M2881">
        <v>60</v>
      </c>
    </row>
    <row r="2882" spans="1:13" hidden="1" x14ac:dyDescent="0.25">
      <c r="A2882" t="s">
        <v>344</v>
      </c>
      <c r="B2882" t="s">
        <v>495</v>
      </c>
      <c r="C2882" t="s">
        <v>492</v>
      </c>
      <c r="D2882" t="s">
        <v>494</v>
      </c>
      <c r="E2882">
        <v>2</v>
      </c>
      <c r="F2882">
        <v>10</v>
      </c>
      <c r="G2882">
        <v>140</v>
      </c>
      <c r="H2882">
        <v>25</v>
      </c>
      <c r="I2882">
        <v>33</v>
      </c>
      <c r="J2882">
        <v>12.5</v>
      </c>
      <c r="K2882">
        <v>15.2</v>
      </c>
      <c r="L2882">
        <v>32</v>
      </c>
      <c r="M2882">
        <v>60</v>
      </c>
    </row>
    <row r="2883" spans="1:13" hidden="1" x14ac:dyDescent="0.25">
      <c r="A2883" t="s">
        <v>344</v>
      </c>
      <c r="B2883" t="s">
        <v>495</v>
      </c>
      <c r="C2883" t="s">
        <v>492</v>
      </c>
      <c r="D2883" t="s">
        <v>494</v>
      </c>
      <c r="E2883">
        <v>2</v>
      </c>
      <c r="F2883">
        <v>10</v>
      </c>
      <c r="G2883">
        <v>160</v>
      </c>
      <c r="H2883">
        <v>25</v>
      </c>
      <c r="I2883">
        <v>33</v>
      </c>
      <c r="J2883">
        <v>12.5</v>
      </c>
      <c r="K2883">
        <v>15.2</v>
      </c>
      <c r="L2883">
        <v>32</v>
      </c>
      <c r="M2883">
        <v>100</v>
      </c>
    </row>
    <row r="2884" spans="1:13" hidden="1" x14ac:dyDescent="0.25">
      <c r="A2884" t="s">
        <v>344</v>
      </c>
      <c r="B2884" t="s">
        <v>495</v>
      </c>
      <c r="C2884" t="s">
        <v>492</v>
      </c>
      <c r="D2884" t="s">
        <v>494</v>
      </c>
      <c r="E2884">
        <v>2</v>
      </c>
      <c r="F2884">
        <v>10</v>
      </c>
      <c r="G2884">
        <v>180</v>
      </c>
      <c r="H2884">
        <v>25</v>
      </c>
      <c r="I2884">
        <v>33</v>
      </c>
      <c r="J2884">
        <v>12.5</v>
      </c>
      <c r="K2884">
        <v>15.2</v>
      </c>
      <c r="L2884">
        <v>32</v>
      </c>
      <c r="M2884">
        <v>100</v>
      </c>
    </row>
    <row r="2885" spans="1:13" hidden="1" x14ac:dyDescent="0.25">
      <c r="A2885" t="s">
        <v>344</v>
      </c>
      <c r="B2885" t="s">
        <v>495</v>
      </c>
      <c r="C2885" t="s">
        <v>492</v>
      </c>
      <c r="D2885" t="s">
        <v>494</v>
      </c>
      <c r="E2885">
        <v>2</v>
      </c>
      <c r="F2885">
        <v>10</v>
      </c>
      <c r="G2885">
        <v>200</v>
      </c>
      <c r="H2885">
        <v>25</v>
      </c>
      <c r="I2885">
        <v>33</v>
      </c>
      <c r="J2885">
        <v>12.5</v>
      </c>
      <c r="K2885">
        <v>15.2</v>
      </c>
      <c r="L2885">
        <v>32</v>
      </c>
      <c r="M2885">
        <v>100</v>
      </c>
    </row>
    <row r="2886" spans="1:13" hidden="1" x14ac:dyDescent="0.25">
      <c r="A2886" t="s">
        <v>344</v>
      </c>
      <c r="B2886" t="s">
        <v>495</v>
      </c>
      <c r="C2886" t="s">
        <v>492</v>
      </c>
      <c r="D2886" t="s">
        <v>494</v>
      </c>
      <c r="E2886">
        <v>2</v>
      </c>
      <c r="F2886">
        <v>10</v>
      </c>
      <c r="G2886">
        <v>220</v>
      </c>
      <c r="H2886">
        <v>25</v>
      </c>
      <c r="I2886">
        <v>33</v>
      </c>
      <c r="J2886">
        <v>12.5</v>
      </c>
      <c r="K2886">
        <v>15.2</v>
      </c>
      <c r="L2886">
        <v>32</v>
      </c>
      <c r="M2886">
        <v>100</v>
      </c>
    </row>
    <row r="2887" spans="1:13" hidden="1" x14ac:dyDescent="0.25">
      <c r="A2887" t="s">
        <v>344</v>
      </c>
      <c r="B2887" t="s">
        <v>495</v>
      </c>
      <c r="C2887" t="s">
        <v>492</v>
      </c>
      <c r="D2887" t="s">
        <v>494</v>
      </c>
      <c r="E2887">
        <v>2</v>
      </c>
      <c r="F2887">
        <v>10</v>
      </c>
      <c r="G2887">
        <v>240</v>
      </c>
      <c r="H2887">
        <v>25</v>
      </c>
      <c r="I2887">
        <v>33</v>
      </c>
      <c r="J2887">
        <v>12.5</v>
      </c>
      <c r="K2887">
        <v>15.2</v>
      </c>
      <c r="L2887">
        <v>32</v>
      </c>
      <c r="M2887">
        <v>100</v>
      </c>
    </row>
    <row r="2888" spans="1:13" hidden="1" x14ac:dyDescent="0.25">
      <c r="A2888" t="s">
        <v>344</v>
      </c>
      <c r="B2888" t="s">
        <v>495</v>
      </c>
      <c r="C2888" t="s">
        <v>492</v>
      </c>
      <c r="D2888" t="s">
        <v>494</v>
      </c>
      <c r="E2888">
        <v>2</v>
      </c>
      <c r="F2888">
        <v>10</v>
      </c>
      <c r="G2888">
        <v>260</v>
      </c>
      <c r="H2888">
        <v>25</v>
      </c>
      <c r="I2888">
        <v>33</v>
      </c>
      <c r="J2888">
        <v>12.5</v>
      </c>
      <c r="K2888">
        <v>15.2</v>
      </c>
      <c r="L2888">
        <v>32</v>
      </c>
      <c r="M2888">
        <v>100</v>
      </c>
    </row>
    <row r="2889" spans="1:13" hidden="1" x14ac:dyDescent="0.25">
      <c r="A2889" t="s">
        <v>344</v>
      </c>
      <c r="B2889" t="s">
        <v>495</v>
      </c>
      <c r="C2889" t="s">
        <v>492</v>
      </c>
      <c r="D2889" t="s">
        <v>494</v>
      </c>
      <c r="E2889">
        <v>2</v>
      </c>
      <c r="F2889">
        <v>10</v>
      </c>
      <c r="G2889">
        <v>280</v>
      </c>
      <c r="H2889">
        <v>25</v>
      </c>
      <c r="I2889">
        <v>33</v>
      </c>
      <c r="J2889">
        <v>12.5</v>
      </c>
      <c r="K2889">
        <v>15.2</v>
      </c>
      <c r="L2889">
        <v>32</v>
      </c>
      <c r="M2889">
        <v>100</v>
      </c>
    </row>
    <row r="2890" spans="1:13" hidden="1" x14ac:dyDescent="0.25">
      <c r="A2890" t="s">
        <v>344</v>
      </c>
      <c r="B2890" t="s">
        <v>495</v>
      </c>
      <c r="C2890" t="s">
        <v>492</v>
      </c>
      <c r="D2890" t="s">
        <v>494</v>
      </c>
      <c r="E2890">
        <v>2</v>
      </c>
      <c r="F2890">
        <v>10</v>
      </c>
      <c r="G2890">
        <v>300</v>
      </c>
      <c r="H2890">
        <v>25</v>
      </c>
      <c r="I2890">
        <v>33</v>
      </c>
      <c r="J2890">
        <v>12.5</v>
      </c>
      <c r="K2890">
        <v>15.2</v>
      </c>
      <c r="L2890">
        <v>32</v>
      </c>
      <c r="M2890">
        <v>100</v>
      </c>
    </row>
    <row r="2891" spans="1:13" hidden="1" x14ac:dyDescent="0.25">
      <c r="A2891" t="s">
        <v>344</v>
      </c>
      <c r="B2891" t="s">
        <v>495</v>
      </c>
      <c r="C2891" t="s">
        <v>492</v>
      </c>
      <c r="D2891" t="s">
        <v>494</v>
      </c>
      <c r="E2891">
        <v>2</v>
      </c>
      <c r="F2891">
        <v>10</v>
      </c>
      <c r="G2891">
        <v>320</v>
      </c>
      <c r="H2891">
        <v>25</v>
      </c>
      <c r="I2891">
        <v>33</v>
      </c>
      <c r="J2891">
        <v>12.5</v>
      </c>
      <c r="K2891">
        <v>15.2</v>
      </c>
      <c r="L2891">
        <v>32</v>
      </c>
      <c r="M2891">
        <v>100</v>
      </c>
    </row>
    <row r="2892" spans="1:13" hidden="1" x14ac:dyDescent="0.25">
      <c r="A2892" t="s">
        <v>344</v>
      </c>
      <c r="B2892" t="s">
        <v>495</v>
      </c>
      <c r="C2892" t="s">
        <v>492</v>
      </c>
      <c r="D2892" t="s">
        <v>494</v>
      </c>
      <c r="E2892">
        <v>2</v>
      </c>
      <c r="F2892">
        <v>10</v>
      </c>
      <c r="G2892">
        <v>340</v>
      </c>
      <c r="H2892">
        <v>25</v>
      </c>
      <c r="I2892">
        <v>33</v>
      </c>
      <c r="J2892">
        <v>12.5</v>
      </c>
      <c r="K2892">
        <v>15.2</v>
      </c>
      <c r="L2892">
        <v>32</v>
      </c>
      <c r="M2892">
        <v>100</v>
      </c>
    </row>
    <row r="2893" spans="1:13" hidden="1" x14ac:dyDescent="0.25">
      <c r="A2893" t="s">
        <v>344</v>
      </c>
      <c r="B2893" t="s">
        <v>495</v>
      </c>
      <c r="C2893" t="s">
        <v>492</v>
      </c>
      <c r="D2893" t="s">
        <v>494</v>
      </c>
      <c r="E2893">
        <v>2</v>
      </c>
      <c r="F2893">
        <v>10</v>
      </c>
      <c r="G2893">
        <v>360</v>
      </c>
      <c r="H2893">
        <v>25</v>
      </c>
      <c r="I2893">
        <v>33</v>
      </c>
      <c r="J2893">
        <v>12.5</v>
      </c>
      <c r="K2893">
        <v>15.2</v>
      </c>
      <c r="L2893">
        <v>32</v>
      </c>
      <c r="M2893">
        <v>100</v>
      </c>
    </row>
    <row r="2894" spans="1:13" hidden="1" x14ac:dyDescent="0.25">
      <c r="A2894" t="s">
        <v>344</v>
      </c>
      <c r="B2894" t="s">
        <v>495</v>
      </c>
      <c r="C2894" t="s">
        <v>492</v>
      </c>
      <c r="D2894" t="s">
        <v>494</v>
      </c>
      <c r="E2894">
        <v>2</v>
      </c>
      <c r="F2894">
        <v>10</v>
      </c>
      <c r="G2894">
        <v>380</v>
      </c>
      <c r="H2894">
        <v>25</v>
      </c>
      <c r="I2894">
        <v>33</v>
      </c>
      <c r="J2894">
        <v>12.5</v>
      </c>
      <c r="K2894">
        <v>15.2</v>
      </c>
      <c r="L2894">
        <v>32</v>
      </c>
      <c r="M2894">
        <v>100</v>
      </c>
    </row>
    <row r="2895" spans="1:13" hidden="1" x14ac:dyDescent="0.25">
      <c r="A2895" t="s">
        <v>344</v>
      </c>
      <c r="B2895" t="s">
        <v>495</v>
      </c>
      <c r="C2895" t="s">
        <v>492</v>
      </c>
      <c r="D2895" t="s">
        <v>494</v>
      </c>
      <c r="E2895">
        <v>2</v>
      </c>
      <c r="F2895">
        <v>10</v>
      </c>
      <c r="G2895">
        <v>400</v>
      </c>
      <c r="H2895">
        <v>25</v>
      </c>
      <c r="I2895">
        <v>33</v>
      </c>
      <c r="J2895">
        <v>12.5</v>
      </c>
      <c r="K2895">
        <v>15.2</v>
      </c>
      <c r="L2895">
        <v>32</v>
      </c>
      <c r="M2895">
        <v>100</v>
      </c>
    </row>
    <row r="2896" spans="1:13" hidden="1" x14ac:dyDescent="0.25">
      <c r="A2896" t="s">
        <v>344</v>
      </c>
      <c r="B2896" t="s">
        <v>495</v>
      </c>
      <c r="C2896" t="s">
        <v>511</v>
      </c>
      <c r="D2896" t="s">
        <v>512</v>
      </c>
      <c r="E2896">
        <v>2</v>
      </c>
      <c r="F2896">
        <v>8</v>
      </c>
      <c r="G2896">
        <v>40</v>
      </c>
      <c r="H2896">
        <v>20</v>
      </c>
      <c r="I2896">
        <v>21</v>
      </c>
      <c r="J2896">
        <v>13.1</v>
      </c>
      <c r="K2896">
        <v>17.600000000000001</v>
      </c>
      <c r="L2896">
        <v>22</v>
      </c>
      <c r="M2896">
        <v>32</v>
      </c>
    </row>
    <row r="2897" spans="1:13" hidden="1" x14ac:dyDescent="0.25">
      <c r="A2897" t="s">
        <v>344</v>
      </c>
      <c r="B2897" t="s">
        <v>495</v>
      </c>
      <c r="C2897" t="s">
        <v>511</v>
      </c>
      <c r="D2897" t="s">
        <v>512</v>
      </c>
      <c r="E2897">
        <v>2</v>
      </c>
      <c r="F2897">
        <v>8</v>
      </c>
      <c r="G2897">
        <v>50</v>
      </c>
      <c r="H2897">
        <v>20</v>
      </c>
      <c r="I2897">
        <v>21</v>
      </c>
      <c r="J2897">
        <v>13.1</v>
      </c>
      <c r="K2897">
        <v>17.600000000000001</v>
      </c>
      <c r="L2897">
        <v>22</v>
      </c>
      <c r="M2897">
        <v>42</v>
      </c>
    </row>
    <row r="2898" spans="1:13" hidden="1" x14ac:dyDescent="0.25">
      <c r="A2898" t="s">
        <v>344</v>
      </c>
      <c r="B2898" t="s">
        <v>495</v>
      </c>
      <c r="C2898" t="s">
        <v>511</v>
      </c>
      <c r="D2898" t="s">
        <v>512</v>
      </c>
      <c r="E2898">
        <v>2</v>
      </c>
      <c r="F2898">
        <v>8</v>
      </c>
      <c r="G2898">
        <v>60</v>
      </c>
      <c r="H2898">
        <v>20</v>
      </c>
      <c r="I2898">
        <v>21</v>
      </c>
      <c r="J2898">
        <v>13.1</v>
      </c>
      <c r="K2898">
        <v>17.600000000000001</v>
      </c>
      <c r="L2898">
        <v>22</v>
      </c>
      <c r="M2898">
        <v>52</v>
      </c>
    </row>
    <row r="2899" spans="1:13" hidden="1" x14ac:dyDescent="0.25">
      <c r="A2899" t="s">
        <v>344</v>
      </c>
      <c r="B2899" t="s">
        <v>495</v>
      </c>
      <c r="C2899" t="s">
        <v>513</v>
      </c>
      <c r="D2899" t="s">
        <v>514</v>
      </c>
      <c r="E2899">
        <v>2</v>
      </c>
      <c r="F2899">
        <v>6</v>
      </c>
      <c r="G2899">
        <v>80</v>
      </c>
      <c r="H2899">
        <v>8.1999999999999993</v>
      </c>
      <c r="I2899">
        <v>10</v>
      </c>
      <c r="J2899">
        <v>13.5</v>
      </c>
      <c r="K2899">
        <v>0</v>
      </c>
      <c r="L2899">
        <v>12.5</v>
      </c>
      <c r="M2899">
        <v>70</v>
      </c>
    </row>
    <row r="2900" spans="1:13" hidden="1" x14ac:dyDescent="0.25">
      <c r="A2900" t="s">
        <v>344</v>
      </c>
      <c r="B2900" t="s">
        <v>495</v>
      </c>
      <c r="C2900" t="s">
        <v>513</v>
      </c>
      <c r="D2900" t="s">
        <v>514</v>
      </c>
      <c r="E2900">
        <v>2</v>
      </c>
      <c r="F2900">
        <v>6</v>
      </c>
      <c r="G2900">
        <v>100</v>
      </c>
      <c r="H2900">
        <v>8.1999999999999993</v>
      </c>
      <c r="I2900">
        <v>10</v>
      </c>
      <c r="J2900">
        <v>13.5</v>
      </c>
      <c r="K2900">
        <v>0</v>
      </c>
      <c r="L2900">
        <v>12.5</v>
      </c>
      <c r="M2900">
        <v>90</v>
      </c>
    </row>
    <row r="2901" spans="1:13" hidden="1" x14ac:dyDescent="0.25">
      <c r="A2901" t="s">
        <v>344</v>
      </c>
      <c r="B2901" t="s">
        <v>495</v>
      </c>
      <c r="C2901" t="s">
        <v>513</v>
      </c>
      <c r="D2901" t="s">
        <v>514</v>
      </c>
      <c r="E2901">
        <v>2</v>
      </c>
      <c r="F2901">
        <v>6</v>
      </c>
      <c r="G2901">
        <v>120</v>
      </c>
      <c r="H2901">
        <v>8.1999999999999993</v>
      </c>
      <c r="I2901">
        <v>10</v>
      </c>
      <c r="J2901">
        <v>13.5</v>
      </c>
      <c r="K2901">
        <v>0</v>
      </c>
      <c r="L2901">
        <v>12.5</v>
      </c>
      <c r="M2901">
        <v>110</v>
      </c>
    </row>
    <row r="2902" spans="1:13" hidden="1" x14ac:dyDescent="0.25">
      <c r="A2902" t="s">
        <v>344</v>
      </c>
      <c r="B2902" t="s">
        <v>495</v>
      </c>
      <c r="C2902" t="s">
        <v>513</v>
      </c>
      <c r="D2902" t="s">
        <v>514</v>
      </c>
      <c r="E2902">
        <v>2</v>
      </c>
      <c r="F2902">
        <v>6</v>
      </c>
      <c r="G2902">
        <v>140</v>
      </c>
      <c r="H2902">
        <v>8.1999999999999993</v>
      </c>
      <c r="I2902">
        <v>10</v>
      </c>
      <c r="J2902">
        <v>13.5</v>
      </c>
      <c r="K2902">
        <v>0</v>
      </c>
      <c r="L2902">
        <v>12.5</v>
      </c>
      <c r="M2902">
        <v>130</v>
      </c>
    </row>
    <row r="2903" spans="1:13" hidden="1" x14ac:dyDescent="0.25">
      <c r="A2903" t="s">
        <v>344</v>
      </c>
      <c r="B2903" t="s">
        <v>495</v>
      </c>
      <c r="C2903" t="s">
        <v>513</v>
      </c>
      <c r="D2903" t="s">
        <v>514</v>
      </c>
      <c r="E2903">
        <v>2</v>
      </c>
      <c r="F2903">
        <v>6</v>
      </c>
      <c r="G2903">
        <v>160</v>
      </c>
      <c r="H2903">
        <v>8.1999999999999993</v>
      </c>
      <c r="I2903">
        <v>10</v>
      </c>
      <c r="J2903">
        <v>13.5</v>
      </c>
      <c r="K2903">
        <v>0</v>
      </c>
      <c r="L2903">
        <v>12.5</v>
      </c>
      <c r="M2903">
        <v>150</v>
      </c>
    </row>
    <row r="2904" spans="1:13" hidden="1" x14ac:dyDescent="0.25">
      <c r="A2904" t="s">
        <v>344</v>
      </c>
      <c r="B2904" t="s">
        <v>495</v>
      </c>
      <c r="C2904" t="s">
        <v>513</v>
      </c>
      <c r="D2904" t="s">
        <v>514</v>
      </c>
      <c r="E2904">
        <v>2</v>
      </c>
      <c r="F2904">
        <v>6</v>
      </c>
      <c r="G2904">
        <v>180</v>
      </c>
      <c r="H2904">
        <v>8.1999999999999993</v>
      </c>
      <c r="I2904">
        <v>10</v>
      </c>
      <c r="J2904">
        <v>13.5</v>
      </c>
      <c r="K2904">
        <v>0</v>
      </c>
      <c r="L2904">
        <v>12.5</v>
      </c>
      <c r="M2904">
        <v>170</v>
      </c>
    </row>
    <row r="2905" spans="1:13" hidden="1" x14ac:dyDescent="0.25">
      <c r="A2905" t="s">
        <v>344</v>
      </c>
      <c r="B2905" t="s">
        <v>495</v>
      </c>
      <c r="C2905" t="s">
        <v>513</v>
      </c>
      <c r="D2905" t="s">
        <v>514</v>
      </c>
      <c r="E2905">
        <v>2</v>
      </c>
      <c r="F2905">
        <v>6</v>
      </c>
      <c r="G2905">
        <v>200</v>
      </c>
      <c r="H2905">
        <v>8.1999999999999993</v>
      </c>
      <c r="I2905">
        <v>10</v>
      </c>
      <c r="J2905">
        <v>13.5</v>
      </c>
      <c r="K2905">
        <v>0</v>
      </c>
      <c r="L2905">
        <v>12.5</v>
      </c>
      <c r="M2905">
        <v>190</v>
      </c>
    </row>
    <row r="2906" spans="1:13" hidden="1" x14ac:dyDescent="0.25">
      <c r="A2906" t="s">
        <v>344</v>
      </c>
      <c r="B2906" t="s">
        <v>495</v>
      </c>
      <c r="C2906" t="s">
        <v>513</v>
      </c>
      <c r="D2906" t="s">
        <v>514</v>
      </c>
      <c r="E2906">
        <v>2</v>
      </c>
      <c r="F2906">
        <v>8</v>
      </c>
      <c r="G2906">
        <v>120</v>
      </c>
      <c r="H2906">
        <v>10.199999999999999</v>
      </c>
      <c r="I2906">
        <v>20.3</v>
      </c>
      <c r="J2906">
        <v>13.1</v>
      </c>
      <c r="K2906">
        <v>0</v>
      </c>
      <c r="L2906">
        <v>24.1</v>
      </c>
      <c r="M2906">
        <v>110</v>
      </c>
    </row>
    <row r="2907" spans="1:13" hidden="1" x14ac:dyDescent="0.25">
      <c r="A2907" t="s">
        <v>344</v>
      </c>
      <c r="B2907" t="s">
        <v>495</v>
      </c>
      <c r="C2907" t="s">
        <v>513</v>
      </c>
      <c r="D2907" t="s">
        <v>514</v>
      </c>
      <c r="E2907">
        <v>2</v>
      </c>
      <c r="F2907">
        <v>8</v>
      </c>
      <c r="G2907">
        <v>140</v>
      </c>
      <c r="H2907">
        <v>10.199999999999999</v>
      </c>
      <c r="I2907">
        <v>20.3</v>
      </c>
      <c r="J2907">
        <v>13.1</v>
      </c>
      <c r="K2907">
        <v>0</v>
      </c>
      <c r="L2907">
        <v>24.1</v>
      </c>
      <c r="M2907">
        <v>130</v>
      </c>
    </row>
    <row r="2908" spans="1:13" hidden="1" x14ac:dyDescent="0.25">
      <c r="A2908" t="s">
        <v>344</v>
      </c>
      <c r="B2908" t="s">
        <v>495</v>
      </c>
      <c r="C2908" t="s">
        <v>513</v>
      </c>
      <c r="D2908" t="s">
        <v>514</v>
      </c>
      <c r="E2908">
        <v>2</v>
      </c>
      <c r="F2908">
        <v>8</v>
      </c>
      <c r="G2908">
        <v>160</v>
      </c>
      <c r="H2908">
        <v>10.199999999999999</v>
      </c>
      <c r="I2908">
        <v>20.3</v>
      </c>
      <c r="J2908">
        <v>13.1</v>
      </c>
      <c r="K2908">
        <v>0</v>
      </c>
      <c r="L2908">
        <v>24.1</v>
      </c>
      <c r="M2908">
        <v>150</v>
      </c>
    </row>
    <row r="2909" spans="1:13" hidden="1" x14ac:dyDescent="0.25">
      <c r="A2909" t="s">
        <v>344</v>
      </c>
      <c r="B2909" t="s">
        <v>495</v>
      </c>
      <c r="C2909" t="s">
        <v>513</v>
      </c>
      <c r="D2909" t="s">
        <v>514</v>
      </c>
      <c r="E2909">
        <v>2</v>
      </c>
      <c r="F2909">
        <v>8</v>
      </c>
      <c r="G2909">
        <v>180</v>
      </c>
      <c r="H2909">
        <v>10.199999999999999</v>
      </c>
      <c r="I2909">
        <v>20.3</v>
      </c>
      <c r="J2909">
        <v>13.1</v>
      </c>
      <c r="K2909">
        <v>0</v>
      </c>
      <c r="L2909">
        <v>24.1</v>
      </c>
      <c r="M2909">
        <v>170</v>
      </c>
    </row>
    <row r="2910" spans="1:13" hidden="1" x14ac:dyDescent="0.25">
      <c r="A2910" t="s">
        <v>344</v>
      </c>
      <c r="B2910" t="s">
        <v>495</v>
      </c>
      <c r="C2910" t="s">
        <v>513</v>
      </c>
      <c r="D2910" t="s">
        <v>514</v>
      </c>
      <c r="E2910">
        <v>2</v>
      </c>
      <c r="F2910">
        <v>8</v>
      </c>
      <c r="G2910">
        <v>200</v>
      </c>
      <c r="H2910">
        <v>10.199999999999999</v>
      </c>
      <c r="I2910">
        <v>20.3</v>
      </c>
      <c r="J2910">
        <v>13.1</v>
      </c>
      <c r="K2910">
        <v>0</v>
      </c>
      <c r="L2910">
        <v>24.1</v>
      </c>
      <c r="M2910">
        <v>190</v>
      </c>
    </row>
    <row r="2911" spans="1:13" hidden="1" x14ac:dyDescent="0.25">
      <c r="A2911" t="s">
        <v>344</v>
      </c>
      <c r="B2911" t="s">
        <v>495</v>
      </c>
      <c r="C2911" t="s">
        <v>513</v>
      </c>
      <c r="D2911" t="s">
        <v>514</v>
      </c>
      <c r="E2911">
        <v>2</v>
      </c>
      <c r="F2911">
        <v>8</v>
      </c>
      <c r="G2911">
        <v>220</v>
      </c>
      <c r="H2911">
        <v>10.199999999999999</v>
      </c>
      <c r="I2911">
        <v>20.3</v>
      </c>
      <c r="J2911">
        <v>13.1</v>
      </c>
      <c r="K2911">
        <v>0</v>
      </c>
      <c r="L2911">
        <v>24.1</v>
      </c>
      <c r="M2911">
        <v>210</v>
      </c>
    </row>
    <row r="2912" spans="1:13" hidden="1" x14ac:dyDescent="0.25">
      <c r="A2912" t="s">
        <v>344</v>
      </c>
      <c r="B2912" t="s">
        <v>495</v>
      </c>
      <c r="C2912" t="s">
        <v>513</v>
      </c>
      <c r="D2912" t="s">
        <v>514</v>
      </c>
      <c r="E2912">
        <v>2</v>
      </c>
      <c r="F2912">
        <v>8</v>
      </c>
      <c r="G2912">
        <v>240</v>
      </c>
      <c r="H2912">
        <v>10.199999999999999</v>
      </c>
      <c r="I2912">
        <v>20.3</v>
      </c>
      <c r="J2912">
        <v>13.1</v>
      </c>
      <c r="K2912">
        <v>0</v>
      </c>
      <c r="L2912">
        <v>24.1</v>
      </c>
      <c r="M2912">
        <v>230</v>
      </c>
    </row>
    <row r="2913" spans="1:13" hidden="1" x14ac:dyDescent="0.25">
      <c r="A2913" t="s">
        <v>344</v>
      </c>
      <c r="B2913" t="s">
        <v>495</v>
      </c>
      <c r="C2913" t="s">
        <v>513</v>
      </c>
      <c r="D2913" t="s">
        <v>514</v>
      </c>
      <c r="E2913">
        <v>2</v>
      </c>
      <c r="F2913">
        <v>8</v>
      </c>
      <c r="G2913">
        <v>260</v>
      </c>
      <c r="H2913">
        <v>10.199999999999999</v>
      </c>
      <c r="I2913">
        <v>20.3</v>
      </c>
      <c r="J2913">
        <v>13.1</v>
      </c>
      <c r="K2913">
        <v>0</v>
      </c>
      <c r="L2913">
        <v>24.1</v>
      </c>
      <c r="M2913">
        <v>250</v>
      </c>
    </row>
    <row r="2914" spans="1:13" hidden="1" x14ac:dyDescent="0.25">
      <c r="A2914" t="s">
        <v>344</v>
      </c>
      <c r="B2914" t="s">
        <v>495</v>
      </c>
      <c r="C2914" t="s">
        <v>513</v>
      </c>
      <c r="D2914" t="s">
        <v>514</v>
      </c>
      <c r="E2914">
        <v>2</v>
      </c>
      <c r="F2914">
        <v>8</v>
      </c>
      <c r="G2914">
        <v>280</v>
      </c>
      <c r="H2914">
        <v>10.199999999999999</v>
      </c>
      <c r="I2914">
        <v>20.3</v>
      </c>
      <c r="J2914">
        <v>13.1</v>
      </c>
      <c r="K2914">
        <v>0</v>
      </c>
      <c r="L2914">
        <v>24.1</v>
      </c>
      <c r="M2914">
        <v>270</v>
      </c>
    </row>
    <row r="2915" spans="1:13" hidden="1" x14ac:dyDescent="0.25">
      <c r="A2915" t="s">
        <v>344</v>
      </c>
      <c r="B2915" t="s">
        <v>495</v>
      </c>
      <c r="C2915" t="s">
        <v>513</v>
      </c>
      <c r="D2915" t="s">
        <v>514</v>
      </c>
      <c r="E2915">
        <v>2</v>
      </c>
      <c r="F2915">
        <v>8</v>
      </c>
      <c r="G2915">
        <v>300</v>
      </c>
      <c r="H2915">
        <v>10.199999999999999</v>
      </c>
      <c r="I2915">
        <v>20.3</v>
      </c>
      <c r="J2915">
        <v>13.1</v>
      </c>
      <c r="K2915">
        <v>0</v>
      </c>
      <c r="L2915">
        <v>24.1</v>
      </c>
      <c r="M2915">
        <v>290</v>
      </c>
    </row>
    <row r="2916" spans="1:13" hidden="1" x14ac:dyDescent="0.25">
      <c r="A2916" t="s">
        <v>344</v>
      </c>
      <c r="B2916" t="s">
        <v>495</v>
      </c>
      <c r="C2916" t="s">
        <v>513</v>
      </c>
      <c r="D2916" t="s">
        <v>514</v>
      </c>
      <c r="E2916">
        <v>2</v>
      </c>
      <c r="F2916">
        <v>8</v>
      </c>
      <c r="G2916">
        <v>325</v>
      </c>
      <c r="H2916">
        <v>10.199999999999999</v>
      </c>
      <c r="I2916">
        <v>20.3</v>
      </c>
      <c r="J2916">
        <v>13.1</v>
      </c>
      <c r="K2916">
        <v>0</v>
      </c>
      <c r="L2916">
        <v>24.1</v>
      </c>
      <c r="M2916">
        <v>315</v>
      </c>
    </row>
    <row r="2917" spans="1:13" hidden="1" x14ac:dyDescent="0.25">
      <c r="A2917" t="s">
        <v>344</v>
      </c>
      <c r="B2917" t="s">
        <v>495</v>
      </c>
      <c r="C2917" t="s">
        <v>513</v>
      </c>
      <c r="D2917" t="s">
        <v>514</v>
      </c>
      <c r="E2917">
        <v>2</v>
      </c>
      <c r="F2917">
        <v>8</v>
      </c>
      <c r="G2917">
        <v>350</v>
      </c>
      <c r="H2917">
        <v>10.199999999999999</v>
      </c>
      <c r="I2917">
        <v>20.3</v>
      </c>
      <c r="J2917">
        <v>13.1</v>
      </c>
      <c r="K2917">
        <v>0</v>
      </c>
      <c r="L2917">
        <v>24.1</v>
      </c>
      <c r="M2917">
        <v>340</v>
      </c>
    </row>
    <row r="2918" spans="1:13" hidden="1" x14ac:dyDescent="0.25">
      <c r="A2918" t="s">
        <v>344</v>
      </c>
      <c r="B2918" t="s">
        <v>495</v>
      </c>
      <c r="C2918" t="s">
        <v>513</v>
      </c>
      <c r="D2918" t="s">
        <v>514</v>
      </c>
      <c r="E2918">
        <v>2</v>
      </c>
      <c r="F2918">
        <v>8</v>
      </c>
      <c r="G2918">
        <v>375</v>
      </c>
      <c r="H2918">
        <v>10.199999999999999</v>
      </c>
      <c r="I2918">
        <v>20.3</v>
      </c>
      <c r="J2918">
        <v>13.1</v>
      </c>
      <c r="K2918">
        <v>0</v>
      </c>
      <c r="L2918">
        <v>24.1</v>
      </c>
      <c r="M2918">
        <v>365</v>
      </c>
    </row>
    <row r="2919" spans="1:13" hidden="1" x14ac:dyDescent="0.25">
      <c r="A2919" t="s">
        <v>344</v>
      </c>
      <c r="B2919" t="s">
        <v>495</v>
      </c>
      <c r="C2919" t="s">
        <v>513</v>
      </c>
      <c r="D2919" t="s">
        <v>514</v>
      </c>
      <c r="E2919">
        <v>2</v>
      </c>
      <c r="F2919">
        <v>8</v>
      </c>
      <c r="G2919">
        <v>400</v>
      </c>
      <c r="H2919">
        <v>10.199999999999999</v>
      </c>
      <c r="I2919">
        <v>20.3</v>
      </c>
      <c r="J2919">
        <v>13.1</v>
      </c>
      <c r="K2919">
        <v>0</v>
      </c>
      <c r="L2919">
        <v>24.1</v>
      </c>
      <c r="M2919">
        <v>390</v>
      </c>
    </row>
    <row r="2920" spans="1:13" hidden="1" x14ac:dyDescent="0.25">
      <c r="A2920" t="s">
        <v>344</v>
      </c>
      <c r="B2920" t="s">
        <v>495</v>
      </c>
      <c r="C2920" t="s">
        <v>513</v>
      </c>
      <c r="D2920" t="s">
        <v>515</v>
      </c>
      <c r="E2920">
        <v>2</v>
      </c>
      <c r="F2920">
        <v>8</v>
      </c>
      <c r="G2920">
        <v>450</v>
      </c>
      <c r="H2920">
        <v>10.199999999999999</v>
      </c>
      <c r="I2920">
        <v>20.3</v>
      </c>
      <c r="J2920">
        <v>13.1</v>
      </c>
      <c r="K2920">
        <v>0</v>
      </c>
      <c r="L2920">
        <v>24.1</v>
      </c>
      <c r="M2920">
        <v>428</v>
      </c>
    </row>
    <row r="2921" spans="1:13" hidden="1" x14ac:dyDescent="0.25">
      <c r="A2921" t="s">
        <v>344</v>
      </c>
      <c r="B2921" t="s">
        <v>495</v>
      </c>
      <c r="C2921" t="s">
        <v>513</v>
      </c>
      <c r="D2921" t="s">
        <v>515</v>
      </c>
      <c r="E2921">
        <v>2</v>
      </c>
      <c r="F2921">
        <v>8</v>
      </c>
      <c r="G2921">
        <v>500</v>
      </c>
      <c r="H2921">
        <v>10.199999999999999</v>
      </c>
      <c r="I2921">
        <v>20.3</v>
      </c>
      <c r="J2921">
        <v>13.1</v>
      </c>
      <c r="K2921">
        <v>0</v>
      </c>
      <c r="L2921">
        <v>24.1</v>
      </c>
      <c r="M2921">
        <v>478</v>
      </c>
    </row>
    <row r="2922" spans="1:13" hidden="1" x14ac:dyDescent="0.25">
      <c r="A2922" t="s">
        <v>344</v>
      </c>
      <c r="B2922" t="s">
        <v>495</v>
      </c>
      <c r="C2922" t="s">
        <v>513</v>
      </c>
      <c r="D2922" t="s">
        <v>515</v>
      </c>
      <c r="E2922">
        <v>2</v>
      </c>
      <c r="F2922">
        <v>8</v>
      </c>
      <c r="G2922">
        <v>600</v>
      </c>
      <c r="H2922">
        <v>10.199999999999999</v>
      </c>
      <c r="I2922">
        <v>20.3</v>
      </c>
      <c r="J2922">
        <v>13.1</v>
      </c>
      <c r="K2922">
        <v>0</v>
      </c>
      <c r="L2922">
        <v>24.1</v>
      </c>
      <c r="M2922">
        <v>578</v>
      </c>
    </row>
    <row r="2923" spans="1:13" hidden="1" x14ac:dyDescent="0.25">
      <c r="A2923" t="s">
        <v>344</v>
      </c>
      <c r="B2923" t="s">
        <v>495</v>
      </c>
      <c r="C2923" t="s">
        <v>513</v>
      </c>
      <c r="D2923" t="s">
        <v>515</v>
      </c>
      <c r="E2923">
        <v>2</v>
      </c>
      <c r="F2923">
        <v>10</v>
      </c>
      <c r="G2923">
        <v>200</v>
      </c>
      <c r="H2923">
        <v>13.4</v>
      </c>
      <c r="I2923">
        <v>36.700000000000003</v>
      </c>
      <c r="J2923">
        <v>12.5</v>
      </c>
      <c r="K2923">
        <v>0</v>
      </c>
      <c r="L2923">
        <v>40</v>
      </c>
      <c r="M2923">
        <v>188</v>
      </c>
    </row>
    <row r="2924" spans="1:13" hidden="1" x14ac:dyDescent="0.25">
      <c r="A2924" t="s">
        <v>344</v>
      </c>
      <c r="B2924" t="s">
        <v>495</v>
      </c>
      <c r="C2924" t="s">
        <v>513</v>
      </c>
      <c r="D2924" t="s">
        <v>515</v>
      </c>
      <c r="E2924">
        <v>2</v>
      </c>
      <c r="F2924">
        <v>10</v>
      </c>
      <c r="G2924">
        <v>240</v>
      </c>
      <c r="H2924">
        <v>13.4</v>
      </c>
      <c r="I2924">
        <v>36.700000000000003</v>
      </c>
      <c r="J2924">
        <v>12.5</v>
      </c>
      <c r="K2924">
        <v>0</v>
      </c>
      <c r="L2924">
        <v>40</v>
      </c>
      <c r="M2924">
        <v>228</v>
      </c>
    </row>
    <row r="2925" spans="1:13" hidden="1" x14ac:dyDescent="0.25">
      <c r="A2925" t="s">
        <v>344</v>
      </c>
      <c r="B2925" t="s">
        <v>495</v>
      </c>
      <c r="C2925" t="s">
        <v>513</v>
      </c>
      <c r="D2925" t="s">
        <v>515</v>
      </c>
      <c r="E2925">
        <v>2</v>
      </c>
      <c r="F2925">
        <v>10</v>
      </c>
      <c r="G2925">
        <v>260</v>
      </c>
      <c r="H2925">
        <v>13.4</v>
      </c>
      <c r="I2925">
        <v>36.700000000000003</v>
      </c>
      <c r="J2925">
        <v>12.5</v>
      </c>
      <c r="K2925">
        <v>0</v>
      </c>
      <c r="L2925">
        <v>40</v>
      </c>
      <c r="M2925">
        <v>248</v>
      </c>
    </row>
    <row r="2926" spans="1:13" hidden="1" x14ac:dyDescent="0.25">
      <c r="A2926" t="s">
        <v>344</v>
      </c>
      <c r="B2926" t="s">
        <v>495</v>
      </c>
      <c r="C2926" t="s">
        <v>513</v>
      </c>
      <c r="D2926" t="s">
        <v>515</v>
      </c>
      <c r="E2926">
        <v>2</v>
      </c>
      <c r="F2926">
        <v>10</v>
      </c>
      <c r="G2926">
        <v>280</v>
      </c>
      <c r="H2926">
        <v>13.4</v>
      </c>
      <c r="I2926">
        <v>36.700000000000003</v>
      </c>
      <c r="J2926">
        <v>12.5</v>
      </c>
      <c r="K2926">
        <v>0</v>
      </c>
      <c r="L2926">
        <v>40</v>
      </c>
      <c r="M2926">
        <v>268</v>
      </c>
    </row>
    <row r="2927" spans="1:13" hidden="1" x14ac:dyDescent="0.25">
      <c r="A2927" t="s">
        <v>344</v>
      </c>
      <c r="B2927" t="s">
        <v>495</v>
      </c>
      <c r="C2927" t="s">
        <v>513</v>
      </c>
      <c r="D2927" t="s">
        <v>515</v>
      </c>
      <c r="E2927">
        <v>2</v>
      </c>
      <c r="F2927">
        <v>10</v>
      </c>
      <c r="G2927">
        <v>300</v>
      </c>
      <c r="H2927">
        <v>13.4</v>
      </c>
      <c r="I2927">
        <v>36.700000000000003</v>
      </c>
      <c r="J2927">
        <v>12.5</v>
      </c>
      <c r="K2927">
        <v>0</v>
      </c>
      <c r="L2927">
        <v>40</v>
      </c>
      <c r="M2927">
        <v>288</v>
      </c>
    </row>
    <row r="2928" spans="1:13" hidden="1" x14ac:dyDescent="0.25">
      <c r="A2928" t="s">
        <v>344</v>
      </c>
      <c r="B2928" t="s">
        <v>495</v>
      </c>
      <c r="C2928" t="s">
        <v>513</v>
      </c>
      <c r="D2928" t="s">
        <v>515</v>
      </c>
      <c r="E2928">
        <v>2</v>
      </c>
      <c r="F2928">
        <v>10</v>
      </c>
      <c r="G2928">
        <v>325</v>
      </c>
      <c r="H2928">
        <v>13.4</v>
      </c>
      <c r="I2928">
        <v>36.700000000000003</v>
      </c>
      <c r="J2928">
        <v>12.5</v>
      </c>
      <c r="K2928">
        <v>0</v>
      </c>
      <c r="L2928">
        <v>40</v>
      </c>
      <c r="M2928">
        <v>301</v>
      </c>
    </row>
    <row r="2929" spans="1:13" hidden="1" x14ac:dyDescent="0.25">
      <c r="A2929" t="s">
        <v>344</v>
      </c>
      <c r="B2929" t="s">
        <v>495</v>
      </c>
      <c r="C2929" t="s">
        <v>513</v>
      </c>
      <c r="D2929" t="s">
        <v>515</v>
      </c>
      <c r="E2929">
        <v>2</v>
      </c>
      <c r="F2929">
        <v>10</v>
      </c>
      <c r="G2929">
        <v>350</v>
      </c>
      <c r="H2929">
        <v>13.4</v>
      </c>
      <c r="I2929">
        <v>36.700000000000003</v>
      </c>
      <c r="J2929">
        <v>12.5</v>
      </c>
      <c r="K2929">
        <v>0</v>
      </c>
      <c r="L2929">
        <v>40</v>
      </c>
      <c r="M2929">
        <v>326</v>
      </c>
    </row>
    <row r="2930" spans="1:13" hidden="1" x14ac:dyDescent="0.25">
      <c r="A2930" t="s">
        <v>344</v>
      </c>
      <c r="B2930" t="s">
        <v>495</v>
      </c>
      <c r="C2930" t="s">
        <v>513</v>
      </c>
      <c r="D2930" t="s">
        <v>515</v>
      </c>
      <c r="E2930">
        <v>2</v>
      </c>
      <c r="F2930">
        <v>10</v>
      </c>
      <c r="G2930">
        <v>375</v>
      </c>
      <c r="H2930">
        <v>13.4</v>
      </c>
      <c r="I2930">
        <v>36.700000000000003</v>
      </c>
      <c r="J2930">
        <v>12.5</v>
      </c>
      <c r="K2930">
        <v>0</v>
      </c>
      <c r="L2930">
        <v>40</v>
      </c>
      <c r="M2930">
        <v>351</v>
      </c>
    </row>
    <row r="2931" spans="1:13" hidden="1" x14ac:dyDescent="0.25">
      <c r="A2931" t="s">
        <v>344</v>
      </c>
      <c r="B2931" t="s">
        <v>495</v>
      </c>
      <c r="C2931" t="s">
        <v>513</v>
      </c>
      <c r="D2931" t="s">
        <v>515</v>
      </c>
      <c r="E2931">
        <v>2</v>
      </c>
      <c r="F2931">
        <v>10</v>
      </c>
      <c r="G2931">
        <v>400</v>
      </c>
      <c r="H2931">
        <v>13.4</v>
      </c>
      <c r="I2931">
        <v>36.700000000000003</v>
      </c>
      <c r="J2931">
        <v>12.5</v>
      </c>
      <c r="K2931">
        <v>0</v>
      </c>
      <c r="L2931">
        <v>40</v>
      </c>
      <c r="M2931">
        <v>376</v>
      </c>
    </row>
    <row r="2932" spans="1:13" hidden="1" x14ac:dyDescent="0.25">
      <c r="A2932" t="s">
        <v>344</v>
      </c>
      <c r="B2932" t="s">
        <v>495</v>
      </c>
      <c r="C2932" t="s">
        <v>513</v>
      </c>
      <c r="D2932" t="s">
        <v>515</v>
      </c>
      <c r="E2932">
        <v>2</v>
      </c>
      <c r="F2932">
        <v>10</v>
      </c>
      <c r="G2932">
        <v>450</v>
      </c>
      <c r="H2932">
        <v>13.4</v>
      </c>
      <c r="I2932">
        <v>36.700000000000003</v>
      </c>
      <c r="J2932">
        <v>12.5</v>
      </c>
      <c r="K2932">
        <v>0</v>
      </c>
      <c r="L2932">
        <v>40</v>
      </c>
      <c r="M2932">
        <v>426</v>
      </c>
    </row>
    <row r="2933" spans="1:13" hidden="1" x14ac:dyDescent="0.25">
      <c r="A2933" t="s">
        <v>344</v>
      </c>
      <c r="B2933" t="s">
        <v>495</v>
      </c>
      <c r="C2933" t="s">
        <v>513</v>
      </c>
      <c r="D2933" t="s">
        <v>515</v>
      </c>
      <c r="E2933">
        <v>2</v>
      </c>
      <c r="F2933">
        <v>10</v>
      </c>
      <c r="G2933">
        <v>500</v>
      </c>
      <c r="H2933">
        <v>13.4</v>
      </c>
      <c r="I2933">
        <v>36.700000000000003</v>
      </c>
      <c r="J2933">
        <v>12.5</v>
      </c>
      <c r="K2933">
        <v>0</v>
      </c>
      <c r="L2933">
        <v>40</v>
      </c>
      <c r="M2933">
        <v>476</v>
      </c>
    </row>
    <row r="2934" spans="1:13" hidden="1" x14ac:dyDescent="0.25">
      <c r="A2934" t="s">
        <v>344</v>
      </c>
      <c r="B2934" t="s">
        <v>495</v>
      </c>
      <c r="C2934" t="s">
        <v>513</v>
      </c>
      <c r="D2934" t="s">
        <v>515</v>
      </c>
      <c r="E2934">
        <v>2</v>
      </c>
      <c r="F2934">
        <v>10</v>
      </c>
      <c r="G2934">
        <v>600</v>
      </c>
      <c r="H2934">
        <v>13.4</v>
      </c>
      <c r="I2934">
        <v>36.700000000000003</v>
      </c>
      <c r="J2934">
        <v>12.5</v>
      </c>
      <c r="K2934">
        <v>0</v>
      </c>
      <c r="L2934">
        <v>40</v>
      </c>
      <c r="M2934">
        <v>576</v>
      </c>
    </row>
    <row r="2935" spans="1:13" hidden="1" x14ac:dyDescent="0.25">
      <c r="A2935" t="s">
        <v>344</v>
      </c>
      <c r="B2935" t="s">
        <v>495</v>
      </c>
      <c r="C2935" t="s">
        <v>513</v>
      </c>
      <c r="D2935" t="s">
        <v>515</v>
      </c>
      <c r="E2935">
        <v>2</v>
      </c>
      <c r="F2935">
        <v>10</v>
      </c>
      <c r="G2935">
        <v>700</v>
      </c>
      <c r="H2935">
        <v>13.4</v>
      </c>
      <c r="I2935">
        <v>36.700000000000003</v>
      </c>
      <c r="J2935">
        <v>12.5</v>
      </c>
      <c r="K2935">
        <v>0</v>
      </c>
      <c r="L2935">
        <v>40</v>
      </c>
      <c r="M2935">
        <v>676</v>
      </c>
    </row>
    <row r="2936" spans="1:13" hidden="1" x14ac:dyDescent="0.25">
      <c r="A2936" t="s">
        <v>344</v>
      </c>
      <c r="B2936" t="s">
        <v>495</v>
      </c>
      <c r="C2936" t="s">
        <v>513</v>
      </c>
      <c r="D2936" t="s">
        <v>515</v>
      </c>
      <c r="E2936">
        <v>2</v>
      </c>
      <c r="F2936">
        <v>10</v>
      </c>
      <c r="G2936">
        <v>800</v>
      </c>
      <c r="H2936">
        <v>13.4</v>
      </c>
      <c r="I2936">
        <v>36.700000000000003</v>
      </c>
      <c r="J2936">
        <v>12.5</v>
      </c>
      <c r="K2936">
        <v>0</v>
      </c>
      <c r="L2936">
        <v>40</v>
      </c>
      <c r="M2936">
        <v>776</v>
      </c>
    </row>
    <row r="2937" spans="1:13" hidden="1" x14ac:dyDescent="0.25">
      <c r="A2937" t="s">
        <v>344</v>
      </c>
      <c r="B2937" t="s">
        <v>495</v>
      </c>
      <c r="C2937" t="s">
        <v>513</v>
      </c>
      <c r="D2937" t="s">
        <v>515</v>
      </c>
      <c r="E2937">
        <v>2</v>
      </c>
      <c r="F2937">
        <v>10</v>
      </c>
      <c r="G2937">
        <v>1000</v>
      </c>
      <c r="H2937">
        <v>13.4</v>
      </c>
      <c r="I2937">
        <v>36.700000000000003</v>
      </c>
      <c r="J2937">
        <v>12.5</v>
      </c>
      <c r="K2937">
        <v>0</v>
      </c>
      <c r="L2937">
        <v>40</v>
      </c>
      <c r="M2937">
        <v>976</v>
      </c>
    </row>
    <row r="2938" spans="1:13" hidden="1" x14ac:dyDescent="0.25">
      <c r="A2938" t="s">
        <v>344</v>
      </c>
      <c r="B2938" t="s">
        <v>495</v>
      </c>
      <c r="C2938" t="s">
        <v>516</v>
      </c>
      <c r="D2938" t="s">
        <v>517</v>
      </c>
      <c r="E2938">
        <v>2</v>
      </c>
      <c r="F2938">
        <v>8</v>
      </c>
      <c r="G2938">
        <v>120</v>
      </c>
      <c r="H2938">
        <v>15</v>
      </c>
      <c r="I2938">
        <v>20.3</v>
      </c>
      <c r="J2938">
        <v>13.1</v>
      </c>
      <c r="K2938">
        <v>12.4</v>
      </c>
      <c r="L2938">
        <v>24.1</v>
      </c>
      <c r="M2938">
        <v>110</v>
      </c>
    </row>
    <row r="2939" spans="1:13" hidden="1" x14ac:dyDescent="0.25">
      <c r="A2939" t="s">
        <v>344</v>
      </c>
      <c r="B2939" t="s">
        <v>495</v>
      </c>
      <c r="C2939" t="s">
        <v>516</v>
      </c>
      <c r="D2939" t="s">
        <v>517</v>
      </c>
      <c r="E2939">
        <v>2</v>
      </c>
      <c r="F2939">
        <v>8</v>
      </c>
      <c r="G2939">
        <v>140</v>
      </c>
      <c r="H2939">
        <v>15</v>
      </c>
      <c r="I2939">
        <v>20.3</v>
      </c>
      <c r="J2939">
        <v>13.1</v>
      </c>
      <c r="K2939">
        <v>12.4</v>
      </c>
      <c r="L2939">
        <v>24.1</v>
      </c>
      <c r="M2939">
        <v>130</v>
      </c>
    </row>
    <row r="2940" spans="1:13" hidden="1" x14ac:dyDescent="0.25">
      <c r="A2940" t="s">
        <v>344</v>
      </c>
      <c r="B2940" t="s">
        <v>495</v>
      </c>
      <c r="C2940" t="s">
        <v>516</v>
      </c>
      <c r="D2940" t="s">
        <v>517</v>
      </c>
      <c r="E2940">
        <v>2</v>
      </c>
      <c r="F2940">
        <v>8</v>
      </c>
      <c r="G2940">
        <v>160</v>
      </c>
      <c r="H2940">
        <v>15</v>
      </c>
      <c r="I2940">
        <v>20.3</v>
      </c>
      <c r="J2940">
        <v>13.1</v>
      </c>
      <c r="K2940">
        <v>12.4</v>
      </c>
      <c r="L2940">
        <v>24.1</v>
      </c>
      <c r="M2940">
        <v>150</v>
      </c>
    </row>
    <row r="2941" spans="1:13" hidden="1" x14ac:dyDescent="0.25">
      <c r="A2941" t="s">
        <v>344</v>
      </c>
      <c r="B2941" t="s">
        <v>495</v>
      </c>
      <c r="C2941" t="s">
        <v>516</v>
      </c>
      <c r="D2941" t="s">
        <v>517</v>
      </c>
      <c r="E2941">
        <v>2</v>
      </c>
      <c r="F2941">
        <v>8</v>
      </c>
      <c r="G2941">
        <v>180</v>
      </c>
      <c r="H2941">
        <v>15</v>
      </c>
      <c r="I2941">
        <v>20.3</v>
      </c>
      <c r="J2941">
        <v>13.1</v>
      </c>
      <c r="K2941">
        <v>12.4</v>
      </c>
      <c r="L2941">
        <v>24.1</v>
      </c>
      <c r="M2941">
        <v>170</v>
      </c>
    </row>
    <row r="2942" spans="1:13" hidden="1" x14ac:dyDescent="0.25">
      <c r="A2942" t="s">
        <v>344</v>
      </c>
      <c r="B2942" t="s">
        <v>495</v>
      </c>
      <c r="C2942" t="s">
        <v>516</v>
      </c>
      <c r="D2942" t="s">
        <v>517</v>
      </c>
      <c r="E2942">
        <v>2</v>
      </c>
      <c r="F2942">
        <v>8</v>
      </c>
      <c r="G2942">
        <v>200</v>
      </c>
      <c r="H2942">
        <v>15</v>
      </c>
      <c r="I2942">
        <v>20.3</v>
      </c>
      <c r="J2942">
        <v>13.1</v>
      </c>
      <c r="K2942">
        <v>12.4</v>
      </c>
      <c r="L2942">
        <v>24.1</v>
      </c>
      <c r="M2942">
        <v>190</v>
      </c>
    </row>
    <row r="2943" spans="1:13" hidden="1" x14ac:dyDescent="0.25">
      <c r="A2943" t="s">
        <v>344</v>
      </c>
      <c r="B2943" t="s">
        <v>495</v>
      </c>
      <c r="C2943" t="s">
        <v>516</v>
      </c>
      <c r="D2943" t="s">
        <v>517</v>
      </c>
      <c r="E2943">
        <v>2</v>
      </c>
      <c r="F2943">
        <v>8</v>
      </c>
      <c r="G2943">
        <v>220</v>
      </c>
      <c r="H2943">
        <v>15</v>
      </c>
      <c r="I2943">
        <v>20.3</v>
      </c>
      <c r="J2943">
        <v>13.1</v>
      </c>
      <c r="K2943">
        <v>12.4</v>
      </c>
      <c r="L2943">
        <v>24.1</v>
      </c>
      <c r="M2943">
        <v>210</v>
      </c>
    </row>
    <row r="2944" spans="1:13" hidden="1" x14ac:dyDescent="0.25">
      <c r="A2944" t="s">
        <v>344</v>
      </c>
      <c r="B2944" t="s">
        <v>495</v>
      </c>
      <c r="C2944" t="s">
        <v>516</v>
      </c>
      <c r="D2944" t="s">
        <v>517</v>
      </c>
      <c r="E2944">
        <v>2</v>
      </c>
      <c r="F2944">
        <v>8</v>
      </c>
      <c r="G2944">
        <v>240</v>
      </c>
      <c r="H2944">
        <v>15</v>
      </c>
      <c r="I2944">
        <v>20.3</v>
      </c>
      <c r="J2944">
        <v>13.1</v>
      </c>
      <c r="K2944">
        <v>12.4</v>
      </c>
      <c r="L2944">
        <v>24.1</v>
      </c>
      <c r="M2944">
        <v>230</v>
      </c>
    </row>
    <row r="2945" spans="1:13" hidden="1" x14ac:dyDescent="0.25">
      <c r="A2945" t="s">
        <v>344</v>
      </c>
      <c r="B2945" t="s">
        <v>495</v>
      </c>
      <c r="C2945" t="s">
        <v>516</v>
      </c>
      <c r="D2945" t="s">
        <v>517</v>
      </c>
      <c r="E2945">
        <v>2</v>
      </c>
      <c r="F2945">
        <v>8</v>
      </c>
      <c r="G2945">
        <v>260</v>
      </c>
      <c r="H2945">
        <v>15</v>
      </c>
      <c r="I2945">
        <v>20.3</v>
      </c>
      <c r="J2945">
        <v>13.1</v>
      </c>
      <c r="K2945">
        <v>12.4</v>
      </c>
      <c r="L2945">
        <v>24.1</v>
      </c>
      <c r="M2945">
        <v>250</v>
      </c>
    </row>
    <row r="2946" spans="1:13" hidden="1" x14ac:dyDescent="0.25">
      <c r="A2946" t="s">
        <v>344</v>
      </c>
      <c r="B2946" t="s">
        <v>495</v>
      </c>
      <c r="C2946" t="s">
        <v>516</v>
      </c>
      <c r="D2946" t="s">
        <v>517</v>
      </c>
      <c r="E2946">
        <v>2</v>
      </c>
      <c r="F2946">
        <v>8</v>
      </c>
      <c r="G2946">
        <v>280</v>
      </c>
      <c r="H2946">
        <v>15</v>
      </c>
      <c r="I2946">
        <v>20.3</v>
      </c>
      <c r="J2946">
        <v>13.1</v>
      </c>
      <c r="K2946">
        <v>12.4</v>
      </c>
      <c r="L2946">
        <v>24.1</v>
      </c>
      <c r="M2946">
        <v>270</v>
      </c>
    </row>
    <row r="2947" spans="1:13" hidden="1" x14ac:dyDescent="0.25">
      <c r="A2947" t="s">
        <v>344</v>
      </c>
      <c r="B2947" t="s">
        <v>495</v>
      </c>
      <c r="C2947" t="s">
        <v>516</v>
      </c>
      <c r="D2947" t="s">
        <v>517</v>
      </c>
      <c r="E2947">
        <v>2</v>
      </c>
      <c r="F2947">
        <v>8</v>
      </c>
      <c r="G2947">
        <v>300</v>
      </c>
      <c r="H2947">
        <v>15</v>
      </c>
      <c r="I2947">
        <v>20.3</v>
      </c>
      <c r="J2947">
        <v>13.1</v>
      </c>
      <c r="K2947">
        <v>12.4</v>
      </c>
      <c r="L2947">
        <v>24.1</v>
      </c>
      <c r="M2947">
        <v>290</v>
      </c>
    </row>
    <row r="2948" spans="1:13" hidden="1" x14ac:dyDescent="0.25">
      <c r="A2948" t="s">
        <v>344</v>
      </c>
      <c r="B2948" t="s">
        <v>495</v>
      </c>
      <c r="C2948" t="s">
        <v>516</v>
      </c>
      <c r="D2948" t="s">
        <v>517</v>
      </c>
      <c r="E2948">
        <v>2</v>
      </c>
      <c r="F2948">
        <v>8</v>
      </c>
      <c r="G2948">
        <v>325</v>
      </c>
      <c r="H2948">
        <v>15</v>
      </c>
      <c r="I2948">
        <v>20.3</v>
      </c>
      <c r="J2948">
        <v>13.1</v>
      </c>
      <c r="K2948">
        <v>12.4</v>
      </c>
      <c r="L2948">
        <v>24.1</v>
      </c>
      <c r="M2948">
        <v>315</v>
      </c>
    </row>
    <row r="2949" spans="1:13" hidden="1" x14ac:dyDescent="0.25">
      <c r="A2949" t="s">
        <v>344</v>
      </c>
      <c r="B2949" t="s">
        <v>495</v>
      </c>
      <c r="C2949" t="s">
        <v>516</v>
      </c>
      <c r="D2949" t="s">
        <v>517</v>
      </c>
      <c r="E2949">
        <v>2</v>
      </c>
      <c r="F2949">
        <v>8</v>
      </c>
      <c r="G2949">
        <v>350</v>
      </c>
      <c r="H2949">
        <v>15</v>
      </c>
      <c r="I2949">
        <v>20.3</v>
      </c>
      <c r="J2949">
        <v>13.1</v>
      </c>
      <c r="K2949">
        <v>12.4</v>
      </c>
      <c r="L2949">
        <v>24.1</v>
      </c>
      <c r="M2949">
        <v>340</v>
      </c>
    </row>
    <row r="2950" spans="1:13" hidden="1" x14ac:dyDescent="0.25">
      <c r="A2950" t="s">
        <v>344</v>
      </c>
      <c r="B2950" t="s">
        <v>495</v>
      </c>
      <c r="C2950" t="s">
        <v>516</v>
      </c>
      <c r="D2950" t="s">
        <v>517</v>
      </c>
      <c r="E2950">
        <v>2</v>
      </c>
      <c r="F2950">
        <v>8</v>
      </c>
      <c r="G2950">
        <v>375</v>
      </c>
      <c r="H2950">
        <v>15</v>
      </c>
      <c r="I2950">
        <v>20.3</v>
      </c>
      <c r="J2950">
        <v>13.1</v>
      </c>
      <c r="K2950">
        <v>12.4</v>
      </c>
      <c r="L2950">
        <v>24.1</v>
      </c>
      <c r="M2950">
        <v>365</v>
      </c>
    </row>
    <row r="2951" spans="1:13" hidden="1" x14ac:dyDescent="0.25">
      <c r="A2951" t="s">
        <v>344</v>
      </c>
      <c r="B2951" t="s">
        <v>495</v>
      </c>
      <c r="C2951" t="s">
        <v>516</v>
      </c>
      <c r="D2951" t="s">
        <v>517</v>
      </c>
      <c r="E2951">
        <v>2</v>
      </c>
      <c r="F2951">
        <v>8</v>
      </c>
      <c r="G2951">
        <v>400</v>
      </c>
      <c r="H2951">
        <v>15</v>
      </c>
      <c r="I2951">
        <v>20.3</v>
      </c>
      <c r="J2951">
        <v>13.1</v>
      </c>
      <c r="K2951">
        <v>12.4</v>
      </c>
      <c r="L2951">
        <v>24.1</v>
      </c>
      <c r="M2951">
        <v>390</v>
      </c>
    </row>
    <row r="2952" spans="1:13" hidden="1" x14ac:dyDescent="0.25">
      <c r="A2952" t="s">
        <v>344</v>
      </c>
      <c r="B2952" t="s">
        <v>495</v>
      </c>
      <c r="C2952" t="s">
        <v>516</v>
      </c>
      <c r="D2952" t="s">
        <v>517</v>
      </c>
      <c r="E2952">
        <v>2</v>
      </c>
      <c r="F2952">
        <v>8</v>
      </c>
      <c r="G2952">
        <v>450</v>
      </c>
      <c r="H2952">
        <v>15</v>
      </c>
      <c r="I2952">
        <v>20.3</v>
      </c>
      <c r="J2952">
        <v>13.1</v>
      </c>
      <c r="K2952">
        <v>12.4</v>
      </c>
      <c r="L2952">
        <v>24.1</v>
      </c>
      <c r="M2952">
        <v>428</v>
      </c>
    </row>
    <row r="2953" spans="1:13" hidden="1" x14ac:dyDescent="0.25">
      <c r="A2953" t="s">
        <v>344</v>
      </c>
      <c r="B2953" t="s">
        <v>495</v>
      </c>
      <c r="C2953" t="s">
        <v>516</v>
      </c>
      <c r="D2953" t="s">
        <v>517</v>
      </c>
      <c r="E2953">
        <v>2</v>
      </c>
      <c r="F2953">
        <v>8</v>
      </c>
      <c r="G2953">
        <v>500</v>
      </c>
      <c r="H2953">
        <v>15</v>
      </c>
      <c r="I2953">
        <v>20.3</v>
      </c>
      <c r="J2953">
        <v>13.1</v>
      </c>
      <c r="K2953">
        <v>12.4</v>
      </c>
      <c r="L2953">
        <v>24.1</v>
      </c>
      <c r="M2953">
        <v>478</v>
      </c>
    </row>
    <row r="2954" spans="1:13" hidden="1" x14ac:dyDescent="0.25">
      <c r="A2954" t="s">
        <v>344</v>
      </c>
      <c r="B2954" t="s">
        <v>495</v>
      </c>
      <c r="C2954" t="s">
        <v>516</v>
      </c>
      <c r="D2954" t="s">
        <v>517</v>
      </c>
      <c r="E2954">
        <v>2</v>
      </c>
      <c r="F2954">
        <v>8</v>
      </c>
      <c r="G2954">
        <v>600</v>
      </c>
      <c r="H2954">
        <v>15</v>
      </c>
      <c r="I2954">
        <v>20.3</v>
      </c>
      <c r="J2954">
        <v>13.1</v>
      </c>
      <c r="K2954">
        <v>12.4</v>
      </c>
      <c r="L2954">
        <v>24.1</v>
      </c>
      <c r="M2954">
        <v>578</v>
      </c>
    </row>
    <row r="2955" spans="1:13" hidden="1" x14ac:dyDescent="0.25">
      <c r="A2955" t="s">
        <v>344</v>
      </c>
      <c r="B2955" t="s">
        <v>495</v>
      </c>
      <c r="C2955" t="s">
        <v>516</v>
      </c>
      <c r="D2955" t="s">
        <v>517</v>
      </c>
      <c r="E2955">
        <v>2</v>
      </c>
      <c r="F2955">
        <v>10</v>
      </c>
      <c r="G2955">
        <v>120</v>
      </c>
      <c r="H2955">
        <v>18.5</v>
      </c>
      <c r="I2955">
        <v>36.700000000000003</v>
      </c>
      <c r="J2955">
        <v>12.5</v>
      </c>
      <c r="K2955">
        <v>12.2</v>
      </c>
      <c r="L2955">
        <v>40</v>
      </c>
      <c r="M2955">
        <v>108</v>
      </c>
    </row>
    <row r="2956" spans="1:13" hidden="1" x14ac:dyDescent="0.25">
      <c r="A2956" t="s">
        <v>344</v>
      </c>
      <c r="B2956" t="s">
        <v>495</v>
      </c>
      <c r="C2956" t="s">
        <v>516</v>
      </c>
      <c r="D2956" t="s">
        <v>517</v>
      </c>
      <c r="E2956">
        <v>2</v>
      </c>
      <c r="F2956">
        <v>10</v>
      </c>
      <c r="G2956">
        <v>160</v>
      </c>
      <c r="H2956">
        <v>18.5</v>
      </c>
      <c r="I2956">
        <v>36.700000000000003</v>
      </c>
      <c r="J2956">
        <v>12.5</v>
      </c>
      <c r="K2956">
        <v>12.2</v>
      </c>
      <c r="L2956">
        <v>40</v>
      </c>
      <c r="M2956">
        <v>148</v>
      </c>
    </row>
    <row r="2957" spans="1:13" hidden="1" x14ac:dyDescent="0.25">
      <c r="A2957" t="s">
        <v>344</v>
      </c>
      <c r="B2957" t="s">
        <v>495</v>
      </c>
      <c r="C2957" t="s">
        <v>516</v>
      </c>
      <c r="D2957" t="s">
        <v>517</v>
      </c>
      <c r="E2957">
        <v>2</v>
      </c>
      <c r="F2957">
        <v>10</v>
      </c>
      <c r="G2957">
        <v>180</v>
      </c>
      <c r="H2957">
        <v>18.5</v>
      </c>
      <c r="I2957">
        <v>36.700000000000003</v>
      </c>
      <c r="J2957">
        <v>12.5</v>
      </c>
      <c r="K2957">
        <v>12.2</v>
      </c>
      <c r="L2957">
        <v>40</v>
      </c>
      <c r="M2957">
        <v>168</v>
      </c>
    </row>
    <row r="2958" spans="1:13" hidden="1" x14ac:dyDescent="0.25">
      <c r="A2958" t="s">
        <v>344</v>
      </c>
      <c r="B2958" t="s">
        <v>495</v>
      </c>
      <c r="C2958" t="s">
        <v>516</v>
      </c>
      <c r="D2958" t="s">
        <v>517</v>
      </c>
      <c r="E2958">
        <v>2</v>
      </c>
      <c r="F2958">
        <v>10</v>
      </c>
      <c r="G2958">
        <v>200</v>
      </c>
      <c r="H2958">
        <v>18.5</v>
      </c>
      <c r="I2958">
        <v>36.700000000000003</v>
      </c>
      <c r="J2958">
        <v>12.5</v>
      </c>
      <c r="K2958">
        <v>12.2</v>
      </c>
      <c r="L2958">
        <v>40</v>
      </c>
      <c r="M2958">
        <v>188</v>
      </c>
    </row>
    <row r="2959" spans="1:13" hidden="1" x14ac:dyDescent="0.25">
      <c r="A2959" t="s">
        <v>344</v>
      </c>
      <c r="B2959" t="s">
        <v>495</v>
      </c>
      <c r="C2959" t="s">
        <v>516</v>
      </c>
      <c r="D2959" t="s">
        <v>517</v>
      </c>
      <c r="E2959">
        <v>2</v>
      </c>
      <c r="F2959">
        <v>10</v>
      </c>
      <c r="G2959">
        <v>220</v>
      </c>
      <c r="H2959">
        <v>18.5</v>
      </c>
      <c r="I2959">
        <v>36.700000000000003</v>
      </c>
      <c r="J2959">
        <v>12.5</v>
      </c>
      <c r="K2959">
        <v>12.2</v>
      </c>
      <c r="L2959">
        <v>40</v>
      </c>
      <c r="M2959">
        <v>208</v>
      </c>
    </row>
    <row r="2960" spans="1:13" hidden="1" x14ac:dyDescent="0.25">
      <c r="A2960" t="s">
        <v>344</v>
      </c>
      <c r="B2960" t="s">
        <v>495</v>
      </c>
      <c r="C2960" t="s">
        <v>516</v>
      </c>
      <c r="D2960" t="s">
        <v>517</v>
      </c>
      <c r="E2960">
        <v>2</v>
      </c>
      <c r="F2960">
        <v>10</v>
      </c>
      <c r="G2960">
        <v>240</v>
      </c>
      <c r="H2960">
        <v>18.5</v>
      </c>
      <c r="I2960">
        <v>36.700000000000003</v>
      </c>
      <c r="J2960">
        <v>12.5</v>
      </c>
      <c r="K2960">
        <v>12.2</v>
      </c>
      <c r="L2960">
        <v>40</v>
      </c>
      <c r="M2960">
        <v>228</v>
      </c>
    </row>
    <row r="2961" spans="1:13" hidden="1" x14ac:dyDescent="0.25">
      <c r="A2961" t="s">
        <v>344</v>
      </c>
      <c r="B2961" t="s">
        <v>495</v>
      </c>
      <c r="C2961" t="s">
        <v>516</v>
      </c>
      <c r="D2961" t="s">
        <v>517</v>
      </c>
      <c r="E2961">
        <v>2</v>
      </c>
      <c r="F2961">
        <v>10</v>
      </c>
      <c r="G2961">
        <v>260</v>
      </c>
      <c r="H2961">
        <v>18.5</v>
      </c>
      <c r="I2961">
        <v>36.700000000000003</v>
      </c>
      <c r="J2961">
        <v>12.5</v>
      </c>
      <c r="K2961">
        <v>12.2</v>
      </c>
      <c r="L2961">
        <v>40</v>
      </c>
      <c r="M2961">
        <v>248</v>
      </c>
    </row>
    <row r="2962" spans="1:13" hidden="1" x14ac:dyDescent="0.25">
      <c r="A2962" t="s">
        <v>344</v>
      </c>
      <c r="B2962" t="s">
        <v>495</v>
      </c>
      <c r="C2962" t="s">
        <v>516</v>
      </c>
      <c r="D2962" t="s">
        <v>517</v>
      </c>
      <c r="E2962">
        <v>2</v>
      </c>
      <c r="F2962">
        <v>10</v>
      </c>
      <c r="G2962">
        <v>280</v>
      </c>
      <c r="H2962">
        <v>18.5</v>
      </c>
      <c r="I2962">
        <v>36.700000000000003</v>
      </c>
      <c r="J2962">
        <v>12.5</v>
      </c>
      <c r="K2962">
        <v>12.2</v>
      </c>
      <c r="L2962">
        <v>40</v>
      </c>
      <c r="M2962">
        <v>268</v>
      </c>
    </row>
    <row r="2963" spans="1:13" hidden="1" x14ac:dyDescent="0.25">
      <c r="A2963" t="s">
        <v>344</v>
      </c>
      <c r="B2963" t="s">
        <v>495</v>
      </c>
      <c r="C2963" t="s">
        <v>516</v>
      </c>
      <c r="D2963" t="s">
        <v>517</v>
      </c>
      <c r="E2963">
        <v>2</v>
      </c>
      <c r="F2963">
        <v>10</v>
      </c>
      <c r="G2963">
        <v>300</v>
      </c>
      <c r="H2963">
        <v>18.5</v>
      </c>
      <c r="I2963">
        <v>36.700000000000003</v>
      </c>
      <c r="J2963">
        <v>12.5</v>
      </c>
      <c r="K2963">
        <v>12.2</v>
      </c>
      <c r="L2963">
        <v>40</v>
      </c>
      <c r="M2963">
        <v>288</v>
      </c>
    </row>
    <row r="2964" spans="1:13" hidden="1" x14ac:dyDescent="0.25">
      <c r="A2964" t="s">
        <v>344</v>
      </c>
      <c r="B2964" t="s">
        <v>495</v>
      </c>
      <c r="C2964" t="s">
        <v>516</v>
      </c>
      <c r="D2964" t="s">
        <v>517</v>
      </c>
      <c r="E2964">
        <v>2</v>
      </c>
      <c r="F2964">
        <v>10</v>
      </c>
      <c r="G2964">
        <v>325</v>
      </c>
      <c r="H2964">
        <v>18.5</v>
      </c>
      <c r="I2964">
        <v>36.700000000000003</v>
      </c>
      <c r="J2964">
        <v>12.5</v>
      </c>
      <c r="K2964">
        <v>12.2</v>
      </c>
      <c r="L2964">
        <v>40</v>
      </c>
      <c r="M2964">
        <v>301</v>
      </c>
    </row>
    <row r="2965" spans="1:13" hidden="1" x14ac:dyDescent="0.25">
      <c r="A2965" t="s">
        <v>344</v>
      </c>
      <c r="B2965" t="s">
        <v>495</v>
      </c>
      <c r="C2965" t="s">
        <v>516</v>
      </c>
      <c r="D2965" t="s">
        <v>517</v>
      </c>
      <c r="E2965">
        <v>2</v>
      </c>
      <c r="F2965">
        <v>10</v>
      </c>
      <c r="G2965">
        <v>350</v>
      </c>
      <c r="H2965">
        <v>18.5</v>
      </c>
      <c r="I2965">
        <v>36.700000000000003</v>
      </c>
      <c r="J2965">
        <v>12.5</v>
      </c>
      <c r="K2965">
        <v>12.2</v>
      </c>
      <c r="L2965">
        <v>40</v>
      </c>
      <c r="M2965">
        <v>326</v>
      </c>
    </row>
    <row r="2966" spans="1:13" hidden="1" x14ac:dyDescent="0.25">
      <c r="A2966" t="s">
        <v>344</v>
      </c>
      <c r="B2966" t="s">
        <v>495</v>
      </c>
      <c r="C2966" t="s">
        <v>516</v>
      </c>
      <c r="D2966" t="s">
        <v>517</v>
      </c>
      <c r="E2966">
        <v>2</v>
      </c>
      <c r="F2966">
        <v>10</v>
      </c>
      <c r="G2966">
        <v>375</v>
      </c>
      <c r="H2966">
        <v>18.5</v>
      </c>
      <c r="I2966">
        <v>36.700000000000003</v>
      </c>
      <c r="J2966">
        <v>12.5</v>
      </c>
      <c r="K2966">
        <v>12.2</v>
      </c>
      <c r="L2966">
        <v>40</v>
      </c>
      <c r="M2966">
        <v>351</v>
      </c>
    </row>
    <row r="2967" spans="1:13" hidden="1" x14ac:dyDescent="0.25">
      <c r="A2967" t="s">
        <v>344</v>
      </c>
      <c r="B2967" t="s">
        <v>495</v>
      </c>
      <c r="C2967" t="s">
        <v>516</v>
      </c>
      <c r="D2967" t="s">
        <v>517</v>
      </c>
      <c r="E2967">
        <v>2</v>
      </c>
      <c r="F2967">
        <v>10</v>
      </c>
      <c r="G2967">
        <v>400</v>
      </c>
      <c r="H2967">
        <v>18.5</v>
      </c>
      <c r="I2967">
        <v>36.700000000000003</v>
      </c>
      <c r="J2967">
        <v>12.5</v>
      </c>
      <c r="K2967">
        <v>12.2</v>
      </c>
      <c r="L2967">
        <v>40</v>
      </c>
      <c r="M2967">
        <v>376</v>
      </c>
    </row>
    <row r="2968" spans="1:13" hidden="1" x14ac:dyDescent="0.25">
      <c r="A2968" t="s">
        <v>344</v>
      </c>
      <c r="B2968" t="s">
        <v>495</v>
      </c>
      <c r="C2968" t="s">
        <v>516</v>
      </c>
      <c r="D2968" t="s">
        <v>517</v>
      </c>
      <c r="E2968">
        <v>2</v>
      </c>
      <c r="F2968">
        <v>10</v>
      </c>
      <c r="G2968">
        <v>450</v>
      </c>
      <c r="H2968">
        <v>18.5</v>
      </c>
      <c r="I2968">
        <v>36.700000000000003</v>
      </c>
      <c r="J2968">
        <v>12.5</v>
      </c>
      <c r="K2968">
        <v>12.2</v>
      </c>
      <c r="L2968">
        <v>40</v>
      </c>
      <c r="M2968">
        <v>426</v>
      </c>
    </row>
    <row r="2969" spans="1:13" hidden="1" x14ac:dyDescent="0.25">
      <c r="A2969" t="s">
        <v>344</v>
      </c>
      <c r="B2969" t="s">
        <v>495</v>
      </c>
      <c r="C2969" t="s">
        <v>516</v>
      </c>
      <c r="D2969" t="s">
        <v>517</v>
      </c>
      <c r="E2969">
        <v>2</v>
      </c>
      <c r="F2969">
        <v>10</v>
      </c>
      <c r="G2969">
        <v>500</v>
      </c>
      <c r="H2969">
        <v>18.5</v>
      </c>
      <c r="I2969">
        <v>36.700000000000003</v>
      </c>
      <c r="J2969">
        <v>12.5</v>
      </c>
      <c r="K2969">
        <v>12.2</v>
      </c>
      <c r="L2969">
        <v>40</v>
      </c>
      <c r="M2969">
        <v>476</v>
      </c>
    </row>
    <row r="2970" spans="1:13" hidden="1" x14ac:dyDescent="0.25">
      <c r="A2970" t="s">
        <v>344</v>
      </c>
      <c r="B2970" t="s">
        <v>495</v>
      </c>
      <c r="C2970" t="s">
        <v>516</v>
      </c>
      <c r="D2970" t="s">
        <v>517</v>
      </c>
      <c r="E2970">
        <v>2</v>
      </c>
      <c r="F2970">
        <v>10</v>
      </c>
      <c r="G2970">
        <v>600</v>
      </c>
      <c r="H2970">
        <v>18.5</v>
      </c>
      <c r="I2970">
        <v>36.700000000000003</v>
      </c>
      <c r="J2970">
        <v>12.5</v>
      </c>
      <c r="K2970">
        <v>12.2</v>
      </c>
      <c r="L2970">
        <v>40</v>
      </c>
      <c r="M2970">
        <v>576</v>
      </c>
    </row>
    <row r="2971" spans="1:13" hidden="1" x14ac:dyDescent="0.25">
      <c r="A2971" t="s">
        <v>344</v>
      </c>
      <c r="B2971" t="s">
        <v>495</v>
      </c>
      <c r="C2971" t="s">
        <v>516</v>
      </c>
      <c r="D2971" t="s">
        <v>517</v>
      </c>
      <c r="E2971">
        <v>2</v>
      </c>
      <c r="F2971">
        <v>10</v>
      </c>
      <c r="G2971">
        <v>700</v>
      </c>
      <c r="H2971">
        <v>18.5</v>
      </c>
      <c r="I2971">
        <v>36.700000000000003</v>
      </c>
      <c r="J2971">
        <v>12.5</v>
      </c>
      <c r="K2971">
        <v>12.2</v>
      </c>
      <c r="L2971">
        <v>40</v>
      </c>
      <c r="M2971">
        <v>676</v>
      </c>
    </row>
    <row r="2972" spans="1:13" hidden="1" x14ac:dyDescent="0.25">
      <c r="A2972" t="s">
        <v>344</v>
      </c>
      <c r="B2972" t="s">
        <v>495</v>
      </c>
      <c r="C2972" t="s">
        <v>516</v>
      </c>
      <c r="D2972" t="s">
        <v>517</v>
      </c>
      <c r="E2972">
        <v>2</v>
      </c>
      <c r="F2972">
        <v>10</v>
      </c>
      <c r="G2972">
        <v>800</v>
      </c>
      <c r="H2972">
        <v>18.5</v>
      </c>
      <c r="I2972">
        <v>36.700000000000003</v>
      </c>
      <c r="J2972">
        <v>12.5</v>
      </c>
      <c r="K2972">
        <v>12.2</v>
      </c>
      <c r="L2972">
        <v>40</v>
      </c>
      <c r="M2972">
        <v>776</v>
      </c>
    </row>
    <row r="2973" spans="1:13" hidden="1" x14ac:dyDescent="0.25">
      <c r="A2973" t="s">
        <v>344</v>
      </c>
      <c r="B2973" t="s">
        <v>495</v>
      </c>
      <c r="C2973" t="s">
        <v>516</v>
      </c>
      <c r="D2973" t="s">
        <v>517</v>
      </c>
      <c r="E2973">
        <v>2</v>
      </c>
      <c r="F2973">
        <v>10</v>
      </c>
      <c r="G2973">
        <v>1000</v>
      </c>
      <c r="H2973">
        <v>18.5</v>
      </c>
      <c r="I2973">
        <v>36.700000000000003</v>
      </c>
      <c r="J2973">
        <v>12.5</v>
      </c>
      <c r="K2973">
        <v>12.2</v>
      </c>
      <c r="L2973">
        <v>40</v>
      </c>
      <c r="M2973">
        <v>976</v>
      </c>
    </row>
    <row r="2974" spans="1:13" hidden="1" x14ac:dyDescent="0.25">
      <c r="A2974" t="s">
        <v>344</v>
      </c>
      <c r="B2974" t="s">
        <v>495</v>
      </c>
      <c r="C2974" t="s">
        <v>516</v>
      </c>
      <c r="D2974" t="s">
        <v>517</v>
      </c>
      <c r="E2974">
        <v>2</v>
      </c>
      <c r="F2974">
        <v>12</v>
      </c>
      <c r="G2974">
        <v>200</v>
      </c>
      <c r="H2974">
        <v>21</v>
      </c>
      <c r="I2974">
        <v>48.5</v>
      </c>
      <c r="J2974">
        <v>11.2</v>
      </c>
      <c r="K2974">
        <v>10.3</v>
      </c>
      <c r="L2974">
        <v>46.7</v>
      </c>
      <c r="M2974">
        <v>180</v>
      </c>
    </row>
    <row r="2975" spans="1:13" hidden="1" x14ac:dyDescent="0.25">
      <c r="A2975" t="s">
        <v>344</v>
      </c>
      <c r="B2975" t="s">
        <v>495</v>
      </c>
      <c r="C2975" t="s">
        <v>516</v>
      </c>
      <c r="D2975" t="s">
        <v>517</v>
      </c>
      <c r="E2975">
        <v>2</v>
      </c>
      <c r="F2975">
        <v>12</v>
      </c>
      <c r="G2975">
        <v>220</v>
      </c>
      <c r="H2975">
        <v>21</v>
      </c>
      <c r="I2975">
        <v>48.5</v>
      </c>
      <c r="J2975">
        <v>11.2</v>
      </c>
      <c r="K2975">
        <v>10.3</v>
      </c>
      <c r="L2975">
        <v>46.7</v>
      </c>
      <c r="M2975">
        <v>200</v>
      </c>
    </row>
    <row r="2976" spans="1:13" hidden="1" x14ac:dyDescent="0.25">
      <c r="A2976" t="s">
        <v>344</v>
      </c>
      <c r="B2976" t="s">
        <v>495</v>
      </c>
      <c r="C2976" t="s">
        <v>516</v>
      </c>
      <c r="D2976" t="s">
        <v>517</v>
      </c>
      <c r="E2976">
        <v>2</v>
      </c>
      <c r="F2976">
        <v>12</v>
      </c>
      <c r="G2976">
        <v>240</v>
      </c>
      <c r="H2976">
        <v>21</v>
      </c>
      <c r="I2976">
        <v>48.5</v>
      </c>
      <c r="J2976">
        <v>11.2</v>
      </c>
      <c r="K2976">
        <v>10.3</v>
      </c>
      <c r="L2976">
        <v>46.7</v>
      </c>
      <c r="M2976">
        <v>220</v>
      </c>
    </row>
    <row r="2977" spans="1:13" hidden="1" x14ac:dyDescent="0.25">
      <c r="A2977" t="s">
        <v>344</v>
      </c>
      <c r="B2977" t="s">
        <v>495</v>
      </c>
      <c r="C2977" t="s">
        <v>516</v>
      </c>
      <c r="D2977" t="s">
        <v>517</v>
      </c>
      <c r="E2977">
        <v>2</v>
      </c>
      <c r="F2977">
        <v>12</v>
      </c>
      <c r="G2977">
        <v>260</v>
      </c>
      <c r="H2977">
        <v>21</v>
      </c>
      <c r="I2977">
        <v>48.5</v>
      </c>
      <c r="J2977">
        <v>11.2</v>
      </c>
      <c r="K2977">
        <v>10.3</v>
      </c>
      <c r="L2977">
        <v>46.7</v>
      </c>
      <c r="M2977">
        <v>240</v>
      </c>
    </row>
    <row r="2978" spans="1:13" hidden="1" x14ac:dyDescent="0.25">
      <c r="A2978" t="s">
        <v>344</v>
      </c>
      <c r="B2978" t="s">
        <v>495</v>
      </c>
      <c r="C2978" t="s">
        <v>516</v>
      </c>
      <c r="D2978" t="s">
        <v>517</v>
      </c>
      <c r="E2978">
        <v>2</v>
      </c>
      <c r="F2978">
        <v>12</v>
      </c>
      <c r="G2978">
        <v>280</v>
      </c>
      <c r="H2978">
        <v>21</v>
      </c>
      <c r="I2978">
        <v>48.5</v>
      </c>
      <c r="J2978">
        <v>11.2</v>
      </c>
      <c r="K2978">
        <v>10.3</v>
      </c>
      <c r="L2978">
        <v>46.7</v>
      </c>
      <c r="M2978">
        <v>260</v>
      </c>
    </row>
    <row r="2979" spans="1:13" hidden="1" x14ac:dyDescent="0.25">
      <c r="A2979" t="s">
        <v>344</v>
      </c>
      <c r="B2979" t="s">
        <v>495</v>
      </c>
      <c r="C2979" t="s">
        <v>516</v>
      </c>
      <c r="D2979" t="s">
        <v>517</v>
      </c>
      <c r="E2979">
        <v>2</v>
      </c>
      <c r="F2979">
        <v>12</v>
      </c>
      <c r="G2979">
        <v>300</v>
      </c>
      <c r="H2979">
        <v>21</v>
      </c>
      <c r="I2979">
        <v>48.5</v>
      </c>
      <c r="J2979">
        <v>11.2</v>
      </c>
      <c r="K2979">
        <v>10.3</v>
      </c>
      <c r="L2979">
        <v>46.7</v>
      </c>
      <c r="M2979">
        <v>280</v>
      </c>
    </row>
    <row r="2980" spans="1:13" hidden="1" x14ac:dyDescent="0.25">
      <c r="A2980" t="s">
        <v>344</v>
      </c>
      <c r="B2980" t="s">
        <v>495</v>
      </c>
      <c r="C2980" t="s">
        <v>516</v>
      </c>
      <c r="D2980" t="s">
        <v>517</v>
      </c>
      <c r="E2980">
        <v>2</v>
      </c>
      <c r="F2980">
        <v>12</v>
      </c>
      <c r="G2980">
        <v>350</v>
      </c>
      <c r="H2980">
        <v>21</v>
      </c>
      <c r="I2980">
        <v>48.5</v>
      </c>
      <c r="J2980">
        <v>11.2</v>
      </c>
      <c r="K2980">
        <v>10.3</v>
      </c>
      <c r="L2980">
        <v>46.7</v>
      </c>
      <c r="M2980">
        <v>330</v>
      </c>
    </row>
    <row r="2981" spans="1:13" hidden="1" x14ac:dyDescent="0.25">
      <c r="A2981" t="s">
        <v>344</v>
      </c>
      <c r="B2981" t="s">
        <v>495</v>
      </c>
      <c r="C2981" t="s">
        <v>516</v>
      </c>
      <c r="D2981" t="s">
        <v>517</v>
      </c>
      <c r="E2981">
        <v>2</v>
      </c>
      <c r="F2981">
        <v>12</v>
      </c>
      <c r="G2981">
        <v>400</v>
      </c>
      <c r="H2981">
        <v>21</v>
      </c>
      <c r="I2981">
        <v>48.5</v>
      </c>
      <c r="J2981">
        <v>11.2</v>
      </c>
      <c r="K2981">
        <v>10.3</v>
      </c>
      <c r="L2981">
        <v>46.7</v>
      </c>
      <c r="M2981">
        <v>380</v>
      </c>
    </row>
    <row r="2982" spans="1:13" hidden="1" x14ac:dyDescent="0.25">
      <c r="A2982" t="s">
        <v>344</v>
      </c>
      <c r="B2982" t="s">
        <v>495</v>
      </c>
      <c r="C2982" t="s">
        <v>516</v>
      </c>
      <c r="D2982" t="s">
        <v>517</v>
      </c>
      <c r="E2982">
        <v>2</v>
      </c>
      <c r="F2982">
        <v>12</v>
      </c>
      <c r="G2982">
        <v>500</v>
      </c>
      <c r="H2982">
        <v>21</v>
      </c>
      <c r="I2982">
        <v>48.5</v>
      </c>
      <c r="J2982">
        <v>11.2</v>
      </c>
      <c r="K2982">
        <v>10.3</v>
      </c>
      <c r="L2982">
        <v>46.7</v>
      </c>
      <c r="M2982">
        <v>480</v>
      </c>
    </row>
    <row r="2983" spans="1:13" hidden="1" x14ac:dyDescent="0.25">
      <c r="A2983" t="s">
        <v>344</v>
      </c>
      <c r="B2983" t="s">
        <v>495</v>
      </c>
      <c r="C2983" t="s">
        <v>516</v>
      </c>
      <c r="D2983" t="s">
        <v>517</v>
      </c>
      <c r="E2983">
        <v>2</v>
      </c>
      <c r="F2983">
        <v>12</v>
      </c>
      <c r="G2983">
        <v>600</v>
      </c>
      <c r="H2983">
        <v>21</v>
      </c>
      <c r="I2983">
        <v>48.5</v>
      </c>
      <c r="J2983">
        <v>11.2</v>
      </c>
      <c r="K2983">
        <v>10.3</v>
      </c>
      <c r="L2983">
        <v>46.7</v>
      </c>
      <c r="M2983">
        <v>580</v>
      </c>
    </row>
    <row r="2984" spans="1:13" hidden="1" x14ac:dyDescent="0.25">
      <c r="A2984" t="s">
        <v>344</v>
      </c>
      <c r="B2984" t="s">
        <v>495</v>
      </c>
      <c r="C2984" t="s">
        <v>516</v>
      </c>
      <c r="D2984" t="s">
        <v>517</v>
      </c>
      <c r="E2984">
        <v>2</v>
      </c>
      <c r="F2984">
        <v>12</v>
      </c>
      <c r="G2984">
        <v>700</v>
      </c>
      <c r="H2984">
        <v>21</v>
      </c>
      <c r="I2984">
        <v>48.5</v>
      </c>
      <c r="J2984">
        <v>11.2</v>
      </c>
      <c r="K2984">
        <v>10.3</v>
      </c>
      <c r="L2984">
        <v>46.7</v>
      </c>
      <c r="M2984">
        <v>680</v>
      </c>
    </row>
    <row r="2985" spans="1:13" hidden="1" x14ac:dyDescent="0.25">
      <c r="A2985" t="s">
        <v>344</v>
      </c>
      <c r="B2985" t="s">
        <v>495</v>
      </c>
      <c r="C2985" t="s">
        <v>516</v>
      </c>
      <c r="D2985" t="s">
        <v>517</v>
      </c>
      <c r="E2985">
        <v>2</v>
      </c>
      <c r="F2985">
        <v>12</v>
      </c>
      <c r="G2985">
        <v>800</v>
      </c>
      <c r="H2985">
        <v>21</v>
      </c>
      <c r="I2985">
        <v>48.5</v>
      </c>
      <c r="J2985">
        <v>11.2</v>
      </c>
      <c r="K2985">
        <v>10.3</v>
      </c>
      <c r="L2985">
        <v>46.7</v>
      </c>
      <c r="M2985">
        <v>780</v>
      </c>
    </row>
    <row r="2986" spans="1:13" hidden="1" x14ac:dyDescent="0.25">
      <c r="A2986" t="s">
        <v>344</v>
      </c>
      <c r="B2986" t="s">
        <v>495</v>
      </c>
      <c r="C2986" t="s">
        <v>516</v>
      </c>
      <c r="D2986" t="s">
        <v>517</v>
      </c>
      <c r="E2986">
        <v>2</v>
      </c>
      <c r="F2986">
        <v>12</v>
      </c>
      <c r="G2986">
        <v>1000</v>
      </c>
      <c r="H2986">
        <v>21</v>
      </c>
      <c r="I2986">
        <v>48.5</v>
      </c>
      <c r="J2986">
        <v>11.2</v>
      </c>
      <c r="K2986">
        <v>10.3</v>
      </c>
      <c r="L2986">
        <v>46.7</v>
      </c>
      <c r="M2986">
        <v>980</v>
      </c>
    </row>
    <row r="2987" spans="1:13" hidden="1" x14ac:dyDescent="0.25">
      <c r="A2987" t="s">
        <v>344</v>
      </c>
      <c r="B2987" t="s">
        <v>495</v>
      </c>
      <c r="C2987" t="s">
        <v>518</v>
      </c>
      <c r="D2987" t="s">
        <v>519</v>
      </c>
      <c r="E2987">
        <v>2</v>
      </c>
      <c r="F2987">
        <v>12</v>
      </c>
      <c r="G2987">
        <v>60</v>
      </c>
      <c r="H2987">
        <v>17</v>
      </c>
      <c r="I2987">
        <v>48.5</v>
      </c>
      <c r="J2987">
        <v>11.2</v>
      </c>
      <c r="K2987">
        <v>17.100000000000001</v>
      </c>
      <c r="L2987">
        <v>45</v>
      </c>
      <c r="M2987">
        <v>48</v>
      </c>
    </row>
    <row r="2988" spans="1:13" hidden="1" x14ac:dyDescent="0.25">
      <c r="A2988" t="s">
        <v>344</v>
      </c>
      <c r="B2988" t="s">
        <v>495</v>
      </c>
      <c r="C2988" t="s">
        <v>518</v>
      </c>
      <c r="D2988" t="s">
        <v>519</v>
      </c>
      <c r="E2988">
        <v>2</v>
      </c>
      <c r="F2988">
        <v>12</v>
      </c>
      <c r="G2988">
        <v>80</v>
      </c>
      <c r="H2988">
        <v>17</v>
      </c>
      <c r="I2988">
        <v>48.5</v>
      </c>
      <c r="J2988">
        <v>11.2</v>
      </c>
      <c r="K2988">
        <v>17.100000000000001</v>
      </c>
      <c r="L2988">
        <v>45</v>
      </c>
      <c r="M2988">
        <v>68</v>
      </c>
    </row>
    <row r="2989" spans="1:13" hidden="1" x14ac:dyDescent="0.25">
      <c r="A2989" t="s">
        <v>344</v>
      </c>
      <c r="B2989" t="s">
        <v>495</v>
      </c>
      <c r="C2989" t="s">
        <v>518</v>
      </c>
      <c r="D2989" t="s">
        <v>519</v>
      </c>
      <c r="E2989">
        <v>2</v>
      </c>
      <c r="F2989">
        <v>12</v>
      </c>
      <c r="G2989">
        <v>100</v>
      </c>
      <c r="H2989">
        <v>17</v>
      </c>
      <c r="I2989">
        <v>48.5</v>
      </c>
      <c r="J2989">
        <v>11.2</v>
      </c>
      <c r="K2989">
        <v>17.100000000000001</v>
      </c>
      <c r="L2989">
        <v>45</v>
      </c>
      <c r="M2989">
        <v>85</v>
      </c>
    </row>
    <row r="2990" spans="1:13" hidden="1" x14ac:dyDescent="0.25">
      <c r="A2990" t="s">
        <v>344</v>
      </c>
      <c r="B2990" t="s">
        <v>495</v>
      </c>
      <c r="C2990" t="s">
        <v>518</v>
      </c>
      <c r="D2990" t="s">
        <v>519</v>
      </c>
      <c r="E2990">
        <v>2</v>
      </c>
      <c r="F2990">
        <v>12</v>
      </c>
      <c r="G2990">
        <v>120</v>
      </c>
      <c r="H2990">
        <v>17</v>
      </c>
      <c r="I2990">
        <v>48.5</v>
      </c>
      <c r="J2990">
        <v>11.2</v>
      </c>
      <c r="K2990">
        <v>17.100000000000001</v>
      </c>
      <c r="L2990">
        <v>45</v>
      </c>
      <c r="M2990">
        <v>105</v>
      </c>
    </row>
    <row r="2991" spans="1:13" hidden="1" x14ac:dyDescent="0.25">
      <c r="A2991" t="s">
        <v>344</v>
      </c>
      <c r="B2991" t="s">
        <v>495</v>
      </c>
      <c r="C2991" t="s">
        <v>518</v>
      </c>
      <c r="D2991" t="s">
        <v>519</v>
      </c>
      <c r="E2991">
        <v>2</v>
      </c>
      <c r="F2991">
        <v>12</v>
      </c>
      <c r="G2991">
        <v>140</v>
      </c>
      <c r="H2991">
        <v>17</v>
      </c>
      <c r="I2991">
        <v>48.5</v>
      </c>
      <c r="J2991">
        <v>11.2</v>
      </c>
      <c r="K2991">
        <v>17.100000000000001</v>
      </c>
      <c r="L2991">
        <v>45</v>
      </c>
      <c r="M2991">
        <v>125</v>
      </c>
    </row>
    <row r="2992" spans="1:13" hidden="1" x14ac:dyDescent="0.25">
      <c r="A2992" t="s">
        <v>344</v>
      </c>
      <c r="B2992" t="s">
        <v>495</v>
      </c>
      <c r="C2992" t="s">
        <v>518</v>
      </c>
      <c r="D2992" t="s">
        <v>519</v>
      </c>
      <c r="E2992">
        <v>2</v>
      </c>
      <c r="F2992">
        <v>12</v>
      </c>
      <c r="G2992">
        <v>160</v>
      </c>
      <c r="H2992">
        <v>17</v>
      </c>
      <c r="I2992">
        <v>48.5</v>
      </c>
      <c r="J2992">
        <v>11.2</v>
      </c>
      <c r="K2992">
        <v>17.100000000000001</v>
      </c>
      <c r="L2992">
        <v>45</v>
      </c>
      <c r="M2992">
        <v>145</v>
      </c>
    </row>
    <row r="2993" spans="1:13" hidden="1" x14ac:dyDescent="0.25">
      <c r="A2993" t="s">
        <v>344</v>
      </c>
      <c r="B2993" t="s">
        <v>495</v>
      </c>
      <c r="C2993" t="s">
        <v>518</v>
      </c>
      <c r="D2993" t="s">
        <v>519</v>
      </c>
      <c r="E2993">
        <v>2</v>
      </c>
      <c r="F2993">
        <v>12</v>
      </c>
      <c r="G2993">
        <v>180</v>
      </c>
      <c r="H2993">
        <v>17</v>
      </c>
      <c r="I2993">
        <v>48.5</v>
      </c>
      <c r="J2993">
        <v>11.2</v>
      </c>
      <c r="K2993">
        <v>17.100000000000001</v>
      </c>
      <c r="L2993">
        <v>45</v>
      </c>
      <c r="M2993">
        <v>165</v>
      </c>
    </row>
    <row r="2994" spans="1:13" hidden="1" x14ac:dyDescent="0.25">
      <c r="A2994" t="s">
        <v>344</v>
      </c>
      <c r="B2994" t="s">
        <v>495</v>
      </c>
      <c r="C2994" t="s">
        <v>518</v>
      </c>
      <c r="D2994" t="s">
        <v>519</v>
      </c>
      <c r="E2994">
        <v>2</v>
      </c>
      <c r="F2994">
        <v>12</v>
      </c>
      <c r="G2994">
        <v>220</v>
      </c>
      <c r="H2994">
        <v>17</v>
      </c>
      <c r="I2994">
        <v>48.5</v>
      </c>
      <c r="J2994">
        <v>11.2</v>
      </c>
      <c r="K2994">
        <v>17.100000000000001</v>
      </c>
      <c r="L2994">
        <v>45</v>
      </c>
      <c r="M2994">
        <v>205</v>
      </c>
    </row>
    <row r="2995" spans="1:13" hidden="1" x14ac:dyDescent="0.25">
      <c r="A2995" t="s">
        <v>344</v>
      </c>
      <c r="B2995" t="s">
        <v>495</v>
      </c>
      <c r="C2995" t="s">
        <v>518</v>
      </c>
      <c r="D2995" t="s">
        <v>519</v>
      </c>
      <c r="E2995">
        <v>2</v>
      </c>
      <c r="F2995">
        <v>12</v>
      </c>
      <c r="G2995">
        <v>300</v>
      </c>
      <c r="H2995">
        <v>17</v>
      </c>
      <c r="I2995">
        <v>48.5</v>
      </c>
      <c r="J2995">
        <v>11.2</v>
      </c>
      <c r="K2995">
        <v>17.100000000000001</v>
      </c>
      <c r="L2995">
        <v>45</v>
      </c>
      <c r="M2995">
        <v>285</v>
      </c>
    </row>
    <row r="2996" spans="1:13" hidden="1" x14ac:dyDescent="0.25">
      <c r="A2996" t="s">
        <v>344</v>
      </c>
      <c r="B2996" t="s">
        <v>495</v>
      </c>
      <c r="C2996" t="s">
        <v>518</v>
      </c>
      <c r="D2996" t="s">
        <v>519</v>
      </c>
      <c r="E2996">
        <v>2</v>
      </c>
      <c r="F2996">
        <v>12</v>
      </c>
      <c r="G2996">
        <v>380</v>
      </c>
      <c r="H2996">
        <v>17</v>
      </c>
      <c r="I2996">
        <v>48.5</v>
      </c>
      <c r="J2996">
        <v>11.2</v>
      </c>
      <c r="K2996">
        <v>17.100000000000001</v>
      </c>
      <c r="L2996">
        <v>45</v>
      </c>
      <c r="M2996">
        <v>365</v>
      </c>
    </row>
    <row r="2997" spans="1:13" hidden="1" x14ac:dyDescent="0.25">
      <c r="A2997" t="s">
        <v>344</v>
      </c>
      <c r="B2997" t="s">
        <v>495</v>
      </c>
      <c r="C2997" t="s">
        <v>518</v>
      </c>
      <c r="D2997" t="s">
        <v>519</v>
      </c>
      <c r="E2997">
        <v>2</v>
      </c>
      <c r="F2997">
        <v>16</v>
      </c>
      <c r="G2997">
        <v>180</v>
      </c>
      <c r="H2997">
        <v>24</v>
      </c>
      <c r="I2997">
        <v>112.9</v>
      </c>
      <c r="J2997">
        <v>11</v>
      </c>
      <c r="K2997">
        <v>20.399999999999999</v>
      </c>
      <c r="L2997">
        <v>88.6</v>
      </c>
      <c r="M2997">
        <v>155</v>
      </c>
    </row>
    <row r="2998" spans="1:13" hidden="1" x14ac:dyDescent="0.25">
      <c r="A2998" t="s">
        <v>344</v>
      </c>
      <c r="B2998" t="s">
        <v>495</v>
      </c>
      <c r="C2998" t="s">
        <v>518</v>
      </c>
      <c r="D2998" t="s">
        <v>519</v>
      </c>
      <c r="E2998">
        <v>2</v>
      </c>
      <c r="F2998">
        <v>16</v>
      </c>
      <c r="G2998">
        <v>240</v>
      </c>
      <c r="H2998">
        <v>24</v>
      </c>
      <c r="I2998">
        <v>112.9</v>
      </c>
      <c r="J2998">
        <v>11.1</v>
      </c>
      <c r="K2998">
        <v>20.399999999999999</v>
      </c>
      <c r="L2998">
        <v>88.6</v>
      </c>
      <c r="M2998">
        <v>215</v>
      </c>
    </row>
    <row r="2999" spans="1:13" hidden="1" x14ac:dyDescent="0.25">
      <c r="A2999" t="s">
        <v>344</v>
      </c>
      <c r="B2999" t="s">
        <v>495</v>
      </c>
      <c r="C2999" t="s">
        <v>518</v>
      </c>
      <c r="D2999" t="s">
        <v>519</v>
      </c>
      <c r="E2999">
        <v>2</v>
      </c>
      <c r="F2999">
        <v>16</v>
      </c>
      <c r="G2999">
        <v>280</v>
      </c>
      <c r="H2999">
        <v>24</v>
      </c>
      <c r="I2999">
        <v>112.9</v>
      </c>
      <c r="J2999">
        <v>11.2</v>
      </c>
      <c r="K2999">
        <v>20.399999999999999</v>
      </c>
      <c r="L2999">
        <v>88.6</v>
      </c>
      <c r="M2999">
        <v>255</v>
      </c>
    </row>
    <row r="3000" spans="1:13" hidden="1" x14ac:dyDescent="0.25">
      <c r="A3000" t="s">
        <v>344</v>
      </c>
      <c r="B3000" t="s">
        <v>495</v>
      </c>
      <c r="C3000" t="s">
        <v>518</v>
      </c>
      <c r="D3000" t="s">
        <v>519</v>
      </c>
      <c r="E3000">
        <v>2</v>
      </c>
      <c r="F3000">
        <v>16</v>
      </c>
      <c r="G3000">
        <v>320</v>
      </c>
      <c r="H3000">
        <v>24</v>
      </c>
      <c r="I3000">
        <v>112.9</v>
      </c>
      <c r="J3000">
        <v>11.3</v>
      </c>
      <c r="K3000">
        <v>20.399999999999999</v>
      </c>
      <c r="L3000">
        <v>88.6</v>
      </c>
      <c r="M3000">
        <v>295</v>
      </c>
    </row>
    <row r="3001" spans="1:13" hidden="1" x14ac:dyDescent="0.25">
      <c r="A3001" t="s">
        <v>344</v>
      </c>
      <c r="B3001" t="s">
        <v>495</v>
      </c>
      <c r="C3001" t="s">
        <v>518</v>
      </c>
      <c r="D3001" t="s">
        <v>519</v>
      </c>
      <c r="E3001">
        <v>2</v>
      </c>
      <c r="F3001">
        <v>16</v>
      </c>
      <c r="G3001">
        <v>400</v>
      </c>
      <c r="H3001">
        <v>24</v>
      </c>
      <c r="I3001">
        <v>112.9</v>
      </c>
      <c r="J3001">
        <v>11.4</v>
      </c>
      <c r="K3001">
        <v>20.399999999999999</v>
      </c>
      <c r="L3001">
        <v>88.6</v>
      </c>
      <c r="M3001">
        <v>375</v>
      </c>
    </row>
    <row r="3002" spans="1:13" hidden="1" x14ac:dyDescent="0.25">
      <c r="A3002" t="s">
        <v>344</v>
      </c>
      <c r="B3002" t="s">
        <v>495</v>
      </c>
      <c r="C3002" t="s">
        <v>518</v>
      </c>
      <c r="D3002" t="s">
        <v>519</v>
      </c>
      <c r="E3002">
        <v>2</v>
      </c>
      <c r="F3002">
        <v>16</v>
      </c>
      <c r="G3002">
        <v>600</v>
      </c>
      <c r="H3002">
        <v>24</v>
      </c>
      <c r="I3002">
        <v>112.9</v>
      </c>
      <c r="J3002">
        <v>11.5</v>
      </c>
      <c r="K3002">
        <v>20.399999999999999</v>
      </c>
      <c r="L3002">
        <v>88.6</v>
      </c>
      <c r="M3002">
        <v>575</v>
      </c>
    </row>
    <row r="3003" spans="1:13" hidden="1" x14ac:dyDescent="0.25">
      <c r="A3003" t="s">
        <v>344</v>
      </c>
      <c r="B3003" t="s">
        <v>495</v>
      </c>
      <c r="C3003" t="s">
        <v>520</v>
      </c>
      <c r="D3003" t="s">
        <v>494</v>
      </c>
      <c r="E3003">
        <v>2</v>
      </c>
      <c r="F3003">
        <v>8</v>
      </c>
      <c r="G3003">
        <v>160</v>
      </c>
      <c r="H3003">
        <v>22</v>
      </c>
      <c r="I3003">
        <v>42.8</v>
      </c>
      <c r="J3003">
        <v>13.1</v>
      </c>
      <c r="K3003">
        <v>20.399999999999999</v>
      </c>
      <c r="L3003">
        <v>32.799999999999997</v>
      </c>
      <c r="M3003">
        <v>100</v>
      </c>
    </row>
    <row r="3004" spans="1:13" hidden="1" x14ac:dyDescent="0.25">
      <c r="A3004" t="s">
        <v>344</v>
      </c>
      <c r="B3004" t="s">
        <v>495</v>
      </c>
      <c r="C3004" t="s">
        <v>521</v>
      </c>
      <c r="D3004" t="s">
        <v>493</v>
      </c>
      <c r="E3004">
        <v>2</v>
      </c>
      <c r="F3004">
        <v>8</v>
      </c>
      <c r="G3004">
        <v>80</v>
      </c>
      <c r="H3004">
        <v>15</v>
      </c>
      <c r="I3004">
        <v>42.8</v>
      </c>
      <c r="J3004">
        <v>13.1</v>
      </c>
      <c r="K3004">
        <v>12.4</v>
      </c>
      <c r="L3004">
        <v>32.799999999999997</v>
      </c>
      <c r="M3004">
        <v>60</v>
      </c>
    </row>
    <row r="3005" spans="1:13" hidden="1" x14ac:dyDescent="0.25">
      <c r="A3005" t="s">
        <v>344</v>
      </c>
      <c r="B3005" t="s">
        <v>495</v>
      </c>
      <c r="C3005" t="s">
        <v>521</v>
      </c>
      <c r="D3005" t="s">
        <v>493</v>
      </c>
      <c r="E3005">
        <v>2</v>
      </c>
      <c r="F3005">
        <v>8</v>
      </c>
      <c r="G3005">
        <v>120</v>
      </c>
      <c r="H3005">
        <v>15</v>
      </c>
      <c r="I3005">
        <v>42.8</v>
      </c>
      <c r="J3005">
        <v>13.1</v>
      </c>
      <c r="K3005">
        <v>12.4</v>
      </c>
      <c r="L3005">
        <v>32.799999999999997</v>
      </c>
      <c r="M3005">
        <v>100</v>
      </c>
    </row>
    <row r="3006" spans="1:13" hidden="1" x14ac:dyDescent="0.25">
      <c r="A3006" t="s">
        <v>344</v>
      </c>
      <c r="B3006" t="s">
        <v>495</v>
      </c>
      <c r="C3006" t="s">
        <v>521</v>
      </c>
      <c r="D3006" t="s">
        <v>493</v>
      </c>
      <c r="E3006">
        <v>2</v>
      </c>
      <c r="F3006">
        <v>8</v>
      </c>
      <c r="G3006">
        <v>160</v>
      </c>
      <c r="H3006">
        <v>15</v>
      </c>
      <c r="I3006">
        <v>42.8</v>
      </c>
      <c r="J3006">
        <v>13.1</v>
      </c>
      <c r="K3006">
        <v>12.4</v>
      </c>
      <c r="L3006">
        <v>32.799999999999997</v>
      </c>
      <c r="M3006">
        <v>100</v>
      </c>
    </row>
    <row r="3007" spans="1:13" hidden="1" x14ac:dyDescent="0.25">
      <c r="A3007" t="s">
        <v>344</v>
      </c>
      <c r="B3007" t="s">
        <v>495</v>
      </c>
      <c r="C3007" t="s">
        <v>521</v>
      </c>
      <c r="D3007" t="s">
        <v>493</v>
      </c>
      <c r="E3007">
        <v>2</v>
      </c>
      <c r="F3007">
        <v>8</v>
      </c>
      <c r="G3007">
        <v>200</v>
      </c>
      <c r="H3007">
        <v>15</v>
      </c>
      <c r="I3007">
        <v>42.8</v>
      </c>
      <c r="J3007">
        <v>13.1</v>
      </c>
      <c r="K3007">
        <v>12.4</v>
      </c>
      <c r="L3007">
        <v>32.799999999999997</v>
      </c>
      <c r="M3007">
        <v>100</v>
      </c>
    </row>
    <row r="3008" spans="1:13" hidden="1" x14ac:dyDescent="0.25">
      <c r="A3008" t="s">
        <v>344</v>
      </c>
      <c r="B3008" t="s">
        <v>495</v>
      </c>
      <c r="C3008" t="s">
        <v>521</v>
      </c>
      <c r="D3008" t="s">
        <v>493</v>
      </c>
      <c r="E3008">
        <v>2</v>
      </c>
      <c r="F3008">
        <v>8</v>
      </c>
      <c r="G3008">
        <v>240</v>
      </c>
      <c r="H3008">
        <v>15</v>
      </c>
      <c r="I3008">
        <v>42.8</v>
      </c>
      <c r="J3008">
        <v>13.1</v>
      </c>
      <c r="K3008">
        <v>12.4</v>
      </c>
      <c r="L3008">
        <v>32.799999999999997</v>
      </c>
      <c r="M3008">
        <v>100</v>
      </c>
    </row>
    <row r="3009" spans="1:14" hidden="1" x14ac:dyDescent="0.25">
      <c r="A3009" t="s">
        <v>344</v>
      </c>
      <c r="B3009" t="s">
        <v>495</v>
      </c>
      <c r="C3009" t="s">
        <v>521</v>
      </c>
      <c r="D3009" t="s">
        <v>493</v>
      </c>
      <c r="E3009">
        <v>2</v>
      </c>
      <c r="F3009">
        <v>8</v>
      </c>
      <c r="G3009">
        <v>280</v>
      </c>
      <c r="H3009">
        <v>15</v>
      </c>
      <c r="I3009">
        <v>42.8</v>
      </c>
      <c r="J3009">
        <v>13.1</v>
      </c>
      <c r="K3009">
        <v>12.4</v>
      </c>
      <c r="L3009">
        <v>32.799999999999997</v>
      </c>
      <c r="M3009">
        <v>100</v>
      </c>
    </row>
    <row r="3010" spans="1:14" hidden="1" x14ac:dyDescent="0.25">
      <c r="A3010" t="s">
        <v>344</v>
      </c>
      <c r="B3010" t="s">
        <v>495</v>
      </c>
      <c r="C3010" t="s">
        <v>521</v>
      </c>
      <c r="D3010" t="s">
        <v>493</v>
      </c>
      <c r="E3010">
        <v>2</v>
      </c>
      <c r="F3010">
        <v>8</v>
      </c>
      <c r="G3010">
        <v>320</v>
      </c>
      <c r="H3010">
        <v>15</v>
      </c>
      <c r="I3010">
        <v>42.8</v>
      </c>
      <c r="J3010">
        <v>13.1</v>
      </c>
      <c r="K3010">
        <v>12.4</v>
      </c>
      <c r="L3010">
        <v>32.799999999999997</v>
      </c>
      <c r="M3010">
        <v>100</v>
      </c>
    </row>
    <row r="3011" spans="1:14" hidden="1" x14ac:dyDescent="0.25">
      <c r="A3011" t="s">
        <v>344</v>
      </c>
      <c r="B3011" t="s">
        <v>495</v>
      </c>
      <c r="C3011" t="s">
        <v>521</v>
      </c>
      <c r="D3011" t="s">
        <v>493</v>
      </c>
      <c r="E3011">
        <v>2</v>
      </c>
      <c r="F3011">
        <v>8</v>
      </c>
      <c r="G3011">
        <v>440</v>
      </c>
      <c r="H3011">
        <v>15</v>
      </c>
      <c r="I3011">
        <v>42.8</v>
      </c>
      <c r="J3011">
        <v>13.1</v>
      </c>
      <c r="K3011">
        <v>12.4</v>
      </c>
      <c r="L3011">
        <v>32.799999999999997</v>
      </c>
      <c r="M3011">
        <v>100</v>
      </c>
    </row>
    <row r="3012" spans="1:14" hidden="1" x14ac:dyDescent="0.25">
      <c r="A3012" t="s">
        <v>344</v>
      </c>
      <c r="B3012" t="s">
        <v>495</v>
      </c>
      <c r="C3012" t="s">
        <v>522</v>
      </c>
      <c r="D3012" t="s">
        <v>523</v>
      </c>
      <c r="E3012">
        <v>2</v>
      </c>
      <c r="F3012">
        <v>8</v>
      </c>
      <c r="G3012">
        <v>240</v>
      </c>
      <c r="H3012">
        <v>10.199999999999999</v>
      </c>
      <c r="I3012">
        <v>21</v>
      </c>
      <c r="J3012">
        <v>13.1</v>
      </c>
      <c r="K3012">
        <v>0</v>
      </c>
      <c r="L3012">
        <v>22</v>
      </c>
      <c r="M3012">
        <v>80</v>
      </c>
      <c r="N3012">
        <v>80</v>
      </c>
    </row>
    <row r="3013" spans="1:14" hidden="1" x14ac:dyDescent="0.25">
      <c r="A3013" t="s">
        <v>344</v>
      </c>
      <c r="B3013" t="s">
        <v>495</v>
      </c>
      <c r="C3013" t="s">
        <v>522</v>
      </c>
      <c r="D3013" t="s">
        <v>523</v>
      </c>
      <c r="E3013">
        <v>2</v>
      </c>
      <c r="F3013">
        <v>8</v>
      </c>
      <c r="G3013">
        <v>260</v>
      </c>
      <c r="H3013">
        <v>10.199999999999999</v>
      </c>
      <c r="I3013">
        <v>21</v>
      </c>
      <c r="J3013">
        <v>13.1</v>
      </c>
      <c r="K3013">
        <v>0</v>
      </c>
      <c r="L3013">
        <v>22</v>
      </c>
      <c r="M3013">
        <v>100</v>
      </c>
      <c r="N3013">
        <v>80</v>
      </c>
    </row>
    <row r="3014" spans="1:14" hidden="1" x14ac:dyDescent="0.25">
      <c r="A3014" t="s">
        <v>344</v>
      </c>
      <c r="B3014" t="s">
        <v>495</v>
      </c>
      <c r="C3014" t="s">
        <v>522</v>
      </c>
      <c r="D3014" t="s">
        <v>523</v>
      </c>
      <c r="E3014">
        <v>2</v>
      </c>
      <c r="F3014">
        <v>8</v>
      </c>
      <c r="G3014">
        <v>280</v>
      </c>
      <c r="H3014">
        <v>10.199999999999999</v>
      </c>
      <c r="I3014">
        <v>21</v>
      </c>
      <c r="J3014">
        <v>13.1</v>
      </c>
      <c r="K3014">
        <v>0</v>
      </c>
      <c r="L3014">
        <v>22</v>
      </c>
      <c r="M3014">
        <v>100</v>
      </c>
      <c r="N3014">
        <v>80</v>
      </c>
    </row>
    <row r="3015" spans="1:14" hidden="1" x14ac:dyDescent="0.25">
      <c r="A3015" t="s">
        <v>344</v>
      </c>
      <c r="B3015" t="s">
        <v>495</v>
      </c>
      <c r="C3015" t="s">
        <v>522</v>
      </c>
      <c r="D3015" t="s">
        <v>523</v>
      </c>
      <c r="E3015">
        <v>2</v>
      </c>
      <c r="F3015">
        <v>8</v>
      </c>
      <c r="G3015">
        <v>300</v>
      </c>
      <c r="H3015">
        <v>10.199999999999999</v>
      </c>
      <c r="I3015">
        <v>21</v>
      </c>
      <c r="J3015">
        <v>13.1</v>
      </c>
      <c r="K3015">
        <v>0</v>
      </c>
      <c r="L3015">
        <v>22</v>
      </c>
      <c r="M3015">
        <v>100</v>
      </c>
      <c r="N3015">
        <v>80</v>
      </c>
    </row>
    <row r="3016" spans="1:14" hidden="1" x14ac:dyDescent="0.25">
      <c r="A3016" t="s">
        <v>344</v>
      </c>
      <c r="B3016" t="s">
        <v>495</v>
      </c>
      <c r="C3016" t="s">
        <v>522</v>
      </c>
      <c r="D3016" t="s">
        <v>523</v>
      </c>
      <c r="E3016">
        <v>2</v>
      </c>
      <c r="F3016">
        <v>8</v>
      </c>
      <c r="G3016">
        <v>320</v>
      </c>
      <c r="H3016">
        <v>10.199999999999999</v>
      </c>
      <c r="I3016">
        <v>21</v>
      </c>
      <c r="J3016">
        <v>13.1</v>
      </c>
      <c r="K3016">
        <v>0</v>
      </c>
      <c r="L3016">
        <v>22</v>
      </c>
      <c r="M3016">
        <v>100</v>
      </c>
      <c r="N3016">
        <v>80</v>
      </c>
    </row>
    <row r="3017" spans="1:14" hidden="1" x14ac:dyDescent="0.25">
      <c r="A3017" t="s">
        <v>344</v>
      </c>
      <c r="B3017" t="s">
        <v>495</v>
      </c>
      <c r="C3017" t="s">
        <v>522</v>
      </c>
      <c r="D3017" t="s">
        <v>523</v>
      </c>
      <c r="E3017">
        <v>2</v>
      </c>
      <c r="F3017">
        <v>8</v>
      </c>
      <c r="G3017">
        <v>340</v>
      </c>
      <c r="H3017">
        <v>10.199999999999999</v>
      </c>
      <c r="I3017">
        <v>21</v>
      </c>
      <c r="J3017">
        <v>13.1</v>
      </c>
      <c r="K3017">
        <v>0</v>
      </c>
      <c r="L3017">
        <v>22</v>
      </c>
      <c r="M3017">
        <v>100</v>
      </c>
      <c r="N3017">
        <v>80</v>
      </c>
    </row>
    <row r="3018" spans="1:14" hidden="1" x14ac:dyDescent="0.25">
      <c r="A3018" t="s">
        <v>344</v>
      </c>
      <c r="B3018" t="s">
        <v>495</v>
      </c>
      <c r="C3018" t="s">
        <v>522</v>
      </c>
      <c r="D3018" t="s">
        <v>523</v>
      </c>
      <c r="E3018">
        <v>2</v>
      </c>
      <c r="F3018">
        <v>8</v>
      </c>
      <c r="G3018">
        <v>360</v>
      </c>
      <c r="H3018">
        <v>10.199999999999999</v>
      </c>
      <c r="I3018">
        <v>21</v>
      </c>
      <c r="J3018">
        <v>13.1</v>
      </c>
      <c r="K3018">
        <v>0</v>
      </c>
      <c r="L3018">
        <v>22</v>
      </c>
      <c r="M3018">
        <v>100</v>
      </c>
      <c r="N3018">
        <v>80</v>
      </c>
    </row>
    <row r="3019" spans="1:14" hidden="1" x14ac:dyDescent="0.25">
      <c r="A3019" t="s">
        <v>344</v>
      </c>
      <c r="B3019" t="s">
        <v>495</v>
      </c>
      <c r="C3019" t="s">
        <v>522</v>
      </c>
      <c r="D3019" t="s">
        <v>523</v>
      </c>
      <c r="E3019">
        <v>2</v>
      </c>
      <c r="F3019">
        <v>8</v>
      </c>
      <c r="G3019">
        <v>400</v>
      </c>
      <c r="H3019">
        <v>10.199999999999999</v>
      </c>
      <c r="I3019">
        <v>21</v>
      </c>
      <c r="J3019">
        <v>13.1</v>
      </c>
      <c r="K3019">
        <v>0</v>
      </c>
      <c r="L3019">
        <v>22</v>
      </c>
      <c r="M3019">
        <v>100</v>
      </c>
      <c r="N3019">
        <v>80</v>
      </c>
    </row>
    <row r="3020" spans="1:14" hidden="1" x14ac:dyDescent="0.25">
      <c r="A3020" t="s">
        <v>344</v>
      </c>
      <c r="B3020" t="s">
        <v>495</v>
      </c>
      <c r="C3020" t="s">
        <v>522</v>
      </c>
      <c r="D3020" t="s">
        <v>523</v>
      </c>
      <c r="E3020">
        <v>2</v>
      </c>
      <c r="F3020">
        <v>8</v>
      </c>
      <c r="G3020">
        <v>450</v>
      </c>
      <c r="H3020">
        <v>10.199999999999999</v>
      </c>
      <c r="I3020">
        <v>21</v>
      </c>
      <c r="J3020">
        <v>13.1</v>
      </c>
      <c r="K3020">
        <v>0</v>
      </c>
      <c r="L3020">
        <v>22</v>
      </c>
      <c r="M3020">
        <v>100</v>
      </c>
      <c r="N3020">
        <v>80</v>
      </c>
    </row>
    <row r="3021" spans="1:14" hidden="1" x14ac:dyDescent="0.25">
      <c r="A3021" t="s">
        <v>344</v>
      </c>
      <c r="B3021" t="s">
        <v>495</v>
      </c>
      <c r="C3021" t="s">
        <v>522</v>
      </c>
      <c r="D3021" t="s">
        <v>523</v>
      </c>
      <c r="E3021">
        <v>2</v>
      </c>
      <c r="F3021">
        <v>8</v>
      </c>
      <c r="G3021">
        <v>480</v>
      </c>
      <c r="H3021">
        <v>10.199999999999999</v>
      </c>
      <c r="I3021">
        <v>21</v>
      </c>
      <c r="J3021">
        <v>13.1</v>
      </c>
      <c r="K3021">
        <v>0</v>
      </c>
      <c r="L3021">
        <v>22</v>
      </c>
      <c r="M3021">
        <v>100</v>
      </c>
      <c r="N3021">
        <v>80</v>
      </c>
    </row>
    <row r="3022" spans="1:14" hidden="1" x14ac:dyDescent="0.25">
      <c r="A3022" t="s">
        <v>344</v>
      </c>
      <c r="B3022" t="s">
        <v>495</v>
      </c>
      <c r="C3022" t="s">
        <v>522</v>
      </c>
      <c r="D3022" t="s">
        <v>523</v>
      </c>
      <c r="E3022">
        <v>2</v>
      </c>
      <c r="F3022">
        <v>8</v>
      </c>
      <c r="G3022">
        <v>520</v>
      </c>
      <c r="H3022">
        <v>10.199999999999999</v>
      </c>
      <c r="I3022">
        <v>21</v>
      </c>
      <c r="J3022">
        <v>13.1</v>
      </c>
      <c r="K3022">
        <v>0</v>
      </c>
      <c r="L3022">
        <v>22</v>
      </c>
      <c r="M3022">
        <v>100</v>
      </c>
      <c r="N3022">
        <v>80</v>
      </c>
    </row>
    <row r="3023" spans="1:14" hidden="1" x14ac:dyDescent="0.25">
      <c r="A3023" t="s">
        <v>344</v>
      </c>
      <c r="B3023" t="s">
        <v>495</v>
      </c>
      <c r="C3023" t="s">
        <v>524</v>
      </c>
      <c r="D3023" t="s">
        <v>239</v>
      </c>
      <c r="E3023">
        <v>2</v>
      </c>
      <c r="F3023">
        <v>8</v>
      </c>
      <c r="G3023">
        <v>155</v>
      </c>
      <c r="H3023">
        <v>12</v>
      </c>
      <c r="I3023">
        <v>22.6</v>
      </c>
      <c r="J3023">
        <v>10.7</v>
      </c>
      <c r="K3023" t="s">
        <v>525</v>
      </c>
      <c r="L3023">
        <v>22.7</v>
      </c>
      <c r="M3023">
        <v>100</v>
      </c>
    </row>
    <row r="3024" spans="1:14" hidden="1" x14ac:dyDescent="0.25">
      <c r="A3024" t="s">
        <v>344</v>
      </c>
      <c r="B3024" t="s">
        <v>495</v>
      </c>
      <c r="C3024" t="s">
        <v>524</v>
      </c>
      <c r="D3024" t="s">
        <v>239</v>
      </c>
      <c r="E3024">
        <v>2</v>
      </c>
      <c r="F3024">
        <v>8</v>
      </c>
      <c r="G3024">
        <v>205</v>
      </c>
      <c r="H3024">
        <v>12</v>
      </c>
      <c r="I3024">
        <v>22.6</v>
      </c>
      <c r="J3024">
        <v>10.7</v>
      </c>
      <c r="K3024" t="s">
        <v>525</v>
      </c>
      <c r="L3024">
        <v>22.7</v>
      </c>
      <c r="M3024">
        <v>130</v>
      </c>
    </row>
  </sheetData>
  <autoFilter ref="A1:N3024" xr:uid="{00000000-0001-0000-0000-000000000000}">
    <filterColumn colId="0">
      <filters>
        <filter val="Dowel"/>
      </filters>
    </filterColumn>
  </autoFilter>
  <conditionalFormatting sqref="A1:A1048576">
    <cfRule type="cellIs" dxfId="6" priority="1" operator="equal">
      <formula>"Bolt"</formula>
    </cfRule>
    <cfRule type="cellIs" dxfId="5" priority="2" operator="equal">
      <formula>"Dowel"</formula>
    </cfRule>
    <cfRule type="cellIs" dxfId="4" priority="3" operator="equal">
      <formula>"Nail"</formula>
    </cfRule>
    <cfRule type="cellIs" dxfId="3" priority="8" operator="equal">
      <formula>"Screw"</formula>
    </cfRule>
  </conditionalFormatting>
  <conditionalFormatting sqref="B1:B104857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:F1048576">
    <cfRule type="colorScale" priority="5">
      <colorScale>
        <cfvo type="min"/>
        <cfvo type="max"/>
        <color rgb="FFFCFCFF"/>
        <color rgb="FF63BE7B"/>
      </colorScale>
    </cfRule>
  </conditionalFormatting>
  <conditionalFormatting sqref="G1:G1048576">
    <cfRule type="colorScale" priority="4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paperSize="9" orientation="portrait" horizont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DB2AF-29A0-4537-BFDA-C004FE10CBE1}">
  <sheetPr>
    <tabColor rgb="FF92D050"/>
  </sheetPr>
  <dimension ref="A1:G34"/>
  <sheetViews>
    <sheetView workbookViewId="0">
      <selection activeCell="G38" sqref="G38"/>
    </sheetView>
  </sheetViews>
  <sheetFormatPr baseColWidth="10" defaultRowHeight="15" x14ac:dyDescent="0.25"/>
  <cols>
    <col min="1" max="1" width="12.85546875" bestFit="1" customWidth="1"/>
    <col min="2" max="2" width="13" bestFit="1" customWidth="1"/>
    <col min="3" max="3" width="21" bestFit="1" customWidth="1"/>
    <col min="4" max="4" width="4" bestFit="1" customWidth="1"/>
    <col min="5" max="5" width="5" bestFit="1" customWidth="1"/>
    <col min="6" max="6" width="5.42578125" bestFit="1" customWidth="1"/>
    <col min="7" max="7" width="4" bestFit="1" customWidth="1"/>
  </cols>
  <sheetData>
    <row r="1" spans="1:7" x14ac:dyDescent="0.25">
      <c r="A1" s="1" t="s">
        <v>424</v>
      </c>
      <c r="B1" s="1" t="s">
        <v>1</v>
      </c>
      <c r="C1" s="1" t="s">
        <v>231</v>
      </c>
      <c r="D1" s="1" t="s">
        <v>303</v>
      </c>
      <c r="E1" s="1" t="s">
        <v>300</v>
      </c>
      <c r="F1" s="1" t="s">
        <v>301</v>
      </c>
      <c r="G1" s="1" t="s">
        <v>302</v>
      </c>
    </row>
    <row r="2" spans="1:7" x14ac:dyDescent="0.25">
      <c r="A2" t="s">
        <v>193</v>
      </c>
      <c r="B2" t="s">
        <v>318</v>
      </c>
      <c r="C2" t="s">
        <v>305</v>
      </c>
      <c r="D2">
        <v>8</v>
      </c>
      <c r="E2">
        <v>8.4</v>
      </c>
      <c r="F2">
        <v>24</v>
      </c>
      <c r="G2">
        <v>2</v>
      </c>
    </row>
    <row r="3" spans="1:7" x14ac:dyDescent="0.25">
      <c r="A3" t="s">
        <v>193</v>
      </c>
      <c r="B3" t="s">
        <v>318</v>
      </c>
      <c r="C3" t="s">
        <v>305</v>
      </c>
      <c r="D3">
        <v>10</v>
      </c>
      <c r="E3">
        <v>10.5</v>
      </c>
      <c r="F3">
        <v>30</v>
      </c>
      <c r="G3">
        <v>2.5</v>
      </c>
    </row>
    <row r="4" spans="1:7" x14ac:dyDescent="0.25">
      <c r="A4" t="s">
        <v>193</v>
      </c>
      <c r="B4" t="s">
        <v>318</v>
      </c>
      <c r="C4" t="s">
        <v>305</v>
      </c>
      <c r="D4">
        <v>12</v>
      </c>
      <c r="E4">
        <v>13</v>
      </c>
      <c r="F4">
        <v>37</v>
      </c>
      <c r="G4">
        <v>3</v>
      </c>
    </row>
    <row r="5" spans="1:7" x14ac:dyDescent="0.25">
      <c r="A5" t="s">
        <v>193</v>
      </c>
      <c r="B5" t="s">
        <v>318</v>
      </c>
      <c r="C5" t="s">
        <v>305</v>
      </c>
      <c r="D5">
        <v>14</v>
      </c>
      <c r="E5">
        <v>15</v>
      </c>
      <c r="F5">
        <v>44</v>
      </c>
      <c r="G5">
        <v>3</v>
      </c>
    </row>
    <row r="6" spans="1:7" x14ac:dyDescent="0.25">
      <c r="A6" t="s">
        <v>193</v>
      </c>
      <c r="B6" t="s">
        <v>318</v>
      </c>
      <c r="C6" t="s">
        <v>305</v>
      </c>
      <c r="D6">
        <v>16</v>
      </c>
      <c r="E6">
        <v>17</v>
      </c>
      <c r="F6">
        <v>50</v>
      </c>
      <c r="G6">
        <v>3</v>
      </c>
    </row>
    <row r="7" spans="1:7" x14ac:dyDescent="0.25">
      <c r="A7" t="s">
        <v>193</v>
      </c>
      <c r="B7" t="s">
        <v>318</v>
      </c>
      <c r="C7" t="s">
        <v>305</v>
      </c>
      <c r="D7">
        <v>18</v>
      </c>
      <c r="E7">
        <v>20</v>
      </c>
      <c r="F7">
        <v>56</v>
      </c>
      <c r="G7">
        <v>4</v>
      </c>
    </row>
    <row r="8" spans="1:7" x14ac:dyDescent="0.25">
      <c r="A8" t="s">
        <v>193</v>
      </c>
      <c r="B8" t="s">
        <v>318</v>
      </c>
      <c r="C8" t="s">
        <v>305</v>
      </c>
      <c r="D8">
        <v>20</v>
      </c>
      <c r="E8">
        <v>22</v>
      </c>
      <c r="F8">
        <v>60</v>
      </c>
      <c r="G8">
        <v>4</v>
      </c>
    </row>
    <row r="9" spans="1:7" x14ac:dyDescent="0.25">
      <c r="A9" t="s">
        <v>193</v>
      </c>
      <c r="B9" t="s">
        <v>319</v>
      </c>
      <c r="C9" t="s">
        <v>306</v>
      </c>
      <c r="D9">
        <v>10</v>
      </c>
      <c r="E9">
        <v>11</v>
      </c>
      <c r="F9">
        <v>34</v>
      </c>
      <c r="G9">
        <v>3</v>
      </c>
    </row>
    <row r="10" spans="1:7" x14ac:dyDescent="0.25">
      <c r="A10" t="s">
        <v>193</v>
      </c>
      <c r="B10" t="s">
        <v>319</v>
      </c>
      <c r="C10" t="s">
        <v>306</v>
      </c>
      <c r="D10">
        <v>12</v>
      </c>
      <c r="E10">
        <v>13.5</v>
      </c>
      <c r="F10">
        <v>44</v>
      </c>
      <c r="G10">
        <v>4</v>
      </c>
    </row>
    <row r="11" spans="1:7" x14ac:dyDescent="0.25">
      <c r="A11" t="s">
        <v>193</v>
      </c>
      <c r="B11" t="s">
        <v>319</v>
      </c>
      <c r="C11" t="s">
        <v>306</v>
      </c>
      <c r="D11">
        <v>16</v>
      </c>
      <c r="E11">
        <v>17.5</v>
      </c>
      <c r="F11">
        <v>56</v>
      </c>
      <c r="G11">
        <v>5</v>
      </c>
    </row>
    <row r="12" spans="1:7" x14ac:dyDescent="0.25">
      <c r="A12" t="s">
        <v>193</v>
      </c>
      <c r="B12" t="s">
        <v>319</v>
      </c>
      <c r="C12" t="s">
        <v>306</v>
      </c>
      <c r="D12">
        <v>20</v>
      </c>
      <c r="E12">
        <v>22</v>
      </c>
      <c r="F12">
        <v>72</v>
      </c>
      <c r="G12">
        <v>6</v>
      </c>
    </row>
    <row r="13" spans="1:7" x14ac:dyDescent="0.25">
      <c r="A13" t="s">
        <v>193</v>
      </c>
      <c r="B13" t="s">
        <v>319</v>
      </c>
      <c r="C13" t="s">
        <v>306</v>
      </c>
      <c r="D13">
        <v>22</v>
      </c>
      <c r="E13">
        <v>24</v>
      </c>
      <c r="F13">
        <v>80</v>
      </c>
      <c r="G13">
        <v>6</v>
      </c>
    </row>
    <row r="14" spans="1:7" x14ac:dyDescent="0.25">
      <c r="A14" t="s">
        <v>193</v>
      </c>
      <c r="B14" t="s">
        <v>320</v>
      </c>
      <c r="C14" t="s">
        <v>304</v>
      </c>
      <c r="D14">
        <v>12</v>
      </c>
      <c r="E14">
        <v>14</v>
      </c>
      <c r="F14">
        <v>58</v>
      </c>
      <c r="G14">
        <v>6</v>
      </c>
    </row>
    <row r="15" spans="1:7" x14ac:dyDescent="0.25">
      <c r="A15" t="s">
        <v>193</v>
      </c>
      <c r="B15" t="s">
        <v>320</v>
      </c>
      <c r="C15" t="s">
        <v>304</v>
      </c>
      <c r="D15">
        <v>16</v>
      </c>
      <c r="E15">
        <v>18</v>
      </c>
      <c r="F15">
        <v>68</v>
      </c>
      <c r="G15">
        <v>6</v>
      </c>
    </row>
    <row r="16" spans="1:7" x14ac:dyDescent="0.25">
      <c r="A16" t="s">
        <v>193</v>
      </c>
      <c r="B16" t="s">
        <v>320</v>
      </c>
      <c r="C16" t="s">
        <v>304</v>
      </c>
      <c r="D16">
        <v>20</v>
      </c>
      <c r="E16">
        <v>22</v>
      </c>
      <c r="F16">
        <v>80</v>
      </c>
      <c r="G16">
        <v>8</v>
      </c>
    </row>
    <row r="17" spans="1:7" x14ac:dyDescent="0.25">
      <c r="A17" t="s">
        <v>193</v>
      </c>
      <c r="B17" t="s">
        <v>320</v>
      </c>
      <c r="C17" t="s">
        <v>304</v>
      </c>
      <c r="D17">
        <v>22</v>
      </c>
      <c r="E17">
        <v>25</v>
      </c>
      <c r="F17">
        <v>92</v>
      </c>
      <c r="G17">
        <v>8</v>
      </c>
    </row>
    <row r="18" spans="1:7" x14ac:dyDescent="0.25">
      <c r="A18" t="s">
        <v>193</v>
      </c>
      <c r="B18" t="s">
        <v>320</v>
      </c>
      <c r="C18" t="s">
        <v>304</v>
      </c>
      <c r="D18">
        <v>24</v>
      </c>
      <c r="E18">
        <v>27</v>
      </c>
      <c r="F18">
        <v>105</v>
      </c>
      <c r="G18">
        <v>8</v>
      </c>
    </row>
    <row r="19" spans="1:7" x14ac:dyDescent="0.25">
      <c r="A19" t="s">
        <v>193</v>
      </c>
      <c r="B19" t="s">
        <v>321</v>
      </c>
      <c r="C19" t="s">
        <v>307</v>
      </c>
      <c r="D19">
        <v>8</v>
      </c>
      <c r="E19">
        <v>8.4</v>
      </c>
      <c r="F19">
        <v>16</v>
      </c>
      <c r="G19">
        <v>1.6</v>
      </c>
    </row>
    <row r="20" spans="1:7" x14ac:dyDescent="0.25">
      <c r="A20" t="s">
        <v>193</v>
      </c>
      <c r="B20" t="s">
        <v>321</v>
      </c>
      <c r="C20" t="s">
        <v>307</v>
      </c>
      <c r="D20">
        <v>10</v>
      </c>
      <c r="E20">
        <v>10.5</v>
      </c>
      <c r="F20">
        <v>20</v>
      </c>
      <c r="G20">
        <v>2</v>
      </c>
    </row>
    <row r="21" spans="1:7" x14ac:dyDescent="0.25">
      <c r="A21" t="s">
        <v>193</v>
      </c>
      <c r="B21" t="s">
        <v>321</v>
      </c>
      <c r="C21" t="s">
        <v>307</v>
      </c>
      <c r="D21">
        <v>12</v>
      </c>
      <c r="E21">
        <v>13</v>
      </c>
      <c r="F21">
        <v>24</v>
      </c>
      <c r="G21">
        <v>2.5</v>
      </c>
    </row>
    <row r="22" spans="1:7" x14ac:dyDescent="0.25">
      <c r="A22" t="s">
        <v>193</v>
      </c>
      <c r="B22" t="s">
        <v>321</v>
      </c>
      <c r="C22" t="s">
        <v>307</v>
      </c>
      <c r="D22">
        <v>16</v>
      </c>
      <c r="E22">
        <v>17</v>
      </c>
      <c r="F22">
        <v>30</v>
      </c>
      <c r="G22">
        <v>3</v>
      </c>
    </row>
    <row r="23" spans="1:7" x14ac:dyDescent="0.25">
      <c r="A23" t="s">
        <v>193</v>
      </c>
      <c r="B23" t="s">
        <v>321</v>
      </c>
      <c r="C23" t="s">
        <v>307</v>
      </c>
      <c r="D23">
        <v>20</v>
      </c>
      <c r="E23">
        <v>21</v>
      </c>
      <c r="F23">
        <v>37</v>
      </c>
      <c r="G23">
        <v>3</v>
      </c>
    </row>
    <row r="24" spans="1:7" x14ac:dyDescent="0.25">
      <c r="A24" t="s">
        <v>193</v>
      </c>
      <c r="B24" t="s">
        <v>321</v>
      </c>
      <c r="C24" t="s">
        <v>307</v>
      </c>
      <c r="D24">
        <v>24</v>
      </c>
      <c r="E24">
        <v>25</v>
      </c>
      <c r="F24">
        <v>44</v>
      </c>
      <c r="G24">
        <v>4</v>
      </c>
    </row>
    <row r="25" spans="1:7" x14ac:dyDescent="0.25">
      <c r="A25" t="s">
        <v>193</v>
      </c>
      <c r="B25" t="s">
        <v>321</v>
      </c>
      <c r="C25" t="s">
        <v>307</v>
      </c>
      <c r="D25">
        <v>27</v>
      </c>
      <c r="E25">
        <v>28</v>
      </c>
      <c r="F25">
        <v>50</v>
      </c>
      <c r="G25">
        <v>4</v>
      </c>
    </row>
    <row r="26" spans="1:7" x14ac:dyDescent="0.25">
      <c r="A26" t="s">
        <v>193</v>
      </c>
      <c r="B26" t="s">
        <v>321</v>
      </c>
      <c r="C26" t="s">
        <v>307</v>
      </c>
      <c r="D26">
        <v>30</v>
      </c>
      <c r="E26">
        <v>31</v>
      </c>
      <c r="F26">
        <v>56</v>
      </c>
      <c r="G26">
        <v>4</v>
      </c>
    </row>
    <row r="27" spans="1:7" x14ac:dyDescent="0.25">
      <c r="A27" t="s">
        <v>193</v>
      </c>
      <c r="B27" t="s">
        <v>323</v>
      </c>
      <c r="C27" t="s">
        <v>196</v>
      </c>
      <c r="D27">
        <v>6</v>
      </c>
      <c r="E27">
        <v>7.5</v>
      </c>
      <c r="F27">
        <v>20</v>
      </c>
      <c r="G27">
        <v>4</v>
      </c>
    </row>
    <row r="28" spans="1:7" x14ac:dyDescent="0.25">
      <c r="A28" t="s">
        <v>193</v>
      </c>
      <c r="B28" t="s">
        <v>323</v>
      </c>
      <c r="C28" t="s">
        <v>196</v>
      </c>
      <c r="D28">
        <v>8</v>
      </c>
      <c r="E28">
        <v>8.5</v>
      </c>
      <c r="F28">
        <v>25</v>
      </c>
      <c r="G28">
        <v>5</v>
      </c>
    </row>
    <row r="29" spans="1:7" x14ac:dyDescent="0.25">
      <c r="A29" t="s">
        <v>193</v>
      </c>
      <c r="B29" t="s">
        <v>323</v>
      </c>
      <c r="C29" t="s">
        <v>196</v>
      </c>
      <c r="D29">
        <v>10</v>
      </c>
      <c r="E29">
        <v>11</v>
      </c>
      <c r="F29">
        <v>32</v>
      </c>
      <c r="G29">
        <v>6</v>
      </c>
    </row>
    <row r="30" spans="1:7" x14ac:dyDescent="0.25">
      <c r="A30" t="s">
        <v>193</v>
      </c>
      <c r="B30" t="s">
        <v>323</v>
      </c>
      <c r="C30" t="s">
        <v>196</v>
      </c>
      <c r="D30">
        <v>12</v>
      </c>
      <c r="E30">
        <v>14</v>
      </c>
      <c r="F30">
        <v>37</v>
      </c>
      <c r="G30">
        <v>7.5</v>
      </c>
    </row>
    <row r="31" spans="1:7" x14ac:dyDescent="0.25">
      <c r="A31" t="s">
        <v>495</v>
      </c>
      <c r="B31" t="s">
        <v>526</v>
      </c>
      <c r="C31" t="s">
        <v>196</v>
      </c>
      <c r="D31">
        <v>6</v>
      </c>
      <c r="E31">
        <v>7.5</v>
      </c>
      <c r="F31">
        <v>20</v>
      </c>
      <c r="G31">
        <v>4</v>
      </c>
    </row>
    <row r="32" spans="1:7" x14ac:dyDescent="0.25">
      <c r="A32" t="s">
        <v>495</v>
      </c>
      <c r="B32" t="s">
        <v>526</v>
      </c>
      <c r="C32" t="s">
        <v>196</v>
      </c>
      <c r="D32">
        <v>8</v>
      </c>
      <c r="E32">
        <v>8.5</v>
      </c>
      <c r="F32">
        <v>25</v>
      </c>
      <c r="G32">
        <v>5</v>
      </c>
    </row>
    <row r="33" spans="1:7" x14ac:dyDescent="0.25">
      <c r="A33" t="s">
        <v>495</v>
      </c>
      <c r="B33" t="s">
        <v>526</v>
      </c>
      <c r="C33" t="s">
        <v>196</v>
      </c>
      <c r="D33">
        <v>10</v>
      </c>
      <c r="E33">
        <v>11</v>
      </c>
      <c r="F33">
        <v>32</v>
      </c>
      <c r="G33">
        <v>6</v>
      </c>
    </row>
    <row r="34" spans="1:7" x14ac:dyDescent="0.25">
      <c r="A34" t="s">
        <v>495</v>
      </c>
      <c r="B34" t="s">
        <v>526</v>
      </c>
      <c r="C34" t="s">
        <v>196</v>
      </c>
      <c r="D34">
        <v>12</v>
      </c>
      <c r="E34">
        <v>14</v>
      </c>
      <c r="F34">
        <v>37</v>
      </c>
      <c r="G34">
        <v>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4D90F-4E1D-44A3-B95B-3A0C812CB3E5}">
  <sheetPr>
    <tabColor rgb="FF0070C0"/>
  </sheetPr>
  <dimension ref="A1:M19"/>
  <sheetViews>
    <sheetView workbookViewId="0">
      <selection activeCell="F35" sqref="F35"/>
    </sheetView>
  </sheetViews>
  <sheetFormatPr baseColWidth="10" defaultRowHeight="15" x14ac:dyDescent="0.25"/>
  <sheetData>
    <row r="1" spans="1:13" x14ac:dyDescent="0.25">
      <c r="A1" s="60" t="s">
        <v>380</v>
      </c>
      <c r="B1" s="60" t="s">
        <v>381</v>
      </c>
      <c r="C1" s="61" t="s">
        <v>382</v>
      </c>
      <c r="D1" s="61" t="s">
        <v>383</v>
      </c>
      <c r="E1" s="61" t="s">
        <v>384</v>
      </c>
      <c r="F1" s="61" t="s">
        <v>385</v>
      </c>
      <c r="G1" s="61" t="s">
        <v>386</v>
      </c>
      <c r="H1" s="61" t="s">
        <v>387</v>
      </c>
      <c r="I1" s="61" t="s">
        <v>388</v>
      </c>
      <c r="J1" s="61" t="s">
        <v>389</v>
      </c>
      <c r="K1" s="61" t="s">
        <v>390</v>
      </c>
      <c r="L1" s="61" t="s">
        <v>391</v>
      </c>
      <c r="M1" s="61" t="s">
        <v>392</v>
      </c>
    </row>
    <row r="2" spans="1:13" x14ac:dyDescent="0.25">
      <c r="A2" s="62" t="s">
        <v>393</v>
      </c>
      <c r="C2" s="63">
        <v>400</v>
      </c>
      <c r="D2" s="63">
        <v>400</v>
      </c>
      <c r="E2" s="63">
        <v>500</v>
      </c>
      <c r="F2" s="63">
        <v>500</v>
      </c>
      <c r="G2" s="63">
        <v>600</v>
      </c>
      <c r="H2" s="63">
        <v>800</v>
      </c>
      <c r="I2" s="63">
        <v>1000</v>
      </c>
      <c r="J2" s="64">
        <v>500</v>
      </c>
      <c r="K2" s="64">
        <v>600</v>
      </c>
      <c r="L2" s="64">
        <v>800</v>
      </c>
      <c r="M2" s="65">
        <v>1000</v>
      </c>
    </row>
    <row r="3" spans="1:13" x14ac:dyDescent="0.25">
      <c r="A3" s="62" t="s">
        <v>394</v>
      </c>
      <c r="C3">
        <v>400</v>
      </c>
      <c r="D3">
        <v>420</v>
      </c>
      <c r="E3">
        <v>500</v>
      </c>
      <c r="F3">
        <v>520</v>
      </c>
      <c r="G3">
        <v>600</v>
      </c>
      <c r="H3">
        <v>830</v>
      </c>
      <c r="I3">
        <v>1040</v>
      </c>
      <c r="J3" s="66">
        <v>500</v>
      </c>
      <c r="K3" s="66">
        <v>700</v>
      </c>
      <c r="L3" s="66">
        <v>800</v>
      </c>
      <c r="M3" s="66">
        <v>1000</v>
      </c>
    </row>
    <row r="4" spans="1:13" x14ac:dyDescent="0.25">
      <c r="A4" s="62" t="s">
        <v>419</v>
      </c>
      <c r="B4" s="67">
        <v>14.2</v>
      </c>
      <c r="C4" s="70">
        <f>$B$4*C3/1000</f>
        <v>5.68</v>
      </c>
      <c r="D4" s="70">
        <f t="shared" ref="D4:M4" si="0">$B$4*D3/1000</f>
        <v>5.9640000000000004</v>
      </c>
      <c r="E4" s="70">
        <f t="shared" si="0"/>
        <v>7.1</v>
      </c>
      <c r="F4" s="70">
        <f t="shared" si="0"/>
        <v>7.3840000000000003</v>
      </c>
      <c r="G4" s="70">
        <f t="shared" si="0"/>
        <v>8.52</v>
      </c>
      <c r="H4" s="70">
        <f t="shared" si="0"/>
        <v>11.786</v>
      </c>
      <c r="I4" s="70">
        <f t="shared" si="0"/>
        <v>14.768000000000001</v>
      </c>
      <c r="J4" s="70">
        <f t="shared" si="0"/>
        <v>7.1</v>
      </c>
      <c r="K4" s="70">
        <f t="shared" si="0"/>
        <v>9.94</v>
      </c>
      <c r="L4" s="70">
        <f t="shared" si="0"/>
        <v>11.36</v>
      </c>
      <c r="M4" s="70">
        <f t="shared" si="0"/>
        <v>14.2</v>
      </c>
    </row>
    <row r="5" spans="1:13" x14ac:dyDescent="0.25">
      <c r="A5" s="62" t="s">
        <v>418</v>
      </c>
      <c r="B5" s="67">
        <v>20.100000000000001</v>
      </c>
      <c r="C5" s="70">
        <f>$B$5*C3/1000</f>
        <v>8.0400000000000009</v>
      </c>
      <c r="D5" s="70">
        <f t="shared" ref="D5:M5" si="1">$B$5*D3/1000</f>
        <v>8.4420000000000002</v>
      </c>
      <c r="E5" s="70">
        <f t="shared" si="1"/>
        <v>10.050000000000001</v>
      </c>
      <c r="F5" s="70">
        <f t="shared" si="1"/>
        <v>10.452</v>
      </c>
      <c r="G5" s="70">
        <f t="shared" si="1"/>
        <v>12.06</v>
      </c>
      <c r="H5" s="70">
        <f t="shared" si="1"/>
        <v>16.683</v>
      </c>
      <c r="I5" s="70">
        <f t="shared" si="1"/>
        <v>20.904</v>
      </c>
      <c r="J5" s="70">
        <f t="shared" si="1"/>
        <v>10.050000000000001</v>
      </c>
      <c r="K5" s="70">
        <f t="shared" si="1"/>
        <v>14.070000000000002</v>
      </c>
      <c r="L5" s="70">
        <f t="shared" si="1"/>
        <v>16.080000000000002</v>
      </c>
      <c r="M5" s="70">
        <f t="shared" si="1"/>
        <v>20.100000000000001</v>
      </c>
    </row>
    <row r="6" spans="1:13" x14ac:dyDescent="0.25">
      <c r="A6" s="62" t="s">
        <v>417</v>
      </c>
      <c r="B6" s="67">
        <v>28.9</v>
      </c>
      <c r="C6" s="70">
        <f>$B$6*C3/1000</f>
        <v>11.56</v>
      </c>
      <c r="D6" s="70">
        <f t="shared" ref="D6:M6" si="2">$B$6*D3/1000</f>
        <v>12.138</v>
      </c>
      <c r="E6" s="70">
        <f t="shared" si="2"/>
        <v>14.45</v>
      </c>
      <c r="F6" s="70">
        <f t="shared" si="2"/>
        <v>15.028</v>
      </c>
      <c r="G6" s="70">
        <f t="shared" si="2"/>
        <v>17.34</v>
      </c>
      <c r="H6" s="70">
        <f t="shared" si="2"/>
        <v>23.986999999999998</v>
      </c>
      <c r="I6" s="70">
        <f t="shared" si="2"/>
        <v>30.056000000000001</v>
      </c>
      <c r="J6" s="70">
        <f t="shared" si="2"/>
        <v>14.45</v>
      </c>
      <c r="K6" s="70">
        <f t="shared" si="2"/>
        <v>20.23</v>
      </c>
      <c r="L6" s="70">
        <f t="shared" si="2"/>
        <v>23.12</v>
      </c>
      <c r="M6" s="70">
        <f t="shared" si="2"/>
        <v>28.9</v>
      </c>
    </row>
    <row r="7" spans="1:13" x14ac:dyDescent="0.25">
      <c r="A7" s="62" t="s">
        <v>416</v>
      </c>
      <c r="B7" s="67">
        <v>36.6</v>
      </c>
      <c r="C7" s="70">
        <f>$B$7*C3/1000</f>
        <v>14.64</v>
      </c>
      <c r="D7" s="70">
        <f t="shared" ref="D7:M7" si="3">$B$7*D3/1000</f>
        <v>15.372</v>
      </c>
      <c r="E7" s="70">
        <f t="shared" si="3"/>
        <v>18.3</v>
      </c>
      <c r="F7" s="70">
        <f t="shared" si="3"/>
        <v>19.032</v>
      </c>
      <c r="G7" s="70">
        <f t="shared" si="3"/>
        <v>21.96</v>
      </c>
      <c r="H7" s="70">
        <f t="shared" si="3"/>
        <v>30.378</v>
      </c>
      <c r="I7" s="70">
        <f t="shared" si="3"/>
        <v>38.064</v>
      </c>
      <c r="J7" s="70">
        <f t="shared" si="3"/>
        <v>18.3</v>
      </c>
      <c r="K7" s="70">
        <f t="shared" si="3"/>
        <v>25.62</v>
      </c>
      <c r="L7" s="70">
        <f t="shared" si="3"/>
        <v>29.28</v>
      </c>
      <c r="M7" s="70">
        <f t="shared" si="3"/>
        <v>36.6</v>
      </c>
    </row>
    <row r="8" spans="1:13" x14ac:dyDescent="0.25">
      <c r="A8" s="62" t="s">
        <v>415</v>
      </c>
      <c r="B8" s="67">
        <v>58</v>
      </c>
      <c r="C8" s="52">
        <f>$B$8*C3/1000</f>
        <v>23.2</v>
      </c>
      <c r="D8" s="52">
        <f t="shared" ref="D8:M8" si="4">$B$8*D3/1000</f>
        <v>24.36</v>
      </c>
      <c r="E8" s="52">
        <f t="shared" si="4"/>
        <v>29</v>
      </c>
      <c r="F8" s="52">
        <f t="shared" si="4"/>
        <v>30.16</v>
      </c>
      <c r="G8" s="52">
        <f t="shared" si="4"/>
        <v>34.799999999999997</v>
      </c>
      <c r="H8" s="52">
        <f t="shared" si="4"/>
        <v>48.14</v>
      </c>
      <c r="I8" s="52">
        <f t="shared" si="4"/>
        <v>60.32</v>
      </c>
      <c r="J8" s="52">
        <f t="shared" si="4"/>
        <v>29</v>
      </c>
      <c r="K8" s="52">
        <f t="shared" si="4"/>
        <v>40.6</v>
      </c>
      <c r="L8" s="52">
        <f t="shared" si="4"/>
        <v>46.4</v>
      </c>
      <c r="M8" s="52">
        <f t="shared" si="4"/>
        <v>58</v>
      </c>
    </row>
    <row r="9" spans="1:13" x14ac:dyDescent="0.25">
      <c r="A9" s="62" t="s">
        <v>395</v>
      </c>
      <c r="B9" s="67">
        <v>84.3</v>
      </c>
      <c r="C9" s="52">
        <v>33.700000000000003</v>
      </c>
      <c r="D9" s="52">
        <v>35.4</v>
      </c>
      <c r="E9" s="52">
        <v>42.2</v>
      </c>
      <c r="F9" s="52">
        <v>43.8</v>
      </c>
      <c r="G9" s="52">
        <v>50.6</v>
      </c>
      <c r="H9" s="52">
        <v>70</v>
      </c>
      <c r="I9" s="52">
        <v>87.7</v>
      </c>
      <c r="J9" s="52">
        <v>42.2</v>
      </c>
      <c r="K9" s="52">
        <v>59</v>
      </c>
      <c r="L9" s="52">
        <v>67.400000000000006</v>
      </c>
      <c r="M9" s="52">
        <f t="shared" ref="M9:M19" si="5">B9*$M$3/1000</f>
        <v>84.3</v>
      </c>
    </row>
    <row r="10" spans="1:13" x14ac:dyDescent="0.25">
      <c r="A10" s="62" t="s">
        <v>396</v>
      </c>
      <c r="B10" s="67">
        <v>115</v>
      </c>
      <c r="C10" s="52">
        <v>46</v>
      </c>
      <c r="D10" s="52">
        <v>48.3</v>
      </c>
      <c r="E10" s="52">
        <v>57.5</v>
      </c>
      <c r="F10" s="52">
        <v>59.8</v>
      </c>
      <c r="G10" s="52">
        <v>69</v>
      </c>
      <c r="H10" s="52">
        <v>95.5</v>
      </c>
      <c r="I10" s="52">
        <v>120</v>
      </c>
      <c r="J10" s="52">
        <v>57.5</v>
      </c>
      <c r="K10" s="52">
        <v>80.5</v>
      </c>
      <c r="L10" s="52">
        <v>92</v>
      </c>
      <c r="M10" s="52">
        <f t="shared" si="5"/>
        <v>115</v>
      </c>
    </row>
    <row r="11" spans="1:13" x14ac:dyDescent="0.25">
      <c r="A11" s="62" t="s">
        <v>397</v>
      </c>
      <c r="B11" s="67">
        <v>157</v>
      </c>
      <c r="C11" s="52">
        <v>62.8</v>
      </c>
      <c r="D11" s="52">
        <v>65.900000000000006</v>
      </c>
      <c r="E11" s="52">
        <v>78.5</v>
      </c>
      <c r="F11" s="52">
        <v>81.599999999999994</v>
      </c>
      <c r="G11" s="52">
        <v>94</v>
      </c>
      <c r="H11" s="52">
        <v>130</v>
      </c>
      <c r="I11" s="52">
        <v>163</v>
      </c>
      <c r="J11" s="52">
        <v>78.5</v>
      </c>
      <c r="K11" s="52">
        <v>110</v>
      </c>
      <c r="L11" s="52">
        <v>126</v>
      </c>
      <c r="M11" s="52">
        <f t="shared" si="5"/>
        <v>157</v>
      </c>
    </row>
    <row r="12" spans="1:13" x14ac:dyDescent="0.25">
      <c r="A12" s="62" t="s">
        <v>398</v>
      </c>
      <c r="B12" s="67">
        <v>192</v>
      </c>
      <c r="C12" s="52">
        <v>76.8</v>
      </c>
      <c r="D12" s="52">
        <v>80.599999999999994</v>
      </c>
      <c r="E12" s="52">
        <v>96</v>
      </c>
      <c r="F12" s="52">
        <v>99.8</v>
      </c>
      <c r="G12" s="52">
        <v>115</v>
      </c>
      <c r="H12" s="52">
        <v>159</v>
      </c>
      <c r="I12" s="52">
        <v>200</v>
      </c>
      <c r="J12" s="52">
        <v>96</v>
      </c>
      <c r="K12" s="52">
        <v>134</v>
      </c>
      <c r="L12" s="52">
        <v>154</v>
      </c>
      <c r="M12" s="52">
        <f t="shared" si="5"/>
        <v>192</v>
      </c>
    </row>
    <row r="13" spans="1:13" x14ac:dyDescent="0.25">
      <c r="A13" s="62" t="s">
        <v>399</v>
      </c>
      <c r="B13" s="67">
        <v>245</v>
      </c>
      <c r="C13" s="52">
        <v>98</v>
      </c>
      <c r="D13" s="52">
        <v>103</v>
      </c>
      <c r="E13" s="52">
        <v>122</v>
      </c>
      <c r="F13" s="52">
        <v>127</v>
      </c>
      <c r="G13" s="52">
        <v>147</v>
      </c>
      <c r="H13" s="52">
        <v>203</v>
      </c>
      <c r="I13" s="52">
        <v>255</v>
      </c>
      <c r="J13" s="52">
        <v>122</v>
      </c>
      <c r="K13" s="52">
        <v>172</v>
      </c>
      <c r="L13" s="52">
        <v>196</v>
      </c>
      <c r="M13" s="52">
        <f t="shared" si="5"/>
        <v>245</v>
      </c>
    </row>
    <row r="14" spans="1:13" x14ac:dyDescent="0.25">
      <c r="A14" s="62" t="s">
        <v>400</v>
      </c>
      <c r="B14" s="67">
        <v>303</v>
      </c>
      <c r="C14" s="52">
        <v>121</v>
      </c>
      <c r="D14" s="52">
        <v>127</v>
      </c>
      <c r="E14" s="52">
        <v>152</v>
      </c>
      <c r="F14" s="52">
        <v>158</v>
      </c>
      <c r="G14" s="52">
        <v>182</v>
      </c>
      <c r="H14" s="52">
        <v>252</v>
      </c>
      <c r="I14" s="52">
        <v>315</v>
      </c>
      <c r="J14" s="52">
        <v>152</v>
      </c>
      <c r="K14" s="52">
        <v>212</v>
      </c>
      <c r="L14" s="52">
        <v>242</v>
      </c>
      <c r="M14" s="52">
        <f t="shared" si="5"/>
        <v>303</v>
      </c>
    </row>
    <row r="15" spans="1:13" x14ac:dyDescent="0.25">
      <c r="A15" s="62" t="s">
        <v>401</v>
      </c>
      <c r="B15" s="67">
        <v>353</v>
      </c>
      <c r="C15" s="52">
        <v>141</v>
      </c>
      <c r="D15" s="52">
        <v>148</v>
      </c>
      <c r="E15" s="52">
        <v>176</v>
      </c>
      <c r="F15" s="52">
        <v>184</v>
      </c>
      <c r="G15" s="52">
        <v>212</v>
      </c>
      <c r="H15" s="52">
        <v>293</v>
      </c>
      <c r="I15" s="52">
        <v>367</v>
      </c>
      <c r="J15" s="52">
        <v>176</v>
      </c>
      <c r="K15" s="52">
        <v>247</v>
      </c>
      <c r="L15" s="52">
        <v>282</v>
      </c>
      <c r="M15" s="52">
        <f t="shared" si="5"/>
        <v>353</v>
      </c>
    </row>
    <row r="16" spans="1:13" x14ac:dyDescent="0.25">
      <c r="A16" s="62" t="s">
        <v>402</v>
      </c>
      <c r="B16" s="67">
        <v>459</v>
      </c>
      <c r="C16" s="52">
        <v>184</v>
      </c>
      <c r="D16" s="52">
        <v>193</v>
      </c>
      <c r="E16" s="52">
        <v>230</v>
      </c>
      <c r="F16" s="52">
        <v>239</v>
      </c>
      <c r="G16" s="52">
        <v>275</v>
      </c>
      <c r="H16" s="52">
        <v>381</v>
      </c>
      <c r="I16" s="52">
        <v>477</v>
      </c>
      <c r="J16" s="52">
        <v>230</v>
      </c>
      <c r="K16" s="52">
        <v>321</v>
      </c>
      <c r="L16" s="52">
        <v>367</v>
      </c>
      <c r="M16" s="52">
        <f t="shared" si="5"/>
        <v>459</v>
      </c>
    </row>
    <row r="17" spans="1:13" x14ac:dyDescent="0.25">
      <c r="A17" s="62" t="s">
        <v>403</v>
      </c>
      <c r="B17" s="67">
        <v>561</v>
      </c>
      <c r="C17" s="52">
        <v>224</v>
      </c>
      <c r="D17" s="52">
        <v>236</v>
      </c>
      <c r="E17" s="52">
        <v>280</v>
      </c>
      <c r="F17" s="52">
        <v>292</v>
      </c>
      <c r="G17" s="52">
        <v>337</v>
      </c>
      <c r="H17" s="52">
        <v>466</v>
      </c>
      <c r="I17" s="52">
        <v>583</v>
      </c>
      <c r="J17" s="52">
        <v>280</v>
      </c>
      <c r="K17" s="52">
        <v>393</v>
      </c>
      <c r="L17" s="52">
        <v>449</v>
      </c>
      <c r="M17" s="52">
        <f t="shared" si="5"/>
        <v>561</v>
      </c>
    </row>
    <row r="18" spans="1:13" x14ac:dyDescent="0.25">
      <c r="A18" s="62" t="s">
        <v>404</v>
      </c>
      <c r="B18" s="67">
        <v>694</v>
      </c>
      <c r="C18" s="52">
        <v>278</v>
      </c>
      <c r="D18" s="52">
        <v>292</v>
      </c>
      <c r="E18" s="52">
        <v>347</v>
      </c>
      <c r="F18" s="52">
        <v>361</v>
      </c>
      <c r="G18" s="52">
        <v>416</v>
      </c>
      <c r="H18" s="52">
        <v>576</v>
      </c>
      <c r="I18" s="52">
        <v>722</v>
      </c>
      <c r="J18" s="52">
        <v>347</v>
      </c>
      <c r="K18" s="52">
        <v>486</v>
      </c>
      <c r="L18" s="52">
        <v>555</v>
      </c>
      <c r="M18" s="52">
        <f t="shared" si="5"/>
        <v>694</v>
      </c>
    </row>
    <row r="19" spans="1:13" x14ac:dyDescent="0.25">
      <c r="A19" s="62" t="s">
        <v>405</v>
      </c>
      <c r="B19" s="67">
        <v>817</v>
      </c>
      <c r="C19" s="52">
        <v>327</v>
      </c>
      <c r="D19" s="52">
        <v>343</v>
      </c>
      <c r="E19" s="52">
        <v>408</v>
      </c>
      <c r="F19" s="52">
        <v>425</v>
      </c>
      <c r="G19" s="52">
        <v>490</v>
      </c>
      <c r="H19" s="52">
        <v>678</v>
      </c>
      <c r="I19" s="52">
        <v>850</v>
      </c>
      <c r="J19" s="52">
        <v>408</v>
      </c>
      <c r="K19" s="52">
        <v>572</v>
      </c>
      <c r="L19" s="52">
        <v>654</v>
      </c>
      <c r="M19" s="52">
        <f t="shared" si="5"/>
        <v>817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E1C54-2E20-4673-AE33-FC6FFCB03ADA}">
  <sheetPr>
    <tabColor theme="7" tint="0.79998168889431442"/>
  </sheetPr>
  <dimension ref="A1:Y274"/>
  <sheetViews>
    <sheetView workbookViewId="0">
      <pane ySplit="600" activePane="bottomLeft"/>
      <selection activeCell="M1" sqref="M1"/>
      <selection pane="bottomLeft" activeCell="C24" sqref="C24"/>
    </sheetView>
  </sheetViews>
  <sheetFormatPr baseColWidth="10" defaultRowHeight="15" x14ac:dyDescent="0.25"/>
  <cols>
    <col min="2" max="2" width="32" customWidth="1"/>
    <col min="3" max="3" width="30.85546875" bestFit="1" customWidth="1"/>
    <col min="4" max="4" width="18.85546875" customWidth="1"/>
    <col min="8" max="11" width="16.140625" customWidth="1"/>
  </cols>
  <sheetData>
    <row r="1" spans="1:13" x14ac:dyDescent="0.25">
      <c r="A1" t="s">
        <v>0</v>
      </c>
      <c r="B1" t="s">
        <v>1</v>
      </c>
      <c r="C1" t="s">
        <v>231</v>
      </c>
      <c r="D1" t="s">
        <v>232</v>
      </c>
      <c r="E1" t="s">
        <v>18</v>
      </c>
      <c r="F1" t="s">
        <v>20</v>
      </c>
      <c r="G1" t="s">
        <v>22</v>
      </c>
      <c r="H1" t="s">
        <v>215</v>
      </c>
      <c r="I1" t="s">
        <v>214</v>
      </c>
      <c r="J1" t="s">
        <v>171</v>
      </c>
      <c r="K1" t="s">
        <v>172</v>
      </c>
      <c r="L1" t="s">
        <v>325</v>
      </c>
      <c r="M1" t="s">
        <v>326</v>
      </c>
    </row>
    <row r="2" spans="1:13" x14ac:dyDescent="0.25">
      <c r="A2" t="s">
        <v>354</v>
      </c>
      <c r="B2" t="s">
        <v>355</v>
      </c>
      <c r="C2" t="s">
        <v>358</v>
      </c>
      <c r="D2">
        <v>3</v>
      </c>
      <c r="E2">
        <v>6</v>
      </c>
      <c r="F2">
        <v>25</v>
      </c>
      <c r="G2">
        <v>10</v>
      </c>
      <c r="H2">
        <v>4.8</v>
      </c>
      <c r="I2">
        <v>15.3</v>
      </c>
      <c r="K2">
        <v>7</v>
      </c>
      <c r="L2">
        <f>F2*0.6</f>
        <v>15</v>
      </c>
    </row>
    <row r="3" spans="1:13" x14ac:dyDescent="0.25">
      <c r="A3" t="s">
        <v>354</v>
      </c>
      <c r="B3" t="s">
        <v>355</v>
      </c>
      <c r="C3" t="s">
        <v>358</v>
      </c>
      <c r="D3">
        <v>3</v>
      </c>
      <c r="E3">
        <v>6</v>
      </c>
      <c r="F3">
        <v>30</v>
      </c>
      <c r="G3">
        <v>10</v>
      </c>
      <c r="H3">
        <v>4.8</v>
      </c>
      <c r="I3">
        <v>15.3</v>
      </c>
      <c r="K3">
        <v>7</v>
      </c>
      <c r="L3">
        <f t="shared" ref="L3:L63" si="0">F3*0.6</f>
        <v>18</v>
      </c>
    </row>
    <row r="4" spans="1:13" x14ac:dyDescent="0.25">
      <c r="A4" t="s">
        <v>354</v>
      </c>
      <c r="B4" t="s">
        <v>355</v>
      </c>
      <c r="C4" t="s">
        <v>358</v>
      </c>
      <c r="D4">
        <v>3</v>
      </c>
      <c r="E4">
        <v>6</v>
      </c>
      <c r="F4">
        <v>40</v>
      </c>
      <c r="G4">
        <v>10</v>
      </c>
      <c r="H4">
        <v>4.8</v>
      </c>
      <c r="I4">
        <v>15.3</v>
      </c>
      <c r="K4">
        <v>7</v>
      </c>
      <c r="L4">
        <f t="shared" si="0"/>
        <v>24</v>
      </c>
    </row>
    <row r="5" spans="1:13" x14ac:dyDescent="0.25">
      <c r="A5" t="s">
        <v>354</v>
      </c>
      <c r="B5" t="s">
        <v>355</v>
      </c>
      <c r="C5" t="s">
        <v>358</v>
      </c>
      <c r="D5">
        <v>3</v>
      </c>
      <c r="E5">
        <v>6</v>
      </c>
      <c r="F5">
        <v>50</v>
      </c>
      <c r="G5">
        <v>10</v>
      </c>
      <c r="H5">
        <v>4.8</v>
      </c>
      <c r="I5">
        <v>15.3</v>
      </c>
      <c r="K5">
        <v>7</v>
      </c>
      <c r="L5">
        <f t="shared" si="0"/>
        <v>30</v>
      </c>
    </row>
    <row r="6" spans="1:13" x14ac:dyDescent="0.25">
      <c r="A6" t="s">
        <v>354</v>
      </c>
      <c r="B6" t="s">
        <v>355</v>
      </c>
      <c r="C6" t="s">
        <v>358</v>
      </c>
      <c r="D6">
        <v>3</v>
      </c>
      <c r="E6">
        <v>6</v>
      </c>
      <c r="F6">
        <v>60</v>
      </c>
      <c r="G6">
        <v>10</v>
      </c>
      <c r="H6">
        <v>4.8</v>
      </c>
      <c r="I6">
        <v>15.3</v>
      </c>
      <c r="K6">
        <v>7</v>
      </c>
      <c r="L6">
        <f t="shared" si="0"/>
        <v>36</v>
      </c>
    </row>
    <row r="7" spans="1:13" x14ac:dyDescent="0.25">
      <c r="A7" t="s">
        <v>354</v>
      </c>
      <c r="B7" t="s">
        <v>355</v>
      </c>
      <c r="C7" t="s">
        <v>358</v>
      </c>
      <c r="D7">
        <v>3</v>
      </c>
      <c r="E7">
        <v>6</v>
      </c>
      <c r="F7">
        <v>70</v>
      </c>
      <c r="G7">
        <v>10</v>
      </c>
      <c r="H7">
        <v>4.8</v>
      </c>
      <c r="I7">
        <v>15.3</v>
      </c>
      <c r="K7">
        <v>7</v>
      </c>
      <c r="L7">
        <f t="shared" si="0"/>
        <v>42</v>
      </c>
    </row>
    <row r="8" spans="1:13" x14ac:dyDescent="0.25">
      <c r="A8" t="s">
        <v>354</v>
      </c>
      <c r="B8" t="s">
        <v>355</v>
      </c>
      <c r="C8" t="s">
        <v>358</v>
      </c>
      <c r="D8">
        <v>3</v>
      </c>
      <c r="E8">
        <v>6</v>
      </c>
      <c r="F8">
        <v>80</v>
      </c>
      <c r="G8">
        <v>10</v>
      </c>
      <c r="H8">
        <v>4.8</v>
      </c>
      <c r="I8">
        <v>15.3</v>
      </c>
      <c r="K8">
        <v>7</v>
      </c>
      <c r="L8">
        <f t="shared" si="0"/>
        <v>48</v>
      </c>
    </row>
    <row r="9" spans="1:13" x14ac:dyDescent="0.25">
      <c r="A9" t="s">
        <v>354</v>
      </c>
      <c r="B9" t="s">
        <v>355</v>
      </c>
      <c r="C9" t="s">
        <v>358</v>
      </c>
      <c r="D9">
        <v>3</v>
      </c>
      <c r="E9">
        <v>6</v>
      </c>
      <c r="F9">
        <v>90</v>
      </c>
      <c r="G9">
        <v>10</v>
      </c>
      <c r="H9">
        <v>4.8</v>
      </c>
      <c r="I9">
        <v>15.3</v>
      </c>
      <c r="K9">
        <v>7</v>
      </c>
      <c r="L9">
        <f t="shared" si="0"/>
        <v>54</v>
      </c>
    </row>
    <row r="10" spans="1:13" x14ac:dyDescent="0.25">
      <c r="A10" t="s">
        <v>354</v>
      </c>
      <c r="B10" t="s">
        <v>355</v>
      </c>
      <c r="C10" t="s">
        <v>358</v>
      </c>
      <c r="D10">
        <v>3</v>
      </c>
      <c r="E10">
        <v>6</v>
      </c>
      <c r="F10">
        <v>100</v>
      </c>
      <c r="G10">
        <v>10</v>
      </c>
      <c r="H10">
        <v>4.8</v>
      </c>
      <c r="I10">
        <v>15.3</v>
      </c>
      <c r="K10">
        <v>7</v>
      </c>
      <c r="L10">
        <f t="shared" si="0"/>
        <v>60</v>
      </c>
    </row>
    <row r="11" spans="1:13" x14ac:dyDescent="0.25">
      <c r="A11" t="s">
        <v>354</v>
      </c>
      <c r="B11" t="s">
        <v>355</v>
      </c>
      <c r="C11" t="s">
        <v>358</v>
      </c>
      <c r="D11">
        <v>3</v>
      </c>
      <c r="E11">
        <v>8</v>
      </c>
      <c r="F11">
        <v>30</v>
      </c>
      <c r="G11">
        <v>13</v>
      </c>
      <c r="H11">
        <v>10.1</v>
      </c>
      <c r="I11">
        <v>12.4</v>
      </c>
      <c r="K11">
        <v>11</v>
      </c>
      <c r="L11">
        <f t="shared" si="0"/>
        <v>18</v>
      </c>
    </row>
    <row r="12" spans="1:13" x14ac:dyDescent="0.25">
      <c r="A12" t="s">
        <v>354</v>
      </c>
      <c r="B12" t="s">
        <v>355</v>
      </c>
      <c r="C12" t="s">
        <v>358</v>
      </c>
      <c r="D12">
        <v>3</v>
      </c>
      <c r="E12">
        <v>8</v>
      </c>
      <c r="F12">
        <v>40</v>
      </c>
      <c r="G12">
        <v>13</v>
      </c>
      <c r="H12">
        <v>10.1</v>
      </c>
      <c r="I12">
        <v>12.4</v>
      </c>
      <c r="K12">
        <v>11</v>
      </c>
      <c r="L12">
        <f t="shared" si="0"/>
        <v>24</v>
      </c>
    </row>
    <row r="13" spans="1:13" x14ac:dyDescent="0.25">
      <c r="A13" t="s">
        <v>354</v>
      </c>
      <c r="B13" t="s">
        <v>355</v>
      </c>
      <c r="C13" t="s">
        <v>358</v>
      </c>
      <c r="D13">
        <v>3</v>
      </c>
      <c r="E13">
        <v>8</v>
      </c>
      <c r="F13">
        <v>50</v>
      </c>
      <c r="G13">
        <v>13</v>
      </c>
      <c r="H13">
        <v>10.1</v>
      </c>
      <c r="I13">
        <v>12.4</v>
      </c>
      <c r="K13">
        <v>11</v>
      </c>
      <c r="L13">
        <f t="shared" si="0"/>
        <v>30</v>
      </c>
    </row>
    <row r="14" spans="1:13" x14ac:dyDescent="0.25">
      <c r="A14" t="s">
        <v>354</v>
      </c>
      <c r="B14" t="s">
        <v>355</v>
      </c>
      <c r="C14" t="s">
        <v>358</v>
      </c>
      <c r="D14">
        <v>3</v>
      </c>
      <c r="E14">
        <v>8</v>
      </c>
      <c r="F14">
        <v>60</v>
      </c>
      <c r="G14">
        <v>13</v>
      </c>
      <c r="H14">
        <v>10.1</v>
      </c>
      <c r="I14">
        <v>12.4</v>
      </c>
      <c r="K14">
        <v>11</v>
      </c>
      <c r="L14">
        <f t="shared" si="0"/>
        <v>36</v>
      </c>
    </row>
    <row r="15" spans="1:13" x14ac:dyDescent="0.25">
      <c r="A15" t="s">
        <v>354</v>
      </c>
      <c r="B15" t="s">
        <v>355</v>
      </c>
      <c r="C15" t="s">
        <v>358</v>
      </c>
      <c r="D15">
        <v>3</v>
      </c>
      <c r="E15">
        <v>8</v>
      </c>
      <c r="F15">
        <v>70</v>
      </c>
      <c r="G15">
        <v>13</v>
      </c>
      <c r="H15">
        <v>10.1</v>
      </c>
      <c r="I15">
        <v>12.4</v>
      </c>
      <c r="K15">
        <v>11</v>
      </c>
      <c r="L15">
        <f t="shared" si="0"/>
        <v>42</v>
      </c>
    </row>
    <row r="16" spans="1:13" x14ac:dyDescent="0.25">
      <c r="A16" t="s">
        <v>354</v>
      </c>
      <c r="B16" t="s">
        <v>355</v>
      </c>
      <c r="C16" t="s">
        <v>358</v>
      </c>
      <c r="D16">
        <v>3</v>
      </c>
      <c r="E16">
        <v>8</v>
      </c>
      <c r="F16">
        <v>80</v>
      </c>
      <c r="G16">
        <v>13</v>
      </c>
      <c r="H16">
        <v>10.1</v>
      </c>
      <c r="I16">
        <v>12.4</v>
      </c>
      <c r="K16">
        <v>11</v>
      </c>
      <c r="L16">
        <f t="shared" si="0"/>
        <v>48</v>
      </c>
    </row>
    <row r="17" spans="1:12" x14ac:dyDescent="0.25">
      <c r="A17" t="s">
        <v>354</v>
      </c>
      <c r="B17" t="s">
        <v>355</v>
      </c>
      <c r="C17" t="s">
        <v>358</v>
      </c>
      <c r="D17">
        <v>3</v>
      </c>
      <c r="E17">
        <v>8</v>
      </c>
      <c r="F17">
        <v>90</v>
      </c>
      <c r="G17">
        <v>13</v>
      </c>
      <c r="H17">
        <v>10.1</v>
      </c>
      <c r="I17">
        <v>12.4</v>
      </c>
      <c r="K17">
        <v>11</v>
      </c>
      <c r="L17">
        <f t="shared" si="0"/>
        <v>54</v>
      </c>
    </row>
    <row r="18" spans="1:12" x14ac:dyDescent="0.25">
      <c r="A18" t="s">
        <v>354</v>
      </c>
      <c r="B18" t="s">
        <v>355</v>
      </c>
      <c r="C18" t="s">
        <v>358</v>
      </c>
      <c r="D18">
        <v>3</v>
      </c>
      <c r="E18">
        <v>8</v>
      </c>
      <c r="F18">
        <v>100</v>
      </c>
      <c r="G18">
        <v>13</v>
      </c>
      <c r="H18">
        <v>10.1</v>
      </c>
      <c r="I18">
        <v>12.4</v>
      </c>
      <c r="K18">
        <v>11</v>
      </c>
      <c r="L18">
        <f t="shared" si="0"/>
        <v>60</v>
      </c>
    </row>
    <row r="19" spans="1:12" x14ac:dyDescent="0.25">
      <c r="A19" t="s">
        <v>354</v>
      </c>
      <c r="B19" t="s">
        <v>355</v>
      </c>
      <c r="C19" t="s">
        <v>358</v>
      </c>
      <c r="D19">
        <v>3</v>
      </c>
      <c r="E19">
        <v>8</v>
      </c>
      <c r="F19">
        <v>120</v>
      </c>
      <c r="G19">
        <v>13</v>
      </c>
      <c r="H19">
        <v>10.1</v>
      </c>
      <c r="I19">
        <v>12.4</v>
      </c>
      <c r="K19">
        <v>11</v>
      </c>
      <c r="L19">
        <f t="shared" si="0"/>
        <v>72</v>
      </c>
    </row>
    <row r="20" spans="1:12" x14ac:dyDescent="0.25">
      <c r="A20" t="s">
        <v>354</v>
      </c>
      <c r="B20" t="s">
        <v>355</v>
      </c>
      <c r="C20" t="s">
        <v>358</v>
      </c>
      <c r="D20">
        <v>3</v>
      </c>
      <c r="E20">
        <v>8</v>
      </c>
      <c r="F20">
        <v>140</v>
      </c>
      <c r="G20">
        <v>13</v>
      </c>
      <c r="H20">
        <v>10.1</v>
      </c>
      <c r="I20">
        <v>12.4</v>
      </c>
      <c r="K20">
        <v>11</v>
      </c>
      <c r="L20">
        <f t="shared" si="0"/>
        <v>84</v>
      </c>
    </row>
    <row r="21" spans="1:12" x14ac:dyDescent="0.25">
      <c r="A21" t="s">
        <v>354</v>
      </c>
      <c r="B21" t="s">
        <v>355</v>
      </c>
      <c r="C21" t="s">
        <v>358</v>
      </c>
      <c r="D21">
        <v>3</v>
      </c>
      <c r="E21">
        <v>8</v>
      </c>
      <c r="F21">
        <v>160</v>
      </c>
      <c r="G21">
        <v>13</v>
      </c>
      <c r="H21">
        <v>10.1</v>
      </c>
      <c r="I21">
        <v>12.4</v>
      </c>
      <c r="K21">
        <v>11</v>
      </c>
      <c r="L21">
        <f t="shared" si="0"/>
        <v>96</v>
      </c>
    </row>
    <row r="22" spans="1:12" x14ac:dyDescent="0.25">
      <c r="A22" t="s">
        <v>354</v>
      </c>
      <c r="B22" t="s">
        <v>355</v>
      </c>
      <c r="C22" t="s">
        <v>358</v>
      </c>
      <c r="D22">
        <v>3</v>
      </c>
      <c r="E22">
        <v>8</v>
      </c>
      <c r="F22">
        <v>180</v>
      </c>
      <c r="G22">
        <v>13</v>
      </c>
      <c r="H22">
        <v>10.1</v>
      </c>
      <c r="I22">
        <v>12.4</v>
      </c>
      <c r="K22">
        <v>11</v>
      </c>
      <c r="L22">
        <f t="shared" si="0"/>
        <v>108</v>
      </c>
    </row>
    <row r="23" spans="1:12" x14ac:dyDescent="0.25">
      <c r="A23" t="s">
        <v>354</v>
      </c>
      <c r="B23" t="s">
        <v>355</v>
      </c>
      <c r="C23" t="s">
        <v>358</v>
      </c>
      <c r="D23">
        <v>3</v>
      </c>
      <c r="E23">
        <v>8</v>
      </c>
      <c r="F23">
        <v>200</v>
      </c>
      <c r="G23">
        <v>13</v>
      </c>
      <c r="H23">
        <v>10.1</v>
      </c>
      <c r="I23">
        <v>12.4</v>
      </c>
      <c r="K23">
        <v>11</v>
      </c>
      <c r="L23">
        <f t="shared" si="0"/>
        <v>120</v>
      </c>
    </row>
    <row r="24" spans="1:12" x14ac:dyDescent="0.25">
      <c r="A24" t="s">
        <v>354</v>
      </c>
      <c r="B24" t="s">
        <v>355</v>
      </c>
      <c r="C24" t="s">
        <v>358</v>
      </c>
      <c r="D24">
        <v>3</v>
      </c>
      <c r="E24">
        <v>10</v>
      </c>
      <c r="F24">
        <v>30</v>
      </c>
      <c r="G24">
        <v>17</v>
      </c>
      <c r="H24">
        <v>18.100000000000001</v>
      </c>
      <c r="I24">
        <v>11</v>
      </c>
      <c r="K24">
        <v>18</v>
      </c>
      <c r="L24">
        <f t="shared" si="0"/>
        <v>18</v>
      </c>
    </row>
    <row r="25" spans="1:12" x14ac:dyDescent="0.25">
      <c r="A25" t="s">
        <v>354</v>
      </c>
      <c r="B25" t="s">
        <v>355</v>
      </c>
      <c r="C25" t="s">
        <v>358</v>
      </c>
      <c r="D25">
        <v>3</v>
      </c>
      <c r="E25">
        <v>10</v>
      </c>
      <c r="F25">
        <v>40</v>
      </c>
      <c r="G25">
        <v>17</v>
      </c>
      <c r="H25">
        <v>18.100000000000001</v>
      </c>
      <c r="I25">
        <v>11</v>
      </c>
      <c r="K25">
        <v>18</v>
      </c>
      <c r="L25">
        <f t="shared" si="0"/>
        <v>24</v>
      </c>
    </row>
    <row r="26" spans="1:12" x14ac:dyDescent="0.25">
      <c r="A26" t="s">
        <v>354</v>
      </c>
      <c r="B26" t="s">
        <v>355</v>
      </c>
      <c r="C26" t="s">
        <v>358</v>
      </c>
      <c r="D26">
        <v>3</v>
      </c>
      <c r="E26">
        <v>10</v>
      </c>
      <c r="F26">
        <v>50</v>
      </c>
      <c r="G26">
        <v>17</v>
      </c>
      <c r="H26">
        <v>18.100000000000001</v>
      </c>
      <c r="I26">
        <v>11</v>
      </c>
      <c r="K26">
        <v>18</v>
      </c>
      <c r="L26">
        <f t="shared" si="0"/>
        <v>30</v>
      </c>
    </row>
    <row r="27" spans="1:12" x14ac:dyDescent="0.25">
      <c r="A27" t="s">
        <v>354</v>
      </c>
      <c r="B27" t="s">
        <v>355</v>
      </c>
      <c r="C27" t="s">
        <v>358</v>
      </c>
      <c r="D27">
        <v>3</v>
      </c>
      <c r="E27">
        <v>10</v>
      </c>
      <c r="F27">
        <v>60</v>
      </c>
      <c r="G27">
        <v>17</v>
      </c>
      <c r="H27">
        <v>18.100000000000001</v>
      </c>
      <c r="I27">
        <v>11</v>
      </c>
      <c r="K27">
        <v>18</v>
      </c>
      <c r="L27">
        <f t="shared" si="0"/>
        <v>36</v>
      </c>
    </row>
    <row r="28" spans="1:12" x14ac:dyDescent="0.25">
      <c r="A28" t="s">
        <v>354</v>
      </c>
      <c r="B28" t="s">
        <v>355</v>
      </c>
      <c r="C28" t="s">
        <v>358</v>
      </c>
      <c r="D28">
        <v>3</v>
      </c>
      <c r="E28">
        <v>10</v>
      </c>
      <c r="F28">
        <v>70</v>
      </c>
      <c r="G28">
        <v>17</v>
      </c>
      <c r="H28">
        <v>18.100000000000001</v>
      </c>
      <c r="I28">
        <v>11</v>
      </c>
      <c r="K28">
        <v>18</v>
      </c>
      <c r="L28">
        <f t="shared" si="0"/>
        <v>42</v>
      </c>
    </row>
    <row r="29" spans="1:12" x14ac:dyDescent="0.25">
      <c r="A29" t="s">
        <v>354</v>
      </c>
      <c r="B29" t="s">
        <v>355</v>
      </c>
      <c r="C29" t="s">
        <v>358</v>
      </c>
      <c r="D29">
        <v>3</v>
      </c>
      <c r="E29">
        <v>10</v>
      </c>
      <c r="F29">
        <v>80</v>
      </c>
      <c r="G29">
        <v>17</v>
      </c>
      <c r="H29">
        <v>18.100000000000001</v>
      </c>
      <c r="I29">
        <v>11</v>
      </c>
      <c r="K29">
        <v>18</v>
      </c>
      <c r="L29">
        <f t="shared" si="0"/>
        <v>48</v>
      </c>
    </row>
    <row r="30" spans="1:12" x14ac:dyDescent="0.25">
      <c r="A30" t="s">
        <v>354</v>
      </c>
      <c r="B30" t="s">
        <v>355</v>
      </c>
      <c r="C30" t="s">
        <v>358</v>
      </c>
      <c r="D30">
        <v>3</v>
      </c>
      <c r="E30">
        <v>10</v>
      </c>
      <c r="F30">
        <v>90</v>
      </c>
      <c r="G30">
        <v>17</v>
      </c>
      <c r="H30">
        <v>18.100000000000001</v>
      </c>
      <c r="I30">
        <v>11</v>
      </c>
      <c r="K30">
        <v>18</v>
      </c>
      <c r="L30">
        <f t="shared" si="0"/>
        <v>54</v>
      </c>
    </row>
    <row r="31" spans="1:12" x14ac:dyDescent="0.25">
      <c r="A31" t="s">
        <v>354</v>
      </c>
      <c r="B31" t="s">
        <v>355</v>
      </c>
      <c r="C31" t="s">
        <v>358</v>
      </c>
      <c r="D31">
        <v>3</v>
      </c>
      <c r="E31">
        <v>10</v>
      </c>
      <c r="F31">
        <v>100</v>
      </c>
      <c r="G31">
        <v>17</v>
      </c>
      <c r="H31">
        <v>18.100000000000001</v>
      </c>
      <c r="I31">
        <v>11</v>
      </c>
      <c r="K31">
        <v>18</v>
      </c>
      <c r="L31">
        <f t="shared" si="0"/>
        <v>60</v>
      </c>
    </row>
    <row r="32" spans="1:12" x14ac:dyDescent="0.25">
      <c r="A32" t="s">
        <v>354</v>
      </c>
      <c r="B32" t="s">
        <v>355</v>
      </c>
      <c r="C32" t="s">
        <v>358</v>
      </c>
      <c r="D32">
        <v>3</v>
      </c>
      <c r="E32">
        <v>10</v>
      </c>
      <c r="F32">
        <v>120</v>
      </c>
      <c r="G32">
        <v>17</v>
      </c>
      <c r="H32">
        <v>18.100000000000001</v>
      </c>
      <c r="I32">
        <v>11</v>
      </c>
      <c r="K32">
        <v>18</v>
      </c>
      <c r="L32">
        <f t="shared" si="0"/>
        <v>72</v>
      </c>
    </row>
    <row r="33" spans="1:12" x14ac:dyDescent="0.25">
      <c r="A33" t="s">
        <v>354</v>
      </c>
      <c r="B33" t="s">
        <v>355</v>
      </c>
      <c r="C33" t="s">
        <v>358</v>
      </c>
      <c r="D33">
        <v>3</v>
      </c>
      <c r="E33">
        <v>10</v>
      </c>
      <c r="F33">
        <v>140</v>
      </c>
      <c r="G33">
        <v>17</v>
      </c>
      <c r="H33">
        <v>18.100000000000001</v>
      </c>
      <c r="I33">
        <v>11</v>
      </c>
      <c r="K33">
        <v>18</v>
      </c>
      <c r="L33">
        <f t="shared" si="0"/>
        <v>84</v>
      </c>
    </row>
    <row r="34" spans="1:12" x14ac:dyDescent="0.25">
      <c r="A34" t="s">
        <v>354</v>
      </c>
      <c r="B34" t="s">
        <v>355</v>
      </c>
      <c r="C34" t="s">
        <v>358</v>
      </c>
      <c r="D34">
        <v>3</v>
      </c>
      <c r="E34">
        <v>10</v>
      </c>
      <c r="F34">
        <v>150</v>
      </c>
      <c r="G34">
        <v>17</v>
      </c>
      <c r="H34">
        <v>18.100000000000001</v>
      </c>
      <c r="I34">
        <v>11</v>
      </c>
      <c r="K34">
        <v>18</v>
      </c>
      <c r="L34">
        <f t="shared" si="0"/>
        <v>90</v>
      </c>
    </row>
    <row r="35" spans="1:12" x14ac:dyDescent="0.25">
      <c r="A35" t="s">
        <v>354</v>
      </c>
      <c r="B35" t="s">
        <v>355</v>
      </c>
      <c r="C35" t="s">
        <v>358</v>
      </c>
      <c r="D35">
        <v>3</v>
      </c>
      <c r="E35">
        <v>10</v>
      </c>
      <c r="F35">
        <v>160</v>
      </c>
      <c r="G35">
        <v>17</v>
      </c>
      <c r="H35">
        <v>18.100000000000001</v>
      </c>
      <c r="I35">
        <v>11</v>
      </c>
      <c r="K35">
        <v>18</v>
      </c>
      <c r="L35">
        <f t="shared" si="0"/>
        <v>96</v>
      </c>
    </row>
    <row r="36" spans="1:12" x14ac:dyDescent="0.25">
      <c r="A36" t="s">
        <v>354</v>
      </c>
      <c r="B36" t="s">
        <v>355</v>
      </c>
      <c r="C36" t="s">
        <v>358</v>
      </c>
      <c r="D36">
        <v>3</v>
      </c>
      <c r="E36">
        <v>10</v>
      </c>
      <c r="F36">
        <v>180</v>
      </c>
      <c r="G36">
        <v>17</v>
      </c>
      <c r="H36">
        <v>18.100000000000001</v>
      </c>
      <c r="I36">
        <v>11</v>
      </c>
      <c r="K36">
        <v>18</v>
      </c>
      <c r="L36">
        <f t="shared" si="0"/>
        <v>108</v>
      </c>
    </row>
    <row r="37" spans="1:12" x14ac:dyDescent="0.25">
      <c r="A37" t="s">
        <v>354</v>
      </c>
      <c r="B37" t="s">
        <v>355</v>
      </c>
      <c r="C37" t="s">
        <v>358</v>
      </c>
      <c r="D37">
        <v>3</v>
      </c>
      <c r="E37">
        <v>10</v>
      </c>
      <c r="F37">
        <v>200</v>
      </c>
      <c r="G37">
        <v>17</v>
      </c>
      <c r="H37">
        <v>18.100000000000001</v>
      </c>
      <c r="I37">
        <v>11</v>
      </c>
      <c r="K37">
        <v>18</v>
      </c>
      <c r="L37">
        <f t="shared" si="0"/>
        <v>120</v>
      </c>
    </row>
    <row r="38" spans="1:12" x14ac:dyDescent="0.25">
      <c r="A38" t="s">
        <v>354</v>
      </c>
      <c r="B38" t="s">
        <v>355</v>
      </c>
      <c r="C38" t="s">
        <v>358</v>
      </c>
      <c r="D38">
        <v>3</v>
      </c>
      <c r="E38">
        <v>12</v>
      </c>
      <c r="F38">
        <v>50</v>
      </c>
      <c r="G38">
        <v>19</v>
      </c>
      <c r="H38">
        <v>29.1</v>
      </c>
      <c r="I38">
        <v>9.6999999999999993</v>
      </c>
      <c r="K38">
        <v>33</v>
      </c>
      <c r="L38">
        <f t="shared" si="0"/>
        <v>30</v>
      </c>
    </row>
    <row r="39" spans="1:12" x14ac:dyDescent="0.25">
      <c r="A39" t="s">
        <v>354</v>
      </c>
      <c r="B39" t="s">
        <v>355</v>
      </c>
      <c r="C39" t="s">
        <v>358</v>
      </c>
      <c r="D39">
        <v>3</v>
      </c>
      <c r="E39">
        <v>12</v>
      </c>
      <c r="F39">
        <v>60</v>
      </c>
      <c r="G39">
        <v>19</v>
      </c>
      <c r="H39">
        <v>29.1</v>
      </c>
      <c r="I39">
        <v>9.6999999999999993</v>
      </c>
      <c r="K39">
        <v>33</v>
      </c>
      <c r="L39">
        <f t="shared" si="0"/>
        <v>36</v>
      </c>
    </row>
    <row r="40" spans="1:12" x14ac:dyDescent="0.25">
      <c r="A40" t="s">
        <v>354</v>
      </c>
      <c r="B40" t="s">
        <v>355</v>
      </c>
      <c r="C40" t="s">
        <v>358</v>
      </c>
      <c r="D40">
        <v>3</v>
      </c>
      <c r="E40">
        <v>12</v>
      </c>
      <c r="F40">
        <v>70</v>
      </c>
      <c r="G40">
        <v>19</v>
      </c>
      <c r="H40">
        <v>29.1</v>
      </c>
      <c r="I40">
        <v>9.6999999999999993</v>
      </c>
      <c r="K40">
        <v>33</v>
      </c>
      <c r="L40">
        <f t="shared" si="0"/>
        <v>42</v>
      </c>
    </row>
    <row r="41" spans="1:12" x14ac:dyDescent="0.25">
      <c r="A41" t="s">
        <v>354</v>
      </c>
      <c r="B41" t="s">
        <v>355</v>
      </c>
      <c r="C41" t="s">
        <v>358</v>
      </c>
      <c r="D41">
        <v>3</v>
      </c>
      <c r="E41">
        <v>12</v>
      </c>
      <c r="F41">
        <v>80</v>
      </c>
      <c r="G41">
        <v>19</v>
      </c>
      <c r="H41">
        <v>29.1</v>
      </c>
      <c r="I41">
        <v>9.6999999999999993</v>
      </c>
      <c r="K41">
        <v>33</v>
      </c>
      <c r="L41">
        <f t="shared" si="0"/>
        <v>48</v>
      </c>
    </row>
    <row r="42" spans="1:12" x14ac:dyDescent="0.25">
      <c r="A42" t="s">
        <v>354</v>
      </c>
      <c r="B42" t="s">
        <v>355</v>
      </c>
      <c r="C42" t="s">
        <v>358</v>
      </c>
      <c r="D42">
        <v>3</v>
      </c>
      <c r="E42">
        <v>12</v>
      </c>
      <c r="F42">
        <v>90</v>
      </c>
      <c r="G42">
        <v>19</v>
      </c>
      <c r="H42">
        <v>29.1</v>
      </c>
      <c r="I42">
        <v>9.6999999999999993</v>
      </c>
      <c r="K42">
        <v>33</v>
      </c>
      <c r="L42">
        <f t="shared" si="0"/>
        <v>54</v>
      </c>
    </row>
    <row r="43" spans="1:12" x14ac:dyDescent="0.25">
      <c r="A43" t="s">
        <v>354</v>
      </c>
      <c r="B43" t="s">
        <v>355</v>
      </c>
      <c r="C43" t="s">
        <v>358</v>
      </c>
      <c r="D43">
        <v>3</v>
      </c>
      <c r="E43">
        <v>12</v>
      </c>
      <c r="F43">
        <v>100</v>
      </c>
      <c r="G43">
        <v>19</v>
      </c>
      <c r="H43">
        <v>29.1</v>
      </c>
      <c r="I43">
        <v>9.6999999999999993</v>
      </c>
      <c r="K43">
        <v>33</v>
      </c>
      <c r="L43">
        <f t="shared" si="0"/>
        <v>60</v>
      </c>
    </row>
    <row r="44" spans="1:12" x14ac:dyDescent="0.25">
      <c r="A44" t="s">
        <v>354</v>
      </c>
      <c r="B44" t="s">
        <v>355</v>
      </c>
      <c r="C44" t="s">
        <v>358</v>
      </c>
      <c r="D44">
        <v>3</v>
      </c>
      <c r="E44">
        <v>12</v>
      </c>
      <c r="F44">
        <v>120</v>
      </c>
      <c r="G44">
        <v>19</v>
      </c>
      <c r="H44">
        <v>29.1</v>
      </c>
      <c r="I44">
        <v>9.6999999999999993</v>
      </c>
      <c r="K44">
        <v>33</v>
      </c>
      <c r="L44">
        <f t="shared" si="0"/>
        <v>72</v>
      </c>
    </row>
    <row r="45" spans="1:12" x14ac:dyDescent="0.25">
      <c r="A45" t="s">
        <v>354</v>
      </c>
      <c r="B45" t="s">
        <v>355</v>
      </c>
      <c r="C45" t="s">
        <v>358</v>
      </c>
      <c r="D45">
        <v>3</v>
      </c>
      <c r="E45">
        <v>12</v>
      </c>
      <c r="F45">
        <v>140</v>
      </c>
      <c r="G45">
        <v>19</v>
      </c>
      <c r="H45">
        <v>29.1</v>
      </c>
      <c r="I45">
        <v>9.6999999999999993</v>
      </c>
      <c r="K45">
        <v>33</v>
      </c>
      <c r="L45">
        <f t="shared" si="0"/>
        <v>84</v>
      </c>
    </row>
    <row r="46" spans="1:12" x14ac:dyDescent="0.25">
      <c r="A46" t="s">
        <v>354</v>
      </c>
      <c r="B46" t="s">
        <v>355</v>
      </c>
      <c r="C46" t="s">
        <v>358</v>
      </c>
      <c r="D46">
        <v>3</v>
      </c>
      <c r="E46">
        <v>12</v>
      </c>
      <c r="F46">
        <v>150</v>
      </c>
      <c r="G46">
        <v>19</v>
      </c>
      <c r="H46">
        <v>29.1</v>
      </c>
      <c r="I46">
        <v>9.6999999999999993</v>
      </c>
      <c r="K46">
        <v>33</v>
      </c>
      <c r="L46">
        <f t="shared" si="0"/>
        <v>90</v>
      </c>
    </row>
    <row r="47" spans="1:12" x14ac:dyDescent="0.25">
      <c r="A47" t="s">
        <v>354</v>
      </c>
      <c r="B47" t="s">
        <v>355</v>
      </c>
      <c r="C47" t="s">
        <v>358</v>
      </c>
      <c r="D47">
        <v>3</v>
      </c>
      <c r="E47">
        <v>12</v>
      </c>
      <c r="F47">
        <v>160</v>
      </c>
      <c r="G47">
        <v>19</v>
      </c>
      <c r="H47">
        <v>29.1</v>
      </c>
      <c r="I47">
        <v>9.6999999999999993</v>
      </c>
      <c r="K47">
        <v>33</v>
      </c>
      <c r="L47">
        <f t="shared" si="0"/>
        <v>96</v>
      </c>
    </row>
    <row r="48" spans="1:12" x14ac:dyDescent="0.25">
      <c r="A48" t="s">
        <v>354</v>
      </c>
      <c r="B48" t="s">
        <v>355</v>
      </c>
      <c r="C48" t="s">
        <v>358</v>
      </c>
      <c r="D48">
        <v>3</v>
      </c>
      <c r="E48">
        <v>12</v>
      </c>
      <c r="F48">
        <v>180</v>
      </c>
      <c r="G48">
        <v>19</v>
      </c>
      <c r="H48">
        <v>29.1</v>
      </c>
      <c r="I48">
        <v>9.6999999999999993</v>
      </c>
      <c r="K48">
        <v>33</v>
      </c>
      <c r="L48">
        <f t="shared" si="0"/>
        <v>108</v>
      </c>
    </row>
    <row r="49" spans="1:12" x14ac:dyDescent="0.25">
      <c r="A49" t="s">
        <v>354</v>
      </c>
      <c r="B49" t="s">
        <v>355</v>
      </c>
      <c r="C49" t="s">
        <v>358</v>
      </c>
      <c r="D49">
        <v>3</v>
      </c>
      <c r="E49">
        <v>12</v>
      </c>
      <c r="F49">
        <v>200</v>
      </c>
      <c r="G49">
        <v>19</v>
      </c>
      <c r="H49">
        <v>29.1</v>
      </c>
      <c r="I49">
        <v>9.6999999999999993</v>
      </c>
      <c r="K49">
        <v>33</v>
      </c>
      <c r="L49">
        <f t="shared" si="0"/>
        <v>120</v>
      </c>
    </row>
    <row r="50" spans="1:12" x14ac:dyDescent="0.25">
      <c r="A50" t="s">
        <v>354</v>
      </c>
      <c r="B50" t="s">
        <v>355</v>
      </c>
      <c r="C50" t="s">
        <v>358</v>
      </c>
      <c r="D50">
        <v>3</v>
      </c>
      <c r="E50">
        <v>12</v>
      </c>
      <c r="F50">
        <v>220</v>
      </c>
      <c r="G50">
        <v>19</v>
      </c>
      <c r="H50">
        <v>29.1</v>
      </c>
      <c r="I50">
        <v>9.6999999999999993</v>
      </c>
      <c r="K50">
        <v>33</v>
      </c>
      <c r="L50">
        <f t="shared" si="0"/>
        <v>132</v>
      </c>
    </row>
    <row r="51" spans="1:12" x14ac:dyDescent="0.25">
      <c r="A51" t="s">
        <v>354</v>
      </c>
      <c r="B51" t="s">
        <v>355</v>
      </c>
      <c r="C51" t="s">
        <v>358</v>
      </c>
      <c r="D51">
        <v>3</v>
      </c>
      <c r="E51">
        <v>12</v>
      </c>
      <c r="F51">
        <v>240</v>
      </c>
      <c r="G51">
        <v>19</v>
      </c>
      <c r="H51">
        <v>29.1</v>
      </c>
      <c r="I51">
        <v>9.6999999999999993</v>
      </c>
      <c r="K51">
        <v>33</v>
      </c>
      <c r="L51">
        <f t="shared" si="0"/>
        <v>144</v>
      </c>
    </row>
    <row r="52" spans="1:12" x14ac:dyDescent="0.25">
      <c r="A52" t="s">
        <v>354</v>
      </c>
      <c r="B52" t="s">
        <v>355</v>
      </c>
      <c r="C52" t="s">
        <v>358</v>
      </c>
      <c r="D52">
        <v>3</v>
      </c>
      <c r="E52">
        <v>12</v>
      </c>
      <c r="F52">
        <v>280</v>
      </c>
      <c r="G52">
        <v>19</v>
      </c>
      <c r="H52">
        <v>29.1</v>
      </c>
      <c r="I52">
        <v>9.6999999999999993</v>
      </c>
      <c r="K52">
        <v>33</v>
      </c>
      <c r="L52">
        <f t="shared" si="0"/>
        <v>168</v>
      </c>
    </row>
    <row r="53" spans="1:12" x14ac:dyDescent="0.25">
      <c r="A53" t="s">
        <v>354</v>
      </c>
      <c r="B53" t="s">
        <v>355</v>
      </c>
      <c r="C53" t="s">
        <v>358</v>
      </c>
      <c r="D53">
        <v>3</v>
      </c>
      <c r="E53">
        <v>12</v>
      </c>
      <c r="F53">
        <v>300</v>
      </c>
      <c r="G53">
        <v>19</v>
      </c>
      <c r="H53">
        <v>29.1</v>
      </c>
      <c r="I53">
        <v>9.6999999999999993</v>
      </c>
      <c r="K53">
        <v>33</v>
      </c>
      <c r="L53">
        <f t="shared" si="0"/>
        <v>180</v>
      </c>
    </row>
    <row r="54" spans="1:12" x14ac:dyDescent="0.25">
      <c r="A54" t="s">
        <v>354</v>
      </c>
      <c r="B54" t="s">
        <v>355</v>
      </c>
      <c r="C54" t="s">
        <v>358</v>
      </c>
      <c r="D54">
        <v>3</v>
      </c>
      <c r="E54">
        <v>16</v>
      </c>
      <c r="F54">
        <v>80</v>
      </c>
      <c r="G54">
        <v>24</v>
      </c>
      <c r="H54">
        <v>61.6</v>
      </c>
      <c r="I54">
        <v>8.4</v>
      </c>
      <c r="K54">
        <v>51</v>
      </c>
      <c r="L54">
        <f t="shared" si="0"/>
        <v>48</v>
      </c>
    </row>
    <row r="55" spans="1:12" x14ac:dyDescent="0.25">
      <c r="A55" t="s">
        <v>354</v>
      </c>
      <c r="B55" t="s">
        <v>355</v>
      </c>
      <c r="C55" t="s">
        <v>358</v>
      </c>
      <c r="D55">
        <v>3</v>
      </c>
      <c r="E55">
        <v>16</v>
      </c>
      <c r="F55">
        <v>100</v>
      </c>
      <c r="G55">
        <v>24</v>
      </c>
      <c r="H55">
        <v>61.6</v>
      </c>
      <c r="I55">
        <v>8.4</v>
      </c>
      <c r="K55">
        <v>51</v>
      </c>
      <c r="L55">
        <f t="shared" si="0"/>
        <v>60</v>
      </c>
    </row>
    <row r="56" spans="1:12" x14ac:dyDescent="0.25">
      <c r="A56" t="s">
        <v>354</v>
      </c>
      <c r="B56" t="s">
        <v>355</v>
      </c>
      <c r="C56" t="s">
        <v>358</v>
      </c>
      <c r="D56">
        <v>3</v>
      </c>
      <c r="E56">
        <v>16</v>
      </c>
      <c r="F56">
        <v>120</v>
      </c>
      <c r="G56">
        <v>24</v>
      </c>
      <c r="H56">
        <v>61.6</v>
      </c>
      <c r="I56">
        <v>8.4</v>
      </c>
      <c r="K56">
        <v>51</v>
      </c>
      <c r="L56">
        <f t="shared" si="0"/>
        <v>72</v>
      </c>
    </row>
    <row r="57" spans="1:12" x14ac:dyDescent="0.25">
      <c r="A57" t="s">
        <v>354</v>
      </c>
      <c r="B57" t="s">
        <v>355</v>
      </c>
      <c r="C57" t="s">
        <v>358</v>
      </c>
      <c r="D57">
        <v>3</v>
      </c>
      <c r="E57">
        <v>16</v>
      </c>
      <c r="F57">
        <v>140</v>
      </c>
      <c r="G57">
        <v>24</v>
      </c>
      <c r="H57">
        <v>61.6</v>
      </c>
      <c r="I57">
        <v>8.4</v>
      </c>
      <c r="K57">
        <v>51</v>
      </c>
      <c r="L57">
        <f t="shared" si="0"/>
        <v>84</v>
      </c>
    </row>
    <row r="58" spans="1:12" x14ac:dyDescent="0.25">
      <c r="A58" t="s">
        <v>354</v>
      </c>
      <c r="B58" t="s">
        <v>355</v>
      </c>
      <c r="C58" t="s">
        <v>358</v>
      </c>
      <c r="D58">
        <v>3</v>
      </c>
      <c r="E58">
        <v>16</v>
      </c>
      <c r="F58">
        <v>160</v>
      </c>
      <c r="G58">
        <v>24</v>
      </c>
      <c r="H58">
        <v>61.6</v>
      </c>
      <c r="I58">
        <v>8.4</v>
      </c>
      <c r="K58">
        <v>51</v>
      </c>
      <c r="L58">
        <f t="shared" si="0"/>
        <v>96</v>
      </c>
    </row>
    <row r="59" spans="1:12" x14ac:dyDescent="0.25">
      <c r="A59" t="s">
        <v>354</v>
      </c>
      <c r="B59" t="s">
        <v>355</v>
      </c>
      <c r="C59" t="s">
        <v>358</v>
      </c>
      <c r="D59">
        <v>3</v>
      </c>
      <c r="E59">
        <v>16</v>
      </c>
      <c r="F59">
        <v>200</v>
      </c>
      <c r="G59">
        <v>24</v>
      </c>
      <c r="H59">
        <v>61.6</v>
      </c>
      <c r="I59">
        <v>8.4</v>
      </c>
      <c r="K59">
        <v>51</v>
      </c>
      <c r="L59">
        <f t="shared" si="0"/>
        <v>120</v>
      </c>
    </row>
    <row r="60" spans="1:12" x14ac:dyDescent="0.25">
      <c r="A60" t="s">
        <v>354</v>
      </c>
      <c r="B60" t="s">
        <v>355</v>
      </c>
      <c r="C60" t="s">
        <v>358</v>
      </c>
      <c r="D60">
        <v>3</v>
      </c>
      <c r="E60">
        <v>16</v>
      </c>
      <c r="F60">
        <v>220</v>
      </c>
      <c r="G60">
        <v>24</v>
      </c>
      <c r="H60">
        <v>61.6</v>
      </c>
      <c r="I60">
        <v>8.4</v>
      </c>
      <c r="K60">
        <v>51</v>
      </c>
      <c r="L60">
        <f t="shared" si="0"/>
        <v>132</v>
      </c>
    </row>
    <row r="61" spans="1:12" x14ac:dyDescent="0.25">
      <c r="A61" t="s">
        <v>354</v>
      </c>
      <c r="B61" t="s">
        <v>355</v>
      </c>
      <c r="C61" t="s">
        <v>358</v>
      </c>
      <c r="D61">
        <v>3</v>
      </c>
      <c r="E61">
        <v>16</v>
      </c>
      <c r="F61">
        <v>260</v>
      </c>
      <c r="G61">
        <v>24</v>
      </c>
      <c r="H61">
        <v>61.6</v>
      </c>
      <c r="I61">
        <v>8.4</v>
      </c>
      <c r="K61">
        <v>51</v>
      </c>
      <c r="L61">
        <f t="shared" si="0"/>
        <v>156</v>
      </c>
    </row>
    <row r="62" spans="1:12" x14ac:dyDescent="0.25">
      <c r="A62" t="s">
        <v>354</v>
      </c>
      <c r="B62" t="s">
        <v>355</v>
      </c>
      <c r="C62" t="s">
        <v>358</v>
      </c>
      <c r="D62">
        <v>3</v>
      </c>
      <c r="E62">
        <v>16</v>
      </c>
      <c r="F62">
        <v>300</v>
      </c>
      <c r="G62">
        <v>24</v>
      </c>
      <c r="H62">
        <v>61.6</v>
      </c>
      <c r="I62">
        <v>8.4</v>
      </c>
      <c r="K62">
        <v>51</v>
      </c>
      <c r="L62">
        <f t="shared" si="0"/>
        <v>180</v>
      </c>
    </row>
    <row r="63" spans="1:12" x14ac:dyDescent="0.25">
      <c r="A63" t="s">
        <v>354</v>
      </c>
      <c r="B63" t="s">
        <v>356</v>
      </c>
      <c r="C63" t="s">
        <v>359</v>
      </c>
      <c r="D63">
        <v>2</v>
      </c>
      <c r="E63">
        <v>5</v>
      </c>
      <c r="F63">
        <v>30</v>
      </c>
      <c r="G63">
        <v>8</v>
      </c>
      <c r="H63">
        <v>5.984</v>
      </c>
      <c r="I63">
        <v>9.31</v>
      </c>
      <c r="J63">
        <v>26.42</v>
      </c>
      <c r="K63">
        <v>5.2</v>
      </c>
      <c r="L63">
        <f t="shared" si="0"/>
        <v>18</v>
      </c>
    </row>
    <row r="64" spans="1:12" x14ac:dyDescent="0.25">
      <c r="A64" t="s">
        <v>354</v>
      </c>
      <c r="B64" t="s">
        <v>356</v>
      </c>
      <c r="C64" t="s">
        <v>359</v>
      </c>
      <c r="D64">
        <v>2</v>
      </c>
      <c r="E64">
        <v>6</v>
      </c>
      <c r="G64">
        <v>10</v>
      </c>
      <c r="H64">
        <v>10.749000000000001</v>
      </c>
      <c r="I64">
        <v>7.73</v>
      </c>
      <c r="J64">
        <v>24.9</v>
      </c>
      <c r="K64">
        <v>7.4</v>
      </c>
    </row>
    <row r="65" spans="1:11" x14ac:dyDescent="0.25">
      <c r="A65" t="s">
        <v>354</v>
      </c>
      <c r="B65" t="s">
        <v>356</v>
      </c>
      <c r="C65" t="s">
        <v>359</v>
      </c>
      <c r="D65">
        <v>2</v>
      </c>
      <c r="E65">
        <v>7</v>
      </c>
      <c r="G65">
        <v>12</v>
      </c>
      <c r="H65">
        <v>18.047000000000001</v>
      </c>
      <c r="I65">
        <v>10.33</v>
      </c>
      <c r="J65">
        <v>24.74</v>
      </c>
      <c r="K65">
        <v>9.1</v>
      </c>
    </row>
    <row r="66" spans="1:11" x14ac:dyDescent="0.25">
      <c r="A66" t="s">
        <v>354</v>
      </c>
      <c r="B66" t="s">
        <v>356</v>
      </c>
      <c r="C66" t="s">
        <v>359</v>
      </c>
      <c r="D66">
        <v>2</v>
      </c>
      <c r="E66">
        <v>8</v>
      </c>
      <c r="G66">
        <v>13</v>
      </c>
      <c r="H66">
        <v>24.131</v>
      </c>
      <c r="I66">
        <v>6.72</v>
      </c>
      <c r="J66">
        <v>22.55</v>
      </c>
      <c r="K66">
        <v>11.8</v>
      </c>
    </row>
    <row r="67" spans="1:11" x14ac:dyDescent="0.25">
      <c r="A67" t="s">
        <v>354</v>
      </c>
      <c r="B67" t="s">
        <v>356</v>
      </c>
      <c r="C67" t="s">
        <v>359</v>
      </c>
      <c r="D67">
        <v>2</v>
      </c>
      <c r="E67">
        <v>10</v>
      </c>
      <c r="G67">
        <v>17</v>
      </c>
      <c r="H67">
        <v>49.055999999999997</v>
      </c>
      <c r="I67">
        <v>6.71</v>
      </c>
      <c r="J67">
        <v>21.37</v>
      </c>
      <c r="K67">
        <v>18.899999999999999</v>
      </c>
    </row>
    <row r="68" spans="1:11" x14ac:dyDescent="0.25">
      <c r="A68" t="s">
        <v>354</v>
      </c>
      <c r="B68" t="s">
        <v>356</v>
      </c>
      <c r="C68" t="s">
        <v>359</v>
      </c>
      <c r="D68">
        <v>2</v>
      </c>
      <c r="E68">
        <v>12</v>
      </c>
      <c r="G68">
        <v>19</v>
      </c>
      <c r="H68">
        <v>81.096000000000004</v>
      </c>
      <c r="I68">
        <v>7.62</v>
      </c>
      <c r="J68">
        <v>20.149999999999999</v>
      </c>
      <c r="K68">
        <v>34.200000000000003</v>
      </c>
    </row>
    <row r="69" spans="1:11" x14ac:dyDescent="0.25">
      <c r="A69" t="s">
        <v>354</v>
      </c>
      <c r="B69" t="s">
        <v>356</v>
      </c>
      <c r="C69" t="s">
        <v>359</v>
      </c>
      <c r="D69">
        <v>2</v>
      </c>
      <c r="E69">
        <v>14</v>
      </c>
      <c r="G69">
        <v>22</v>
      </c>
      <c r="H69">
        <v>129.19800000000001</v>
      </c>
      <c r="I69">
        <v>7.05</v>
      </c>
      <c r="J69">
        <v>20.23</v>
      </c>
      <c r="K69">
        <v>45.2</v>
      </c>
    </row>
    <row r="70" spans="1:11" x14ac:dyDescent="0.25">
      <c r="A70" t="s">
        <v>354</v>
      </c>
      <c r="B70" t="s">
        <v>357</v>
      </c>
      <c r="C70" t="s">
        <v>359</v>
      </c>
      <c r="D70">
        <v>3</v>
      </c>
      <c r="E70">
        <v>6</v>
      </c>
      <c r="G70">
        <v>10</v>
      </c>
      <c r="H70">
        <v>14.18</v>
      </c>
      <c r="I70">
        <v>13.24</v>
      </c>
      <c r="J70">
        <v>24.77</v>
      </c>
      <c r="K70">
        <v>12.81</v>
      </c>
    </row>
    <row r="71" spans="1:11" x14ac:dyDescent="0.25">
      <c r="A71" t="s">
        <v>354</v>
      </c>
      <c r="B71" t="s">
        <v>357</v>
      </c>
      <c r="C71" t="s">
        <v>359</v>
      </c>
      <c r="D71">
        <v>3</v>
      </c>
      <c r="E71">
        <v>8</v>
      </c>
      <c r="G71">
        <v>13</v>
      </c>
      <c r="H71">
        <v>29.081</v>
      </c>
      <c r="I71">
        <v>12.43</v>
      </c>
      <c r="J71">
        <v>22.25</v>
      </c>
      <c r="K71">
        <v>18.55</v>
      </c>
    </row>
    <row r="72" spans="1:11" x14ac:dyDescent="0.25">
      <c r="A72" t="s">
        <v>354</v>
      </c>
      <c r="B72" t="s">
        <v>357</v>
      </c>
      <c r="C72" t="s">
        <v>359</v>
      </c>
      <c r="D72">
        <v>3</v>
      </c>
      <c r="E72">
        <v>10</v>
      </c>
      <c r="G72">
        <v>17</v>
      </c>
      <c r="H72">
        <v>41.347999999999999</v>
      </c>
      <c r="I72">
        <v>12.23</v>
      </c>
      <c r="J72">
        <v>20.76</v>
      </c>
      <c r="K72">
        <v>30.12</v>
      </c>
    </row>
    <row r="242" spans="25:25" x14ac:dyDescent="0.25">
      <c r="Y242">
        <v>100</v>
      </c>
    </row>
    <row r="243" spans="25:25" x14ac:dyDescent="0.25">
      <c r="Y243">
        <v>100</v>
      </c>
    </row>
    <row r="244" spans="25:25" x14ac:dyDescent="0.25">
      <c r="Y244">
        <v>100</v>
      </c>
    </row>
    <row r="245" spans="25:25" x14ac:dyDescent="0.25">
      <c r="Y245">
        <v>100</v>
      </c>
    </row>
    <row r="246" spans="25:25" x14ac:dyDescent="0.25">
      <c r="Y246">
        <v>100</v>
      </c>
    </row>
    <row r="247" spans="25:25" x14ac:dyDescent="0.25">
      <c r="Y247">
        <v>100</v>
      </c>
    </row>
    <row r="248" spans="25:25" x14ac:dyDescent="0.25">
      <c r="Y248">
        <v>50</v>
      </c>
    </row>
    <row r="249" spans="25:25" x14ac:dyDescent="0.25">
      <c r="Y249">
        <v>50</v>
      </c>
    </row>
    <row r="250" spans="25:25" x14ac:dyDescent="0.25">
      <c r="Y250">
        <v>50</v>
      </c>
    </row>
    <row r="251" spans="25:25" x14ac:dyDescent="0.25">
      <c r="Y251">
        <v>50</v>
      </c>
    </row>
    <row r="252" spans="25:25" x14ac:dyDescent="0.25">
      <c r="Y252">
        <v>50</v>
      </c>
    </row>
    <row r="253" spans="25:25" x14ac:dyDescent="0.25">
      <c r="Y253">
        <v>50</v>
      </c>
    </row>
    <row r="254" spans="25:25" x14ac:dyDescent="0.25">
      <c r="Y254">
        <v>50</v>
      </c>
    </row>
    <row r="255" spans="25:25" x14ac:dyDescent="0.25">
      <c r="Y255">
        <v>50</v>
      </c>
    </row>
    <row r="256" spans="25:25" x14ac:dyDescent="0.25">
      <c r="Y256">
        <v>50</v>
      </c>
    </row>
    <row r="257" spans="25:25" x14ac:dyDescent="0.25">
      <c r="Y257">
        <v>50</v>
      </c>
    </row>
    <row r="258" spans="25:25" x14ac:dyDescent="0.25">
      <c r="Y258">
        <v>50</v>
      </c>
    </row>
    <row r="259" spans="25:25" x14ac:dyDescent="0.25">
      <c r="Y259">
        <v>50</v>
      </c>
    </row>
    <row r="260" spans="25:25" x14ac:dyDescent="0.25">
      <c r="Y260">
        <v>50</v>
      </c>
    </row>
    <row r="261" spans="25:25" x14ac:dyDescent="0.25">
      <c r="Y261">
        <v>50</v>
      </c>
    </row>
    <row r="262" spans="25:25" x14ac:dyDescent="0.25">
      <c r="Y262">
        <v>50</v>
      </c>
    </row>
    <row r="263" spans="25:25" x14ac:dyDescent="0.25">
      <c r="Y263">
        <v>50</v>
      </c>
    </row>
    <row r="264" spans="25:25" x14ac:dyDescent="0.25">
      <c r="Y264">
        <v>50</v>
      </c>
    </row>
    <row r="265" spans="25:25" x14ac:dyDescent="0.25">
      <c r="Y265">
        <v>50</v>
      </c>
    </row>
    <row r="266" spans="25:25" x14ac:dyDescent="0.25">
      <c r="Y266">
        <v>25</v>
      </c>
    </row>
    <row r="267" spans="25:25" x14ac:dyDescent="0.25">
      <c r="Y267">
        <v>25</v>
      </c>
    </row>
    <row r="268" spans="25:25" x14ac:dyDescent="0.25">
      <c r="Y268">
        <v>25</v>
      </c>
    </row>
    <row r="269" spans="25:25" x14ac:dyDescent="0.25">
      <c r="Y269">
        <v>25</v>
      </c>
    </row>
    <row r="270" spans="25:25" x14ac:dyDescent="0.25">
      <c r="Y270">
        <v>25</v>
      </c>
    </row>
    <row r="271" spans="25:25" x14ac:dyDescent="0.25">
      <c r="Y271">
        <v>25</v>
      </c>
    </row>
    <row r="272" spans="25:25" x14ac:dyDescent="0.25">
      <c r="Y272">
        <v>25</v>
      </c>
    </row>
    <row r="273" spans="25:25" x14ac:dyDescent="0.25">
      <c r="Y273">
        <v>25</v>
      </c>
    </row>
    <row r="274" spans="25:25" x14ac:dyDescent="0.25">
      <c r="Y274">
        <v>25</v>
      </c>
    </row>
  </sheetData>
  <autoFilter ref="A1:Y533" xr:uid="{00000000-0009-0000-0000-00000B000000}"/>
  <phoneticPr fontId="4" type="noConversion"/>
  <pageMargins left="0.7" right="0.7" top="0.75" bottom="0.75" header="0.3" footer="0.3"/>
  <pageSetup paperSize="9" orientation="portrait" horizontalDpi="30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30A0"/>
  </sheetPr>
  <dimension ref="A1:X156"/>
  <sheetViews>
    <sheetView tabSelected="1"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14.5703125" customWidth="1"/>
    <col min="3" max="3" width="34.85546875" bestFit="1" customWidth="1"/>
    <col min="4" max="4" width="12.42578125" customWidth="1"/>
  </cols>
  <sheetData>
    <row r="1" spans="1:15" s="76" customFormat="1" ht="39" customHeight="1" x14ac:dyDescent="0.25">
      <c r="A1" s="76" t="s">
        <v>424</v>
      </c>
      <c r="B1" s="76" t="s">
        <v>468</v>
      </c>
      <c r="C1" s="76" t="s">
        <v>470</v>
      </c>
      <c r="D1" s="76" t="s">
        <v>232</v>
      </c>
      <c r="E1" s="76" t="s">
        <v>18</v>
      </c>
      <c r="F1" s="76" t="s">
        <v>20</v>
      </c>
      <c r="G1" s="76" t="s">
        <v>22</v>
      </c>
      <c r="H1" s="76" t="s">
        <v>215</v>
      </c>
      <c r="I1" s="76" t="s">
        <v>214</v>
      </c>
      <c r="J1" s="76" t="s">
        <v>171</v>
      </c>
      <c r="K1" s="76" t="s">
        <v>172</v>
      </c>
      <c r="L1" s="76" t="s">
        <v>325</v>
      </c>
      <c r="M1" s="76" t="s">
        <v>326</v>
      </c>
      <c r="N1" s="76" t="s">
        <v>414</v>
      </c>
      <c r="O1" s="76" t="s">
        <v>471</v>
      </c>
    </row>
    <row r="2" spans="1:15" x14ac:dyDescent="0.25">
      <c r="A2" t="s">
        <v>193</v>
      </c>
      <c r="B2" t="s">
        <v>212</v>
      </c>
      <c r="C2" t="s">
        <v>350</v>
      </c>
      <c r="D2">
        <v>2</v>
      </c>
      <c r="E2">
        <v>20</v>
      </c>
      <c r="F2">
        <v>1000</v>
      </c>
      <c r="G2">
        <v>20</v>
      </c>
      <c r="H2">
        <v>340</v>
      </c>
      <c r="I2">
        <v>0</v>
      </c>
      <c r="J2">
        <v>0</v>
      </c>
      <c r="K2">
        <v>0</v>
      </c>
    </row>
    <row r="3" spans="1:15" x14ac:dyDescent="0.25">
      <c r="A3" t="s">
        <v>193</v>
      </c>
      <c r="B3" t="s">
        <v>212</v>
      </c>
      <c r="C3" t="s">
        <v>350</v>
      </c>
      <c r="D3">
        <v>2</v>
      </c>
      <c r="E3">
        <v>20</v>
      </c>
      <c r="F3">
        <v>400</v>
      </c>
      <c r="G3">
        <v>20</v>
      </c>
      <c r="H3">
        <v>340</v>
      </c>
      <c r="I3">
        <v>0</v>
      </c>
      <c r="J3">
        <v>0</v>
      </c>
      <c r="K3">
        <v>0</v>
      </c>
    </row>
    <row r="4" spans="1:15" x14ac:dyDescent="0.25">
      <c r="A4" t="s">
        <v>193</v>
      </c>
      <c r="B4" t="s">
        <v>212</v>
      </c>
      <c r="C4" t="s">
        <v>350</v>
      </c>
      <c r="D4">
        <v>2</v>
      </c>
      <c r="E4">
        <v>20</v>
      </c>
      <c r="F4">
        <v>360</v>
      </c>
      <c r="G4">
        <v>20</v>
      </c>
      <c r="H4">
        <v>340</v>
      </c>
      <c r="I4">
        <v>0</v>
      </c>
      <c r="J4">
        <v>0</v>
      </c>
      <c r="K4">
        <v>0</v>
      </c>
    </row>
    <row r="5" spans="1:15" x14ac:dyDescent="0.25">
      <c r="A5" t="s">
        <v>193</v>
      </c>
      <c r="B5" t="s">
        <v>212</v>
      </c>
      <c r="C5" t="s">
        <v>350</v>
      </c>
      <c r="D5">
        <v>2</v>
      </c>
      <c r="E5">
        <v>20</v>
      </c>
      <c r="F5">
        <v>320</v>
      </c>
      <c r="G5">
        <v>20</v>
      </c>
      <c r="H5">
        <v>340</v>
      </c>
      <c r="I5">
        <v>0</v>
      </c>
      <c r="J5">
        <v>0</v>
      </c>
      <c r="K5">
        <v>0</v>
      </c>
    </row>
    <row r="6" spans="1:15" x14ac:dyDescent="0.25">
      <c r="A6" t="s">
        <v>193</v>
      </c>
      <c r="B6" t="s">
        <v>212</v>
      </c>
      <c r="C6" t="s">
        <v>350</v>
      </c>
      <c r="D6">
        <v>2</v>
      </c>
      <c r="E6">
        <v>20</v>
      </c>
      <c r="F6">
        <v>300</v>
      </c>
      <c r="G6">
        <v>20</v>
      </c>
      <c r="H6">
        <v>340</v>
      </c>
      <c r="I6">
        <v>0</v>
      </c>
      <c r="J6">
        <v>0</v>
      </c>
      <c r="K6">
        <v>0</v>
      </c>
    </row>
    <row r="7" spans="1:15" x14ac:dyDescent="0.25">
      <c r="A7" t="s">
        <v>193</v>
      </c>
      <c r="B7" t="s">
        <v>212</v>
      </c>
      <c r="C7" t="s">
        <v>350</v>
      </c>
      <c r="D7">
        <v>2</v>
      </c>
      <c r="E7">
        <v>20</v>
      </c>
      <c r="F7">
        <v>280</v>
      </c>
      <c r="G7">
        <v>20</v>
      </c>
      <c r="H7">
        <v>340</v>
      </c>
      <c r="I7">
        <v>0</v>
      </c>
      <c r="J7">
        <v>0</v>
      </c>
      <c r="K7">
        <v>0</v>
      </c>
    </row>
    <row r="8" spans="1:15" x14ac:dyDescent="0.25">
      <c r="A8" t="s">
        <v>193</v>
      </c>
      <c r="B8" t="s">
        <v>212</v>
      </c>
      <c r="C8" t="s">
        <v>350</v>
      </c>
      <c r="D8">
        <v>2</v>
      </c>
      <c r="E8">
        <v>20</v>
      </c>
      <c r="F8">
        <v>260</v>
      </c>
      <c r="G8">
        <v>20</v>
      </c>
      <c r="H8">
        <v>340</v>
      </c>
      <c r="I8">
        <v>0</v>
      </c>
      <c r="J8">
        <v>0</v>
      </c>
      <c r="K8">
        <v>0</v>
      </c>
    </row>
    <row r="9" spans="1:15" x14ac:dyDescent="0.25">
      <c r="A9" t="s">
        <v>193</v>
      </c>
      <c r="B9" t="s">
        <v>212</v>
      </c>
      <c r="C9" t="s">
        <v>350</v>
      </c>
      <c r="D9">
        <v>2</v>
      </c>
      <c r="E9">
        <v>20</v>
      </c>
      <c r="F9">
        <v>240</v>
      </c>
      <c r="G9">
        <v>20</v>
      </c>
      <c r="H9">
        <v>340</v>
      </c>
      <c r="I9">
        <v>0</v>
      </c>
      <c r="J9">
        <v>0</v>
      </c>
      <c r="K9">
        <v>0</v>
      </c>
    </row>
    <row r="10" spans="1:15" x14ac:dyDescent="0.25">
      <c r="A10" t="s">
        <v>193</v>
      </c>
      <c r="B10" t="s">
        <v>212</v>
      </c>
      <c r="C10" t="s">
        <v>350</v>
      </c>
      <c r="D10">
        <v>2</v>
      </c>
      <c r="E10">
        <v>20</v>
      </c>
      <c r="F10">
        <v>220</v>
      </c>
      <c r="G10">
        <v>20</v>
      </c>
      <c r="H10">
        <v>340</v>
      </c>
      <c r="I10">
        <v>0</v>
      </c>
      <c r="J10">
        <v>0</v>
      </c>
      <c r="K10">
        <v>0</v>
      </c>
    </row>
    <row r="11" spans="1:15" x14ac:dyDescent="0.25">
      <c r="A11" t="s">
        <v>193</v>
      </c>
      <c r="B11" t="s">
        <v>212</v>
      </c>
      <c r="C11" t="s">
        <v>350</v>
      </c>
      <c r="D11">
        <v>2</v>
      </c>
      <c r="E11">
        <v>20</v>
      </c>
      <c r="F11">
        <v>200</v>
      </c>
      <c r="G11">
        <v>20</v>
      </c>
      <c r="H11">
        <v>340</v>
      </c>
      <c r="I11">
        <v>0</v>
      </c>
      <c r="J11">
        <v>0</v>
      </c>
      <c r="K11">
        <v>0</v>
      </c>
    </row>
    <row r="12" spans="1:15" x14ac:dyDescent="0.25">
      <c r="A12" t="s">
        <v>193</v>
      </c>
      <c r="B12" t="s">
        <v>212</v>
      </c>
      <c r="C12" t="s">
        <v>350</v>
      </c>
      <c r="D12">
        <v>2</v>
      </c>
      <c r="E12">
        <v>20</v>
      </c>
      <c r="F12">
        <v>190</v>
      </c>
      <c r="G12">
        <v>20</v>
      </c>
      <c r="H12">
        <v>340</v>
      </c>
      <c r="I12">
        <v>0</v>
      </c>
      <c r="J12">
        <v>0</v>
      </c>
      <c r="K12">
        <v>0</v>
      </c>
    </row>
    <row r="13" spans="1:15" x14ac:dyDescent="0.25">
      <c r="A13" t="s">
        <v>193</v>
      </c>
      <c r="B13" t="s">
        <v>212</v>
      </c>
      <c r="C13" t="s">
        <v>350</v>
      </c>
      <c r="D13">
        <v>2</v>
      </c>
      <c r="E13">
        <v>20</v>
      </c>
      <c r="F13">
        <v>180</v>
      </c>
      <c r="G13">
        <v>20</v>
      </c>
      <c r="H13">
        <v>340</v>
      </c>
      <c r="I13">
        <v>0</v>
      </c>
      <c r="J13">
        <v>0</v>
      </c>
      <c r="K13">
        <v>0</v>
      </c>
    </row>
    <row r="14" spans="1:15" x14ac:dyDescent="0.25">
      <c r="A14" t="s">
        <v>193</v>
      </c>
      <c r="B14" t="s">
        <v>212</v>
      </c>
      <c r="C14" t="s">
        <v>350</v>
      </c>
      <c r="D14">
        <v>2</v>
      </c>
      <c r="E14">
        <v>20</v>
      </c>
      <c r="F14">
        <v>160</v>
      </c>
      <c r="G14">
        <v>20</v>
      </c>
      <c r="H14">
        <v>340</v>
      </c>
      <c r="I14">
        <v>0</v>
      </c>
      <c r="J14">
        <v>0</v>
      </c>
      <c r="K14">
        <v>0</v>
      </c>
    </row>
    <row r="15" spans="1:15" x14ac:dyDescent="0.25">
      <c r="A15" t="s">
        <v>193</v>
      </c>
      <c r="B15" t="s">
        <v>212</v>
      </c>
      <c r="C15" t="s">
        <v>350</v>
      </c>
      <c r="D15">
        <v>2</v>
      </c>
      <c r="E15">
        <v>20</v>
      </c>
      <c r="F15">
        <v>140</v>
      </c>
      <c r="G15">
        <v>20</v>
      </c>
      <c r="H15">
        <v>340</v>
      </c>
      <c r="I15">
        <v>0</v>
      </c>
      <c r="J15">
        <v>0</v>
      </c>
      <c r="K15">
        <v>0</v>
      </c>
    </row>
    <row r="16" spans="1:15" x14ac:dyDescent="0.25">
      <c r="A16" t="s">
        <v>193</v>
      </c>
      <c r="B16" t="s">
        <v>212</v>
      </c>
      <c r="C16" t="s">
        <v>350</v>
      </c>
      <c r="D16">
        <v>2</v>
      </c>
      <c r="E16">
        <v>20</v>
      </c>
      <c r="F16">
        <v>120</v>
      </c>
      <c r="G16">
        <v>20</v>
      </c>
      <c r="H16">
        <v>340</v>
      </c>
      <c r="I16">
        <v>0</v>
      </c>
      <c r="J16">
        <v>0</v>
      </c>
      <c r="K16">
        <v>0</v>
      </c>
    </row>
    <row r="17" spans="1:11" x14ac:dyDescent="0.25">
      <c r="A17" t="s">
        <v>193</v>
      </c>
      <c r="B17" t="s">
        <v>212</v>
      </c>
      <c r="C17" t="s">
        <v>350</v>
      </c>
      <c r="D17">
        <v>2</v>
      </c>
      <c r="E17">
        <v>16</v>
      </c>
      <c r="F17">
        <v>1000</v>
      </c>
      <c r="G17">
        <v>16</v>
      </c>
      <c r="H17">
        <v>191</v>
      </c>
      <c r="I17">
        <v>0</v>
      </c>
      <c r="J17">
        <v>0</v>
      </c>
      <c r="K17">
        <v>0</v>
      </c>
    </row>
    <row r="18" spans="1:11" x14ac:dyDescent="0.25">
      <c r="A18" t="s">
        <v>193</v>
      </c>
      <c r="B18" t="s">
        <v>212</v>
      </c>
      <c r="C18" t="s">
        <v>350</v>
      </c>
      <c r="D18">
        <v>2</v>
      </c>
      <c r="E18">
        <v>16</v>
      </c>
      <c r="F18">
        <v>500</v>
      </c>
      <c r="G18">
        <v>16</v>
      </c>
      <c r="H18">
        <v>191</v>
      </c>
      <c r="I18">
        <v>0</v>
      </c>
      <c r="J18">
        <v>0</v>
      </c>
      <c r="K18">
        <v>0</v>
      </c>
    </row>
    <row r="19" spans="1:11" x14ac:dyDescent="0.25">
      <c r="A19" t="s">
        <v>193</v>
      </c>
      <c r="B19" t="s">
        <v>212</v>
      </c>
      <c r="C19" t="s">
        <v>350</v>
      </c>
      <c r="D19">
        <v>2</v>
      </c>
      <c r="E19">
        <v>16</v>
      </c>
      <c r="F19">
        <v>400</v>
      </c>
      <c r="G19">
        <v>16</v>
      </c>
      <c r="H19">
        <v>191</v>
      </c>
      <c r="I19">
        <v>0</v>
      </c>
      <c r="J19">
        <v>0</v>
      </c>
      <c r="K19">
        <v>0</v>
      </c>
    </row>
    <row r="20" spans="1:11" x14ac:dyDescent="0.25">
      <c r="A20" t="s">
        <v>193</v>
      </c>
      <c r="B20" t="s">
        <v>212</v>
      </c>
      <c r="C20" t="s">
        <v>350</v>
      </c>
      <c r="D20">
        <v>2</v>
      </c>
      <c r="E20">
        <v>16</v>
      </c>
      <c r="F20">
        <v>380</v>
      </c>
      <c r="G20">
        <v>16</v>
      </c>
      <c r="H20">
        <v>191</v>
      </c>
      <c r="I20">
        <v>0</v>
      </c>
      <c r="J20">
        <v>0</v>
      </c>
      <c r="K20">
        <v>0</v>
      </c>
    </row>
    <row r="21" spans="1:11" x14ac:dyDescent="0.25">
      <c r="A21" t="s">
        <v>193</v>
      </c>
      <c r="B21" t="s">
        <v>212</v>
      </c>
      <c r="C21" t="s">
        <v>350</v>
      </c>
      <c r="D21">
        <v>2</v>
      </c>
      <c r="E21">
        <v>16</v>
      </c>
      <c r="F21">
        <v>360</v>
      </c>
      <c r="G21">
        <v>16</v>
      </c>
      <c r="H21">
        <v>191</v>
      </c>
      <c r="I21">
        <v>0</v>
      </c>
      <c r="J21">
        <v>0</v>
      </c>
      <c r="K21">
        <v>0</v>
      </c>
    </row>
    <row r="22" spans="1:11" x14ac:dyDescent="0.25">
      <c r="A22" t="s">
        <v>193</v>
      </c>
      <c r="B22" t="s">
        <v>212</v>
      </c>
      <c r="C22" t="s">
        <v>350</v>
      </c>
      <c r="D22">
        <v>2</v>
      </c>
      <c r="E22">
        <v>16</v>
      </c>
      <c r="F22">
        <v>340</v>
      </c>
      <c r="G22">
        <v>16</v>
      </c>
      <c r="H22">
        <v>191</v>
      </c>
      <c r="I22">
        <v>0</v>
      </c>
      <c r="J22">
        <v>0</v>
      </c>
      <c r="K22">
        <v>0</v>
      </c>
    </row>
    <row r="23" spans="1:11" x14ac:dyDescent="0.25">
      <c r="A23" t="s">
        <v>193</v>
      </c>
      <c r="B23" t="s">
        <v>212</v>
      </c>
      <c r="C23" t="s">
        <v>350</v>
      </c>
      <c r="D23">
        <v>2</v>
      </c>
      <c r="E23">
        <v>16</v>
      </c>
      <c r="F23">
        <v>320</v>
      </c>
      <c r="G23">
        <v>16</v>
      </c>
      <c r="H23">
        <v>191</v>
      </c>
      <c r="I23">
        <v>0</v>
      </c>
      <c r="J23">
        <v>0</v>
      </c>
      <c r="K23">
        <v>0</v>
      </c>
    </row>
    <row r="24" spans="1:11" x14ac:dyDescent="0.25">
      <c r="A24" t="s">
        <v>193</v>
      </c>
      <c r="B24" t="s">
        <v>212</v>
      </c>
      <c r="C24" t="s">
        <v>350</v>
      </c>
      <c r="D24">
        <v>2</v>
      </c>
      <c r="E24">
        <v>16</v>
      </c>
      <c r="F24">
        <v>300</v>
      </c>
      <c r="G24">
        <v>16</v>
      </c>
      <c r="H24">
        <v>191</v>
      </c>
      <c r="I24">
        <v>0</v>
      </c>
      <c r="J24">
        <v>0</v>
      </c>
      <c r="K24">
        <v>0</v>
      </c>
    </row>
    <row r="25" spans="1:11" x14ac:dyDescent="0.25">
      <c r="A25" t="s">
        <v>193</v>
      </c>
      <c r="B25" t="s">
        <v>212</v>
      </c>
      <c r="C25" t="s">
        <v>350</v>
      </c>
      <c r="D25">
        <v>2</v>
      </c>
      <c r="E25">
        <v>16</v>
      </c>
      <c r="F25">
        <v>280</v>
      </c>
      <c r="G25">
        <v>16</v>
      </c>
      <c r="H25">
        <v>191</v>
      </c>
      <c r="I25">
        <v>0</v>
      </c>
      <c r="J25">
        <v>0</v>
      </c>
      <c r="K25">
        <v>0</v>
      </c>
    </row>
    <row r="26" spans="1:11" x14ac:dyDescent="0.25">
      <c r="A26" t="s">
        <v>193</v>
      </c>
      <c r="B26" t="s">
        <v>212</v>
      </c>
      <c r="C26" t="s">
        <v>350</v>
      </c>
      <c r="D26">
        <v>2</v>
      </c>
      <c r="E26">
        <v>16</v>
      </c>
      <c r="F26">
        <v>260</v>
      </c>
      <c r="G26">
        <v>16</v>
      </c>
      <c r="H26">
        <v>191</v>
      </c>
      <c r="I26">
        <v>0</v>
      </c>
      <c r="J26">
        <v>0</v>
      </c>
      <c r="K26">
        <v>0</v>
      </c>
    </row>
    <row r="27" spans="1:11" x14ac:dyDescent="0.25">
      <c r="A27" t="s">
        <v>193</v>
      </c>
      <c r="B27" t="s">
        <v>212</v>
      </c>
      <c r="C27" t="s">
        <v>350</v>
      </c>
      <c r="D27">
        <v>2</v>
      </c>
      <c r="E27">
        <v>16</v>
      </c>
      <c r="F27">
        <v>240</v>
      </c>
      <c r="G27">
        <v>16</v>
      </c>
      <c r="H27">
        <v>191</v>
      </c>
      <c r="I27">
        <v>0</v>
      </c>
      <c r="J27">
        <v>0</v>
      </c>
      <c r="K27">
        <v>0</v>
      </c>
    </row>
    <row r="28" spans="1:11" x14ac:dyDescent="0.25">
      <c r="A28" t="s">
        <v>193</v>
      </c>
      <c r="B28" t="s">
        <v>212</v>
      </c>
      <c r="C28" t="s">
        <v>350</v>
      </c>
      <c r="D28">
        <v>2</v>
      </c>
      <c r="E28">
        <v>16</v>
      </c>
      <c r="F28">
        <v>220</v>
      </c>
      <c r="G28">
        <v>16</v>
      </c>
      <c r="H28">
        <v>191</v>
      </c>
      <c r="I28">
        <v>0</v>
      </c>
      <c r="J28">
        <v>0</v>
      </c>
      <c r="K28">
        <v>0</v>
      </c>
    </row>
    <row r="29" spans="1:11" x14ac:dyDescent="0.25">
      <c r="A29" t="s">
        <v>193</v>
      </c>
      <c r="B29" t="s">
        <v>212</v>
      </c>
      <c r="C29" t="s">
        <v>350</v>
      </c>
      <c r="D29">
        <v>2</v>
      </c>
      <c r="E29">
        <v>16</v>
      </c>
      <c r="F29">
        <v>200</v>
      </c>
      <c r="G29">
        <v>16</v>
      </c>
      <c r="H29">
        <v>191</v>
      </c>
      <c r="I29">
        <v>0</v>
      </c>
      <c r="J29">
        <v>0</v>
      </c>
      <c r="K29">
        <v>0</v>
      </c>
    </row>
    <row r="30" spans="1:11" x14ac:dyDescent="0.25">
      <c r="A30" t="s">
        <v>193</v>
      </c>
      <c r="B30" t="s">
        <v>212</v>
      </c>
      <c r="C30" t="s">
        <v>350</v>
      </c>
      <c r="D30">
        <v>2</v>
      </c>
      <c r="E30">
        <v>16</v>
      </c>
      <c r="F30">
        <v>190</v>
      </c>
      <c r="G30">
        <v>16</v>
      </c>
      <c r="H30">
        <v>191</v>
      </c>
      <c r="I30">
        <v>0</v>
      </c>
      <c r="J30">
        <v>0</v>
      </c>
      <c r="K30">
        <v>0</v>
      </c>
    </row>
    <row r="31" spans="1:11" x14ac:dyDescent="0.25">
      <c r="A31" t="s">
        <v>193</v>
      </c>
      <c r="B31" t="s">
        <v>212</v>
      </c>
      <c r="C31" t="s">
        <v>350</v>
      </c>
      <c r="D31">
        <v>2</v>
      </c>
      <c r="E31">
        <v>16</v>
      </c>
      <c r="F31">
        <v>180</v>
      </c>
      <c r="G31">
        <v>16</v>
      </c>
      <c r="H31">
        <v>191</v>
      </c>
      <c r="I31">
        <v>0</v>
      </c>
      <c r="J31">
        <v>0</v>
      </c>
      <c r="K31">
        <v>0</v>
      </c>
    </row>
    <row r="32" spans="1:11" x14ac:dyDescent="0.25">
      <c r="A32" t="s">
        <v>193</v>
      </c>
      <c r="B32" t="s">
        <v>212</v>
      </c>
      <c r="C32" t="s">
        <v>350</v>
      </c>
      <c r="D32">
        <v>2</v>
      </c>
      <c r="E32">
        <v>16</v>
      </c>
      <c r="F32">
        <v>170</v>
      </c>
      <c r="G32">
        <v>16</v>
      </c>
      <c r="H32">
        <v>191</v>
      </c>
      <c r="I32">
        <v>0</v>
      </c>
      <c r="J32">
        <v>0</v>
      </c>
      <c r="K32">
        <v>0</v>
      </c>
    </row>
    <row r="33" spans="1:11" x14ac:dyDescent="0.25">
      <c r="A33" t="s">
        <v>193</v>
      </c>
      <c r="B33" t="s">
        <v>212</v>
      </c>
      <c r="C33" t="s">
        <v>350</v>
      </c>
      <c r="D33">
        <v>2</v>
      </c>
      <c r="E33">
        <v>16</v>
      </c>
      <c r="F33">
        <v>160</v>
      </c>
      <c r="G33">
        <v>16</v>
      </c>
      <c r="H33">
        <v>191</v>
      </c>
      <c r="I33">
        <v>0</v>
      </c>
      <c r="J33">
        <v>0</v>
      </c>
      <c r="K33">
        <v>0</v>
      </c>
    </row>
    <row r="34" spans="1:11" x14ac:dyDescent="0.25">
      <c r="A34" t="s">
        <v>193</v>
      </c>
      <c r="B34" t="s">
        <v>212</v>
      </c>
      <c r="C34" t="s">
        <v>350</v>
      </c>
      <c r="D34">
        <v>2</v>
      </c>
      <c r="E34">
        <v>16</v>
      </c>
      <c r="F34">
        <v>150</v>
      </c>
      <c r="G34">
        <v>16</v>
      </c>
      <c r="H34">
        <v>191</v>
      </c>
      <c r="I34">
        <v>0</v>
      </c>
      <c r="J34">
        <v>0</v>
      </c>
      <c r="K34">
        <v>0</v>
      </c>
    </row>
    <row r="35" spans="1:11" x14ac:dyDescent="0.25">
      <c r="A35" t="s">
        <v>193</v>
      </c>
      <c r="B35" t="s">
        <v>212</v>
      </c>
      <c r="C35" t="s">
        <v>350</v>
      </c>
      <c r="D35">
        <v>2</v>
      </c>
      <c r="E35">
        <v>16</v>
      </c>
      <c r="F35">
        <v>140</v>
      </c>
      <c r="G35">
        <v>16</v>
      </c>
      <c r="H35">
        <v>191</v>
      </c>
      <c r="I35">
        <v>0</v>
      </c>
      <c r="J35">
        <v>0</v>
      </c>
      <c r="K35">
        <v>0</v>
      </c>
    </row>
    <row r="36" spans="1:11" x14ac:dyDescent="0.25">
      <c r="A36" t="s">
        <v>193</v>
      </c>
      <c r="B36" t="s">
        <v>212</v>
      </c>
      <c r="C36" t="s">
        <v>350</v>
      </c>
      <c r="D36">
        <v>2</v>
      </c>
      <c r="E36">
        <v>16</v>
      </c>
      <c r="F36">
        <v>130</v>
      </c>
      <c r="G36">
        <v>16</v>
      </c>
      <c r="H36">
        <v>191</v>
      </c>
      <c r="I36">
        <v>0</v>
      </c>
      <c r="J36">
        <v>0</v>
      </c>
      <c r="K36">
        <v>0</v>
      </c>
    </row>
    <row r="37" spans="1:11" x14ac:dyDescent="0.25">
      <c r="A37" t="s">
        <v>193</v>
      </c>
      <c r="B37" t="s">
        <v>212</v>
      </c>
      <c r="C37" t="s">
        <v>350</v>
      </c>
      <c r="D37">
        <v>2</v>
      </c>
      <c r="E37">
        <v>16</v>
      </c>
      <c r="F37">
        <v>120</v>
      </c>
      <c r="G37">
        <v>16</v>
      </c>
      <c r="H37">
        <v>191</v>
      </c>
      <c r="I37">
        <v>0</v>
      </c>
      <c r="J37">
        <v>0</v>
      </c>
      <c r="K37">
        <v>0</v>
      </c>
    </row>
    <row r="38" spans="1:11" x14ac:dyDescent="0.25">
      <c r="A38" t="s">
        <v>193</v>
      </c>
      <c r="B38" t="s">
        <v>212</v>
      </c>
      <c r="C38" t="s">
        <v>350</v>
      </c>
      <c r="D38">
        <v>2</v>
      </c>
      <c r="E38">
        <v>16</v>
      </c>
      <c r="F38">
        <v>110</v>
      </c>
      <c r="G38">
        <v>16</v>
      </c>
      <c r="H38">
        <v>191</v>
      </c>
      <c r="I38">
        <v>0</v>
      </c>
      <c r="J38">
        <v>0</v>
      </c>
      <c r="K38">
        <v>0</v>
      </c>
    </row>
    <row r="39" spans="1:11" x14ac:dyDescent="0.25">
      <c r="A39" t="s">
        <v>193</v>
      </c>
      <c r="B39" t="s">
        <v>212</v>
      </c>
      <c r="C39" t="s">
        <v>350</v>
      </c>
      <c r="D39">
        <v>2</v>
      </c>
      <c r="E39">
        <v>16</v>
      </c>
      <c r="F39">
        <v>100</v>
      </c>
      <c r="G39">
        <v>16</v>
      </c>
      <c r="H39">
        <v>191</v>
      </c>
      <c r="I39">
        <v>0</v>
      </c>
      <c r="J39">
        <v>0</v>
      </c>
      <c r="K39">
        <v>0</v>
      </c>
    </row>
    <row r="40" spans="1:11" x14ac:dyDescent="0.25">
      <c r="A40" t="s">
        <v>193</v>
      </c>
      <c r="B40" t="s">
        <v>212</v>
      </c>
      <c r="C40" t="s">
        <v>350</v>
      </c>
      <c r="D40">
        <v>2</v>
      </c>
      <c r="E40">
        <v>16</v>
      </c>
      <c r="F40">
        <v>80</v>
      </c>
      <c r="G40">
        <v>16</v>
      </c>
      <c r="H40">
        <v>191</v>
      </c>
      <c r="I40">
        <v>0</v>
      </c>
      <c r="J40">
        <v>0</v>
      </c>
      <c r="K40">
        <v>0</v>
      </c>
    </row>
    <row r="41" spans="1:11" x14ac:dyDescent="0.25">
      <c r="A41" t="s">
        <v>193</v>
      </c>
      <c r="B41" t="s">
        <v>212</v>
      </c>
      <c r="C41" t="s">
        <v>351</v>
      </c>
      <c r="D41">
        <v>2</v>
      </c>
      <c r="E41">
        <v>12</v>
      </c>
      <c r="F41">
        <v>1000</v>
      </c>
      <c r="G41">
        <v>12</v>
      </c>
      <c r="H41">
        <v>69.099999999999994</v>
      </c>
      <c r="I41">
        <v>0</v>
      </c>
      <c r="J41">
        <v>0</v>
      </c>
      <c r="K41">
        <v>0</v>
      </c>
    </row>
    <row r="42" spans="1:11" x14ac:dyDescent="0.25">
      <c r="A42" t="s">
        <v>193</v>
      </c>
      <c r="B42" t="s">
        <v>212</v>
      </c>
      <c r="C42" t="s">
        <v>351</v>
      </c>
      <c r="D42">
        <v>2</v>
      </c>
      <c r="E42">
        <v>12</v>
      </c>
      <c r="F42">
        <v>340</v>
      </c>
      <c r="G42">
        <v>12</v>
      </c>
      <c r="H42">
        <v>69.099999999999994</v>
      </c>
      <c r="I42">
        <v>0</v>
      </c>
      <c r="J42">
        <v>0</v>
      </c>
      <c r="K42">
        <v>0</v>
      </c>
    </row>
    <row r="43" spans="1:11" x14ac:dyDescent="0.25">
      <c r="A43" t="s">
        <v>193</v>
      </c>
      <c r="B43" t="s">
        <v>212</v>
      </c>
      <c r="C43" t="s">
        <v>351</v>
      </c>
      <c r="D43">
        <v>2</v>
      </c>
      <c r="E43">
        <v>12</v>
      </c>
      <c r="F43">
        <v>320</v>
      </c>
      <c r="G43">
        <v>12</v>
      </c>
      <c r="H43">
        <v>69.099999999999994</v>
      </c>
      <c r="I43">
        <v>0</v>
      </c>
      <c r="J43">
        <v>0</v>
      </c>
      <c r="K43">
        <v>0</v>
      </c>
    </row>
    <row r="44" spans="1:11" x14ac:dyDescent="0.25">
      <c r="A44" t="s">
        <v>193</v>
      </c>
      <c r="B44" t="s">
        <v>212</v>
      </c>
      <c r="C44" t="s">
        <v>351</v>
      </c>
      <c r="D44">
        <v>2</v>
      </c>
      <c r="E44">
        <v>12</v>
      </c>
      <c r="F44">
        <v>280</v>
      </c>
      <c r="G44">
        <v>12</v>
      </c>
      <c r="H44">
        <v>69.099999999999994</v>
      </c>
      <c r="I44">
        <v>0</v>
      </c>
      <c r="J44">
        <v>0</v>
      </c>
      <c r="K44">
        <v>0</v>
      </c>
    </row>
    <row r="45" spans="1:11" x14ac:dyDescent="0.25">
      <c r="A45" t="s">
        <v>193</v>
      </c>
      <c r="B45" t="s">
        <v>212</v>
      </c>
      <c r="C45" t="s">
        <v>351</v>
      </c>
      <c r="D45">
        <v>2</v>
      </c>
      <c r="E45">
        <v>12</v>
      </c>
      <c r="F45">
        <v>260</v>
      </c>
      <c r="G45">
        <v>12</v>
      </c>
      <c r="H45">
        <v>69.099999999999994</v>
      </c>
      <c r="I45">
        <v>0</v>
      </c>
      <c r="J45">
        <v>0</v>
      </c>
      <c r="K45">
        <v>0</v>
      </c>
    </row>
    <row r="46" spans="1:11" x14ac:dyDescent="0.25">
      <c r="A46" t="s">
        <v>193</v>
      </c>
      <c r="B46" t="s">
        <v>212</v>
      </c>
      <c r="C46" t="s">
        <v>351</v>
      </c>
      <c r="D46">
        <v>2</v>
      </c>
      <c r="E46">
        <v>12</v>
      </c>
      <c r="F46">
        <v>240</v>
      </c>
      <c r="G46">
        <v>12</v>
      </c>
      <c r="H46">
        <v>69.099999999999994</v>
      </c>
      <c r="I46">
        <v>0</v>
      </c>
      <c r="J46">
        <v>0</v>
      </c>
      <c r="K46">
        <v>0</v>
      </c>
    </row>
    <row r="47" spans="1:11" x14ac:dyDescent="0.25">
      <c r="A47" t="s">
        <v>193</v>
      </c>
      <c r="B47" t="s">
        <v>212</v>
      </c>
      <c r="C47" t="s">
        <v>351</v>
      </c>
      <c r="D47">
        <v>2</v>
      </c>
      <c r="E47">
        <v>12</v>
      </c>
      <c r="F47">
        <v>220</v>
      </c>
      <c r="G47">
        <v>12</v>
      </c>
      <c r="H47">
        <v>69.099999999999994</v>
      </c>
      <c r="I47">
        <v>0</v>
      </c>
      <c r="J47">
        <v>0</v>
      </c>
      <c r="K47">
        <v>0</v>
      </c>
    </row>
    <row r="48" spans="1:11" x14ac:dyDescent="0.25">
      <c r="A48" t="s">
        <v>193</v>
      </c>
      <c r="B48" t="s">
        <v>212</v>
      </c>
      <c r="C48" t="s">
        <v>351</v>
      </c>
      <c r="D48">
        <v>2</v>
      </c>
      <c r="E48">
        <v>12</v>
      </c>
      <c r="F48">
        <v>200</v>
      </c>
      <c r="G48">
        <v>12</v>
      </c>
      <c r="H48">
        <v>69.099999999999994</v>
      </c>
      <c r="I48">
        <v>0</v>
      </c>
      <c r="J48">
        <v>0</v>
      </c>
      <c r="K48">
        <v>0</v>
      </c>
    </row>
    <row r="49" spans="1:11" x14ac:dyDescent="0.25">
      <c r="A49" t="s">
        <v>193</v>
      </c>
      <c r="B49" t="s">
        <v>212</v>
      </c>
      <c r="C49" t="s">
        <v>351</v>
      </c>
      <c r="D49">
        <v>2</v>
      </c>
      <c r="E49">
        <v>12</v>
      </c>
      <c r="F49">
        <v>180</v>
      </c>
      <c r="G49">
        <v>12</v>
      </c>
      <c r="H49">
        <v>69.099999999999994</v>
      </c>
      <c r="I49">
        <v>0</v>
      </c>
      <c r="J49">
        <v>0</v>
      </c>
      <c r="K49">
        <v>0</v>
      </c>
    </row>
    <row r="50" spans="1:11" x14ac:dyDescent="0.25">
      <c r="A50" t="s">
        <v>193</v>
      </c>
      <c r="B50" t="s">
        <v>212</v>
      </c>
      <c r="C50" t="s">
        <v>351</v>
      </c>
      <c r="D50">
        <v>2</v>
      </c>
      <c r="E50">
        <v>12</v>
      </c>
      <c r="F50">
        <v>170</v>
      </c>
      <c r="G50">
        <v>12</v>
      </c>
      <c r="H50">
        <v>69.099999999999994</v>
      </c>
      <c r="I50">
        <v>0</v>
      </c>
      <c r="J50">
        <v>0</v>
      </c>
      <c r="K50">
        <v>0</v>
      </c>
    </row>
    <row r="51" spans="1:11" x14ac:dyDescent="0.25">
      <c r="A51" t="s">
        <v>193</v>
      </c>
      <c r="B51" t="s">
        <v>212</v>
      </c>
      <c r="C51" t="s">
        <v>351</v>
      </c>
      <c r="D51">
        <v>2</v>
      </c>
      <c r="E51">
        <v>12</v>
      </c>
      <c r="F51">
        <v>160</v>
      </c>
      <c r="G51">
        <v>12</v>
      </c>
      <c r="H51">
        <v>69.099999999999994</v>
      </c>
      <c r="I51">
        <v>0</v>
      </c>
      <c r="J51">
        <v>0</v>
      </c>
      <c r="K51">
        <v>0</v>
      </c>
    </row>
    <row r="52" spans="1:11" x14ac:dyDescent="0.25">
      <c r="A52" t="s">
        <v>193</v>
      </c>
      <c r="B52" t="s">
        <v>212</v>
      </c>
      <c r="C52" t="s">
        <v>351</v>
      </c>
      <c r="D52">
        <v>2</v>
      </c>
      <c r="E52">
        <v>12</v>
      </c>
      <c r="F52">
        <v>150</v>
      </c>
      <c r="G52">
        <v>12</v>
      </c>
      <c r="H52">
        <v>69.099999999999994</v>
      </c>
      <c r="I52">
        <v>0</v>
      </c>
      <c r="J52">
        <v>0</v>
      </c>
      <c r="K52">
        <v>0</v>
      </c>
    </row>
    <row r="53" spans="1:11" x14ac:dyDescent="0.25">
      <c r="A53" t="s">
        <v>193</v>
      </c>
      <c r="B53" t="s">
        <v>212</v>
      </c>
      <c r="C53" t="s">
        <v>351</v>
      </c>
      <c r="D53">
        <v>2</v>
      </c>
      <c r="E53">
        <v>12</v>
      </c>
      <c r="F53">
        <v>140</v>
      </c>
      <c r="G53">
        <v>12</v>
      </c>
      <c r="H53">
        <v>69.099999999999994</v>
      </c>
      <c r="I53">
        <v>0</v>
      </c>
      <c r="J53">
        <v>0</v>
      </c>
      <c r="K53">
        <v>0</v>
      </c>
    </row>
    <row r="54" spans="1:11" x14ac:dyDescent="0.25">
      <c r="A54" t="s">
        <v>193</v>
      </c>
      <c r="B54" t="s">
        <v>212</v>
      </c>
      <c r="C54" t="s">
        <v>351</v>
      </c>
      <c r="D54">
        <v>2</v>
      </c>
      <c r="E54">
        <v>12</v>
      </c>
      <c r="F54">
        <v>130</v>
      </c>
      <c r="G54">
        <v>12</v>
      </c>
      <c r="H54">
        <v>69.099999999999994</v>
      </c>
      <c r="I54">
        <v>0</v>
      </c>
      <c r="J54">
        <v>0</v>
      </c>
      <c r="K54">
        <v>0</v>
      </c>
    </row>
    <row r="55" spans="1:11" x14ac:dyDescent="0.25">
      <c r="A55" t="s">
        <v>193</v>
      </c>
      <c r="B55" t="s">
        <v>212</v>
      </c>
      <c r="C55" t="s">
        <v>351</v>
      </c>
      <c r="D55">
        <v>2</v>
      </c>
      <c r="E55">
        <v>12</v>
      </c>
      <c r="F55">
        <v>120</v>
      </c>
      <c r="G55">
        <v>12</v>
      </c>
      <c r="H55">
        <v>69.099999999999994</v>
      </c>
      <c r="I55">
        <v>0</v>
      </c>
      <c r="J55">
        <v>0</v>
      </c>
      <c r="K55">
        <v>0</v>
      </c>
    </row>
    <row r="56" spans="1:11" x14ac:dyDescent="0.25">
      <c r="A56" t="s">
        <v>193</v>
      </c>
      <c r="B56" t="s">
        <v>212</v>
      </c>
      <c r="C56" t="s">
        <v>351</v>
      </c>
      <c r="D56">
        <v>2</v>
      </c>
      <c r="E56">
        <v>12</v>
      </c>
      <c r="F56">
        <v>110</v>
      </c>
      <c r="G56">
        <v>12</v>
      </c>
      <c r="H56">
        <v>69.099999999999994</v>
      </c>
      <c r="I56">
        <v>0</v>
      </c>
      <c r="J56">
        <v>0</v>
      </c>
      <c r="K56">
        <v>0</v>
      </c>
    </row>
    <row r="57" spans="1:11" x14ac:dyDescent="0.25">
      <c r="A57" t="s">
        <v>193</v>
      </c>
      <c r="B57" t="s">
        <v>212</v>
      </c>
      <c r="C57" t="s">
        <v>351</v>
      </c>
      <c r="D57">
        <v>2</v>
      </c>
      <c r="E57">
        <v>12</v>
      </c>
      <c r="F57">
        <v>100</v>
      </c>
      <c r="G57">
        <v>12</v>
      </c>
      <c r="H57">
        <v>69.099999999999994</v>
      </c>
      <c r="I57">
        <v>0</v>
      </c>
      <c r="J57">
        <v>0</v>
      </c>
      <c r="K57">
        <v>0</v>
      </c>
    </row>
    <row r="58" spans="1:11" x14ac:dyDescent="0.25">
      <c r="A58" t="s">
        <v>193</v>
      </c>
      <c r="B58" t="s">
        <v>212</v>
      </c>
      <c r="C58" t="s">
        <v>351</v>
      </c>
      <c r="D58">
        <v>2</v>
      </c>
      <c r="E58">
        <v>12</v>
      </c>
      <c r="F58">
        <v>90</v>
      </c>
      <c r="G58">
        <v>12</v>
      </c>
      <c r="H58">
        <v>69.099999999999994</v>
      </c>
      <c r="I58">
        <v>0</v>
      </c>
      <c r="J58">
        <v>0</v>
      </c>
      <c r="K58">
        <v>0</v>
      </c>
    </row>
    <row r="59" spans="1:11" x14ac:dyDescent="0.25">
      <c r="A59" t="s">
        <v>193</v>
      </c>
      <c r="B59" t="s">
        <v>212</v>
      </c>
      <c r="C59" t="s">
        <v>351</v>
      </c>
      <c r="D59">
        <v>2</v>
      </c>
      <c r="E59">
        <v>12</v>
      </c>
      <c r="F59">
        <v>80</v>
      </c>
      <c r="G59">
        <v>12</v>
      </c>
      <c r="H59">
        <v>69.099999999999994</v>
      </c>
      <c r="I59">
        <v>0</v>
      </c>
      <c r="J59">
        <v>0</v>
      </c>
      <c r="K59">
        <v>0</v>
      </c>
    </row>
    <row r="60" spans="1:11" x14ac:dyDescent="0.25">
      <c r="A60" t="s">
        <v>193</v>
      </c>
      <c r="B60" t="s">
        <v>212</v>
      </c>
      <c r="C60" t="s">
        <v>351</v>
      </c>
      <c r="D60">
        <v>2</v>
      </c>
      <c r="E60">
        <v>12</v>
      </c>
      <c r="F60">
        <v>70</v>
      </c>
      <c r="G60">
        <v>12</v>
      </c>
      <c r="H60">
        <v>69.099999999999994</v>
      </c>
      <c r="I60">
        <v>0</v>
      </c>
      <c r="J60">
        <v>0</v>
      </c>
      <c r="K60">
        <v>0</v>
      </c>
    </row>
    <row r="61" spans="1:11" x14ac:dyDescent="0.25">
      <c r="A61" t="s">
        <v>193</v>
      </c>
      <c r="B61" t="s">
        <v>212</v>
      </c>
      <c r="C61" t="s">
        <v>351</v>
      </c>
      <c r="D61">
        <v>2</v>
      </c>
      <c r="E61">
        <v>12</v>
      </c>
      <c r="F61">
        <v>60</v>
      </c>
      <c r="G61">
        <v>12</v>
      </c>
      <c r="H61">
        <v>69.099999999999994</v>
      </c>
      <c r="I61">
        <v>0</v>
      </c>
      <c r="J61">
        <v>0</v>
      </c>
      <c r="K61">
        <v>0</v>
      </c>
    </row>
    <row r="62" spans="1:11" x14ac:dyDescent="0.25">
      <c r="A62" t="s">
        <v>193</v>
      </c>
      <c r="B62" t="s">
        <v>212</v>
      </c>
      <c r="C62" t="s">
        <v>351</v>
      </c>
      <c r="D62">
        <v>2</v>
      </c>
      <c r="E62">
        <v>8</v>
      </c>
      <c r="F62">
        <v>140</v>
      </c>
      <c r="G62">
        <v>8</v>
      </c>
      <c r="H62">
        <v>24.1</v>
      </c>
      <c r="I62">
        <v>0</v>
      </c>
      <c r="J62">
        <v>0</v>
      </c>
      <c r="K62">
        <v>0</v>
      </c>
    </row>
    <row r="63" spans="1:11" x14ac:dyDescent="0.25">
      <c r="A63" t="s">
        <v>193</v>
      </c>
      <c r="B63" t="s">
        <v>212</v>
      </c>
      <c r="C63" t="s">
        <v>351</v>
      </c>
      <c r="D63">
        <v>2</v>
      </c>
      <c r="E63">
        <v>8</v>
      </c>
      <c r="F63">
        <v>120</v>
      </c>
      <c r="G63">
        <v>8</v>
      </c>
      <c r="H63">
        <v>24.1</v>
      </c>
      <c r="I63">
        <v>0</v>
      </c>
      <c r="J63">
        <v>0</v>
      </c>
      <c r="K63">
        <v>0</v>
      </c>
    </row>
    <row r="64" spans="1:11" x14ac:dyDescent="0.25">
      <c r="A64" t="s">
        <v>193</v>
      </c>
      <c r="B64" t="s">
        <v>212</v>
      </c>
      <c r="C64" t="s">
        <v>351</v>
      </c>
      <c r="D64">
        <v>2</v>
      </c>
      <c r="E64">
        <v>8</v>
      </c>
      <c r="F64">
        <v>100</v>
      </c>
      <c r="G64">
        <v>8</v>
      </c>
      <c r="H64">
        <v>24.1</v>
      </c>
      <c r="I64">
        <v>0</v>
      </c>
      <c r="J64">
        <v>0</v>
      </c>
      <c r="K64">
        <v>0</v>
      </c>
    </row>
    <row r="65" spans="1:15" x14ac:dyDescent="0.25">
      <c r="A65" t="s">
        <v>193</v>
      </c>
      <c r="B65" t="s">
        <v>212</v>
      </c>
      <c r="C65" t="s">
        <v>351</v>
      </c>
      <c r="D65">
        <v>2</v>
      </c>
      <c r="E65">
        <v>8</v>
      </c>
      <c r="F65">
        <v>80</v>
      </c>
      <c r="G65">
        <v>8</v>
      </c>
      <c r="H65">
        <v>24.1</v>
      </c>
      <c r="I65">
        <v>0</v>
      </c>
      <c r="J65">
        <v>0</v>
      </c>
      <c r="K65">
        <v>0</v>
      </c>
    </row>
    <row r="66" spans="1:15" x14ac:dyDescent="0.25">
      <c r="A66" t="s">
        <v>193</v>
      </c>
      <c r="B66" t="s">
        <v>212</v>
      </c>
      <c r="C66" t="s">
        <v>351</v>
      </c>
      <c r="D66">
        <v>2</v>
      </c>
      <c r="E66">
        <v>8</v>
      </c>
      <c r="F66">
        <v>60</v>
      </c>
      <c r="G66">
        <v>8</v>
      </c>
      <c r="H66">
        <v>24.1</v>
      </c>
      <c r="I66">
        <v>0</v>
      </c>
      <c r="J66">
        <v>0</v>
      </c>
      <c r="K66">
        <v>0</v>
      </c>
    </row>
    <row r="67" spans="1:15" x14ac:dyDescent="0.25">
      <c r="A67" t="s">
        <v>193</v>
      </c>
      <c r="B67" t="s">
        <v>199</v>
      </c>
      <c r="C67" s="1" t="s">
        <v>234</v>
      </c>
      <c r="D67">
        <v>2</v>
      </c>
      <c r="E67">
        <v>7.5</v>
      </c>
      <c r="F67">
        <v>235</v>
      </c>
      <c r="G67">
        <v>11</v>
      </c>
      <c r="H67">
        <v>75</v>
      </c>
      <c r="I67">
        <v>0</v>
      </c>
      <c r="J67">
        <v>0</v>
      </c>
      <c r="K67">
        <v>0</v>
      </c>
      <c r="L67">
        <f>F67-15</f>
        <v>220</v>
      </c>
      <c r="O67">
        <v>240</v>
      </c>
    </row>
    <row r="68" spans="1:15" x14ac:dyDescent="0.25">
      <c r="A68" t="s">
        <v>193</v>
      </c>
      <c r="B68" t="s">
        <v>199</v>
      </c>
      <c r="C68" s="1" t="s">
        <v>234</v>
      </c>
      <c r="D68">
        <v>2</v>
      </c>
      <c r="E68">
        <v>7.5</v>
      </c>
      <c r="F68">
        <v>215</v>
      </c>
      <c r="G68">
        <v>11</v>
      </c>
      <c r="H68">
        <v>75</v>
      </c>
      <c r="I68">
        <v>0</v>
      </c>
      <c r="J68">
        <v>0</v>
      </c>
      <c r="K68">
        <v>0</v>
      </c>
      <c r="L68">
        <f t="shared" ref="L68:L74" si="0">F68-15</f>
        <v>200</v>
      </c>
      <c r="O68">
        <v>240</v>
      </c>
    </row>
    <row r="69" spans="1:15" x14ac:dyDescent="0.25">
      <c r="A69" t="s">
        <v>193</v>
      </c>
      <c r="B69" t="s">
        <v>199</v>
      </c>
      <c r="C69" s="1" t="s">
        <v>234</v>
      </c>
      <c r="D69">
        <v>2</v>
      </c>
      <c r="E69">
        <v>7.5</v>
      </c>
      <c r="F69">
        <v>195</v>
      </c>
      <c r="G69">
        <v>11</v>
      </c>
      <c r="H69">
        <v>75</v>
      </c>
      <c r="I69">
        <v>0</v>
      </c>
      <c r="J69">
        <v>0</v>
      </c>
      <c r="K69">
        <v>0</v>
      </c>
      <c r="L69">
        <f t="shared" si="0"/>
        <v>180</v>
      </c>
      <c r="O69">
        <v>220</v>
      </c>
    </row>
    <row r="70" spans="1:15" x14ac:dyDescent="0.25">
      <c r="A70" t="s">
        <v>193</v>
      </c>
      <c r="B70" t="s">
        <v>199</v>
      </c>
      <c r="C70" s="1" t="s">
        <v>234</v>
      </c>
      <c r="D70">
        <v>2</v>
      </c>
      <c r="E70">
        <v>7.5</v>
      </c>
      <c r="F70">
        <v>175</v>
      </c>
      <c r="G70">
        <v>11</v>
      </c>
      <c r="H70">
        <v>75</v>
      </c>
      <c r="I70">
        <v>0</v>
      </c>
      <c r="J70">
        <v>0</v>
      </c>
      <c r="K70">
        <v>0</v>
      </c>
      <c r="L70">
        <f t="shared" si="0"/>
        <v>160</v>
      </c>
      <c r="O70">
        <v>200</v>
      </c>
    </row>
    <row r="71" spans="1:15" x14ac:dyDescent="0.25">
      <c r="A71" t="s">
        <v>193</v>
      </c>
      <c r="B71" t="s">
        <v>199</v>
      </c>
      <c r="C71" s="1" t="s">
        <v>234</v>
      </c>
      <c r="D71">
        <v>2</v>
      </c>
      <c r="E71">
        <v>7.5</v>
      </c>
      <c r="F71">
        <v>155</v>
      </c>
      <c r="G71">
        <v>11</v>
      </c>
      <c r="H71">
        <v>75</v>
      </c>
      <c r="I71">
        <v>0</v>
      </c>
      <c r="J71">
        <v>0</v>
      </c>
      <c r="K71">
        <v>0</v>
      </c>
      <c r="L71">
        <f t="shared" si="0"/>
        <v>140</v>
      </c>
      <c r="O71">
        <v>180</v>
      </c>
    </row>
    <row r="72" spans="1:15" x14ac:dyDescent="0.25">
      <c r="A72" t="s">
        <v>193</v>
      </c>
      <c r="B72" t="s">
        <v>199</v>
      </c>
      <c r="C72" s="1" t="s">
        <v>234</v>
      </c>
      <c r="D72">
        <v>2</v>
      </c>
      <c r="E72">
        <v>7.5</v>
      </c>
      <c r="F72">
        <v>135</v>
      </c>
      <c r="G72">
        <v>11</v>
      </c>
      <c r="H72">
        <v>75</v>
      </c>
      <c r="I72">
        <v>0</v>
      </c>
      <c r="J72">
        <v>0</v>
      </c>
      <c r="K72">
        <v>0</v>
      </c>
      <c r="L72">
        <f>F72-15</f>
        <v>120</v>
      </c>
      <c r="O72">
        <v>160</v>
      </c>
    </row>
    <row r="73" spans="1:15" x14ac:dyDescent="0.25">
      <c r="A73" t="s">
        <v>193</v>
      </c>
      <c r="B73" t="s">
        <v>199</v>
      </c>
      <c r="C73" s="1" t="s">
        <v>234</v>
      </c>
      <c r="D73">
        <v>2</v>
      </c>
      <c r="E73">
        <v>7.5</v>
      </c>
      <c r="F73">
        <v>115</v>
      </c>
      <c r="G73">
        <v>11</v>
      </c>
      <c r="H73">
        <v>75</v>
      </c>
      <c r="I73">
        <v>0</v>
      </c>
      <c r="J73">
        <v>0</v>
      </c>
      <c r="K73">
        <v>0</v>
      </c>
      <c r="L73">
        <f t="shared" si="0"/>
        <v>100</v>
      </c>
      <c r="O73">
        <v>140</v>
      </c>
    </row>
    <row r="74" spans="1:15" x14ac:dyDescent="0.25">
      <c r="A74" t="s">
        <v>193</v>
      </c>
      <c r="B74" t="s">
        <v>199</v>
      </c>
      <c r="C74" s="1" t="s">
        <v>234</v>
      </c>
      <c r="D74">
        <v>2</v>
      </c>
      <c r="E74">
        <v>7.5</v>
      </c>
      <c r="F74">
        <v>95</v>
      </c>
      <c r="G74">
        <v>11</v>
      </c>
      <c r="H74">
        <v>75</v>
      </c>
      <c r="I74">
        <v>0</v>
      </c>
      <c r="J74">
        <v>0</v>
      </c>
      <c r="K74">
        <v>0</v>
      </c>
      <c r="L74">
        <f t="shared" si="0"/>
        <v>80</v>
      </c>
      <c r="O74">
        <v>120</v>
      </c>
    </row>
    <row r="75" spans="1:15" x14ac:dyDescent="0.25">
      <c r="A75" t="s">
        <v>193</v>
      </c>
      <c r="B75" t="s">
        <v>349</v>
      </c>
      <c r="C75" s="1" t="s">
        <v>234</v>
      </c>
      <c r="D75">
        <v>2</v>
      </c>
      <c r="E75">
        <v>7.5</v>
      </c>
      <c r="F75">
        <v>75</v>
      </c>
      <c r="G75">
        <v>11</v>
      </c>
      <c r="H75">
        <v>42</v>
      </c>
      <c r="I75">
        <v>0</v>
      </c>
      <c r="J75">
        <v>0</v>
      </c>
      <c r="K75">
        <v>0</v>
      </c>
      <c r="L75">
        <f>F75-8</f>
        <v>67</v>
      </c>
      <c r="O75">
        <v>100</v>
      </c>
    </row>
    <row r="76" spans="1:15" x14ac:dyDescent="0.25">
      <c r="A76" t="s">
        <v>193</v>
      </c>
      <c r="B76" t="s">
        <v>349</v>
      </c>
      <c r="C76" s="1" t="s">
        <v>234</v>
      </c>
      <c r="D76">
        <v>2</v>
      </c>
      <c r="E76">
        <v>7.5</v>
      </c>
      <c r="F76">
        <v>55</v>
      </c>
      <c r="G76">
        <v>11</v>
      </c>
      <c r="H76">
        <v>42</v>
      </c>
      <c r="I76">
        <v>0</v>
      </c>
      <c r="J76">
        <v>0</v>
      </c>
      <c r="K76">
        <v>0</v>
      </c>
      <c r="L76">
        <f t="shared" ref="L76" si="1">F76-8</f>
        <v>47</v>
      </c>
      <c r="O76">
        <v>80</v>
      </c>
    </row>
    <row r="77" spans="1:15" x14ac:dyDescent="0.25">
      <c r="A77" t="s">
        <v>352</v>
      </c>
      <c r="B77" t="s">
        <v>353</v>
      </c>
      <c r="C77" t="s">
        <v>411</v>
      </c>
      <c r="D77">
        <v>3</v>
      </c>
      <c r="E77">
        <v>8</v>
      </c>
      <c r="F77">
        <v>1000</v>
      </c>
      <c r="G77">
        <v>8</v>
      </c>
      <c r="H77" s="54">
        <f>0.3*520*E77^2.6/1000</f>
        <v>34.766307295794007</v>
      </c>
      <c r="I77">
        <v>0</v>
      </c>
      <c r="J77">
        <v>0</v>
      </c>
      <c r="K77">
        <v>0</v>
      </c>
    </row>
    <row r="78" spans="1:15" x14ac:dyDescent="0.25">
      <c r="A78" t="s">
        <v>352</v>
      </c>
      <c r="B78" t="s">
        <v>353</v>
      </c>
      <c r="C78" t="s">
        <v>411</v>
      </c>
      <c r="D78">
        <v>3</v>
      </c>
      <c r="E78">
        <v>10</v>
      </c>
      <c r="F78">
        <v>1000</v>
      </c>
      <c r="G78">
        <v>10</v>
      </c>
      <c r="H78" s="54">
        <f t="shared" ref="H78:H89" si="2">0.3*520*E78^2.6/1000</f>
        <v>62.104718606345628</v>
      </c>
      <c r="I78">
        <v>0</v>
      </c>
      <c r="J78">
        <v>0</v>
      </c>
      <c r="K78">
        <v>0</v>
      </c>
    </row>
    <row r="79" spans="1:15" x14ac:dyDescent="0.25">
      <c r="A79" t="s">
        <v>352</v>
      </c>
      <c r="B79" t="s">
        <v>353</v>
      </c>
      <c r="C79" t="s">
        <v>411</v>
      </c>
      <c r="D79">
        <v>3</v>
      </c>
      <c r="E79">
        <v>12</v>
      </c>
      <c r="F79">
        <v>1000</v>
      </c>
      <c r="G79">
        <v>12</v>
      </c>
      <c r="H79" s="54">
        <f t="shared" si="2"/>
        <v>99.769050273016987</v>
      </c>
      <c r="I79">
        <v>0</v>
      </c>
      <c r="J79">
        <v>0</v>
      </c>
      <c r="K79">
        <v>0</v>
      </c>
    </row>
    <row r="80" spans="1:15" x14ac:dyDescent="0.25">
      <c r="A80" t="s">
        <v>352</v>
      </c>
      <c r="B80" t="s">
        <v>353</v>
      </c>
      <c r="C80" t="s">
        <v>411</v>
      </c>
      <c r="D80">
        <v>3</v>
      </c>
      <c r="E80">
        <v>16</v>
      </c>
      <c r="F80">
        <v>1000</v>
      </c>
      <c r="G80">
        <v>16</v>
      </c>
      <c r="H80" s="54">
        <f t="shared" si="2"/>
        <v>210.78347169850522</v>
      </c>
      <c r="I80">
        <v>0</v>
      </c>
      <c r="J80">
        <v>0</v>
      </c>
      <c r="K80">
        <v>0</v>
      </c>
    </row>
    <row r="81" spans="1:11" x14ac:dyDescent="0.25">
      <c r="A81" t="s">
        <v>352</v>
      </c>
      <c r="B81" t="s">
        <v>353</v>
      </c>
      <c r="C81" t="s">
        <v>411</v>
      </c>
      <c r="D81">
        <v>3</v>
      </c>
      <c r="E81">
        <v>20</v>
      </c>
      <c r="F81">
        <v>1000</v>
      </c>
      <c r="G81">
        <v>20</v>
      </c>
      <c r="H81" s="54">
        <f t="shared" si="2"/>
        <v>376.53260340041828</v>
      </c>
      <c r="I81">
        <v>0</v>
      </c>
      <c r="J81">
        <v>0</v>
      </c>
      <c r="K81">
        <v>0</v>
      </c>
    </row>
    <row r="82" spans="1:11" x14ac:dyDescent="0.25">
      <c r="A82" t="s">
        <v>352</v>
      </c>
      <c r="B82" t="s">
        <v>353</v>
      </c>
      <c r="C82" t="s">
        <v>411</v>
      </c>
      <c r="D82">
        <v>3</v>
      </c>
      <c r="E82">
        <v>22</v>
      </c>
      <c r="F82">
        <v>1000</v>
      </c>
      <c r="G82">
        <v>22</v>
      </c>
      <c r="H82" s="54">
        <f t="shared" si="2"/>
        <v>482.41807180760566</v>
      </c>
      <c r="I82">
        <v>0</v>
      </c>
      <c r="J82">
        <v>0</v>
      </c>
      <c r="K82">
        <v>0</v>
      </c>
    </row>
    <row r="83" spans="1:11" x14ac:dyDescent="0.25">
      <c r="A83" t="s">
        <v>352</v>
      </c>
      <c r="B83" t="s">
        <v>353</v>
      </c>
      <c r="C83" t="s">
        <v>411</v>
      </c>
      <c r="D83">
        <v>3</v>
      </c>
      <c r="E83">
        <v>25</v>
      </c>
      <c r="F83">
        <v>1000</v>
      </c>
      <c r="G83">
        <v>25</v>
      </c>
      <c r="H83" s="54">
        <f t="shared" si="2"/>
        <v>672.61820996234201</v>
      </c>
      <c r="I83">
        <v>0</v>
      </c>
      <c r="J83">
        <v>0</v>
      </c>
      <c r="K83">
        <v>0</v>
      </c>
    </row>
    <row r="84" spans="1:11" x14ac:dyDescent="0.25">
      <c r="A84" t="s">
        <v>409</v>
      </c>
      <c r="B84" t="s">
        <v>410</v>
      </c>
      <c r="C84" t="s">
        <v>411</v>
      </c>
      <c r="D84">
        <v>3</v>
      </c>
      <c r="E84">
        <v>10</v>
      </c>
      <c r="F84">
        <v>1000</v>
      </c>
      <c r="G84">
        <v>10</v>
      </c>
      <c r="H84" s="54">
        <f t="shared" si="2"/>
        <v>62.104718606345628</v>
      </c>
      <c r="I84">
        <v>0</v>
      </c>
      <c r="J84">
        <v>0</v>
      </c>
      <c r="K84">
        <v>0</v>
      </c>
    </row>
    <row r="85" spans="1:11" x14ac:dyDescent="0.25">
      <c r="A85" t="s">
        <v>409</v>
      </c>
      <c r="B85" t="s">
        <v>410</v>
      </c>
      <c r="C85" t="s">
        <v>411</v>
      </c>
      <c r="D85">
        <v>3</v>
      </c>
      <c r="E85">
        <v>12</v>
      </c>
      <c r="F85">
        <v>1000</v>
      </c>
      <c r="G85">
        <v>12</v>
      </c>
      <c r="H85" s="54">
        <f t="shared" si="2"/>
        <v>99.769050273016987</v>
      </c>
      <c r="I85">
        <v>0</v>
      </c>
      <c r="J85">
        <v>0</v>
      </c>
      <c r="K85">
        <v>0</v>
      </c>
    </row>
    <row r="86" spans="1:11" x14ac:dyDescent="0.25">
      <c r="A86" t="s">
        <v>409</v>
      </c>
      <c r="B86" t="s">
        <v>410</v>
      </c>
      <c r="C86" t="s">
        <v>411</v>
      </c>
      <c r="D86">
        <v>3</v>
      </c>
      <c r="E86">
        <v>13</v>
      </c>
      <c r="F86">
        <v>1000</v>
      </c>
      <c r="G86">
        <v>13</v>
      </c>
      <c r="H86" s="54">
        <f t="shared" si="2"/>
        <v>122.85060917783089</v>
      </c>
      <c r="I86">
        <v>0</v>
      </c>
      <c r="J86">
        <v>0</v>
      </c>
      <c r="K86">
        <v>0</v>
      </c>
    </row>
    <row r="87" spans="1:11" x14ac:dyDescent="0.25">
      <c r="A87" t="s">
        <v>409</v>
      </c>
      <c r="B87" t="s">
        <v>410</v>
      </c>
      <c r="C87" t="s">
        <v>411</v>
      </c>
      <c r="D87">
        <v>3</v>
      </c>
      <c r="E87">
        <v>16</v>
      </c>
      <c r="F87">
        <v>1000</v>
      </c>
      <c r="G87">
        <v>16</v>
      </c>
      <c r="H87" s="54">
        <f t="shared" si="2"/>
        <v>210.78347169850522</v>
      </c>
      <c r="I87">
        <v>0</v>
      </c>
      <c r="J87">
        <v>0</v>
      </c>
      <c r="K87">
        <v>0</v>
      </c>
    </row>
    <row r="88" spans="1:11" x14ac:dyDescent="0.25">
      <c r="A88" t="s">
        <v>409</v>
      </c>
      <c r="B88" t="s">
        <v>410</v>
      </c>
      <c r="C88" t="s">
        <v>411</v>
      </c>
      <c r="D88">
        <v>3</v>
      </c>
      <c r="E88">
        <v>20</v>
      </c>
      <c r="F88">
        <v>1000</v>
      </c>
      <c r="G88">
        <v>20</v>
      </c>
      <c r="H88" s="54">
        <f t="shared" si="2"/>
        <v>376.53260340041828</v>
      </c>
      <c r="I88">
        <v>0</v>
      </c>
      <c r="J88">
        <v>0</v>
      </c>
      <c r="K88">
        <v>0</v>
      </c>
    </row>
    <row r="89" spans="1:11" x14ac:dyDescent="0.25">
      <c r="A89" t="s">
        <v>409</v>
      </c>
      <c r="B89" t="s">
        <v>410</v>
      </c>
      <c r="C89" t="s">
        <v>411</v>
      </c>
      <c r="D89">
        <v>3</v>
      </c>
      <c r="E89">
        <v>25</v>
      </c>
      <c r="F89">
        <v>1000</v>
      </c>
      <c r="G89">
        <v>25</v>
      </c>
      <c r="H89" s="54">
        <f t="shared" si="2"/>
        <v>672.61820996234201</v>
      </c>
      <c r="I89">
        <v>0</v>
      </c>
      <c r="J89">
        <v>0</v>
      </c>
      <c r="K89">
        <v>0</v>
      </c>
    </row>
    <row r="90" spans="1:11" x14ac:dyDescent="0.25">
      <c r="A90" t="s">
        <v>408</v>
      </c>
      <c r="B90" t="s">
        <v>406</v>
      </c>
      <c r="C90" t="s">
        <v>412</v>
      </c>
      <c r="D90">
        <v>2</v>
      </c>
      <c r="E90">
        <v>7</v>
      </c>
      <c r="F90">
        <v>1000</v>
      </c>
      <c r="G90">
        <v>7</v>
      </c>
      <c r="H90" s="54">
        <f>0.3*360*E90^2.6/1000</f>
        <v>17.008995236697277</v>
      </c>
      <c r="I90">
        <v>0</v>
      </c>
      <c r="J90">
        <v>0</v>
      </c>
      <c r="K90">
        <v>0</v>
      </c>
    </row>
    <row r="91" spans="1:11" x14ac:dyDescent="0.25">
      <c r="A91" t="s">
        <v>408</v>
      </c>
      <c r="B91" t="s">
        <v>406</v>
      </c>
      <c r="C91" t="s">
        <v>412</v>
      </c>
      <c r="D91">
        <v>2</v>
      </c>
      <c r="E91">
        <v>8</v>
      </c>
      <c r="F91">
        <v>1000</v>
      </c>
      <c r="G91">
        <v>8</v>
      </c>
      <c r="H91" s="54">
        <f t="shared" ref="H91:H99" si="3">0.3*360*E91^2.6/1000</f>
        <v>24.068981974011237</v>
      </c>
      <c r="I91">
        <v>0</v>
      </c>
      <c r="J91">
        <v>0</v>
      </c>
      <c r="K91">
        <v>0</v>
      </c>
    </row>
    <row r="92" spans="1:11" x14ac:dyDescent="0.25">
      <c r="A92" t="s">
        <v>408</v>
      </c>
      <c r="B92" t="s">
        <v>406</v>
      </c>
      <c r="C92" t="s">
        <v>412</v>
      </c>
      <c r="D92">
        <v>2</v>
      </c>
      <c r="E92">
        <v>10</v>
      </c>
      <c r="F92">
        <v>1000</v>
      </c>
      <c r="G92">
        <v>10</v>
      </c>
      <c r="H92" s="54">
        <f t="shared" si="3"/>
        <v>42.995574419777739</v>
      </c>
      <c r="I92">
        <v>0</v>
      </c>
      <c r="J92">
        <v>0</v>
      </c>
      <c r="K92">
        <v>0</v>
      </c>
    </row>
    <row r="93" spans="1:11" x14ac:dyDescent="0.25">
      <c r="A93" t="s">
        <v>408</v>
      </c>
      <c r="B93" t="s">
        <v>406</v>
      </c>
      <c r="C93" t="s">
        <v>412</v>
      </c>
      <c r="D93">
        <v>2</v>
      </c>
      <c r="E93">
        <v>12</v>
      </c>
      <c r="F93">
        <v>1000</v>
      </c>
      <c r="G93">
        <v>12</v>
      </c>
      <c r="H93" s="54">
        <f t="shared" si="3"/>
        <v>69.070880958242526</v>
      </c>
      <c r="I93">
        <v>0</v>
      </c>
      <c r="J93">
        <v>0</v>
      </c>
      <c r="K93">
        <v>0</v>
      </c>
    </row>
    <row r="94" spans="1:11" x14ac:dyDescent="0.25">
      <c r="A94" t="s">
        <v>408</v>
      </c>
      <c r="B94" t="s">
        <v>406</v>
      </c>
      <c r="C94" t="s">
        <v>412</v>
      </c>
      <c r="D94">
        <v>2</v>
      </c>
      <c r="E94">
        <v>16</v>
      </c>
      <c r="F94">
        <v>1000</v>
      </c>
      <c r="G94">
        <v>16</v>
      </c>
      <c r="H94" s="54">
        <f t="shared" si="3"/>
        <v>145.92701886819592</v>
      </c>
      <c r="I94">
        <v>0</v>
      </c>
      <c r="J94">
        <v>0</v>
      </c>
      <c r="K94">
        <v>0</v>
      </c>
    </row>
    <row r="95" spans="1:11" x14ac:dyDescent="0.25">
      <c r="A95" t="s">
        <v>408</v>
      </c>
      <c r="B95" t="s">
        <v>406</v>
      </c>
      <c r="C95" t="s">
        <v>412</v>
      </c>
      <c r="D95">
        <v>2</v>
      </c>
      <c r="E95">
        <v>20</v>
      </c>
      <c r="F95">
        <v>1000</v>
      </c>
      <c r="G95">
        <v>20</v>
      </c>
      <c r="H95" s="54">
        <f t="shared" si="3"/>
        <v>260.67641773875113</v>
      </c>
      <c r="I95">
        <v>0</v>
      </c>
      <c r="J95">
        <v>0</v>
      </c>
      <c r="K95">
        <v>0</v>
      </c>
    </row>
    <row r="96" spans="1:11" x14ac:dyDescent="0.25">
      <c r="A96" t="s">
        <v>408</v>
      </c>
      <c r="B96" t="s">
        <v>406</v>
      </c>
      <c r="C96" t="s">
        <v>412</v>
      </c>
      <c r="D96">
        <v>2</v>
      </c>
      <c r="E96">
        <v>22</v>
      </c>
      <c r="F96">
        <v>1000</v>
      </c>
      <c r="G96">
        <v>22</v>
      </c>
      <c r="H96" s="54">
        <f t="shared" si="3"/>
        <v>333.98174202065007</v>
      </c>
      <c r="I96">
        <v>0</v>
      </c>
      <c r="J96">
        <v>0</v>
      </c>
      <c r="K96">
        <v>0</v>
      </c>
    </row>
    <row r="97" spans="1:11" x14ac:dyDescent="0.25">
      <c r="A97" t="s">
        <v>408</v>
      </c>
      <c r="B97" t="s">
        <v>406</v>
      </c>
      <c r="C97" t="s">
        <v>412</v>
      </c>
      <c r="D97">
        <v>2</v>
      </c>
      <c r="E97">
        <v>24</v>
      </c>
      <c r="F97">
        <v>1000</v>
      </c>
      <c r="G97">
        <v>24</v>
      </c>
      <c r="H97" s="54">
        <f t="shared" si="3"/>
        <v>418.7675141275036</v>
      </c>
      <c r="I97">
        <v>0</v>
      </c>
      <c r="J97">
        <v>0</v>
      </c>
      <c r="K97">
        <v>0</v>
      </c>
    </row>
    <row r="98" spans="1:11" x14ac:dyDescent="0.25">
      <c r="A98" t="s">
        <v>408</v>
      </c>
      <c r="B98" t="s">
        <v>406</v>
      </c>
      <c r="C98" t="s">
        <v>412</v>
      </c>
      <c r="D98">
        <v>2</v>
      </c>
      <c r="E98">
        <v>25</v>
      </c>
      <c r="F98">
        <v>1000</v>
      </c>
      <c r="G98">
        <v>25</v>
      </c>
      <c r="H98" s="54">
        <f t="shared" si="3"/>
        <v>465.65876074315986</v>
      </c>
      <c r="I98">
        <v>0</v>
      </c>
      <c r="J98">
        <v>0</v>
      </c>
      <c r="K98">
        <v>0</v>
      </c>
    </row>
    <row r="99" spans="1:11" x14ac:dyDescent="0.25">
      <c r="A99" t="s">
        <v>408</v>
      </c>
      <c r="B99" t="s">
        <v>406</v>
      </c>
      <c r="C99" t="s">
        <v>412</v>
      </c>
      <c r="D99">
        <v>2</v>
      </c>
      <c r="E99">
        <v>28</v>
      </c>
      <c r="F99">
        <v>1000</v>
      </c>
      <c r="G99">
        <v>28</v>
      </c>
      <c r="H99" s="54">
        <f t="shared" si="3"/>
        <v>625.22255515349036</v>
      </c>
      <c r="I99">
        <v>0</v>
      </c>
      <c r="J99">
        <v>0</v>
      </c>
      <c r="K99">
        <v>0</v>
      </c>
    </row>
    <row r="100" spans="1:11" x14ac:dyDescent="0.25">
      <c r="A100" t="s">
        <v>408</v>
      </c>
      <c r="B100" t="s">
        <v>407</v>
      </c>
      <c r="C100" t="s">
        <v>413</v>
      </c>
      <c r="D100">
        <v>2</v>
      </c>
      <c r="E100">
        <v>10</v>
      </c>
      <c r="F100">
        <v>1000</v>
      </c>
      <c r="G100">
        <v>10</v>
      </c>
      <c r="H100" s="54">
        <f>0.3*490*E100^2.6/1000</f>
        <v>58.52175407136415</v>
      </c>
      <c r="I100">
        <v>0</v>
      </c>
      <c r="J100">
        <v>0</v>
      </c>
      <c r="K100">
        <v>0</v>
      </c>
    </row>
    <row r="101" spans="1:11" x14ac:dyDescent="0.25">
      <c r="A101" t="s">
        <v>408</v>
      </c>
      <c r="B101" t="s">
        <v>407</v>
      </c>
      <c r="C101" t="s">
        <v>413</v>
      </c>
      <c r="D101">
        <v>2</v>
      </c>
      <c r="E101">
        <v>12</v>
      </c>
      <c r="F101">
        <v>1000</v>
      </c>
      <c r="G101">
        <v>12</v>
      </c>
      <c r="H101" s="54">
        <f t="shared" ref="H101:H107" si="4">0.3*490*E101^2.6/1000</f>
        <v>94.013143526496776</v>
      </c>
      <c r="I101">
        <v>0</v>
      </c>
      <c r="J101">
        <v>0</v>
      </c>
      <c r="K101">
        <v>0</v>
      </c>
    </row>
    <row r="102" spans="1:11" x14ac:dyDescent="0.25">
      <c r="A102" t="s">
        <v>408</v>
      </c>
      <c r="B102" t="s">
        <v>407</v>
      </c>
      <c r="C102" t="s">
        <v>413</v>
      </c>
      <c r="D102">
        <v>2</v>
      </c>
      <c r="E102">
        <v>16</v>
      </c>
      <c r="F102">
        <v>1000</v>
      </c>
      <c r="G102">
        <v>16</v>
      </c>
      <c r="H102" s="54">
        <f t="shared" si="4"/>
        <v>198.62288679282221</v>
      </c>
      <c r="I102">
        <v>0</v>
      </c>
      <c r="J102">
        <v>0</v>
      </c>
      <c r="K102">
        <v>0</v>
      </c>
    </row>
    <row r="103" spans="1:11" x14ac:dyDescent="0.25">
      <c r="A103" t="s">
        <v>408</v>
      </c>
      <c r="B103" t="s">
        <v>407</v>
      </c>
      <c r="C103" t="s">
        <v>413</v>
      </c>
      <c r="D103">
        <v>2</v>
      </c>
      <c r="E103">
        <v>20</v>
      </c>
      <c r="F103">
        <v>1000</v>
      </c>
      <c r="G103">
        <v>20</v>
      </c>
      <c r="H103" s="54">
        <f t="shared" si="4"/>
        <v>354.80956858885571</v>
      </c>
      <c r="I103">
        <v>0</v>
      </c>
      <c r="J103">
        <v>0</v>
      </c>
      <c r="K103">
        <v>0</v>
      </c>
    </row>
    <row r="104" spans="1:11" x14ac:dyDescent="0.25">
      <c r="A104" t="s">
        <v>408</v>
      </c>
      <c r="B104" t="s">
        <v>407</v>
      </c>
      <c r="C104" t="s">
        <v>413</v>
      </c>
      <c r="D104">
        <v>2</v>
      </c>
      <c r="E104">
        <v>22</v>
      </c>
      <c r="F104">
        <v>1000</v>
      </c>
      <c r="G104">
        <v>22</v>
      </c>
      <c r="H104" s="54">
        <f t="shared" si="4"/>
        <v>454.58625997255149</v>
      </c>
      <c r="I104">
        <v>0</v>
      </c>
      <c r="J104">
        <v>0</v>
      </c>
      <c r="K104">
        <v>0</v>
      </c>
    </row>
    <row r="105" spans="1:11" x14ac:dyDescent="0.25">
      <c r="A105" t="s">
        <v>408</v>
      </c>
      <c r="B105" t="s">
        <v>407</v>
      </c>
      <c r="C105" t="s">
        <v>413</v>
      </c>
      <c r="D105">
        <v>2</v>
      </c>
      <c r="E105">
        <v>24</v>
      </c>
      <c r="F105">
        <v>1000</v>
      </c>
      <c r="G105">
        <v>24</v>
      </c>
      <c r="H105" s="54">
        <f t="shared" si="4"/>
        <v>569.98911645132432</v>
      </c>
      <c r="I105">
        <v>0</v>
      </c>
      <c r="J105">
        <v>0</v>
      </c>
      <c r="K105">
        <v>0</v>
      </c>
    </row>
    <row r="106" spans="1:11" x14ac:dyDescent="0.25">
      <c r="A106" t="s">
        <v>408</v>
      </c>
      <c r="B106" t="s">
        <v>407</v>
      </c>
      <c r="C106" t="s">
        <v>413</v>
      </c>
      <c r="D106">
        <v>2</v>
      </c>
      <c r="E106">
        <v>25</v>
      </c>
      <c r="F106">
        <v>1000</v>
      </c>
      <c r="G106">
        <v>25</v>
      </c>
      <c r="H106" s="54">
        <f t="shared" si="4"/>
        <v>633.81331323374536</v>
      </c>
      <c r="I106">
        <v>0</v>
      </c>
      <c r="J106">
        <v>0</v>
      </c>
      <c r="K106">
        <v>0</v>
      </c>
    </row>
    <row r="107" spans="1:11" x14ac:dyDescent="0.25">
      <c r="A107" t="s">
        <v>408</v>
      </c>
      <c r="B107" t="s">
        <v>407</v>
      </c>
      <c r="C107" t="s">
        <v>413</v>
      </c>
      <c r="D107">
        <v>2</v>
      </c>
      <c r="E107">
        <v>28</v>
      </c>
      <c r="F107">
        <v>1000</v>
      </c>
      <c r="G107">
        <v>28</v>
      </c>
      <c r="H107" s="54">
        <f t="shared" si="4"/>
        <v>850.99736673669531</v>
      </c>
      <c r="I107">
        <v>0</v>
      </c>
      <c r="J107">
        <v>0</v>
      </c>
      <c r="K107">
        <v>0</v>
      </c>
    </row>
    <row r="108" spans="1:11" x14ac:dyDescent="0.25">
      <c r="A108" t="s">
        <v>420</v>
      </c>
      <c r="B108" t="s">
        <v>421</v>
      </c>
      <c r="C108" t="s">
        <v>422</v>
      </c>
      <c r="D108">
        <v>2</v>
      </c>
      <c r="E108">
        <v>8</v>
      </c>
      <c r="F108">
        <v>60</v>
      </c>
      <c r="G108">
        <v>8</v>
      </c>
      <c r="H108" s="54">
        <v>22.7</v>
      </c>
      <c r="I108">
        <v>0</v>
      </c>
      <c r="J108">
        <v>0</v>
      </c>
      <c r="K108">
        <v>0</v>
      </c>
    </row>
    <row r="109" spans="1:11" x14ac:dyDescent="0.25">
      <c r="A109" t="s">
        <v>420</v>
      </c>
      <c r="B109" t="s">
        <v>421</v>
      </c>
      <c r="C109" t="s">
        <v>422</v>
      </c>
      <c r="D109">
        <v>2</v>
      </c>
      <c r="E109">
        <v>8</v>
      </c>
      <c r="F109">
        <v>80</v>
      </c>
      <c r="G109">
        <v>8</v>
      </c>
      <c r="H109" s="54">
        <v>22.7</v>
      </c>
      <c r="I109">
        <v>0</v>
      </c>
      <c r="J109">
        <v>0</v>
      </c>
      <c r="K109">
        <v>0</v>
      </c>
    </row>
    <row r="110" spans="1:11" x14ac:dyDescent="0.25">
      <c r="A110" t="s">
        <v>420</v>
      </c>
      <c r="B110" t="s">
        <v>421</v>
      </c>
      <c r="C110" t="s">
        <v>422</v>
      </c>
      <c r="D110">
        <v>2</v>
      </c>
      <c r="E110">
        <v>8</v>
      </c>
      <c r="F110">
        <v>100</v>
      </c>
      <c r="G110">
        <v>8</v>
      </c>
      <c r="H110" s="54">
        <v>22.7</v>
      </c>
      <c r="I110">
        <v>0</v>
      </c>
      <c r="J110">
        <v>0</v>
      </c>
      <c r="K110">
        <v>0</v>
      </c>
    </row>
    <row r="111" spans="1:11" x14ac:dyDescent="0.25">
      <c r="A111" t="s">
        <v>420</v>
      </c>
      <c r="B111" t="s">
        <v>421</v>
      </c>
      <c r="C111" t="s">
        <v>422</v>
      </c>
      <c r="D111">
        <v>2</v>
      </c>
      <c r="E111">
        <v>8</v>
      </c>
      <c r="F111">
        <v>115</v>
      </c>
      <c r="G111">
        <v>8</v>
      </c>
      <c r="H111" s="54">
        <v>22.7</v>
      </c>
      <c r="I111">
        <v>0</v>
      </c>
      <c r="J111">
        <v>0</v>
      </c>
      <c r="K111">
        <v>0</v>
      </c>
    </row>
    <row r="112" spans="1:11" x14ac:dyDescent="0.25">
      <c r="A112" t="s">
        <v>420</v>
      </c>
      <c r="B112" t="s">
        <v>421</v>
      </c>
      <c r="C112" t="s">
        <v>422</v>
      </c>
      <c r="D112">
        <v>2</v>
      </c>
      <c r="E112">
        <v>8</v>
      </c>
      <c r="F112">
        <v>120</v>
      </c>
      <c r="G112">
        <v>8</v>
      </c>
      <c r="H112" s="54">
        <v>22.7</v>
      </c>
      <c r="I112">
        <v>0</v>
      </c>
      <c r="J112">
        <v>0</v>
      </c>
      <c r="K112">
        <v>0</v>
      </c>
    </row>
    <row r="113" spans="1:11" x14ac:dyDescent="0.25">
      <c r="A113" t="s">
        <v>420</v>
      </c>
      <c r="B113" t="s">
        <v>421</v>
      </c>
      <c r="C113" t="s">
        <v>422</v>
      </c>
      <c r="D113">
        <v>2</v>
      </c>
      <c r="E113">
        <v>8</v>
      </c>
      <c r="F113">
        <v>140</v>
      </c>
      <c r="G113">
        <v>8</v>
      </c>
      <c r="H113" s="54">
        <v>22.7</v>
      </c>
      <c r="I113">
        <v>0</v>
      </c>
      <c r="J113">
        <v>0</v>
      </c>
      <c r="K113">
        <v>0</v>
      </c>
    </row>
    <row r="114" spans="1:11" x14ac:dyDescent="0.25">
      <c r="A114" t="s">
        <v>420</v>
      </c>
      <c r="B114" t="s">
        <v>421</v>
      </c>
      <c r="C114" t="s">
        <v>422</v>
      </c>
      <c r="D114">
        <v>2</v>
      </c>
      <c r="E114">
        <v>8</v>
      </c>
      <c r="F114">
        <v>160</v>
      </c>
      <c r="G114">
        <v>8</v>
      </c>
      <c r="H114" s="54">
        <v>22.7</v>
      </c>
      <c r="I114">
        <v>0</v>
      </c>
      <c r="J114">
        <v>0</v>
      </c>
      <c r="K114">
        <v>0</v>
      </c>
    </row>
    <row r="115" spans="1:11" x14ac:dyDescent="0.25">
      <c r="A115" t="s">
        <v>420</v>
      </c>
      <c r="B115" t="s">
        <v>421</v>
      </c>
      <c r="C115" t="s">
        <v>422</v>
      </c>
      <c r="D115">
        <v>2</v>
      </c>
      <c r="E115">
        <v>8</v>
      </c>
      <c r="F115">
        <v>180</v>
      </c>
      <c r="G115">
        <v>8</v>
      </c>
      <c r="H115" s="54">
        <v>22.7</v>
      </c>
      <c r="I115">
        <v>0</v>
      </c>
      <c r="J115">
        <v>0</v>
      </c>
      <c r="K115">
        <v>0</v>
      </c>
    </row>
    <row r="116" spans="1:11" x14ac:dyDescent="0.25">
      <c r="A116" t="s">
        <v>420</v>
      </c>
      <c r="B116" t="s">
        <v>421</v>
      </c>
      <c r="C116" t="s">
        <v>422</v>
      </c>
      <c r="D116">
        <v>2</v>
      </c>
      <c r="E116">
        <v>8</v>
      </c>
      <c r="F116">
        <v>200</v>
      </c>
      <c r="G116">
        <v>8</v>
      </c>
      <c r="H116" s="54">
        <v>22.7</v>
      </c>
      <c r="I116">
        <v>0</v>
      </c>
      <c r="J116">
        <v>0</v>
      </c>
      <c r="K116">
        <v>0</v>
      </c>
    </row>
    <row r="117" spans="1:11" x14ac:dyDescent="0.25">
      <c r="A117" t="s">
        <v>420</v>
      </c>
      <c r="B117" t="s">
        <v>421</v>
      </c>
      <c r="C117" t="s">
        <v>422</v>
      </c>
      <c r="D117">
        <v>2</v>
      </c>
      <c r="E117">
        <v>10</v>
      </c>
      <c r="F117">
        <v>60</v>
      </c>
      <c r="G117">
        <v>10</v>
      </c>
      <c r="H117" s="54">
        <v>40.6</v>
      </c>
      <c r="I117">
        <v>0</v>
      </c>
      <c r="J117">
        <v>0</v>
      </c>
      <c r="K117">
        <v>0</v>
      </c>
    </row>
    <row r="118" spans="1:11" x14ac:dyDescent="0.25">
      <c r="A118" t="s">
        <v>420</v>
      </c>
      <c r="B118" t="s">
        <v>421</v>
      </c>
      <c r="C118" t="s">
        <v>422</v>
      </c>
      <c r="D118">
        <v>2</v>
      </c>
      <c r="E118">
        <v>10</v>
      </c>
      <c r="F118">
        <v>80</v>
      </c>
      <c r="G118">
        <v>10</v>
      </c>
      <c r="H118" s="54">
        <v>40.6</v>
      </c>
      <c r="I118">
        <v>0</v>
      </c>
      <c r="J118">
        <v>0</v>
      </c>
      <c r="K118">
        <v>0</v>
      </c>
    </row>
    <row r="119" spans="1:11" x14ac:dyDescent="0.25">
      <c r="A119" t="s">
        <v>420</v>
      </c>
      <c r="B119" t="s">
        <v>421</v>
      </c>
      <c r="C119" t="s">
        <v>422</v>
      </c>
      <c r="D119">
        <v>2</v>
      </c>
      <c r="E119">
        <v>10</v>
      </c>
      <c r="F119">
        <v>100</v>
      </c>
      <c r="G119">
        <v>10</v>
      </c>
      <c r="H119" s="54">
        <v>40.6</v>
      </c>
      <c r="I119">
        <v>0</v>
      </c>
      <c r="J119">
        <v>0</v>
      </c>
      <c r="K119">
        <v>0</v>
      </c>
    </row>
    <row r="120" spans="1:11" x14ac:dyDescent="0.25">
      <c r="A120" t="s">
        <v>420</v>
      </c>
      <c r="B120" t="s">
        <v>421</v>
      </c>
      <c r="C120" t="s">
        <v>422</v>
      </c>
      <c r="D120">
        <v>2</v>
      </c>
      <c r="E120">
        <v>10</v>
      </c>
      <c r="F120">
        <v>120</v>
      </c>
      <c r="G120">
        <v>10</v>
      </c>
      <c r="H120" s="54">
        <v>40.6</v>
      </c>
      <c r="I120">
        <v>0</v>
      </c>
      <c r="J120">
        <v>0</v>
      </c>
      <c r="K120">
        <v>0</v>
      </c>
    </row>
    <row r="121" spans="1:11" x14ac:dyDescent="0.25">
      <c r="A121" t="s">
        <v>420</v>
      </c>
      <c r="B121" t="s">
        <v>421</v>
      </c>
      <c r="C121" t="s">
        <v>422</v>
      </c>
      <c r="D121">
        <v>2</v>
      </c>
      <c r="E121">
        <v>10</v>
      </c>
      <c r="F121">
        <v>140</v>
      </c>
      <c r="G121">
        <v>10</v>
      </c>
      <c r="H121" s="54">
        <v>40.6</v>
      </c>
      <c r="I121">
        <v>0</v>
      </c>
      <c r="J121">
        <v>0</v>
      </c>
      <c r="K121">
        <v>0</v>
      </c>
    </row>
    <row r="122" spans="1:11" x14ac:dyDescent="0.25">
      <c r="A122" t="s">
        <v>420</v>
      </c>
      <c r="B122" t="s">
        <v>421</v>
      </c>
      <c r="C122" t="s">
        <v>422</v>
      </c>
      <c r="D122">
        <v>2</v>
      </c>
      <c r="E122">
        <v>12</v>
      </c>
      <c r="F122">
        <v>60</v>
      </c>
      <c r="G122">
        <v>12</v>
      </c>
      <c r="H122" s="54">
        <v>65.2</v>
      </c>
      <c r="I122">
        <v>0</v>
      </c>
      <c r="J122">
        <v>0</v>
      </c>
      <c r="K122">
        <v>0</v>
      </c>
    </row>
    <row r="123" spans="1:11" x14ac:dyDescent="0.25">
      <c r="A123" t="s">
        <v>420</v>
      </c>
      <c r="B123" t="s">
        <v>421</v>
      </c>
      <c r="C123" t="s">
        <v>422</v>
      </c>
      <c r="D123">
        <v>2</v>
      </c>
      <c r="E123">
        <v>12</v>
      </c>
      <c r="F123">
        <v>80</v>
      </c>
      <c r="G123">
        <v>12</v>
      </c>
      <c r="H123" s="54">
        <v>65.2</v>
      </c>
      <c r="I123">
        <v>0</v>
      </c>
      <c r="J123">
        <v>0</v>
      </c>
      <c r="K123">
        <v>0</v>
      </c>
    </row>
    <row r="124" spans="1:11" x14ac:dyDescent="0.25">
      <c r="A124" t="s">
        <v>420</v>
      </c>
      <c r="B124" t="s">
        <v>421</v>
      </c>
      <c r="C124" t="s">
        <v>422</v>
      </c>
      <c r="D124">
        <v>2</v>
      </c>
      <c r="E124">
        <v>12</v>
      </c>
      <c r="F124">
        <v>100</v>
      </c>
      <c r="G124">
        <v>12</v>
      </c>
      <c r="H124" s="54">
        <v>65.2</v>
      </c>
      <c r="I124">
        <v>0</v>
      </c>
      <c r="J124">
        <v>0</v>
      </c>
      <c r="K124">
        <v>0</v>
      </c>
    </row>
    <row r="125" spans="1:11" x14ac:dyDescent="0.25">
      <c r="A125" t="s">
        <v>420</v>
      </c>
      <c r="B125" t="s">
        <v>421</v>
      </c>
      <c r="C125" t="s">
        <v>422</v>
      </c>
      <c r="D125">
        <v>2</v>
      </c>
      <c r="E125">
        <v>12</v>
      </c>
      <c r="F125">
        <v>110</v>
      </c>
      <c r="G125">
        <v>12</v>
      </c>
      <c r="H125" s="54">
        <v>65.2</v>
      </c>
      <c r="I125">
        <v>0</v>
      </c>
      <c r="J125">
        <v>0</v>
      </c>
      <c r="K125">
        <v>0</v>
      </c>
    </row>
    <row r="126" spans="1:11" x14ac:dyDescent="0.25">
      <c r="A126" t="s">
        <v>420</v>
      </c>
      <c r="B126" t="s">
        <v>421</v>
      </c>
      <c r="C126" t="s">
        <v>422</v>
      </c>
      <c r="D126">
        <v>2</v>
      </c>
      <c r="E126">
        <v>12</v>
      </c>
      <c r="F126">
        <v>115</v>
      </c>
      <c r="G126">
        <v>12</v>
      </c>
      <c r="H126" s="54">
        <v>65.2</v>
      </c>
      <c r="I126">
        <v>0</v>
      </c>
      <c r="J126">
        <v>0</v>
      </c>
      <c r="K126">
        <v>0</v>
      </c>
    </row>
    <row r="127" spans="1:11" x14ac:dyDescent="0.25">
      <c r="A127" t="s">
        <v>420</v>
      </c>
      <c r="B127" t="s">
        <v>421</v>
      </c>
      <c r="C127" t="s">
        <v>422</v>
      </c>
      <c r="D127">
        <v>2</v>
      </c>
      <c r="E127">
        <v>12</v>
      </c>
      <c r="F127">
        <v>120</v>
      </c>
      <c r="G127">
        <v>12</v>
      </c>
      <c r="H127" s="54">
        <v>65.2</v>
      </c>
      <c r="I127">
        <v>0</v>
      </c>
      <c r="J127">
        <v>0</v>
      </c>
      <c r="K127">
        <v>0</v>
      </c>
    </row>
    <row r="128" spans="1:11" x14ac:dyDescent="0.25">
      <c r="A128" t="s">
        <v>420</v>
      </c>
      <c r="B128" t="s">
        <v>421</v>
      </c>
      <c r="C128" t="s">
        <v>422</v>
      </c>
      <c r="D128">
        <v>2</v>
      </c>
      <c r="E128">
        <v>12</v>
      </c>
      <c r="F128">
        <v>130</v>
      </c>
      <c r="G128">
        <v>12</v>
      </c>
      <c r="H128" s="54">
        <v>65.2</v>
      </c>
      <c r="I128">
        <v>0</v>
      </c>
      <c r="J128">
        <v>0</v>
      </c>
      <c r="K128">
        <v>0</v>
      </c>
    </row>
    <row r="129" spans="1:11" x14ac:dyDescent="0.25">
      <c r="A129" t="s">
        <v>420</v>
      </c>
      <c r="B129" t="s">
        <v>421</v>
      </c>
      <c r="C129" t="s">
        <v>422</v>
      </c>
      <c r="D129">
        <v>2</v>
      </c>
      <c r="E129">
        <v>12</v>
      </c>
      <c r="F129">
        <v>140</v>
      </c>
      <c r="G129">
        <v>12</v>
      </c>
      <c r="H129" s="54">
        <v>65.2</v>
      </c>
      <c r="I129">
        <v>0</v>
      </c>
      <c r="J129">
        <v>0</v>
      </c>
      <c r="K129">
        <v>0</v>
      </c>
    </row>
    <row r="130" spans="1:11" x14ac:dyDescent="0.25">
      <c r="A130" t="s">
        <v>420</v>
      </c>
      <c r="B130" t="s">
        <v>421</v>
      </c>
      <c r="C130" t="s">
        <v>422</v>
      </c>
      <c r="D130">
        <v>2</v>
      </c>
      <c r="E130">
        <v>12</v>
      </c>
      <c r="F130">
        <v>160</v>
      </c>
      <c r="G130">
        <v>12</v>
      </c>
      <c r="H130" s="54">
        <v>65.2</v>
      </c>
      <c r="I130">
        <v>0</v>
      </c>
      <c r="J130">
        <v>0</v>
      </c>
      <c r="K130">
        <v>0</v>
      </c>
    </row>
    <row r="131" spans="1:11" x14ac:dyDescent="0.25">
      <c r="A131" t="s">
        <v>420</v>
      </c>
      <c r="B131" t="s">
        <v>421</v>
      </c>
      <c r="C131" t="s">
        <v>422</v>
      </c>
      <c r="D131">
        <v>2</v>
      </c>
      <c r="E131">
        <v>12</v>
      </c>
      <c r="F131">
        <v>180</v>
      </c>
      <c r="G131">
        <v>12</v>
      </c>
      <c r="H131" s="54">
        <v>65.2</v>
      </c>
      <c r="I131">
        <v>0</v>
      </c>
      <c r="J131">
        <v>0</v>
      </c>
      <c r="K131">
        <v>0</v>
      </c>
    </row>
    <row r="132" spans="1:11" x14ac:dyDescent="0.25">
      <c r="A132" t="s">
        <v>420</v>
      </c>
      <c r="B132" t="s">
        <v>421</v>
      </c>
      <c r="C132" t="s">
        <v>422</v>
      </c>
      <c r="D132">
        <v>2</v>
      </c>
      <c r="E132">
        <v>12</v>
      </c>
      <c r="F132">
        <v>200</v>
      </c>
      <c r="G132">
        <v>12</v>
      </c>
      <c r="H132" s="54">
        <v>65.2</v>
      </c>
      <c r="I132">
        <v>0</v>
      </c>
      <c r="J132">
        <v>0</v>
      </c>
      <c r="K132">
        <v>0</v>
      </c>
    </row>
    <row r="133" spans="1:11" x14ac:dyDescent="0.25">
      <c r="A133" t="s">
        <v>420</v>
      </c>
      <c r="B133" t="s">
        <v>421</v>
      </c>
      <c r="C133" t="s">
        <v>422</v>
      </c>
      <c r="D133">
        <v>2</v>
      </c>
      <c r="E133">
        <v>16</v>
      </c>
      <c r="F133">
        <v>120</v>
      </c>
      <c r="G133">
        <v>16</v>
      </c>
      <c r="H133" s="54">
        <v>137.80000000000001</v>
      </c>
      <c r="I133">
        <v>0</v>
      </c>
      <c r="J133">
        <v>0</v>
      </c>
      <c r="K133">
        <v>0</v>
      </c>
    </row>
    <row r="134" spans="1:11" x14ac:dyDescent="0.25">
      <c r="A134" t="s">
        <v>420</v>
      </c>
      <c r="B134" t="s">
        <v>421</v>
      </c>
      <c r="C134" t="s">
        <v>422</v>
      </c>
      <c r="D134">
        <v>2</v>
      </c>
      <c r="E134">
        <v>16</v>
      </c>
      <c r="F134">
        <v>140</v>
      </c>
      <c r="G134">
        <v>16</v>
      </c>
      <c r="H134" s="54">
        <v>137.80000000000001</v>
      </c>
      <c r="I134">
        <v>0</v>
      </c>
      <c r="J134">
        <v>0</v>
      </c>
      <c r="K134">
        <v>0</v>
      </c>
    </row>
    <row r="135" spans="1:11" x14ac:dyDescent="0.25">
      <c r="A135" t="s">
        <v>420</v>
      </c>
      <c r="B135" t="s">
        <v>421</v>
      </c>
      <c r="C135" t="s">
        <v>422</v>
      </c>
      <c r="D135">
        <v>2</v>
      </c>
      <c r="E135">
        <v>16</v>
      </c>
      <c r="F135">
        <v>150</v>
      </c>
      <c r="G135">
        <v>16</v>
      </c>
      <c r="H135" s="54">
        <v>137.80000000000001</v>
      </c>
      <c r="I135">
        <v>0</v>
      </c>
      <c r="J135">
        <v>0</v>
      </c>
      <c r="K135">
        <v>0</v>
      </c>
    </row>
    <row r="136" spans="1:11" x14ac:dyDescent="0.25">
      <c r="A136" t="s">
        <v>420</v>
      </c>
      <c r="B136" t="s">
        <v>421</v>
      </c>
      <c r="C136" t="s">
        <v>422</v>
      </c>
      <c r="D136">
        <v>2</v>
      </c>
      <c r="E136">
        <v>16</v>
      </c>
      <c r="F136">
        <v>160</v>
      </c>
      <c r="G136">
        <v>16</v>
      </c>
      <c r="H136" s="54">
        <v>137.80000000000001</v>
      </c>
      <c r="I136">
        <v>0</v>
      </c>
      <c r="J136">
        <v>0</v>
      </c>
      <c r="K136">
        <v>0</v>
      </c>
    </row>
    <row r="137" spans="1:11" x14ac:dyDescent="0.25">
      <c r="A137" t="s">
        <v>420</v>
      </c>
      <c r="B137" t="s">
        <v>421</v>
      </c>
      <c r="C137" t="s">
        <v>422</v>
      </c>
      <c r="D137">
        <v>2</v>
      </c>
      <c r="E137">
        <v>16</v>
      </c>
      <c r="F137">
        <v>180</v>
      </c>
      <c r="G137">
        <v>16</v>
      </c>
      <c r="H137" s="54">
        <v>137.80000000000001</v>
      </c>
      <c r="I137">
        <v>0</v>
      </c>
      <c r="J137">
        <v>0</v>
      </c>
      <c r="K137">
        <v>0</v>
      </c>
    </row>
    <row r="138" spans="1:11" x14ac:dyDescent="0.25">
      <c r="A138" t="s">
        <v>420</v>
      </c>
      <c r="B138" t="s">
        <v>421</v>
      </c>
      <c r="C138" t="s">
        <v>422</v>
      </c>
      <c r="D138">
        <v>2</v>
      </c>
      <c r="E138">
        <v>16</v>
      </c>
      <c r="F138">
        <v>200</v>
      </c>
      <c r="G138">
        <v>16</v>
      </c>
      <c r="H138" s="54">
        <v>137.80000000000001</v>
      </c>
      <c r="I138">
        <v>0</v>
      </c>
      <c r="J138">
        <v>0</v>
      </c>
      <c r="K138">
        <v>0</v>
      </c>
    </row>
    <row r="139" spans="1:11" x14ac:dyDescent="0.25">
      <c r="A139" t="s">
        <v>420</v>
      </c>
      <c r="B139" t="s">
        <v>421</v>
      </c>
      <c r="C139" t="s">
        <v>422</v>
      </c>
      <c r="D139">
        <v>2</v>
      </c>
      <c r="E139">
        <v>16</v>
      </c>
      <c r="F139">
        <v>250</v>
      </c>
      <c r="G139">
        <v>16</v>
      </c>
      <c r="H139" s="54">
        <v>137.80000000000001</v>
      </c>
      <c r="I139">
        <v>0</v>
      </c>
      <c r="J139">
        <v>0</v>
      </c>
      <c r="K139">
        <v>0</v>
      </c>
    </row>
    <row r="140" spans="1:11" x14ac:dyDescent="0.25">
      <c r="A140" t="s">
        <v>420</v>
      </c>
      <c r="B140" t="s">
        <v>423</v>
      </c>
      <c r="C140" t="s">
        <v>422</v>
      </c>
      <c r="D140">
        <v>3</v>
      </c>
      <c r="E140">
        <v>8</v>
      </c>
      <c r="F140">
        <v>80</v>
      </c>
      <c r="G140">
        <v>8</v>
      </c>
      <c r="H140" s="54">
        <v>22.7</v>
      </c>
      <c r="I140">
        <v>0</v>
      </c>
      <c r="J140">
        <v>0</v>
      </c>
      <c r="K140">
        <v>0</v>
      </c>
    </row>
    <row r="141" spans="1:11" x14ac:dyDescent="0.25">
      <c r="A141" t="s">
        <v>420</v>
      </c>
      <c r="B141" t="s">
        <v>423</v>
      </c>
      <c r="C141" t="s">
        <v>422</v>
      </c>
      <c r="D141">
        <v>3</v>
      </c>
      <c r="E141">
        <v>8</v>
      </c>
      <c r="F141">
        <v>90</v>
      </c>
      <c r="G141">
        <v>8</v>
      </c>
      <c r="H141" s="54">
        <v>22.7</v>
      </c>
      <c r="I141">
        <v>0</v>
      </c>
      <c r="J141">
        <v>0</v>
      </c>
      <c r="K141">
        <v>0</v>
      </c>
    </row>
    <row r="142" spans="1:11" x14ac:dyDescent="0.25">
      <c r="A142" t="s">
        <v>420</v>
      </c>
      <c r="B142" t="s">
        <v>423</v>
      </c>
      <c r="C142" t="s">
        <v>422</v>
      </c>
      <c r="D142">
        <v>3</v>
      </c>
      <c r="E142">
        <v>8</v>
      </c>
      <c r="F142">
        <v>100</v>
      </c>
      <c r="G142">
        <v>8</v>
      </c>
      <c r="H142" s="54">
        <v>22.7</v>
      </c>
      <c r="I142">
        <v>0</v>
      </c>
      <c r="J142">
        <v>0</v>
      </c>
      <c r="K142">
        <v>0</v>
      </c>
    </row>
    <row r="143" spans="1:11" x14ac:dyDescent="0.25">
      <c r="A143" t="s">
        <v>420</v>
      </c>
      <c r="B143" t="s">
        <v>423</v>
      </c>
      <c r="C143" t="s">
        <v>422</v>
      </c>
      <c r="D143">
        <v>3</v>
      </c>
      <c r="E143">
        <v>8</v>
      </c>
      <c r="F143">
        <v>115</v>
      </c>
      <c r="G143">
        <v>8</v>
      </c>
      <c r="H143" s="54">
        <v>22.7</v>
      </c>
      <c r="I143">
        <v>0</v>
      </c>
      <c r="J143">
        <v>0</v>
      </c>
      <c r="K143">
        <v>0</v>
      </c>
    </row>
    <row r="144" spans="1:11" x14ac:dyDescent="0.25">
      <c r="A144" t="s">
        <v>420</v>
      </c>
      <c r="B144" t="s">
        <v>423</v>
      </c>
      <c r="C144" t="s">
        <v>422</v>
      </c>
      <c r="D144">
        <v>3</v>
      </c>
      <c r="E144">
        <v>8</v>
      </c>
      <c r="F144">
        <v>120</v>
      </c>
      <c r="G144">
        <v>8</v>
      </c>
      <c r="H144" s="54">
        <v>22.7</v>
      </c>
      <c r="I144">
        <v>0</v>
      </c>
      <c r="J144">
        <v>0</v>
      </c>
      <c r="K144">
        <v>0</v>
      </c>
    </row>
    <row r="145" spans="1:24" x14ac:dyDescent="0.25">
      <c r="A145" t="s">
        <v>420</v>
      </c>
      <c r="B145" t="s">
        <v>423</v>
      </c>
      <c r="C145" t="s">
        <v>422</v>
      </c>
      <c r="D145">
        <v>3</v>
      </c>
      <c r="E145">
        <v>8</v>
      </c>
      <c r="F145">
        <v>140</v>
      </c>
      <c r="G145">
        <v>8</v>
      </c>
      <c r="H145" s="54">
        <v>22.7</v>
      </c>
      <c r="I145">
        <v>0</v>
      </c>
      <c r="J145">
        <v>0</v>
      </c>
      <c r="K145">
        <v>0</v>
      </c>
    </row>
    <row r="146" spans="1:24" x14ac:dyDescent="0.25">
      <c r="A146" t="s">
        <v>420</v>
      </c>
      <c r="B146" t="s">
        <v>423</v>
      </c>
      <c r="C146" t="s">
        <v>422</v>
      </c>
      <c r="D146">
        <v>3</v>
      </c>
      <c r="E146">
        <v>12</v>
      </c>
      <c r="F146">
        <v>120</v>
      </c>
      <c r="G146">
        <v>12</v>
      </c>
      <c r="H146" s="54">
        <v>65.2</v>
      </c>
      <c r="I146">
        <v>0</v>
      </c>
      <c r="J146">
        <v>0</v>
      </c>
      <c r="K146">
        <v>0</v>
      </c>
    </row>
    <row r="147" spans="1:24" x14ac:dyDescent="0.25">
      <c r="A147" t="s">
        <v>420</v>
      </c>
      <c r="B147" t="s">
        <v>423</v>
      </c>
      <c r="C147" t="s">
        <v>422</v>
      </c>
      <c r="D147">
        <v>3</v>
      </c>
      <c r="E147">
        <v>12</v>
      </c>
      <c r="F147">
        <v>140</v>
      </c>
      <c r="G147">
        <v>12</v>
      </c>
      <c r="H147" s="54">
        <v>65.2</v>
      </c>
      <c r="I147">
        <v>0</v>
      </c>
      <c r="J147">
        <v>0</v>
      </c>
      <c r="K147">
        <v>0</v>
      </c>
    </row>
    <row r="148" spans="1:24" x14ac:dyDescent="0.25">
      <c r="A148" t="s">
        <v>420</v>
      </c>
      <c r="B148" t="s">
        <v>423</v>
      </c>
      <c r="C148" t="s">
        <v>422</v>
      </c>
      <c r="D148">
        <v>3</v>
      </c>
      <c r="E148">
        <v>16</v>
      </c>
      <c r="F148">
        <v>100</v>
      </c>
      <c r="G148">
        <v>16</v>
      </c>
      <c r="H148" s="54">
        <v>137.80000000000001</v>
      </c>
      <c r="I148">
        <v>0</v>
      </c>
      <c r="J148">
        <v>0</v>
      </c>
      <c r="K148">
        <v>0</v>
      </c>
    </row>
    <row r="156" spans="1:24" x14ac:dyDescent="0.25">
      <c r="J156" s="74"/>
      <c r="K156" s="74"/>
      <c r="L156" s="74"/>
      <c r="M156" s="75"/>
      <c r="N156" s="75"/>
      <c r="O156" s="74"/>
      <c r="P156" s="74"/>
      <c r="Q156" s="74"/>
      <c r="R156" s="75"/>
      <c r="S156" s="75"/>
      <c r="T156" s="75"/>
      <c r="U156" s="75"/>
      <c r="V156" s="74"/>
      <c r="W156" s="74"/>
      <c r="X156" s="74"/>
    </row>
  </sheetData>
  <autoFilter ref="A1:H1" xr:uid="{00000000-0001-0000-0900-000000000000}"/>
  <phoneticPr fontId="4" type="noConversion"/>
  <conditionalFormatting sqref="J156">
    <cfRule type="cellIs" dxfId="2" priority="1" operator="equal">
      <formula>"Spiker"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0.79998168889431442"/>
  </sheetPr>
  <dimension ref="A1:Y551"/>
  <sheetViews>
    <sheetView workbookViewId="0">
      <pane ySplit="600" activePane="bottomLeft"/>
      <selection activeCell="M1" sqref="M1"/>
      <selection pane="bottomLeft" activeCell="P86" sqref="P86"/>
    </sheetView>
  </sheetViews>
  <sheetFormatPr baseColWidth="10" defaultRowHeight="15" x14ac:dyDescent="0.25"/>
  <cols>
    <col min="2" max="2" width="32" customWidth="1"/>
    <col min="3" max="3" width="30.85546875" bestFit="1" customWidth="1"/>
    <col min="4" max="4" width="18.85546875" customWidth="1"/>
    <col min="8" max="11" width="16.140625" customWidth="1"/>
  </cols>
  <sheetData>
    <row r="1" spans="1:13" x14ac:dyDescent="0.25">
      <c r="A1" t="s">
        <v>0</v>
      </c>
      <c r="B1" t="s">
        <v>1</v>
      </c>
      <c r="C1" t="s">
        <v>231</v>
      </c>
      <c r="D1" t="s">
        <v>232</v>
      </c>
      <c r="E1" t="s">
        <v>18</v>
      </c>
      <c r="F1" t="s">
        <v>20</v>
      </c>
      <c r="G1" t="s">
        <v>22</v>
      </c>
      <c r="H1" t="s">
        <v>215</v>
      </c>
      <c r="I1" t="s">
        <v>214</v>
      </c>
      <c r="J1" t="s">
        <v>171</v>
      </c>
      <c r="K1" t="s">
        <v>172</v>
      </c>
      <c r="L1" t="s">
        <v>325</v>
      </c>
      <c r="M1" t="s">
        <v>326</v>
      </c>
    </row>
    <row r="2" spans="1:13" x14ac:dyDescent="0.25">
      <c r="A2" t="s">
        <v>267</v>
      </c>
      <c r="B2" t="s">
        <v>360</v>
      </c>
      <c r="C2" t="s">
        <v>365</v>
      </c>
      <c r="D2">
        <v>2</v>
      </c>
      <c r="E2">
        <v>8</v>
      </c>
      <c r="F2">
        <v>160</v>
      </c>
      <c r="G2">
        <v>10.199999999999999</v>
      </c>
      <c r="H2">
        <v>20.3</v>
      </c>
      <c r="I2">
        <v>13.1</v>
      </c>
      <c r="J2">
        <v>0</v>
      </c>
      <c r="K2">
        <v>24.1</v>
      </c>
      <c r="L2">
        <v>150</v>
      </c>
    </row>
    <row r="3" spans="1:13" x14ac:dyDescent="0.25">
      <c r="A3" t="s">
        <v>267</v>
      </c>
      <c r="B3" t="s">
        <v>360</v>
      </c>
      <c r="C3" t="s">
        <v>365</v>
      </c>
      <c r="D3">
        <v>2</v>
      </c>
      <c r="E3">
        <v>8</v>
      </c>
      <c r="F3">
        <v>180</v>
      </c>
      <c r="G3">
        <v>10.199999999999999</v>
      </c>
      <c r="H3">
        <v>20.3</v>
      </c>
      <c r="I3">
        <v>13.1</v>
      </c>
      <c r="J3">
        <v>0</v>
      </c>
      <c r="K3">
        <v>24.1</v>
      </c>
      <c r="L3">
        <v>170</v>
      </c>
    </row>
    <row r="4" spans="1:13" x14ac:dyDescent="0.25">
      <c r="A4" t="s">
        <v>267</v>
      </c>
      <c r="B4" t="s">
        <v>360</v>
      </c>
      <c r="C4" t="s">
        <v>365</v>
      </c>
      <c r="D4">
        <v>2</v>
      </c>
      <c r="E4">
        <v>8</v>
      </c>
      <c r="F4">
        <v>200</v>
      </c>
      <c r="G4">
        <v>10.199999999999999</v>
      </c>
      <c r="H4">
        <v>20.3</v>
      </c>
      <c r="I4">
        <v>13.1</v>
      </c>
      <c r="J4">
        <v>0</v>
      </c>
      <c r="K4">
        <v>24.1</v>
      </c>
      <c r="L4">
        <v>190</v>
      </c>
    </row>
    <row r="5" spans="1:13" x14ac:dyDescent="0.25">
      <c r="A5" t="s">
        <v>267</v>
      </c>
      <c r="B5" t="s">
        <v>360</v>
      </c>
      <c r="C5" t="s">
        <v>365</v>
      </c>
      <c r="D5">
        <v>2</v>
      </c>
      <c r="E5">
        <v>8</v>
      </c>
      <c r="F5">
        <v>220</v>
      </c>
      <c r="G5">
        <v>10.199999999999999</v>
      </c>
      <c r="H5">
        <v>20.3</v>
      </c>
      <c r="I5">
        <v>13.1</v>
      </c>
      <c r="J5">
        <v>0</v>
      </c>
      <c r="K5">
        <v>24.1</v>
      </c>
      <c r="L5">
        <v>210</v>
      </c>
    </row>
    <row r="6" spans="1:13" x14ac:dyDescent="0.25">
      <c r="A6" t="s">
        <v>267</v>
      </c>
      <c r="B6" t="s">
        <v>360</v>
      </c>
      <c r="C6" t="s">
        <v>365</v>
      </c>
      <c r="D6">
        <v>2</v>
      </c>
      <c r="E6">
        <v>8</v>
      </c>
      <c r="F6">
        <v>240</v>
      </c>
      <c r="G6">
        <v>10.199999999999999</v>
      </c>
      <c r="H6">
        <v>20.3</v>
      </c>
      <c r="I6">
        <v>13.1</v>
      </c>
      <c r="J6">
        <v>0</v>
      </c>
      <c r="K6">
        <v>24.1</v>
      </c>
      <c r="L6">
        <v>230</v>
      </c>
    </row>
    <row r="7" spans="1:13" x14ac:dyDescent="0.25">
      <c r="A7" t="s">
        <v>267</v>
      </c>
      <c r="B7" t="s">
        <v>360</v>
      </c>
      <c r="C7" t="s">
        <v>365</v>
      </c>
      <c r="D7">
        <v>2</v>
      </c>
      <c r="E7">
        <v>8</v>
      </c>
      <c r="F7">
        <v>260</v>
      </c>
      <c r="G7">
        <v>10.199999999999999</v>
      </c>
      <c r="H7">
        <v>20.3</v>
      </c>
      <c r="I7">
        <v>13.1</v>
      </c>
      <c r="J7">
        <v>0</v>
      </c>
      <c r="K7">
        <v>24.1</v>
      </c>
      <c r="L7">
        <v>250</v>
      </c>
    </row>
    <row r="8" spans="1:13" x14ac:dyDescent="0.25">
      <c r="A8" t="s">
        <v>267</v>
      </c>
      <c r="B8" t="s">
        <v>360</v>
      </c>
      <c r="C8" t="s">
        <v>365</v>
      </c>
      <c r="D8">
        <v>2</v>
      </c>
      <c r="E8">
        <v>8</v>
      </c>
      <c r="F8">
        <v>280</v>
      </c>
      <c r="G8">
        <v>10.199999999999999</v>
      </c>
      <c r="H8">
        <v>20.3</v>
      </c>
      <c r="I8">
        <v>13.1</v>
      </c>
      <c r="J8">
        <v>0</v>
      </c>
      <c r="K8">
        <v>24.1</v>
      </c>
      <c r="L8">
        <v>270</v>
      </c>
    </row>
    <row r="9" spans="1:13" x14ac:dyDescent="0.25">
      <c r="A9" t="s">
        <v>267</v>
      </c>
      <c r="B9" t="s">
        <v>360</v>
      </c>
      <c r="C9" t="s">
        <v>365</v>
      </c>
      <c r="D9">
        <v>2</v>
      </c>
      <c r="E9">
        <v>8</v>
      </c>
      <c r="F9">
        <v>300</v>
      </c>
      <c r="G9">
        <v>10.199999999999999</v>
      </c>
      <c r="H9">
        <v>20.3</v>
      </c>
      <c r="I9">
        <v>13.1</v>
      </c>
      <c r="J9">
        <v>0</v>
      </c>
      <c r="K9">
        <v>24.1</v>
      </c>
      <c r="L9">
        <v>290</v>
      </c>
    </row>
    <row r="10" spans="1:13" x14ac:dyDescent="0.25">
      <c r="A10" t="s">
        <v>267</v>
      </c>
      <c r="B10" t="s">
        <v>360</v>
      </c>
      <c r="C10" t="s">
        <v>365</v>
      </c>
      <c r="D10">
        <v>2</v>
      </c>
      <c r="E10">
        <v>8</v>
      </c>
      <c r="F10">
        <v>325</v>
      </c>
      <c r="G10">
        <v>10.199999999999999</v>
      </c>
      <c r="H10">
        <v>20.3</v>
      </c>
      <c r="I10">
        <v>13.1</v>
      </c>
      <c r="J10">
        <v>0</v>
      </c>
      <c r="K10">
        <v>24.1</v>
      </c>
      <c r="L10">
        <v>315</v>
      </c>
    </row>
    <row r="11" spans="1:13" x14ac:dyDescent="0.25">
      <c r="A11" t="s">
        <v>267</v>
      </c>
      <c r="B11" t="s">
        <v>360</v>
      </c>
      <c r="C11" t="s">
        <v>365</v>
      </c>
      <c r="D11">
        <v>2</v>
      </c>
      <c r="E11">
        <v>10</v>
      </c>
      <c r="F11">
        <v>300</v>
      </c>
      <c r="G11">
        <v>13.4</v>
      </c>
      <c r="H11">
        <v>36.700000000000003</v>
      </c>
      <c r="I11">
        <v>12.5</v>
      </c>
      <c r="J11">
        <v>0</v>
      </c>
      <c r="K11">
        <v>40</v>
      </c>
      <c r="L11">
        <v>288</v>
      </c>
    </row>
    <row r="12" spans="1:13" x14ac:dyDescent="0.25">
      <c r="A12" t="s">
        <v>267</v>
      </c>
      <c r="B12" t="s">
        <v>360</v>
      </c>
      <c r="C12" t="s">
        <v>365</v>
      </c>
      <c r="D12">
        <v>2</v>
      </c>
      <c r="E12">
        <v>10</v>
      </c>
      <c r="F12">
        <v>325</v>
      </c>
      <c r="G12">
        <v>13.4</v>
      </c>
      <c r="H12">
        <v>36.700000000000003</v>
      </c>
      <c r="I12">
        <v>12.5</v>
      </c>
      <c r="J12">
        <v>0</v>
      </c>
      <c r="K12">
        <v>40</v>
      </c>
      <c r="L12">
        <v>301</v>
      </c>
    </row>
    <row r="13" spans="1:13" x14ac:dyDescent="0.25">
      <c r="A13" t="s">
        <v>267</v>
      </c>
      <c r="B13" t="s">
        <v>360</v>
      </c>
      <c r="C13" t="s">
        <v>365</v>
      </c>
      <c r="D13">
        <v>2</v>
      </c>
      <c r="E13">
        <v>10</v>
      </c>
      <c r="F13">
        <v>350</v>
      </c>
      <c r="G13">
        <v>13.4</v>
      </c>
      <c r="H13">
        <v>36.700000000000003</v>
      </c>
      <c r="I13">
        <v>12.5</v>
      </c>
      <c r="J13">
        <v>0</v>
      </c>
      <c r="K13">
        <v>40</v>
      </c>
      <c r="L13">
        <v>326</v>
      </c>
    </row>
    <row r="14" spans="1:13" x14ac:dyDescent="0.25">
      <c r="A14" t="s">
        <v>267</v>
      </c>
      <c r="B14" t="s">
        <v>360</v>
      </c>
      <c r="C14" t="s">
        <v>365</v>
      </c>
      <c r="D14">
        <v>2</v>
      </c>
      <c r="E14">
        <v>10</v>
      </c>
      <c r="F14">
        <v>375</v>
      </c>
      <c r="G14">
        <v>13.4</v>
      </c>
      <c r="H14">
        <v>36.700000000000003</v>
      </c>
      <c r="I14">
        <v>12.5</v>
      </c>
      <c r="J14">
        <v>0</v>
      </c>
      <c r="K14">
        <v>40</v>
      </c>
      <c r="L14">
        <v>351</v>
      </c>
    </row>
    <row r="15" spans="1:13" x14ac:dyDescent="0.25">
      <c r="A15" t="s">
        <v>267</v>
      </c>
      <c r="B15" t="s">
        <v>360</v>
      </c>
      <c r="C15" t="s">
        <v>365</v>
      </c>
      <c r="D15">
        <v>2</v>
      </c>
      <c r="E15">
        <v>10</v>
      </c>
      <c r="F15">
        <v>400</v>
      </c>
      <c r="G15">
        <v>13.4</v>
      </c>
      <c r="H15">
        <v>36.700000000000003</v>
      </c>
      <c r="I15">
        <v>12.5</v>
      </c>
      <c r="J15">
        <v>0</v>
      </c>
      <c r="K15">
        <v>40</v>
      </c>
      <c r="L15">
        <v>376</v>
      </c>
    </row>
    <row r="16" spans="1:13" x14ac:dyDescent="0.25">
      <c r="A16" t="s">
        <v>267</v>
      </c>
      <c r="B16" t="s">
        <v>360</v>
      </c>
      <c r="C16" t="s">
        <v>365</v>
      </c>
      <c r="D16">
        <v>2</v>
      </c>
      <c r="E16">
        <v>10</v>
      </c>
      <c r="F16">
        <v>450</v>
      </c>
      <c r="G16">
        <v>13.4</v>
      </c>
      <c r="H16">
        <v>36.700000000000003</v>
      </c>
      <c r="I16">
        <v>12.5</v>
      </c>
      <c r="J16">
        <v>0</v>
      </c>
      <c r="K16">
        <v>40</v>
      </c>
      <c r="L16">
        <v>428</v>
      </c>
    </row>
    <row r="17" spans="1:12" x14ac:dyDescent="0.25">
      <c r="A17" t="s">
        <v>267</v>
      </c>
      <c r="B17" t="s">
        <v>360</v>
      </c>
      <c r="C17" t="s">
        <v>365</v>
      </c>
      <c r="D17">
        <v>2</v>
      </c>
      <c r="E17">
        <v>10</v>
      </c>
      <c r="F17">
        <v>500</v>
      </c>
      <c r="G17">
        <v>13.4</v>
      </c>
      <c r="H17">
        <v>36.700000000000003</v>
      </c>
      <c r="I17">
        <v>12.5</v>
      </c>
      <c r="J17">
        <v>0</v>
      </c>
      <c r="K17">
        <v>40</v>
      </c>
      <c r="L17">
        <v>476</v>
      </c>
    </row>
    <row r="18" spans="1:12" x14ac:dyDescent="0.25">
      <c r="A18" t="s">
        <v>267</v>
      </c>
      <c r="B18" t="s">
        <v>360</v>
      </c>
      <c r="C18" t="s">
        <v>365</v>
      </c>
      <c r="D18">
        <v>2</v>
      </c>
      <c r="E18">
        <v>10</v>
      </c>
      <c r="F18">
        <v>600</v>
      </c>
      <c r="G18">
        <v>13.4</v>
      </c>
      <c r="H18">
        <v>36.700000000000003</v>
      </c>
      <c r="I18">
        <v>12.5</v>
      </c>
      <c r="J18">
        <v>0</v>
      </c>
      <c r="K18">
        <v>40</v>
      </c>
      <c r="L18">
        <v>576</v>
      </c>
    </row>
    <row r="19" spans="1:12" x14ac:dyDescent="0.25">
      <c r="A19" t="s">
        <v>267</v>
      </c>
      <c r="B19" t="s">
        <v>360</v>
      </c>
      <c r="C19" t="s">
        <v>365</v>
      </c>
      <c r="D19">
        <v>2</v>
      </c>
      <c r="E19">
        <v>10</v>
      </c>
      <c r="F19">
        <v>800</v>
      </c>
      <c r="G19">
        <v>13.4</v>
      </c>
      <c r="H19">
        <v>36.700000000000003</v>
      </c>
      <c r="I19">
        <v>12.5</v>
      </c>
      <c r="J19">
        <v>0</v>
      </c>
      <c r="K19">
        <v>40</v>
      </c>
      <c r="L19">
        <v>786</v>
      </c>
    </row>
    <row r="20" spans="1:12" x14ac:dyDescent="0.25">
      <c r="A20" t="s">
        <v>267</v>
      </c>
      <c r="B20" t="s">
        <v>360</v>
      </c>
      <c r="C20" t="s">
        <v>365</v>
      </c>
      <c r="D20">
        <v>2</v>
      </c>
      <c r="E20">
        <v>10</v>
      </c>
      <c r="F20">
        <v>1000</v>
      </c>
      <c r="G20">
        <v>13.4</v>
      </c>
      <c r="H20">
        <v>36.700000000000003</v>
      </c>
      <c r="I20">
        <v>12.5</v>
      </c>
      <c r="J20">
        <v>0</v>
      </c>
      <c r="K20">
        <v>40</v>
      </c>
      <c r="L20">
        <v>976</v>
      </c>
    </row>
    <row r="21" spans="1:12" x14ac:dyDescent="0.25">
      <c r="A21" t="s">
        <v>267</v>
      </c>
      <c r="B21" t="s">
        <v>361</v>
      </c>
      <c r="C21" t="s">
        <v>366</v>
      </c>
      <c r="D21">
        <v>2</v>
      </c>
      <c r="E21">
        <v>8</v>
      </c>
      <c r="F21">
        <v>120</v>
      </c>
      <c r="G21">
        <v>15</v>
      </c>
      <c r="H21">
        <v>22.6</v>
      </c>
      <c r="I21">
        <v>10.9</v>
      </c>
      <c r="J21">
        <v>12.4</v>
      </c>
      <c r="K21">
        <v>22.6</v>
      </c>
      <c r="L21">
        <v>80</v>
      </c>
    </row>
    <row r="22" spans="1:12" x14ac:dyDescent="0.25">
      <c r="A22" t="s">
        <v>267</v>
      </c>
      <c r="B22" t="s">
        <v>361</v>
      </c>
      <c r="C22" t="s">
        <v>366</v>
      </c>
      <c r="D22">
        <v>2</v>
      </c>
      <c r="E22">
        <v>8</v>
      </c>
      <c r="F22">
        <v>160</v>
      </c>
      <c r="G22">
        <v>15</v>
      </c>
      <c r="H22">
        <v>22.6</v>
      </c>
      <c r="I22">
        <v>10.9</v>
      </c>
      <c r="J22">
        <v>12.4</v>
      </c>
      <c r="K22">
        <v>22.6</v>
      </c>
      <c r="L22">
        <v>80</v>
      </c>
    </row>
    <row r="23" spans="1:12" x14ac:dyDescent="0.25">
      <c r="A23" t="s">
        <v>267</v>
      </c>
      <c r="B23" t="s">
        <v>361</v>
      </c>
      <c r="C23" t="s">
        <v>366</v>
      </c>
      <c r="D23">
        <v>2</v>
      </c>
      <c r="E23">
        <v>8</v>
      </c>
      <c r="F23">
        <v>180</v>
      </c>
      <c r="G23">
        <v>15</v>
      </c>
      <c r="H23">
        <v>22.6</v>
      </c>
      <c r="I23">
        <v>10.9</v>
      </c>
      <c r="J23">
        <v>12.4</v>
      </c>
      <c r="K23">
        <v>22.6</v>
      </c>
      <c r="L23">
        <v>100</v>
      </c>
    </row>
    <row r="24" spans="1:12" x14ac:dyDescent="0.25">
      <c r="A24" t="s">
        <v>267</v>
      </c>
      <c r="B24" t="s">
        <v>361</v>
      </c>
      <c r="C24" t="s">
        <v>366</v>
      </c>
      <c r="D24">
        <v>2</v>
      </c>
      <c r="E24">
        <v>8</v>
      </c>
      <c r="F24">
        <v>200</v>
      </c>
      <c r="G24">
        <v>15</v>
      </c>
      <c r="H24">
        <v>22.6</v>
      </c>
      <c r="I24">
        <v>10.9</v>
      </c>
      <c r="J24">
        <v>12.4</v>
      </c>
      <c r="K24">
        <v>22.6</v>
      </c>
      <c r="L24">
        <v>100</v>
      </c>
    </row>
    <row r="25" spans="1:12" x14ac:dyDescent="0.25">
      <c r="A25" t="s">
        <v>267</v>
      </c>
      <c r="B25" t="s">
        <v>361</v>
      </c>
      <c r="C25" t="s">
        <v>366</v>
      </c>
      <c r="D25">
        <v>2</v>
      </c>
      <c r="E25">
        <v>8</v>
      </c>
      <c r="F25">
        <v>240</v>
      </c>
      <c r="G25">
        <v>15</v>
      </c>
      <c r="H25">
        <v>22.6</v>
      </c>
      <c r="I25">
        <v>10.9</v>
      </c>
      <c r="J25">
        <v>12.4</v>
      </c>
      <c r="K25">
        <v>22.6</v>
      </c>
      <c r="L25">
        <v>100</v>
      </c>
    </row>
    <row r="26" spans="1:12" x14ac:dyDescent="0.25">
      <c r="A26" t="s">
        <v>267</v>
      </c>
      <c r="B26" t="s">
        <v>361</v>
      </c>
      <c r="C26" t="s">
        <v>366</v>
      </c>
      <c r="D26">
        <v>2</v>
      </c>
      <c r="E26">
        <v>8</v>
      </c>
      <c r="F26">
        <v>280</v>
      </c>
      <c r="G26">
        <v>15</v>
      </c>
      <c r="H26">
        <v>22.6</v>
      </c>
      <c r="I26">
        <v>10.9</v>
      </c>
      <c r="J26">
        <v>12.4</v>
      </c>
      <c r="K26">
        <v>22.6</v>
      </c>
      <c r="L26">
        <v>100</v>
      </c>
    </row>
    <row r="27" spans="1:12" x14ac:dyDescent="0.25">
      <c r="A27" t="s">
        <v>267</v>
      </c>
      <c r="B27" t="s">
        <v>361</v>
      </c>
      <c r="C27" t="s">
        <v>366</v>
      </c>
      <c r="D27">
        <v>2</v>
      </c>
      <c r="E27">
        <v>8</v>
      </c>
      <c r="F27">
        <v>320</v>
      </c>
      <c r="G27">
        <v>15</v>
      </c>
      <c r="H27">
        <v>22.6</v>
      </c>
      <c r="I27">
        <v>10.9</v>
      </c>
      <c r="J27">
        <v>12.4</v>
      </c>
      <c r="K27">
        <v>22.6</v>
      </c>
      <c r="L27">
        <v>100</v>
      </c>
    </row>
    <row r="28" spans="1:12" x14ac:dyDescent="0.25">
      <c r="A28" t="s">
        <v>267</v>
      </c>
      <c r="B28" t="s">
        <v>361</v>
      </c>
      <c r="C28" t="s">
        <v>366</v>
      </c>
      <c r="D28">
        <v>2</v>
      </c>
      <c r="E28">
        <v>8</v>
      </c>
      <c r="F28">
        <v>360</v>
      </c>
      <c r="G28">
        <v>15</v>
      </c>
      <c r="H28">
        <v>22.6</v>
      </c>
      <c r="I28">
        <v>10.9</v>
      </c>
      <c r="J28">
        <v>12.4</v>
      </c>
      <c r="K28">
        <v>22.6</v>
      </c>
      <c r="L28">
        <v>100</v>
      </c>
    </row>
    <row r="29" spans="1:12" x14ac:dyDescent="0.25">
      <c r="A29" t="s">
        <v>267</v>
      </c>
      <c r="B29" t="s">
        <v>361</v>
      </c>
      <c r="C29" t="s">
        <v>366</v>
      </c>
      <c r="D29">
        <v>2</v>
      </c>
      <c r="E29">
        <v>8</v>
      </c>
      <c r="F29">
        <v>400</v>
      </c>
      <c r="G29">
        <v>15</v>
      </c>
      <c r="H29">
        <v>22.6</v>
      </c>
      <c r="I29">
        <v>10.9</v>
      </c>
      <c r="J29">
        <v>12.4</v>
      </c>
      <c r="K29">
        <v>22.6</v>
      </c>
      <c r="L29">
        <v>100</v>
      </c>
    </row>
    <row r="30" spans="1:12" x14ac:dyDescent="0.25">
      <c r="A30" t="s">
        <v>267</v>
      </c>
      <c r="B30" t="s">
        <v>361</v>
      </c>
      <c r="C30" t="s">
        <v>366</v>
      </c>
      <c r="D30">
        <v>2</v>
      </c>
      <c r="E30">
        <v>8</v>
      </c>
      <c r="F30">
        <v>440</v>
      </c>
      <c r="G30">
        <v>15</v>
      </c>
      <c r="H30">
        <v>22.6</v>
      </c>
      <c r="I30">
        <v>10.9</v>
      </c>
      <c r="J30">
        <v>12.4</v>
      </c>
      <c r="K30">
        <v>22.6</v>
      </c>
      <c r="L30">
        <v>100</v>
      </c>
    </row>
    <row r="31" spans="1:12" x14ac:dyDescent="0.25">
      <c r="A31" t="s">
        <v>267</v>
      </c>
      <c r="B31" t="s">
        <v>361</v>
      </c>
      <c r="C31" t="s">
        <v>366</v>
      </c>
      <c r="D31">
        <v>2</v>
      </c>
      <c r="E31">
        <v>8</v>
      </c>
      <c r="F31">
        <v>480</v>
      </c>
      <c r="G31">
        <v>15</v>
      </c>
      <c r="H31">
        <v>22.6</v>
      </c>
      <c r="I31">
        <v>10.9</v>
      </c>
      <c r="J31">
        <v>12.4</v>
      </c>
      <c r="K31">
        <v>22.6</v>
      </c>
      <c r="L31">
        <v>100</v>
      </c>
    </row>
    <row r="32" spans="1:12" x14ac:dyDescent="0.25">
      <c r="A32" t="s">
        <v>267</v>
      </c>
      <c r="B32" t="s">
        <v>361</v>
      </c>
      <c r="C32" t="s">
        <v>366</v>
      </c>
      <c r="D32">
        <v>2</v>
      </c>
      <c r="E32">
        <v>10</v>
      </c>
      <c r="F32">
        <v>200</v>
      </c>
      <c r="G32">
        <v>18.5</v>
      </c>
      <c r="H32">
        <v>33.6</v>
      </c>
      <c r="I32">
        <v>11</v>
      </c>
      <c r="J32">
        <v>12.2</v>
      </c>
      <c r="K32">
        <v>33.6</v>
      </c>
      <c r="L32">
        <v>100</v>
      </c>
    </row>
    <row r="33" spans="1:12" x14ac:dyDescent="0.25">
      <c r="A33" t="s">
        <v>267</v>
      </c>
      <c r="B33" t="s">
        <v>361</v>
      </c>
      <c r="C33" t="s">
        <v>366</v>
      </c>
      <c r="D33">
        <v>2</v>
      </c>
      <c r="E33">
        <v>10</v>
      </c>
      <c r="F33">
        <v>240</v>
      </c>
      <c r="G33">
        <v>18.5</v>
      </c>
      <c r="H33">
        <v>33.6</v>
      </c>
      <c r="I33">
        <v>11</v>
      </c>
      <c r="J33">
        <v>12.2</v>
      </c>
      <c r="K33">
        <v>33.6</v>
      </c>
      <c r="L33">
        <v>100</v>
      </c>
    </row>
    <row r="34" spans="1:12" x14ac:dyDescent="0.25">
      <c r="A34" t="s">
        <v>267</v>
      </c>
      <c r="B34" t="s">
        <v>361</v>
      </c>
      <c r="C34" t="s">
        <v>366</v>
      </c>
      <c r="D34">
        <v>2</v>
      </c>
      <c r="E34">
        <v>10</v>
      </c>
      <c r="F34">
        <v>280</v>
      </c>
      <c r="G34">
        <v>18.5</v>
      </c>
      <c r="H34">
        <v>33.6</v>
      </c>
      <c r="I34">
        <v>11</v>
      </c>
      <c r="J34">
        <v>12.2</v>
      </c>
      <c r="K34">
        <v>33.6</v>
      </c>
      <c r="L34">
        <v>100</v>
      </c>
    </row>
    <row r="35" spans="1:12" x14ac:dyDescent="0.25">
      <c r="A35" t="s">
        <v>267</v>
      </c>
      <c r="B35" t="s">
        <v>361</v>
      </c>
      <c r="C35" t="s">
        <v>366</v>
      </c>
      <c r="D35">
        <v>2</v>
      </c>
      <c r="E35">
        <v>10</v>
      </c>
      <c r="F35">
        <v>320</v>
      </c>
      <c r="G35">
        <v>18.5</v>
      </c>
      <c r="H35">
        <v>33.6</v>
      </c>
      <c r="I35">
        <v>11</v>
      </c>
      <c r="J35">
        <v>12.2</v>
      </c>
      <c r="K35">
        <v>33.6</v>
      </c>
      <c r="L35">
        <v>100</v>
      </c>
    </row>
    <row r="36" spans="1:12" x14ac:dyDescent="0.25">
      <c r="A36" t="s">
        <v>267</v>
      </c>
      <c r="B36" t="s">
        <v>361</v>
      </c>
      <c r="C36" t="s">
        <v>366</v>
      </c>
      <c r="D36">
        <v>2</v>
      </c>
      <c r="E36">
        <v>10</v>
      </c>
      <c r="F36">
        <v>360</v>
      </c>
      <c r="G36">
        <v>18.5</v>
      </c>
      <c r="H36">
        <v>33.6</v>
      </c>
      <c r="I36">
        <v>11</v>
      </c>
      <c r="J36">
        <v>12.2</v>
      </c>
      <c r="K36">
        <v>33.6</v>
      </c>
      <c r="L36">
        <v>100</v>
      </c>
    </row>
    <row r="37" spans="1:12" x14ac:dyDescent="0.25">
      <c r="A37" t="s">
        <v>267</v>
      </c>
      <c r="B37" t="s">
        <v>361</v>
      </c>
      <c r="C37" t="s">
        <v>366</v>
      </c>
      <c r="D37">
        <v>2</v>
      </c>
      <c r="E37">
        <v>10</v>
      </c>
      <c r="F37">
        <v>400</v>
      </c>
      <c r="G37">
        <v>18.5</v>
      </c>
      <c r="H37">
        <v>33.6</v>
      </c>
      <c r="I37">
        <v>11</v>
      </c>
      <c r="J37">
        <v>12.2</v>
      </c>
      <c r="K37">
        <v>33.6</v>
      </c>
      <c r="L37">
        <v>100</v>
      </c>
    </row>
    <row r="38" spans="1:12" x14ac:dyDescent="0.25">
      <c r="A38" t="s">
        <v>267</v>
      </c>
      <c r="B38" t="s">
        <v>361</v>
      </c>
      <c r="C38" t="s">
        <v>366</v>
      </c>
      <c r="D38">
        <v>2</v>
      </c>
      <c r="E38">
        <v>10</v>
      </c>
      <c r="F38">
        <v>440</v>
      </c>
      <c r="G38">
        <v>18.5</v>
      </c>
      <c r="H38">
        <v>33.6</v>
      </c>
      <c r="I38">
        <v>11</v>
      </c>
      <c r="J38">
        <v>12.2</v>
      </c>
      <c r="K38">
        <v>33.6</v>
      </c>
      <c r="L38">
        <v>100</v>
      </c>
    </row>
    <row r="39" spans="1:12" x14ac:dyDescent="0.25">
      <c r="A39" t="s">
        <v>267</v>
      </c>
      <c r="B39" t="s">
        <v>361</v>
      </c>
      <c r="C39" t="s">
        <v>366</v>
      </c>
      <c r="D39">
        <v>2</v>
      </c>
      <c r="E39">
        <v>10</v>
      </c>
      <c r="F39">
        <v>480</v>
      </c>
      <c r="G39">
        <v>18.5</v>
      </c>
      <c r="H39">
        <v>33.6</v>
      </c>
      <c r="I39">
        <v>11</v>
      </c>
      <c r="J39">
        <v>12.2</v>
      </c>
      <c r="K39">
        <v>33.6</v>
      </c>
      <c r="L39">
        <v>100</v>
      </c>
    </row>
    <row r="40" spans="1:12" x14ac:dyDescent="0.25">
      <c r="A40" t="s">
        <v>267</v>
      </c>
      <c r="B40" t="s">
        <v>361</v>
      </c>
      <c r="C40" t="s">
        <v>366</v>
      </c>
      <c r="D40">
        <v>2</v>
      </c>
      <c r="E40">
        <v>12</v>
      </c>
      <c r="F40">
        <v>200</v>
      </c>
      <c r="G40">
        <v>20</v>
      </c>
      <c r="H40">
        <v>46.9</v>
      </c>
      <c r="I40">
        <v>11.2</v>
      </c>
      <c r="J40">
        <v>11</v>
      </c>
      <c r="K40">
        <v>46.9</v>
      </c>
      <c r="L40">
        <v>100</v>
      </c>
    </row>
    <row r="41" spans="1:12" x14ac:dyDescent="0.25">
      <c r="A41" t="s">
        <v>267</v>
      </c>
      <c r="B41" t="s">
        <v>361</v>
      </c>
      <c r="C41" t="s">
        <v>366</v>
      </c>
      <c r="D41">
        <v>2</v>
      </c>
      <c r="E41">
        <v>12</v>
      </c>
      <c r="F41">
        <v>240</v>
      </c>
      <c r="G41">
        <v>20</v>
      </c>
      <c r="H41">
        <v>46.9</v>
      </c>
      <c r="I41">
        <v>11.2</v>
      </c>
      <c r="J41">
        <v>11</v>
      </c>
      <c r="K41">
        <v>46.9</v>
      </c>
      <c r="L41">
        <v>100</v>
      </c>
    </row>
    <row r="42" spans="1:12" x14ac:dyDescent="0.25">
      <c r="A42" t="s">
        <v>267</v>
      </c>
      <c r="B42" t="s">
        <v>361</v>
      </c>
      <c r="C42" t="s">
        <v>366</v>
      </c>
      <c r="D42">
        <v>2</v>
      </c>
      <c r="E42">
        <v>12</v>
      </c>
      <c r="F42">
        <v>280</v>
      </c>
      <c r="G42">
        <v>20</v>
      </c>
      <c r="H42">
        <v>46.9</v>
      </c>
      <c r="I42">
        <v>11.2</v>
      </c>
      <c r="J42">
        <v>11</v>
      </c>
      <c r="K42">
        <v>46.9</v>
      </c>
      <c r="L42">
        <v>100</v>
      </c>
    </row>
    <row r="43" spans="1:12" x14ac:dyDescent="0.25">
      <c r="A43" t="s">
        <v>267</v>
      </c>
      <c r="B43" t="s">
        <v>361</v>
      </c>
      <c r="C43" t="s">
        <v>366</v>
      </c>
      <c r="D43">
        <v>2</v>
      </c>
      <c r="E43">
        <v>12</v>
      </c>
      <c r="F43">
        <v>320</v>
      </c>
      <c r="G43">
        <v>20</v>
      </c>
      <c r="H43">
        <v>46.9</v>
      </c>
      <c r="I43">
        <v>11.2</v>
      </c>
      <c r="J43">
        <v>11</v>
      </c>
      <c r="K43">
        <v>46.9</v>
      </c>
      <c r="L43">
        <v>120</v>
      </c>
    </row>
    <row r="44" spans="1:12" x14ac:dyDescent="0.25">
      <c r="A44" t="s">
        <v>267</v>
      </c>
      <c r="B44" t="s">
        <v>361</v>
      </c>
      <c r="C44" t="s">
        <v>366</v>
      </c>
      <c r="D44">
        <v>2</v>
      </c>
      <c r="E44">
        <v>12</v>
      </c>
      <c r="F44">
        <v>360</v>
      </c>
      <c r="G44">
        <v>20</v>
      </c>
      <c r="H44">
        <v>46.9</v>
      </c>
      <c r="I44">
        <v>11.2</v>
      </c>
      <c r="J44">
        <v>11</v>
      </c>
      <c r="K44">
        <v>46.9</v>
      </c>
      <c r="L44">
        <v>120</v>
      </c>
    </row>
    <row r="45" spans="1:12" x14ac:dyDescent="0.25">
      <c r="A45" t="s">
        <v>267</v>
      </c>
      <c r="B45" t="s">
        <v>361</v>
      </c>
      <c r="C45" t="s">
        <v>366</v>
      </c>
      <c r="D45">
        <v>2</v>
      </c>
      <c r="E45">
        <v>12</v>
      </c>
      <c r="F45">
        <v>400</v>
      </c>
      <c r="G45">
        <v>20</v>
      </c>
      <c r="H45">
        <v>46.9</v>
      </c>
      <c r="I45">
        <v>11.2</v>
      </c>
      <c r="J45">
        <v>11</v>
      </c>
      <c r="K45">
        <v>46.9</v>
      </c>
      <c r="L45">
        <v>120</v>
      </c>
    </row>
    <row r="46" spans="1:12" x14ac:dyDescent="0.25">
      <c r="A46" t="s">
        <v>267</v>
      </c>
      <c r="B46" t="s">
        <v>362</v>
      </c>
      <c r="C46" t="s">
        <v>367</v>
      </c>
      <c r="D46">
        <v>1</v>
      </c>
      <c r="E46">
        <v>8</v>
      </c>
      <c r="F46">
        <v>80</v>
      </c>
      <c r="G46">
        <v>12</v>
      </c>
      <c r="H46">
        <v>22.6</v>
      </c>
      <c r="I46">
        <v>10.9</v>
      </c>
      <c r="J46">
        <v>16.5</v>
      </c>
      <c r="K46">
        <v>23.3</v>
      </c>
      <c r="L46">
        <v>50</v>
      </c>
    </row>
    <row r="47" spans="1:12" x14ac:dyDescent="0.25">
      <c r="A47" t="s">
        <v>267</v>
      </c>
      <c r="B47" t="s">
        <v>362</v>
      </c>
      <c r="C47" t="s">
        <v>367</v>
      </c>
      <c r="D47">
        <v>1</v>
      </c>
      <c r="E47">
        <v>8</v>
      </c>
      <c r="F47">
        <v>100</v>
      </c>
      <c r="G47">
        <v>12</v>
      </c>
      <c r="H47">
        <v>22.6</v>
      </c>
      <c r="I47">
        <v>10.9</v>
      </c>
      <c r="J47">
        <v>16.5</v>
      </c>
      <c r="K47">
        <v>23.3</v>
      </c>
      <c r="L47">
        <v>60</v>
      </c>
    </row>
    <row r="48" spans="1:12" x14ac:dyDescent="0.25">
      <c r="A48" t="s">
        <v>267</v>
      </c>
      <c r="B48" t="s">
        <v>362</v>
      </c>
      <c r="C48" t="s">
        <v>367</v>
      </c>
      <c r="D48">
        <v>1</v>
      </c>
      <c r="E48">
        <v>8</v>
      </c>
      <c r="F48">
        <v>120</v>
      </c>
      <c r="G48">
        <v>12</v>
      </c>
      <c r="H48">
        <v>22.6</v>
      </c>
      <c r="I48">
        <v>10.9</v>
      </c>
      <c r="J48">
        <v>16.5</v>
      </c>
      <c r="K48">
        <v>23.3</v>
      </c>
      <c r="L48">
        <v>80</v>
      </c>
    </row>
    <row r="49" spans="1:12" x14ac:dyDescent="0.25">
      <c r="A49" t="s">
        <v>267</v>
      </c>
      <c r="B49" t="s">
        <v>362</v>
      </c>
      <c r="C49" t="s">
        <v>367</v>
      </c>
      <c r="D49">
        <v>1</v>
      </c>
      <c r="E49">
        <v>8</v>
      </c>
      <c r="F49">
        <v>140</v>
      </c>
      <c r="G49">
        <v>12</v>
      </c>
      <c r="H49">
        <v>22.6</v>
      </c>
      <c r="I49">
        <v>10.9</v>
      </c>
      <c r="J49">
        <v>16.5</v>
      </c>
      <c r="K49">
        <v>23.3</v>
      </c>
      <c r="L49">
        <v>80</v>
      </c>
    </row>
    <row r="50" spans="1:12" x14ac:dyDescent="0.25">
      <c r="A50" t="s">
        <v>267</v>
      </c>
      <c r="B50" t="s">
        <v>362</v>
      </c>
      <c r="C50" t="s">
        <v>367</v>
      </c>
      <c r="D50">
        <v>1</v>
      </c>
      <c r="E50">
        <v>8</v>
      </c>
      <c r="F50">
        <v>160</v>
      </c>
      <c r="G50">
        <v>12</v>
      </c>
      <c r="H50">
        <v>22.6</v>
      </c>
      <c r="I50">
        <v>10.9</v>
      </c>
      <c r="J50">
        <v>16.5</v>
      </c>
      <c r="K50">
        <v>23.3</v>
      </c>
      <c r="L50">
        <v>80</v>
      </c>
    </row>
    <row r="51" spans="1:12" x14ac:dyDescent="0.25">
      <c r="A51" t="s">
        <v>267</v>
      </c>
      <c r="B51" t="s">
        <v>362</v>
      </c>
      <c r="C51" t="s">
        <v>367</v>
      </c>
      <c r="D51">
        <v>1</v>
      </c>
      <c r="E51">
        <v>8</v>
      </c>
      <c r="F51">
        <v>180</v>
      </c>
      <c r="G51">
        <v>12</v>
      </c>
      <c r="H51">
        <v>22.6</v>
      </c>
      <c r="I51">
        <v>10.9</v>
      </c>
      <c r="J51">
        <v>16.5</v>
      </c>
      <c r="K51">
        <v>23.3</v>
      </c>
      <c r="L51">
        <v>100</v>
      </c>
    </row>
    <row r="52" spans="1:12" x14ac:dyDescent="0.25">
      <c r="A52" t="s">
        <v>267</v>
      </c>
      <c r="B52" t="s">
        <v>362</v>
      </c>
      <c r="C52" t="s">
        <v>367</v>
      </c>
      <c r="D52">
        <v>1</v>
      </c>
      <c r="E52">
        <v>8</v>
      </c>
      <c r="F52">
        <v>200</v>
      </c>
      <c r="G52">
        <v>12</v>
      </c>
      <c r="H52">
        <v>22.6</v>
      </c>
      <c r="I52">
        <v>10.9</v>
      </c>
      <c r="J52">
        <v>16.5</v>
      </c>
      <c r="K52">
        <v>23.3</v>
      </c>
      <c r="L52">
        <v>100</v>
      </c>
    </row>
    <row r="53" spans="1:12" x14ac:dyDescent="0.25">
      <c r="A53" t="s">
        <v>267</v>
      </c>
      <c r="B53" t="s">
        <v>362</v>
      </c>
      <c r="C53" t="s">
        <v>367</v>
      </c>
      <c r="D53">
        <v>1</v>
      </c>
      <c r="E53">
        <v>10</v>
      </c>
      <c r="F53">
        <v>80</v>
      </c>
      <c r="G53">
        <v>15</v>
      </c>
      <c r="H53">
        <v>33.6</v>
      </c>
      <c r="I53">
        <v>11</v>
      </c>
      <c r="J53">
        <v>16.7</v>
      </c>
      <c r="K53">
        <v>35</v>
      </c>
      <c r="L53">
        <v>50</v>
      </c>
    </row>
    <row r="54" spans="1:12" x14ac:dyDescent="0.25">
      <c r="A54" t="s">
        <v>267</v>
      </c>
      <c r="B54" t="s">
        <v>362</v>
      </c>
      <c r="C54" t="s">
        <v>367</v>
      </c>
      <c r="D54">
        <v>1</v>
      </c>
      <c r="E54">
        <v>10</v>
      </c>
      <c r="F54">
        <v>100</v>
      </c>
      <c r="G54">
        <v>15</v>
      </c>
      <c r="H54">
        <v>33.6</v>
      </c>
      <c r="I54">
        <v>11</v>
      </c>
      <c r="J54">
        <v>16.7</v>
      </c>
      <c r="K54">
        <v>35</v>
      </c>
      <c r="L54">
        <v>60</v>
      </c>
    </row>
    <row r="55" spans="1:12" x14ac:dyDescent="0.25">
      <c r="A55" t="s">
        <v>267</v>
      </c>
      <c r="B55" t="s">
        <v>362</v>
      </c>
      <c r="C55" t="s">
        <v>367</v>
      </c>
      <c r="D55">
        <v>1</v>
      </c>
      <c r="E55">
        <v>10</v>
      </c>
      <c r="F55">
        <v>120</v>
      </c>
      <c r="G55">
        <v>15</v>
      </c>
      <c r="H55">
        <v>33.6</v>
      </c>
      <c r="I55">
        <v>11</v>
      </c>
      <c r="J55">
        <v>16.7</v>
      </c>
      <c r="K55">
        <v>35</v>
      </c>
      <c r="L55">
        <v>80</v>
      </c>
    </row>
    <row r="56" spans="1:12" x14ac:dyDescent="0.25">
      <c r="A56" t="s">
        <v>267</v>
      </c>
      <c r="B56" t="s">
        <v>362</v>
      </c>
      <c r="C56" t="s">
        <v>367</v>
      </c>
      <c r="D56">
        <v>1</v>
      </c>
      <c r="E56">
        <v>10</v>
      </c>
      <c r="F56">
        <v>140</v>
      </c>
      <c r="G56">
        <v>15</v>
      </c>
      <c r="H56">
        <v>33.6</v>
      </c>
      <c r="I56">
        <v>11</v>
      </c>
      <c r="J56">
        <v>16.7</v>
      </c>
      <c r="K56">
        <v>35</v>
      </c>
      <c r="L56">
        <v>80</v>
      </c>
    </row>
    <row r="57" spans="1:12" x14ac:dyDescent="0.25">
      <c r="A57" t="s">
        <v>267</v>
      </c>
      <c r="B57" t="s">
        <v>362</v>
      </c>
      <c r="C57" t="s">
        <v>367</v>
      </c>
      <c r="D57">
        <v>1</v>
      </c>
      <c r="E57">
        <v>10</v>
      </c>
      <c r="F57">
        <v>160</v>
      </c>
      <c r="G57">
        <v>15</v>
      </c>
      <c r="H57">
        <v>33.6</v>
      </c>
      <c r="I57">
        <v>11</v>
      </c>
      <c r="J57">
        <v>16.7</v>
      </c>
      <c r="K57">
        <v>35</v>
      </c>
      <c r="L57">
        <v>80</v>
      </c>
    </row>
    <row r="58" spans="1:12" x14ac:dyDescent="0.25">
      <c r="A58" t="s">
        <v>267</v>
      </c>
      <c r="B58" t="s">
        <v>362</v>
      </c>
      <c r="C58" t="s">
        <v>367</v>
      </c>
      <c r="D58">
        <v>1</v>
      </c>
      <c r="E58">
        <v>10</v>
      </c>
      <c r="F58">
        <v>180</v>
      </c>
      <c r="G58">
        <v>15</v>
      </c>
      <c r="H58">
        <v>33.6</v>
      </c>
      <c r="I58">
        <v>11</v>
      </c>
      <c r="J58">
        <v>16.7</v>
      </c>
      <c r="K58">
        <v>35</v>
      </c>
      <c r="L58">
        <v>100</v>
      </c>
    </row>
    <row r="59" spans="1:12" x14ac:dyDescent="0.25">
      <c r="A59" t="s">
        <v>267</v>
      </c>
      <c r="B59" t="s">
        <v>362</v>
      </c>
      <c r="C59" t="s">
        <v>367</v>
      </c>
      <c r="D59">
        <v>1</v>
      </c>
      <c r="E59">
        <v>10</v>
      </c>
      <c r="F59">
        <v>200</v>
      </c>
      <c r="G59">
        <v>15</v>
      </c>
      <c r="H59">
        <v>33.6</v>
      </c>
      <c r="I59">
        <v>11</v>
      </c>
      <c r="J59">
        <v>16.7</v>
      </c>
      <c r="K59">
        <v>35</v>
      </c>
      <c r="L59">
        <v>100</v>
      </c>
    </row>
    <row r="60" spans="1:12" x14ac:dyDescent="0.25">
      <c r="A60" t="s">
        <v>267</v>
      </c>
      <c r="B60" t="s">
        <v>363</v>
      </c>
      <c r="C60" t="s">
        <v>368</v>
      </c>
      <c r="D60">
        <v>1</v>
      </c>
      <c r="E60">
        <v>12</v>
      </c>
      <c r="F60">
        <v>60</v>
      </c>
      <c r="G60">
        <v>17</v>
      </c>
      <c r="H60">
        <v>48.5</v>
      </c>
      <c r="I60">
        <v>11.2</v>
      </c>
      <c r="J60">
        <v>17.100000000000001</v>
      </c>
      <c r="K60">
        <v>45</v>
      </c>
      <c r="L60">
        <v>48</v>
      </c>
    </row>
    <row r="61" spans="1:12" x14ac:dyDescent="0.25">
      <c r="A61" t="s">
        <v>267</v>
      </c>
      <c r="B61" t="s">
        <v>363</v>
      </c>
      <c r="C61" t="s">
        <v>368</v>
      </c>
      <c r="D61">
        <v>1</v>
      </c>
      <c r="E61">
        <v>12</v>
      </c>
      <c r="F61">
        <v>80</v>
      </c>
      <c r="G61">
        <v>17</v>
      </c>
      <c r="H61">
        <v>48.5</v>
      </c>
      <c r="I61">
        <v>11.2</v>
      </c>
      <c r="J61">
        <v>17.100000000000001</v>
      </c>
      <c r="K61">
        <v>45</v>
      </c>
      <c r="L61">
        <v>68</v>
      </c>
    </row>
    <row r="62" spans="1:12" x14ac:dyDescent="0.25">
      <c r="A62" t="s">
        <v>267</v>
      </c>
      <c r="B62" t="s">
        <v>363</v>
      </c>
      <c r="C62" t="s">
        <v>368</v>
      </c>
      <c r="D62">
        <v>1</v>
      </c>
      <c r="E62">
        <v>12</v>
      </c>
      <c r="F62">
        <v>120</v>
      </c>
      <c r="G62">
        <v>17</v>
      </c>
      <c r="H62">
        <v>48.5</v>
      </c>
      <c r="I62">
        <v>11.2</v>
      </c>
      <c r="J62">
        <v>17.100000000000001</v>
      </c>
      <c r="K62">
        <v>45</v>
      </c>
      <c r="L62">
        <v>100</v>
      </c>
    </row>
    <row r="63" spans="1:12" x14ac:dyDescent="0.25">
      <c r="A63" t="s">
        <v>267</v>
      </c>
      <c r="B63" t="s">
        <v>363</v>
      </c>
      <c r="C63" t="s">
        <v>368</v>
      </c>
      <c r="D63">
        <v>1</v>
      </c>
      <c r="E63">
        <v>12</v>
      </c>
      <c r="F63">
        <v>140</v>
      </c>
      <c r="G63">
        <v>17</v>
      </c>
      <c r="H63">
        <v>48.5</v>
      </c>
      <c r="I63">
        <v>11.2</v>
      </c>
      <c r="J63">
        <v>17.100000000000001</v>
      </c>
      <c r="K63">
        <v>45</v>
      </c>
      <c r="L63">
        <v>125</v>
      </c>
    </row>
    <row r="64" spans="1:12" x14ac:dyDescent="0.25">
      <c r="A64" t="s">
        <v>267</v>
      </c>
      <c r="B64" t="s">
        <v>363</v>
      </c>
      <c r="C64" t="s">
        <v>368</v>
      </c>
      <c r="D64">
        <v>1</v>
      </c>
      <c r="E64">
        <v>12</v>
      </c>
      <c r="F64">
        <v>160</v>
      </c>
      <c r="G64">
        <v>17</v>
      </c>
      <c r="H64">
        <v>48.5</v>
      </c>
      <c r="I64">
        <v>11.2</v>
      </c>
      <c r="J64">
        <v>17.100000000000001</v>
      </c>
      <c r="K64">
        <v>45</v>
      </c>
      <c r="L64">
        <v>144</v>
      </c>
    </row>
    <row r="65" spans="1:13" x14ac:dyDescent="0.25">
      <c r="A65" t="s">
        <v>267</v>
      </c>
      <c r="B65" t="s">
        <v>363</v>
      </c>
      <c r="C65" t="s">
        <v>368</v>
      </c>
      <c r="D65">
        <v>1</v>
      </c>
      <c r="E65">
        <v>12</v>
      </c>
      <c r="F65">
        <v>180</v>
      </c>
      <c r="G65">
        <v>17</v>
      </c>
      <c r="H65">
        <v>48.5</v>
      </c>
      <c r="I65">
        <v>11.2</v>
      </c>
      <c r="J65">
        <v>17.100000000000001</v>
      </c>
      <c r="K65">
        <v>45</v>
      </c>
      <c r="L65">
        <v>165</v>
      </c>
    </row>
    <row r="66" spans="1:13" x14ac:dyDescent="0.25">
      <c r="A66" t="s">
        <v>267</v>
      </c>
      <c r="B66" t="s">
        <v>363</v>
      </c>
      <c r="C66" t="s">
        <v>368</v>
      </c>
      <c r="D66">
        <v>1</v>
      </c>
      <c r="E66">
        <v>12</v>
      </c>
      <c r="F66">
        <v>220</v>
      </c>
      <c r="G66">
        <v>17</v>
      </c>
      <c r="H66">
        <v>48.5</v>
      </c>
      <c r="I66">
        <v>11.2</v>
      </c>
      <c r="J66">
        <v>17.100000000000001</v>
      </c>
      <c r="K66">
        <v>45</v>
      </c>
      <c r="L66">
        <v>205</v>
      </c>
    </row>
    <row r="67" spans="1:13" x14ac:dyDescent="0.25">
      <c r="A67" t="s">
        <v>267</v>
      </c>
      <c r="B67" t="s">
        <v>292</v>
      </c>
      <c r="C67" t="s">
        <v>369</v>
      </c>
      <c r="D67">
        <v>3</v>
      </c>
      <c r="E67">
        <v>6.5</v>
      </c>
      <c r="F67">
        <v>65</v>
      </c>
      <c r="G67">
        <v>8</v>
      </c>
      <c r="H67">
        <v>13</v>
      </c>
      <c r="I67">
        <v>15.7</v>
      </c>
      <c r="J67">
        <v>0</v>
      </c>
      <c r="K67">
        <v>14.8</v>
      </c>
      <c r="L67">
        <v>22</v>
      </c>
      <c r="M67">
        <v>22</v>
      </c>
    </row>
    <row r="68" spans="1:13" x14ac:dyDescent="0.25">
      <c r="A68" t="s">
        <v>267</v>
      </c>
      <c r="B68" t="s">
        <v>292</v>
      </c>
      <c r="C68" t="s">
        <v>369</v>
      </c>
      <c r="D68">
        <v>3</v>
      </c>
      <c r="E68">
        <v>6.5</v>
      </c>
      <c r="F68">
        <v>90</v>
      </c>
      <c r="G68">
        <v>8</v>
      </c>
      <c r="H68">
        <v>13</v>
      </c>
      <c r="I68">
        <v>15.7</v>
      </c>
      <c r="J68">
        <v>0</v>
      </c>
      <c r="K68">
        <v>14.8</v>
      </c>
      <c r="L68">
        <v>38</v>
      </c>
      <c r="M68">
        <v>38</v>
      </c>
    </row>
    <row r="69" spans="1:13" x14ac:dyDescent="0.25">
      <c r="A69" t="s">
        <v>267</v>
      </c>
      <c r="B69" t="s">
        <v>292</v>
      </c>
      <c r="C69" t="s">
        <v>369</v>
      </c>
      <c r="D69">
        <v>3</v>
      </c>
      <c r="E69">
        <v>6.5</v>
      </c>
      <c r="F69">
        <v>130</v>
      </c>
      <c r="G69">
        <v>8</v>
      </c>
      <c r="H69">
        <v>13</v>
      </c>
      <c r="I69">
        <v>15.7</v>
      </c>
      <c r="J69">
        <v>0</v>
      </c>
      <c r="K69">
        <v>14.8</v>
      </c>
      <c r="L69">
        <v>38</v>
      </c>
      <c r="M69">
        <v>38</v>
      </c>
    </row>
    <row r="70" spans="1:13" x14ac:dyDescent="0.25">
      <c r="A70" t="s">
        <v>267</v>
      </c>
      <c r="B70" t="s">
        <v>292</v>
      </c>
      <c r="C70" t="s">
        <v>369</v>
      </c>
      <c r="D70">
        <v>3</v>
      </c>
      <c r="E70">
        <v>6.5</v>
      </c>
      <c r="F70">
        <v>160</v>
      </c>
      <c r="G70">
        <v>8</v>
      </c>
      <c r="H70">
        <v>13</v>
      </c>
      <c r="I70">
        <v>15.7</v>
      </c>
      <c r="J70">
        <v>0</v>
      </c>
      <c r="K70">
        <v>14.8</v>
      </c>
      <c r="L70">
        <v>60</v>
      </c>
      <c r="M70">
        <v>60</v>
      </c>
    </row>
    <row r="71" spans="1:13" x14ac:dyDescent="0.25">
      <c r="A71" t="s">
        <v>267</v>
      </c>
      <c r="B71" t="s">
        <v>292</v>
      </c>
      <c r="C71" t="s">
        <v>369</v>
      </c>
      <c r="D71">
        <v>3</v>
      </c>
      <c r="E71">
        <v>6.5</v>
      </c>
      <c r="F71">
        <v>190</v>
      </c>
      <c r="G71">
        <v>8</v>
      </c>
      <c r="H71">
        <v>13</v>
      </c>
      <c r="I71">
        <v>15.7</v>
      </c>
      <c r="J71">
        <v>0</v>
      </c>
      <c r="K71">
        <v>14.8</v>
      </c>
      <c r="L71">
        <v>80</v>
      </c>
      <c r="M71">
        <v>80</v>
      </c>
    </row>
    <row r="72" spans="1:13" x14ac:dyDescent="0.25">
      <c r="A72" t="s">
        <v>267</v>
      </c>
      <c r="B72" t="s">
        <v>292</v>
      </c>
      <c r="C72" t="s">
        <v>369</v>
      </c>
      <c r="D72">
        <v>3</v>
      </c>
      <c r="E72">
        <v>6.5</v>
      </c>
      <c r="F72">
        <v>220</v>
      </c>
      <c r="G72">
        <v>8</v>
      </c>
      <c r="H72">
        <v>13</v>
      </c>
      <c r="I72">
        <v>15.7</v>
      </c>
      <c r="J72">
        <v>0</v>
      </c>
      <c r="K72">
        <v>14.8</v>
      </c>
      <c r="L72">
        <v>95</v>
      </c>
      <c r="M72">
        <v>95</v>
      </c>
    </row>
    <row r="73" spans="1:13" x14ac:dyDescent="0.25">
      <c r="A73" t="s">
        <v>267</v>
      </c>
      <c r="B73" t="s">
        <v>292</v>
      </c>
      <c r="C73" t="s">
        <v>369</v>
      </c>
      <c r="D73">
        <v>3</v>
      </c>
      <c r="E73">
        <v>8.1999999999999993</v>
      </c>
      <c r="F73">
        <v>90</v>
      </c>
      <c r="G73">
        <v>10</v>
      </c>
      <c r="H73">
        <v>24.5</v>
      </c>
      <c r="I73">
        <v>13.1</v>
      </c>
      <c r="J73">
        <v>0</v>
      </c>
      <c r="K73">
        <v>23.2</v>
      </c>
      <c r="L73">
        <v>38</v>
      </c>
      <c r="M73">
        <v>38</v>
      </c>
    </row>
    <row r="74" spans="1:13" x14ac:dyDescent="0.25">
      <c r="A74" t="s">
        <v>267</v>
      </c>
      <c r="B74" t="s">
        <v>292</v>
      </c>
      <c r="C74" t="s">
        <v>369</v>
      </c>
      <c r="D74">
        <v>3</v>
      </c>
      <c r="E74">
        <v>8.1999999999999993</v>
      </c>
      <c r="F74">
        <v>130</v>
      </c>
      <c r="G74">
        <v>10</v>
      </c>
      <c r="H74">
        <v>24.5</v>
      </c>
      <c r="I74">
        <v>13.1</v>
      </c>
      <c r="J74">
        <v>0</v>
      </c>
      <c r="K74">
        <v>23.2</v>
      </c>
      <c r="L74">
        <v>38</v>
      </c>
      <c r="M74">
        <v>38</v>
      </c>
    </row>
    <row r="75" spans="1:13" x14ac:dyDescent="0.25">
      <c r="A75" t="s">
        <v>267</v>
      </c>
      <c r="B75" t="s">
        <v>292</v>
      </c>
      <c r="C75" t="s">
        <v>369</v>
      </c>
      <c r="D75">
        <v>3</v>
      </c>
      <c r="E75">
        <v>8.1999999999999993</v>
      </c>
      <c r="F75">
        <v>160</v>
      </c>
      <c r="G75">
        <v>10</v>
      </c>
      <c r="H75">
        <v>24.5</v>
      </c>
      <c r="I75">
        <v>13.1</v>
      </c>
      <c r="J75">
        <v>0</v>
      </c>
      <c r="K75">
        <v>23.2</v>
      </c>
      <c r="L75">
        <v>60</v>
      </c>
      <c r="M75">
        <v>60</v>
      </c>
    </row>
    <row r="76" spans="1:13" x14ac:dyDescent="0.25">
      <c r="A76" t="s">
        <v>267</v>
      </c>
      <c r="B76" t="s">
        <v>292</v>
      </c>
      <c r="C76" t="s">
        <v>369</v>
      </c>
      <c r="D76">
        <v>3</v>
      </c>
      <c r="E76">
        <v>8.1999999999999993</v>
      </c>
      <c r="F76">
        <v>190</v>
      </c>
      <c r="G76">
        <v>10</v>
      </c>
      <c r="H76">
        <v>24.5</v>
      </c>
      <c r="I76">
        <v>13.1</v>
      </c>
      <c r="J76">
        <v>0</v>
      </c>
      <c r="K76">
        <v>23.2</v>
      </c>
      <c r="L76">
        <v>80</v>
      </c>
      <c r="M76">
        <v>80</v>
      </c>
    </row>
    <row r="77" spans="1:13" x14ac:dyDescent="0.25">
      <c r="A77" t="s">
        <v>267</v>
      </c>
      <c r="B77" t="s">
        <v>292</v>
      </c>
      <c r="C77" t="s">
        <v>369</v>
      </c>
      <c r="D77">
        <v>3</v>
      </c>
      <c r="E77">
        <v>8.1999999999999993</v>
      </c>
      <c r="F77">
        <v>220</v>
      </c>
      <c r="G77">
        <v>10</v>
      </c>
      <c r="H77">
        <v>24.5</v>
      </c>
      <c r="I77">
        <v>13.1</v>
      </c>
      <c r="J77">
        <v>0</v>
      </c>
      <c r="K77">
        <v>23.2</v>
      </c>
      <c r="L77">
        <v>95</v>
      </c>
      <c r="M77">
        <v>95</v>
      </c>
    </row>
    <row r="78" spans="1:13" x14ac:dyDescent="0.25">
      <c r="A78" t="s">
        <v>267</v>
      </c>
      <c r="B78" t="s">
        <v>292</v>
      </c>
      <c r="C78" t="s">
        <v>369</v>
      </c>
      <c r="D78">
        <v>3</v>
      </c>
      <c r="E78">
        <v>8.1999999999999993</v>
      </c>
      <c r="F78">
        <v>245</v>
      </c>
      <c r="G78">
        <v>10</v>
      </c>
      <c r="H78">
        <v>24.5</v>
      </c>
      <c r="I78">
        <v>13.1</v>
      </c>
      <c r="J78">
        <v>0</v>
      </c>
      <c r="K78">
        <v>23.2</v>
      </c>
      <c r="L78">
        <v>107</v>
      </c>
      <c r="M78">
        <v>107</v>
      </c>
    </row>
    <row r="79" spans="1:13" x14ac:dyDescent="0.25">
      <c r="A79" t="s">
        <v>267</v>
      </c>
      <c r="B79" t="s">
        <v>292</v>
      </c>
      <c r="C79" t="s">
        <v>369</v>
      </c>
      <c r="D79">
        <v>3</v>
      </c>
      <c r="E79">
        <v>8.1999999999999993</v>
      </c>
      <c r="F79">
        <v>275</v>
      </c>
      <c r="G79">
        <v>10</v>
      </c>
      <c r="H79">
        <v>24.5</v>
      </c>
      <c r="I79">
        <v>13.1</v>
      </c>
      <c r="J79">
        <v>0</v>
      </c>
      <c r="K79">
        <v>23.2</v>
      </c>
      <c r="L79">
        <v>107</v>
      </c>
      <c r="M79">
        <v>107</v>
      </c>
    </row>
    <row r="80" spans="1:13" x14ac:dyDescent="0.25">
      <c r="A80" t="s">
        <v>267</v>
      </c>
      <c r="B80" t="s">
        <v>292</v>
      </c>
      <c r="C80" t="s">
        <v>369</v>
      </c>
      <c r="D80">
        <v>3</v>
      </c>
      <c r="E80">
        <v>8.1999999999999993</v>
      </c>
      <c r="F80">
        <v>300</v>
      </c>
      <c r="G80">
        <v>10</v>
      </c>
      <c r="H80">
        <v>24.5</v>
      </c>
      <c r="I80">
        <v>13.1</v>
      </c>
      <c r="J80">
        <v>0</v>
      </c>
      <c r="K80">
        <v>23.2</v>
      </c>
      <c r="L80">
        <v>135</v>
      </c>
      <c r="M80">
        <v>135</v>
      </c>
    </row>
    <row r="81" spans="1:13" x14ac:dyDescent="0.25">
      <c r="A81" t="s">
        <v>267</v>
      </c>
      <c r="B81" t="s">
        <v>292</v>
      </c>
      <c r="C81" t="s">
        <v>369</v>
      </c>
      <c r="D81">
        <v>3</v>
      </c>
      <c r="E81">
        <v>8.1999999999999993</v>
      </c>
      <c r="F81">
        <v>330</v>
      </c>
      <c r="G81">
        <v>10</v>
      </c>
      <c r="H81">
        <v>24.5</v>
      </c>
      <c r="I81">
        <v>13.1</v>
      </c>
      <c r="J81">
        <v>0</v>
      </c>
      <c r="K81">
        <v>23.2</v>
      </c>
      <c r="L81">
        <v>135</v>
      </c>
      <c r="M81">
        <v>135</v>
      </c>
    </row>
    <row r="82" spans="1:13" x14ac:dyDescent="0.25">
      <c r="A82" t="s">
        <v>267</v>
      </c>
      <c r="B82" t="s">
        <v>364</v>
      </c>
      <c r="C82" t="s">
        <v>371</v>
      </c>
      <c r="D82">
        <v>3</v>
      </c>
      <c r="E82">
        <v>6</v>
      </c>
      <c r="F82">
        <v>50</v>
      </c>
      <c r="G82">
        <v>12.5</v>
      </c>
      <c r="H82">
        <v>9.9</v>
      </c>
      <c r="I82">
        <v>9.1999999999999993</v>
      </c>
      <c r="J82">
        <v>14.9</v>
      </c>
      <c r="K82">
        <v>9.5</v>
      </c>
      <c r="L82">
        <v>40</v>
      </c>
    </row>
    <row r="83" spans="1:13" x14ac:dyDescent="0.25">
      <c r="A83" t="s">
        <v>267</v>
      </c>
      <c r="B83" t="s">
        <v>364</v>
      </c>
      <c r="C83" t="s">
        <v>372</v>
      </c>
      <c r="D83">
        <v>3</v>
      </c>
      <c r="E83">
        <v>6</v>
      </c>
      <c r="F83">
        <v>70</v>
      </c>
      <c r="G83">
        <v>12.5</v>
      </c>
      <c r="H83">
        <v>9.9</v>
      </c>
      <c r="I83">
        <v>9.1999999999999993</v>
      </c>
      <c r="J83">
        <v>14.9</v>
      </c>
      <c r="K83">
        <v>9.5</v>
      </c>
      <c r="L83">
        <v>40</v>
      </c>
    </row>
    <row r="84" spans="1:13" x14ac:dyDescent="0.25">
      <c r="A84" t="s">
        <v>267</v>
      </c>
      <c r="B84" t="s">
        <v>364</v>
      </c>
      <c r="C84" t="s">
        <v>373</v>
      </c>
      <c r="D84">
        <v>3</v>
      </c>
      <c r="E84">
        <v>6</v>
      </c>
      <c r="F84">
        <v>90</v>
      </c>
      <c r="G84">
        <v>12.5</v>
      </c>
      <c r="H84">
        <v>9.9</v>
      </c>
      <c r="I84">
        <v>9.1999999999999993</v>
      </c>
      <c r="J84">
        <v>14.9</v>
      </c>
      <c r="K84">
        <v>9.5</v>
      </c>
      <c r="L84">
        <v>50</v>
      </c>
    </row>
    <row r="85" spans="1:13" x14ac:dyDescent="0.25">
      <c r="A85" t="s">
        <v>267</v>
      </c>
      <c r="B85" t="s">
        <v>364</v>
      </c>
      <c r="C85" t="s">
        <v>370</v>
      </c>
      <c r="D85">
        <v>3</v>
      </c>
      <c r="E85">
        <v>6</v>
      </c>
      <c r="F85">
        <v>120</v>
      </c>
      <c r="G85">
        <v>12.5</v>
      </c>
      <c r="H85">
        <v>9.9</v>
      </c>
      <c r="I85">
        <v>9.1999999999999993</v>
      </c>
      <c r="J85">
        <v>14.9</v>
      </c>
      <c r="K85">
        <v>9.5</v>
      </c>
      <c r="L85">
        <v>75</v>
      </c>
    </row>
    <row r="86" spans="1:13" x14ac:dyDescent="0.25">
      <c r="A86" t="s">
        <v>267</v>
      </c>
      <c r="B86" t="s">
        <v>364</v>
      </c>
      <c r="C86" t="s">
        <v>370</v>
      </c>
      <c r="D86">
        <v>3</v>
      </c>
      <c r="E86">
        <v>6</v>
      </c>
      <c r="F86">
        <v>140</v>
      </c>
      <c r="G86">
        <v>12.5</v>
      </c>
      <c r="H86">
        <v>9.9</v>
      </c>
      <c r="I86">
        <v>9.1999999999999993</v>
      </c>
      <c r="J86">
        <v>14.9</v>
      </c>
      <c r="K86">
        <v>9.5</v>
      </c>
      <c r="L86">
        <v>75</v>
      </c>
    </row>
    <row r="87" spans="1:13" x14ac:dyDescent="0.25">
      <c r="A87" t="s">
        <v>267</v>
      </c>
      <c r="B87" t="s">
        <v>364</v>
      </c>
      <c r="C87" t="s">
        <v>370</v>
      </c>
      <c r="D87">
        <v>3</v>
      </c>
      <c r="E87">
        <v>8</v>
      </c>
      <c r="F87">
        <v>70</v>
      </c>
      <c r="G87">
        <v>15</v>
      </c>
      <c r="H87">
        <v>21.7</v>
      </c>
      <c r="I87">
        <v>10.6</v>
      </c>
      <c r="J87">
        <v>10.8</v>
      </c>
      <c r="K87">
        <v>19</v>
      </c>
      <c r="L87">
        <v>50</v>
      </c>
    </row>
    <row r="88" spans="1:13" x14ac:dyDescent="0.25">
      <c r="A88" t="s">
        <v>267</v>
      </c>
      <c r="B88" t="s">
        <v>364</v>
      </c>
      <c r="C88" t="s">
        <v>370</v>
      </c>
      <c r="D88">
        <v>3</v>
      </c>
      <c r="E88">
        <v>8</v>
      </c>
      <c r="F88">
        <v>90</v>
      </c>
      <c r="G88">
        <v>15</v>
      </c>
      <c r="H88">
        <v>21.7</v>
      </c>
      <c r="I88">
        <v>10.6</v>
      </c>
      <c r="J88">
        <v>10.8</v>
      </c>
      <c r="K88">
        <v>19</v>
      </c>
      <c r="L88">
        <v>50</v>
      </c>
    </row>
    <row r="89" spans="1:13" x14ac:dyDescent="0.25">
      <c r="A89" t="s">
        <v>267</v>
      </c>
      <c r="B89" t="s">
        <v>364</v>
      </c>
      <c r="C89" t="s">
        <v>370</v>
      </c>
      <c r="D89">
        <v>3</v>
      </c>
      <c r="E89">
        <v>8</v>
      </c>
      <c r="F89">
        <v>120</v>
      </c>
      <c r="G89">
        <v>15</v>
      </c>
      <c r="H89">
        <v>21.7</v>
      </c>
      <c r="I89">
        <v>10.6</v>
      </c>
      <c r="J89">
        <v>10.8</v>
      </c>
      <c r="K89">
        <v>19</v>
      </c>
      <c r="L89">
        <v>50</v>
      </c>
    </row>
    <row r="90" spans="1:13" x14ac:dyDescent="0.25">
      <c r="A90" t="s">
        <v>267</v>
      </c>
      <c r="B90" t="s">
        <v>364</v>
      </c>
      <c r="C90" t="s">
        <v>370</v>
      </c>
      <c r="D90">
        <v>3</v>
      </c>
      <c r="E90">
        <v>8</v>
      </c>
      <c r="F90">
        <v>160</v>
      </c>
      <c r="G90">
        <v>15</v>
      </c>
      <c r="H90">
        <v>21.7</v>
      </c>
      <c r="I90">
        <v>10.6</v>
      </c>
      <c r="J90">
        <v>10.8</v>
      </c>
      <c r="K90">
        <v>19</v>
      </c>
      <c r="L90">
        <v>50</v>
      </c>
    </row>
    <row r="91" spans="1:13" x14ac:dyDescent="0.25">
      <c r="A91" t="s">
        <v>267</v>
      </c>
      <c r="B91" t="s">
        <v>364</v>
      </c>
      <c r="C91" t="s">
        <v>370</v>
      </c>
      <c r="D91">
        <v>3</v>
      </c>
      <c r="E91">
        <v>8</v>
      </c>
      <c r="F91">
        <v>200</v>
      </c>
      <c r="G91">
        <v>15</v>
      </c>
      <c r="H91">
        <v>21.7</v>
      </c>
      <c r="I91">
        <v>10.6</v>
      </c>
      <c r="J91">
        <v>10.8</v>
      </c>
      <c r="K91">
        <v>19</v>
      </c>
      <c r="L91">
        <v>50</v>
      </c>
    </row>
    <row r="92" spans="1:13" x14ac:dyDescent="0.25">
      <c r="A92" t="s">
        <v>267</v>
      </c>
      <c r="B92" t="s">
        <v>364</v>
      </c>
      <c r="C92" t="s">
        <v>370</v>
      </c>
      <c r="D92">
        <v>3</v>
      </c>
      <c r="E92">
        <v>8</v>
      </c>
      <c r="F92">
        <v>240</v>
      </c>
      <c r="G92">
        <v>15</v>
      </c>
      <c r="H92">
        <v>21.7</v>
      </c>
      <c r="I92">
        <v>10.6</v>
      </c>
      <c r="J92">
        <v>10.8</v>
      </c>
      <c r="K92">
        <v>19</v>
      </c>
      <c r="L92">
        <v>50</v>
      </c>
    </row>
    <row r="93" spans="1:13" x14ac:dyDescent="0.25">
      <c r="A93" t="s">
        <v>267</v>
      </c>
      <c r="B93" t="s">
        <v>364</v>
      </c>
      <c r="C93" t="s">
        <v>370</v>
      </c>
      <c r="D93">
        <v>3</v>
      </c>
      <c r="E93">
        <v>10</v>
      </c>
      <c r="F93">
        <v>80</v>
      </c>
      <c r="G93">
        <v>18</v>
      </c>
      <c r="H93">
        <v>33.5</v>
      </c>
      <c r="I93">
        <v>9.1</v>
      </c>
      <c r="J93">
        <v>13.7</v>
      </c>
      <c r="K93">
        <v>25</v>
      </c>
      <c r="L93">
        <v>60</v>
      </c>
    </row>
    <row r="94" spans="1:13" x14ac:dyDescent="0.25">
      <c r="A94" t="s">
        <v>267</v>
      </c>
      <c r="B94" t="s">
        <v>364</v>
      </c>
      <c r="C94" t="s">
        <v>370</v>
      </c>
      <c r="D94">
        <v>3</v>
      </c>
      <c r="E94">
        <v>10</v>
      </c>
      <c r="F94">
        <v>100</v>
      </c>
      <c r="G94">
        <v>18</v>
      </c>
      <c r="H94">
        <v>33.5</v>
      </c>
      <c r="I94">
        <v>9.1</v>
      </c>
      <c r="J94">
        <v>13.7</v>
      </c>
      <c r="K94">
        <v>25</v>
      </c>
      <c r="L94">
        <v>60</v>
      </c>
    </row>
    <row r="95" spans="1:13" x14ac:dyDescent="0.25">
      <c r="A95" t="s">
        <v>267</v>
      </c>
      <c r="B95" t="s">
        <v>364</v>
      </c>
      <c r="C95" t="s">
        <v>370</v>
      </c>
      <c r="D95">
        <v>3</v>
      </c>
      <c r="E95">
        <v>10</v>
      </c>
      <c r="F95">
        <v>120</v>
      </c>
      <c r="G95">
        <v>18</v>
      </c>
      <c r="H95">
        <v>33.5</v>
      </c>
      <c r="I95">
        <v>9.1</v>
      </c>
      <c r="J95">
        <v>13.7</v>
      </c>
      <c r="K95">
        <v>25</v>
      </c>
      <c r="L95">
        <v>60</v>
      </c>
    </row>
    <row r="96" spans="1:13" x14ac:dyDescent="0.25">
      <c r="A96" t="s">
        <v>267</v>
      </c>
      <c r="B96" t="s">
        <v>364</v>
      </c>
      <c r="C96" t="s">
        <v>370</v>
      </c>
      <c r="D96">
        <v>3</v>
      </c>
      <c r="E96">
        <v>10</v>
      </c>
      <c r="F96">
        <v>160</v>
      </c>
      <c r="G96">
        <v>18</v>
      </c>
      <c r="H96">
        <v>33.5</v>
      </c>
      <c r="I96">
        <v>9.1</v>
      </c>
      <c r="J96">
        <v>13.7</v>
      </c>
      <c r="K96">
        <v>25</v>
      </c>
      <c r="L96">
        <v>60</v>
      </c>
    </row>
    <row r="97" spans="1:12" x14ac:dyDescent="0.25">
      <c r="A97" t="s">
        <v>267</v>
      </c>
      <c r="B97" t="s">
        <v>364</v>
      </c>
      <c r="C97" t="s">
        <v>370</v>
      </c>
      <c r="D97">
        <v>3</v>
      </c>
      <c r="E97">
        <v>10</v>
      </c>
      <c r="F97">
        <v>200</v>
      </c>
      <c r="G97">
        <v>18</v>
      </c>
      <c r="H97">
        <v>33.5</v>
      </c>
      <c r="I97">
        <v>9.1</v>
      </c>
      <c r="J97">
        <v>13.7</v>
      </c>
      <c r="K97">
        <v>25</v>
      </c>
      <c r="L97">
        <v>60</v>
      </c>
    </row>
    <row r="98" spans="1:12" x14ac:dyDescent="0.25">
      <c r="A98" t="s">
        <v>267</v>
      </c>
      <c r="B98" t="s">
        <v>364</v>
      </c>
      <c r="C98" t="s">
        <v>370</v>
      </c>
      <c r="D98">
        <v>3</v>
      </c>
      <c r="E98">
        <v>10</v>
      </c>
      <c r="F98">
        <v>240</v>
      </c>
      <c r="G98">
        <v>18</v>
      </c>
      <c r="H98">
        <v>33.5</v>
      </c>
      <c r="I98">
        <v>9.1</v>
      </c>
      <c r="J98">
        <v>13.7</v>
      </c>
      <c r="K98">
        <v>25</v>
      </c>
      <c r="L98">
        <v>60</v>
      </c>
    </row>
    <row r="99" spans="1:12" x14ac:dyDescent="0.25">
      <c r="A99" t="s">
        <v>267</v>
      </c>
      <c r="B99" t="s">
        <v>289</v>
      </c>
      <c r="C99" t="s">
        <v>290</v>
      </c>
      <c r="D99">
        <v>3</v>
      </c>
      <c r="E99">
        <v>6.5</v>
      </c>
      <c r="F99">
        <v>45</v>
      </c>
      <c r="G99">
        <v>14</v>
      </c>
      <c r="H99">
        <v>12.6</v>
      </c>
      <c r="I99">
        <v>14.4</v>
      </c>
      <c r="J99">
        <v>25</v>
      </c>
      <c r="K99">
        <v>16.3</v>
      </c>
      <c r="L99">
        <v>24</v>
      </c>
    </row>
    <row r="100" spans="1:12" x14ac:dyDescent="0.25">
      <c r="A100" t="s">
        <v>267</v>
      </c>
      <c r="B100" t="s">
        <v>289</v>
      </c>
      <c r="C100" t="s">
        <v>290</v>
      </c>
      <c r="D100">
        <v>3</v>
      </c>
      <c r="E100">
        <v>6.5</v>
      </c>
      <c r="F100">
        <v>75</v>
      </c>
      <c r="G100">
        <v>14</v>
      </c>
      <c r="H100">
        <v>12.6</v>
      </c>
      <c r="I100">
        <v>14.4</v>
      </c>
      <c r="J100">
        <v>25</v>
      </c>
      <c r="K100">
        <v>16.3</v>
      </c>
      <c r="L100">
        <v>45</v>
      </c>
    </row>
    <row r="101" spans="1:12" x14ac:dyDescent="0.25">
      <c r="A101" t="s">
        <v>267</v>
      </c>
      <c r="B101" t="s">
        <v>289</v>
      </c>
      <c r="C101" t="s">
        <v>290</v>
      </c>
      <c r="D101">
        <v>3</v>
      </c>
      <c r="E101">
        <v>6.5</v>
      </c>
      <c r="F101">
        <v>90</v>
      </c>
      <c r="G101">
        <v>14</v>
      </c>
      <c r="H101">
        <v>12.6</v>
      </c>
      <c r="I101">
        <v>14.4</v>
      </c>
      <c r="J101">
        <v>25</v>
      </c>
      <c r="K101">
        <v>16.3</v>
      </c>
      <c r="L101">
        <v>60</v>
      </c>
    </row>
    <row r="102" spans="1:12" x14ac:dyDescent="0.25">
      <c r="A102" t="s">
        <v>267</v>
      </c>
      <c r="B102" t="s">
        <v>289</v>
      </c>
      <c r="C102" t="s">
        <v>290</v>
      </c>
      <c r="D102">
        <v>3</v>
      </c>
      <c r="E102">
        <v>6.5</v>
      </c>
      <c r="F102">
        <v>110</v>
      </c>
      <c r="G102">
        <v>14</v>
      </c>
      <c r="H102">
        <v>12.6</v>
      </c>
      <c r="I102">
        <v>14.4</v>
      </c>
      <c r="J102">
        <v>25</v>
      </c>
      <c r="K102">
        <v>16.3</v>
      </c>
      <c r="L102">
        <v>60</v>
      </c>
    </row>
    <row r="103" spans="1:12" x14ac:dyDescent="0.25">
      <c r="A103" t="s">
        <v>267</v>
      </c>
      <c r="B103" t="s">
        <v>289</v>
      </c>
      <c r="C103" t="s">
        <v>290</v>
      </c>
      <c r="D103">
        <v>3</v>
      </c>
      <c r="E103">
        <v>6.5</v>
      </c>
      <c r="F103">
        <v>120</v>
      </c>
      <c r="G103">
        <v>14</v>
      </c>
      <c r="H103">
        <v>12.6</v>
      </c>
      <c r="I103">
        <v>14.4</v>
      </c>
      <c r="J103">
        <v>25</v>
      </c>
      <c r="K103">
        <v>16.3</v>
      </c>
      <c r="L103">
        <v>60</v>
      </c>
    </row>
    <row r="104" spans="1:12" x14ac:dyDescent="0.25">
      <c r="A104" t="s">
        <v>267</v>
      </c>
      <c r="B104" t="s">
        <v>289</v>
      </c>
      <c r="C104" t="s">
        <v>290</v>
      </c>
      <c r="D104">
        <v>3</v>
      </c>
      <c r="E104">
        <v>6.5</v>
      </c>
      <c r="F104">
        <v>140</v>
      </c>
      <c r="G104">
        <v>14</v>
      </c>
      <c r="H104">
        <v>12.6</v>
      </c>
      <c r="I104">
        <v>14.4</v>
      </c>
      <c r="J104">
        <v>25</v>
      </c>
      <c r="K104">
        <v>16.3</v>
      </c>
      <c r="L104">
        <v>60</v>
      </c>
    </row>
    <row r="105" spans="1:12" x14ac:dyDescent="0.25">
      <c r="A105" t="s">
        <v>267</v>
      </c>
      <c r="B105" t="s">
        <v>289</v>
      </c>
      <c r="C105" t="s">
        <v>290</v>
      </c>
      <c r="D105">
        <v>3</v>
      </c>
      <c r="E105">
        <v>8</v>
      </c>
      <c r="F105">
        <v>45</v>
      </c>
      <c r="G105">
        <v>18</v>
      </c>
      <c r="H105">
        <v>14.1</v>
      </c>
      <c r="I105">
        <v>10.7</v>
      </c>
      <c r="J105">
        <v>25.2</v>
      </c>
      <c r="K105">
        <v>21.1</v>
      </c>
      <c r="L105">
        <v>24</v>
      </c>
    </row>
    <row r="106" spans="1:12" x14ac:dyDescent="0.25">
      <c r="A106" t="s">
        <v>267</v>
      </c>
      <c r="B106" t="s">
        <v>289</v>
      </c>
      <c r="C106" t="s">
        <v>290</v>
      </c>
      <c r="D106">
        <v>3</v>
      </c>
      <c r="E106">
        <v>8</v>
      </c>
      <c r="F106">
        <v>55</v>
      </c>
      <c r="G106">
        <v>18</v>
      </c>
      <c r="H106">
        <v>14.1</v>
      </c>
      <c r="I106">
        <v>10.7</v>
      </c>
      <c r="J106">
        <v>25.2</v>
      </c>
      <c r="K106">
        <v>21.1</v>
      </c>
      <c r="L106">
        <v>30</v>
      </c>
    </row>
    <row r="107" spans="1:12" x14ac:dyDescent="0.25">
      <c r="A107" t="s">
        <v>267</v>
      </c>
      <c r="B107" t="s">
        <v>289</v>
      </c>
      <c r="C107" t="s">
        <v>290</v>
      </c>
      <c r="D107">
        <v>3</v>
      </c>
      <c r="E107">
        <v>8</v>
      </c>
      <c r="F107">
        <v>100</v>
      </c>
      <c r="G107">
        <v>18</v>
      </c>
      <c r="H107">
        <v>14.1</v>
      </c>
      <c r="I107">
        <v>10.7</v>
      </c>
      <c r="J107">
        <v>25.2</v>
      </c>
      <c r="K107">
        <v>21.1</v>
      </c>
      <c r="L107">
        <v>60</v>
      </c>
    </row>
    <row r="108" spans="1:12" x14ac:dyDescent="0.25">
      <c r="A108" t="s">
        <v>267</v>
      </c>
      <c r="B108" t="s">
        <v>289</v>
      </c>
      <c r="C108" t="s">
        <v>290</v>
      </c>
      <c r="D108">
        <v>3</v>
      </c>
      <c r="E108">
        <v>8</v>
      </c>
      <c r="F108">
        <v>130</v>
      </c>
      <c r="G108">
        <v>18</v>
      </c>
      <c r="H108">
        <v>14.1</v>
      </c>
      <c r="I108">
        <v>10.7</v>
      </c>
      <c r="J108">
        <v>25.2</v>
      </c>
      <c r="K108">
        <v>21.1</v>
      </c>
      <c r="L108">
        <v>60</v>
      </c>
    </row>
    <row r="109" spans="1:12" x14ac:dyDescent="0.25">
      <c r="A109" t="s">
        <v>267</v>
      </c>
      <c r="B109" t="s">
        <v>289</v>
      </c>
      <c r="C109" t="s">
        <v>290</v>
      </c>
      <c r="D109">
        <v>3</v>
      </c>
      <c r="E109">
        <v>10</v>
      </c>
      <c r="F109">
        <v>90</v>
      </c>
      <c r="G109">
        <v>22</v>
      </c>
      <c r="H109">
        <v>27.3</v>
      </c>
      <c r="I109">
        <v>8.5</v>
      </c>
      <c r="J109">
        <v>22</v>
      </c>
      <c r="K109">
        <v>30.5</v>
      </c>
      <c r="L109">
        <v>55</v>
      </c>
    </row>
    <row r="110" spans="1:12" x14ac:dyDescent="0.25">
      <c r="A110" t="s">
        <v>267</v>
      </c>
      <c r="B110" t="s">
        <v>289</v>
      </c>
      <c r="C110" t="s">
        <v>290</v>
      </c>
      <c r="D110">
        <v>3</v>
      </c>
      <c r="E110">
        <v>10</v>
      </c>
      <c r="F110">
        <v>120</v>
      </c>
      <c r="G110">
        <v>22</v>
      </c>
      <c r="H110">
        <v>27.3</v>
      </c>
      <c r="I110">
        <v>8.5</v>
      </c>
      <c r="J110">
        <v>22</v>
      </c>
      <c r="K110">
        <v>30.5</v>
      </c>
      <c r="L110">
        <v>60</v>
      </c>
    </row>
    <row r="111" spans="1:12" x14ac:dyDescent="0.25">
      <c r="A111" t="s">
        <v>267</v>
      </c>
      <c r="B111" t="s">
        <v>289</v>
      </c>
      <c r="C111" t="s">
        <v>290</v>
      </c>
      <c r="D111">
        <v>3</v>
      </c>
      <c r="E111">
        <v>10</v>
      </c>
      <c r="F111">
        <v>150</v>
      </c>
      <c r="G111">
        <v>22</v>
      </c>
      <c r="H111">
        <v>27.3</v>
      </c>
      <c r="I111">
        <v>8.5</v>
      </c>
      <c r="J111">
        <v>22</v>
      </c>
      <c r="K111">
        <v>30.5</v>
      </c>
      <c r="L111">
        <v>60</v>
      </c>
    </row>
    <row r="112" spans="1:12" x14ac:dyDescent="0.25">
      <c r="A112" t="s">
        <v>267</v>
      </c>
      <c r="B112" t="s">
        <v>274</v>
      </c>
      <c r="C112" t="s">
        <v>268</v>
      </c>
      <c r="D112">
        <v>3</v>
      </c>
      <c r="E112">
        <v>5</v>
      </c>
      <c r="F112">
        <v>50</v>
      </c>
      <c r="G112">
        <v>10</v>
      </c>
      <c r="H112">
        <v>2.6</v>
      </c>
      <c r="I112">
        <v>14.7</v>
      </c>
      <c r="J112">
        <v>21.6</v>
      </c>
      <c r="K112">
        <v>3.9</v>
      </c>
      <c r="L112">
        <v>30</v>
      </c>
    </row>
    <row r="113" spans="1:12" x14ac:dyDescent="0.25">
      <c r="A113" t="s">
        <v>267</v>
      </c>
      <c r="B113" t="s">
        <v>274</v>
      </c>
      <c r="C113" t="s">
        <v>268</v>
      </c>
      <c r="D113">
        <v>3</v>
      </c>
      <c r="E113">
        <v>5</v>
      </c>
      <c r="F113">
        <v>60</v>
      </c>
      <c r="G113">
        <v>10</v>
      </c>
      <c r="H113">
        <v>2.6</v>
      </c>
      <c r="I113">
        <v>14.7</v>
      </c>
      <c r="J113">
        <v>21.6</v>
      </c>
      <c r="K113">
        <v>3.9</v>
      </c>
      <c r="L113">
        <v>36</v>
      </c>
    </row>
    <row r="114" spans="1:12" x14ac:dyDescent="0.25">
      <c r="A114" t="s">
        <v>267</v>
      </c>
      <c r="B114" t="s">
        <v>274</v>
      </c>
      <c r="C114" t="s">
        <v>268</v>
      </c>
      <c r="D114">
        <v>3</v>
      </c>
      <c r="E114">
        <v>5</v>
      </c>
      <c r="F114">
        <v>70</v>
      </c>
      <c r="G114">
        <v>10</v>
      </c>
      <c r="H114">
        <v>2.6</v>
      </c>
      <c r="I114">
        <v>14.7</v>
      </c>
      <c r="J114">
        <v>21.6</v>
      </c>
      <c r="K114">
        <v>3.9</v>
      </c>
      <c r="L114">
        <v>42</v>
      </c>
    </row>
    <row r="115" spans="1:12" x14ac:dyDescent="0.25">
      <c r="A115" t="s">
        <v>267</v>
      </c>
      <c r="B115" t="s">
        <v>274</v>
      </c>
      <c r="C115" t="s">
        <v>268</v>
      </c>
      <c r="D115">
        <v>3</v>
      </c>
      <c r="E115">
        <v>5</v>
      </c>
      <c r="F115">
        <v>80</v>
      </c>
      <c r="G115">
        <v>10</v>
      </c>
      <c r="H115">
        <v>2.6</v>
      </c>
      <c r="I115">
        <v>14.7</v>
      </c>
      <c r="J115">
        <v>21.6</v>
      </c>
      <c r="K115">
        <v>3.9</v>
      </c>
      <c r="L115">
        <v>50</v>
      </c>
    </row>
    <row r="116" spans="1:12" x14ac:dyDescent="0.25">
      <c r="A116" t="s">
        <v>267</v>
      </c>
      <c r="B116" t="s">
        <v>274</v>
      </c>
      <c r="C116" t="s">
        <v>268</v>
      </c>
      <c r="D116">
        <v>3</v>
      </c>
      <c r="E116">
        <v>5</v>
      </c>
      <c r="F116">
        <v>90</v>
      </c>
      <c r="G116">
        <v>10</v>
      </c>
      <c r="H116">
        <v>2.6</v>
      </c>
      <c r="I116">
        <v>14.7</v>
      </c>
      <c r="J116">
        <v>21.6</v>
      </c>
      <c r="K116">
        <v>3.9</v>
      </c>
      <c r="L116">
        <v>42</v>
      </c>
    </row>
    <row r="117" spans="1:12" x14ac:dyDescent="0.25">
      <c r="A117" t="s">
        <v>267</v>
      </c>
      <c r="B117" t="s">
        <v>274</v>
      </c>
      <c r="C117" t="s">
        <v>268</v>
      </c>
      <c r="D117">
        <v>3</v>
      </c>
      <c r="E117">
        <v>6</v>
      </c>
      <c r="F117">
        <v>60</v>
      </c>
      <c r="G117">
        <v>12</v>
      </c>
      <c r="H117">
        <v>3.6</v>
      </c>
      <c r="I117">
        <v>14.1</v>
      </c>
      <c r="J117">
        <v>20.7</v>
      </c>
      <c r="K117">
        <v>5.2</v>
      </c>
      <c r="L117">
        <v>36</v>
      </c>
    </row>
    <row r="118" spans="1:12" x14ac:dyDescent="0.25">
      <c r="A118" t="s">
        <v>267</v>
      </c>
      <c r="B118" t="s">
        <v>274</v>
      </c>
      <c r="C118" t="s">
        <v>268</v>
      </c>
      <c r="D118">
        <v>3</v>
      </c>
      <c r="E118">
        <v>6</v>
      </c>
      <c r="F118">
        <v>70</v>
      </c>
      <c r="G118">
        <v>12</v>
      </c>
      <c r="H118">
        <v>3.6</v>
      </c>
      <c r="I118">
        <v>14.1</v>
      </c>
      <c r="J118">
        <v>20.7</v>
      </c>
      <c r="K118">
        <v>5.2</v>
      </c>
      <c r="L118">
        <v>42</v>
      </c>
    </row>
    <row r="119" spans="1:12" x14ac:dyDescent="0.25">
      <c r="A119" t="s">
        <v>267</v>
      </c>
      <c r="B119" t="s">
        <v>274</v>
      </c>
      <c r="C119" t="s">
        <v>268</v>
      </c>
      <c r="D119">
        <v>3</v>
      </c>
      <c r="E119">
        <v>6</v>
      </c>
      <c r="F119">
        <v>80</v>
      </c>
      <c r="G119">
        <v>12</v>
      </c>
      <c r="H119">
        <v>3.6</v>
      </c>
      <c r="I119">
        <v>14.1</v>
      </c>
      <c r="J119">
        <v>20.7</v>
      </c>
      <c r="K119">
        <v>5.2</v>
      </c>
      <c r="L119">
        <v>42</v>
      </c>
    </row>
    <row r="120" spans="1:12" x14ac:dyDescent="0.25">
      <c r="A120" t="s">
        <v>267</v>
      </c>
      <c r="B120" t="s">
        <v>274</v>
      </c>
      <c r="C120" t="s">
        <v>268</v>
      </c>
      <c r="D120">
        <v>3</v>
      </c>
      <c r="E120">
        <v>6</v>
      </c>
      <c r="F120">
        <v>90</v>
      </c>
      <c r="G120">
        <v>12</v>
      </c>
      <c r="H120">
        <v>3.6</v>
      </c>
      <c r="I120">
        <v>14.1</v>
      </c>
      <c r="J120">
        <v>20.7</v>
      </c>
      <c r="K120">
        <v>5.2</v>
      </c>
      <c r="L120">
        <v>42</v>
      </c>
    </row>
    <row r="121" spans="1:12" x14ac:dyDescent="0.25">
      <c r="A121" t="s">
        <v>267</v>
      </c>
      <c r="B121" t="s">
        <v>274</v>
      </c>
      <c r="C121" t="s">
        <v>268</v>
      </c>
      <c r="D121">
        <v>3</v>
      </c>
      <c r="E121">
        <v>6</v>
      </c>
      <c r="F121">
        <v>100</v>
      </c>
      <c r="G121">
        <v>12</v>
      </c>
      <c r="H121">
        <v>3.6</v>
      </c>
      <c r="I121">
        <v>14.1</v>
      </c>
      <c r="J121">
        <v>20.7</v>
      </c>
      <c r="K121">
        <v>5.2</v>
      </c>
      <c r="L121">
        <v>52</v>
      </c>
    </row>
    <row r="122" spans="1:12" x14ac:dyDescent="0.25">
      <c r="A122" t="s">
        <v>267</v>
      </c>
      <c r="B122" t="s">
        <v>274</v>
      </c>
      <c r="C122" t="s">
        <v>268</v>
      </c>
      <c r="D122">
        <v>3</v>
      </c>
      <c r="E122">
        <v>6</v>
      </c>
      <c r="F122">
        <v>120</v>
      </c>
      <c r="G122">
        <v>12</v>
      </c>
      <c r="H122">
        <v>3.6</v>
      </c>
      <c r="I122">
        <v>14.1</v>
      </c>
      <c r="J122">
        <v>20.7</v>
      </c>
      <c r="K122">
        <v>5.2</v>
      </c>
      <c r="L122">
        <v>72</v>
      </c>
    </row>
    <row r="123" spans="1:12" x14ac:dyDescent="0.25">
      <c r="A123" t="s">
        <v>267</v>
      </c>
      <c r="B123" t="s">
        <v>274</v>
      </c>
      <c r="C123" t="s">
        <v>268</v>
      </c>
      <c r="D123">
        <v>3</v>
      </c>
      <c r="E123">
        <v>6</v>
      </c>
      <c r="F123">
        <v>140</v>
      </c>
      <c r="G123">
        <v>12</v>
      </c>
      <c r="H123">
        <v>3.6</v>
      </c>
      <c r="I123">
        <v>14.1</v>
      </c>
      <c r="J123">
        <v>20.7</v>
      </c>
      <c r="K123">
        <v>5.2</v>
      </c>
      <c r="L123">
        <v>72</v>
      </c>
    </row>
    <row r="124" spans="1:12" x14ac:dyDescent="0.25">
      <c r="A124" t="s">
        <v>267</v>
      </c>
      <c r="B124" t="s">
        <v>273</v>
      </c>
      <c r="C124" t="s">
        <v>269</v>
      </c>
      <c r="D124">
        <v>3</v>
      </c>
      <c r="E124">
        <v>4</v>
      </c>
      <c r="F124">
        <v>20</v>
      </c>
      <c r="G124">
        <v>8</v>
      </c>
      <c r="H124">
        <v>2</v>
      </c>
      <c r="I124">
        <v>16.600000000000001</v>
      </c>
      <c r="J124">
        <v>30.1</v>
      </c>
      <c r="K124">
        <v>3.2</v>
      </c>
      <c r="L124">
        <v>16</v>
      </c>
    </row>
    <row r="125" spans="1:12" x14ac:dyDescent="0.25">
      <c r="A125" t="s">
        <v>267</v>
      </c>
      <c r="B125" t="s">
        <v>273</v>
      </c>
      <c r="C125" t="s">
        <v>269</v>
      </c>
      <c r="D125">
        <v>3</v>
      </c>
      <c r="E125">
        <v>4</v>
      </c>
      <c r="F125">
        <v>30</v>
      </c>
      <c r="G125">
        <v>8</v>
      </c>
      <c r="H125">
        <v>2</v>
      </c>
      <c r="I125">
        <v>16.600000000000001</v>
      </c>
      <c r="J125">
        <v>30.1</v>
      </c>
      <c r="K125">
        <v>3.2</v>
      </c>
      <c r="L125">
        <v>18</v>
      </c>
    </row>
    <row r="126" spans="1:12" x14ac:dyDescent="0.25">
      <c r="A126" t="s">
        <v>267</v>
      </c>
      <c r="B126" t="s">
        <v>273</v>
      </c>
      <c r="C126" t="s">
        <v>269</v>
      </c>
      <c r="D126">
        <v>3</v>
      </c>
      <c r="E126">
        <v>4</v>
      </c>
      <c r="F126">
        <v>40</v>
      </c>
      <c r="G126">
        <v>8</v>
      </c>
      <c r="H126">
        <v>2</v>
      </c>
      <c r="I126">
        <v>16.600000000000001</v>
      </c>
      <c r="J126">
        <v>30.1</v>
      </c>
      <c r="K126">
        <v>3.2</v>
      </c>
      <c r="L126">
        <v>24</v>
      </c>
    </row>
    <row r="127" spans="1:12" x14ac:dyDescent="0.25">
      <c r="A127" t="s">
        <v>267</v>
      </c>
      <c r="B127" t="s">
        <v>273</v>
      </c>
      <c r="C127" t="s">
        <v>269</v>
      </c>
      <c r="D127">
        <v>3</v>
      </c>
      <c r="E127">
        <v>4</v>
      </c>
      <c r="F127">
        <v>50</v>
      </c>
      <c r="G127">
        <v>8</v>
      </c>
      <c r="H127">
        <v>2</v>
      </c>
      <c r="I127">
        <v>16.600000000000001</v>
      </c>
      <c r="J127">
        <v>30.1</v>
      </c>
      <c r="K127">
        <v>3.2</v>
      </c>
      <c r="L127">
        <v>30</v>
      </c>
    </row>
    <row r="128" spans="1:12" x14ac:dyDescent="0.25">
      <c r="A128" t="s">
        <v>267</v>
      </c>
      <c r="B128" t="s">
        <v>273</v>
      </c>
      <c r="C128" t="s">
        <v>269</v>
      </c>
      <c r="D128">
        <v>3</v>
      </c>
      <c r="E128">
        <v>4.5</v>
      </c>
      <c r="F128">
        <v>30</v>
      </c>
      <c r="G128">
        <v>9</v>
      </c>
      <c r="H128">
        <v>2.7</v>
      </c>
      <c r="I128">
        <v>16.5</v>
      </c>
      <c r="J128">
        <v>29.2</v>
      </c>
      <c r="K128">
        <v>3.9</v>
      </c>
      <c r="L128">
        <v>18</v>
      </c>
    </row>
    <row r="129" spans="1:12" x14ac:dyDescent="0.25">
      <c r="A129" t="s">
        <v>267</v>
      </c>
      <c r="B129" t="s">
        <v>273</v>
      </c>
      <c r="C129" t="s">
        <v>269</v>
      </c>
      <c r="D129">
        <v>3</v>
      </c>
      <c r="E129">
        <v>4.5</v>
      </c>
      <c r="F129">
        <v>40</v>
      </c>
      <c r="G129">
        <v>9</v>
      </c>
      <c r="H129">
        <v>2.7</v>
      </c>
      <c r="I129">
        <v>16.5</v>
      </c>
      <c r="J129">
        <v>29.2</v>
      </c>
      <c r="K129">
        <v>3.9</v>
      </c>
      <c r="L129">
        <v>24</v>
      </c>
    </row>
    <row r="130" spans="1:12" x14ac:dyDescent="0.25">
      <c r="A130" t="s">
        <v>267</v>
      </c>
      <c r="B130" t="s">
        <v>273</v>
      </c>
      <c r="C130" t="s">
        <v>269</v>
      </c>
      <c r="D130">
        <v>3</v>
      </c>
      <c r="E130">
        <v>4.5</v>
      </c>
      <c r="F130">
        <v>50</v>
      </c>
      <c r="G130">
        <v>9</v>
      </c>
      <c r="H130">
        <v>2.7</v>
      </c>
      <c r="I130">
        <v>16.5</v>
      </c>
      <c r="J130">
        <v>29.2</v>
      </c>
      <c r="K130">
        <v>3.9</v>
      </c>
      <c r="L130">
        <v>30</v>
      </c>
    </row>
    <row r="131" spans="1:12" x14ac:dyDescent="0.25">
      <c r="A131" t="s">
        <v>267</v>
      </c>
      <c r="B131" t="s">
        <v>273</v>
      </c>
      <c r="C131" t="s">
        <v>269</v>
      </c>
      <c r="D131">
        <v>3</v>
      </c>
      <c r="E131">
        <v>5</v>
      </c>
      <c r="F131">
        <v>40</v>
      </c>
      <c r="G131">
        <v>10</v>
      </c>
      <c r="H131">
        <v>3.3</v>
      </c>
      <c r="I131">
        <v>15.6</v>
      </c>
      <c r="J131">
        <v>28.2</v>
      </c>
      <c r="K131">
        <v>5</v>
      </c>
      <c r="L131">
        <v>24</v>
      </c>
    </row>
    <row r="132" spans="1:12" x14ac:dyDescent="0.25">
      <c r="A132" t="s">
        <v>267</v>
      </c>
      <c r="B132" t="s">
        <v>273</v>
      </c>
      <c r="C132" t="s">
        <v>269</v>
      </c>
      <c r="D132">
        <v>3</v>
      </c>
      <c r="E132">
        <v>5</v>
      </c>
      <c r="F132">
        <v>50</v>
      </c>
      <c r="G132">
        <v>10</v>
      </c>
      <c r="H132">
        <v>3.3</v>
      </c>
      <c r="I132">
        <v>15.6</v>
      </c>
      <c r="J132">
        <v>28.2</v>
      </c>
      <c r="K132">
        <v>5</v>
      </c>
      <c r="L132">
        <v>30</v>
      </c>
    </row>
    <row r="133" spans="1:12" x14ac:dyDescent="0.25">
      <c r="A133" t="s">
        <v>267</v>
      </c>
      <c r="B133" t="s">
        <v>273</v>
      </c>
      <c r="C133" t="s">
        <v>269</v>
      </c>
      <c r="D133">
        <v>3</v>
      </c>
      <c r="E133">
        <v>5</v>
      </c>
      <c r="F133">
        <v>60</v>
      </c>
      <c r="G133">
        <v>10</v>
      </c>
      <c r="H133">
        <v>3.3</v>
      </c>
      <c r="I133">
        <v>15.6</v>
      </c>
      <c r="J133">
        <v>28.2</v>
      </c>
      <c r="K133">
        <v>5</v>
      </c>
      <c r="L133">
        <v>36</v>
      </c>
    </row>
    <row r="134" spans="1:12" x14ac:dyDescent="0.25">
      <c r="A134" t="s">
        <v>267</v>
      </c>
      <c r="B134" t="s">
        <v>273</v>
      </c>
      <c r="C134" t="s">
        <v>269</v>
      </c>
      <c r="D134">
        <v>3</v>
      </c>
      <c r="E134">
        <v>5</v>
      </c>
      <c r="F134">
        <v>70</v>
      </c>
      <c r="G134">
        <v>10</v>
      </c>
      <c r="H134">
        <v>3.3</v>
      </c>
      <c r="I134">
        <v>15.6</v>
      </c>
      <c r="J134">
        <v>28.2</v>
      </c>
      <c r="K134">
        <v>5</v>
      </c>
      <c r="L134">
        <v>42</v>
      </c>
    </row>
    <row r="135" spans="1:12" x14ac:dyDescent="0.25">
      <c r="A135" t="s">
        <v>267</v>
      </c>
      <c r="B135" t="s">
        <v>273</v>
      </c>
      <c r="C135" t="s">
        <v>269</v>
      </c>
      <c r="D135">
        <v>3</v>
      </c>
      <c r="E135">
        <v>5</v>
      </c>
      <c r="F135">
        <v>80</v>
      </c>
      <c r="G135">
        <v>10</v>
      </c>
      <c r="H135">
        <v>3.3</v>
      </c>
      <c r="I135">
        <v>15.6</v>
      </c>
      <c r="J135">
        <v>28.2</v>
      </c>
      <c r="K135">
        <v>5</v>
      </c>
      <c r="L135">
        <v>50</v>
      </c>
    </row>
    <row r="136" spans="1:12" x14ac:dyDescent="0.25">
      <c r="A136" t="s">
        <v>267</v>
      </c>
      <c r="B136" t="s">
        <v>273</v>
      </c>
      <c r="C136" t="s">
        <v>269</v>
      </c>
      <c r="D136">
        <v>3</v>
      </c>
      <c r="E136">
        <v>5</v>
      </c>
      <c r="F136">
        <v>100</v>
      </c>
      <c r="G136">
        <v>10</v>
      </c>
      <c r="H136">
        <v>3.3</v>
      </c>
      <c r="I136">
        <v>15.6</v>
      </c>
      <c r="J136">
        <v>28.2</v>
      </c>
      <c r="K136">
        <v>5</v>
      </c>
      <c r="L136">
        <v>52</v>
      </c>
    </row>
    <row r="137" spans="1:12" x14ac:dyDescent="0.25">
      <c r="A137" t="s">
        <v>267</v>
      </c>
      <c r="B137" t="s">
        <v>273</v>
      </c>
      <c r="C137" t="s">
        <v>269</v>
      </c>
      <c r="D137">
        <v>3</v>
      </c>
      <c r="E137">
        <v>6</v>
      </c>
      <c r="F137">
        <v>60</v>
      </c>
      <c r="G137">
        <v>12</v>
      </c>
      <c r="H137">
        <v>5.8</v>
      </c>
      <c r="I137">
        <v>15.4</v>
      </c>
      <c r="J137">
        <v>27.1</v>
      </c>
      <c r="K137">
        <v>7</v>
      </c>
      <c r="L137">
        <v>36</v>
      </c>
    </row>
    <row r="138" spans="1:12" x14ac:dyDescent="0.25">
      <c r="A138" t="s">
        <v>267</v>
      </c>
      <c r="B138" t="s">
        <v>273</v>
      </c>
      <c r="C138" t="s">
        <v>269</v>
      </c>
      <c r="D138">
        <v>3</v>
      </c>
      <c r="E138">
        <v>6</v>
      </c>
      <c r="F138">
        <v>80</v>
      </c>
      <c r="G138">
        <v>12</v>
      </c>
      <c r="H138">
        <v>5.8</v>
      </c>
      <c r="I138">
        <v>15.4</v>
      </c>
      <c r="J138">
        <v>27.1</v>
      </c>
      <c r="K138">
        <v>7</v>
      </c>
      <c r="L138">
        <v>42</v>
      </c>
    </row>
    <row r="139" spans="1:12" x14ac:dyDescent="0.25">
      <c r="A139" t="s">
        <v>267</v>
      </c>
      <c r="B139" t="s">
        <v>273</v>
      </c>
      <c r="C139" t="s">
        <v>269</v>
      </c>
      <c r="D139">
        <v>3</v>
      </c>
      <c r="E139">
        <v>6</v>
      </c>
      <c r="F139">
        <v>100</v>
      </c>
      <c r="G139">
        <v>12</v>
      </c>
      <c r="H139">
        <v>5.8</v>
      </c>
      <c r="I139">
        <v>15.4</v>
      </c>
      <c r="J139">
        <v>27.1</v>
      </c>
      <c r="K139">
        <v>7</v>
      </c>
      <c r="L139">
        <v>52</v>
      </c>
    </row>
    <row r="140" spans="1:12" x14ac:dyDescent="0.25">
      <c r="A140" t="s">
        <v>267</v>
      </c>
      <c r="B140" t="s">
        <v>275</v>
      </c>
      <c r="C140" t="s">
        <v>269</v>
      </c>
      <c r="D140">
        <v>1</v>
      </c>
      <c r="E140">
        <v>3</v>
      </c>
      <c r="F140">
        <v>12</v>
      </c>
      <c r="G140">
        <v>6</v>
      </c>
      <c r="H140">
        <v>1.2</v>
      </c>
      <c r="I140">
        <v>13.2</v>
      </c>
      <c r="J140">
        <v>35.200000000000003</v>
      </c>
      <c r="K140">
        <v>3.2</v>
      </c>
      <c r="L140">
        <v>9</v>
      </c>
    </row>
    <row r="141" spans="1:12" x14ac:dyDescent="0.25">
      <c r="A141" t="s">
        <v>267</v>
      </c>
      <c r="B141" t="s">
        <v>275</v>
      </c>
      <c r="C141" t="s">
        <v>269</v>
      </c>
      <c r="D141">
        <v>1</v>
      </c>
      <c r="E141">
        <v>3</v>
      </c>
      <c r="F141">
        <v>16</v>
      </c>
      <c r="G141">
        <v>6</v>
      </c>
      <c r="H141">
        <v>1.2</v>
      </c>
      <c r="I141">
        <v>13.2</v>
      </c>
      <c r="J141">
        <v>35.200000000000003</v>
      </c>
      <c r="K141">
        <v>3.2</v>
      </c>
      <c r="L141">
        <v>13</v>
      </c>
    </row>
    <row r="142" spans="1:12" x14ac:dyDescent="0.25">
      <c r="A142" t="s">
        <v>267</v>
      </c>
      <c r="B142" t="s">
        <v>275</v>
      </c>
      <c r="C142" t="s">
        <v>269</v>
      </c>
      <c r="D142">
        <v>1</v>
      </c>
      <c r="E142">
        <v>3</v>
      </c>
      <c r="F142">
        <v>20</v>
      </c>
      <c r="G142">
        <v>6</v>
      </c>
      <c r="H142">
        <v>1.2</v>
      </c>
      <c r="I142">
        <v>13.2</v>
      </c>
      <c r="J142">
        <v>35.200000000000003</v>
      </c>
      <c r="K142">
        <v>3.2</v>
      </c>
      <c r="L142">
        <v>20</v>
      </c>
    </row>
    <row r="143" spans="1:12" x14ac:dyDescent="0.25">
      <c r="A143" t="s">
        <v>267</v>
      </c>
      <c r="B143" t="s">
        <v>275</v>
      </c>
      <c r="C143" t="s">
        <v>269</v>
      </c>
      <c r="D143">
        <v>1</v>
      </c>
      <c r="E143">
        <v>3.5</v>
      </c>
      <c r="F143">
        <v>16</v>
      </c>
      <c r="G143">
        <v>7</v>
      </c>
      <c r="H143">
        <v>1.8</v>
      </c>
      <c r="I143">
        <v>12.2</v>
      </c>
      <c r="J143">
        <v>33.1</v>
      </c>
      <c r="K143">
        <v>4.0999999999999996</v>
      </c>
      <c r="L143">
        <v>16</v>
      </c>
    </row>
    <row r="144" spans="1:12" x14ac:dyDescent="0.25">
      <c r="A144" t="s">
        <v>267</v>
      </c>
      <c r="B144" t="s">
        <v>275</v>
      </c>
      <c r="C144" t="s">
        <v>269</v>
      </c>
      <c r="D144">
        <v>1</v>
      </c>
      <c r="E144">
        <v>3.5</v>
      </c>
      <c r="F144">
        <v>20</v>
      </c>
      <c r="G144">
        <v>7</v>
      </c>
      <c r="H144">
        <v>1.8</v>
      </c>
      <c r="I144">
        <v>12.2</v>
      </c>
      <c r="J144">
        <v>33.1</v>
      </c>
      <c r="K144">
        <v>4.0999999999999996</v>
      </c>
      <c r="L144">
        <v>16</v>
      </c>
    </row>
    <row r="145" spans="1:12" x14ac:dyDescent="0.25">
      <c r="A145" t="s">
        <v>267</v>
      </c>
      <c r="B145" t="s">
        <v>275</v>
      </c>
      <c r="C145" t="s">
        <v>269</v>
      </c>
      <c r="D145">
        <v>1</v>
      </c>
      <c r="E145">
        <v>3.5</v>
      </c>
      <c r="F145">
        <v>25</v>
      </c>
      <c r="G145">
        <v>7</v>
      </c>
      <c r="H145">
        <v>1.8</v>
      </c>
      <c r="I145">
        <v>12.2</v>
      </c>
      <c r="J145">
        <v>33.1</v>
      </c>
      <c r="K145">
        <v>4.0999999999999996</v>
      </c>
      <c r="L145">
        <v>18</v>
      </c>
    </row>
    <row r="146" spans="1:12" x14ac:dyDescent="0.25">
      <c r="A146" t="s">
        <v>267</v>
      </c>
      <c r="B146" t="s">
        <v>275</v>
      </c>
      <c r="C146" t="s">
        <v>269</v>
      </c>
      <c r="D146">
        <v>1</v>
      </c>
      <c r="E146">
        <v>3.5</v>
      </c>
      <c r="F146">
        <v>30</v>
      </c>
      <c r="G146">
        <v>7</v>
      </c>
      <c r="H146">
        <v>1.8</v>
      </c>
      <c r="I146">
        <v>12.2</v>
      </c>
      <c r="J146">
        <v>33.1</v>
      </c>
      <c r="K146">
        <v>4.0999999999999996</v>
      </c>
      <c r="L146">
        <v>18</v>
      </c>
    </row>
    <row r="147" spans="1:12" x14ac:dyDescent="0.25">
      <c r="A147" t="s">
        <v>267</v>
      </c>
      <c r="B147" t="s">
        <v>275</v>
      </c>
      <c r="C147" t="s">
        <v>269</v>
      </c>
      <c r="D147">
        <v>1</v>
      </c>
      <c r="E147">
        <v>3.5</v>
      </c>
      <c r="F147">
        <v>40</v>
      </c>
      <c r="G147">
        <v>7</v>
      </c>
      <c r="H147">
        <v>1.8</v>
      </c>
      <c r="I147">
        <v>12.2</v>
      </c>
      <c r="J147">
        <v>33.1</v>
      </c>
      <c r="K147">
        <v>4.0999999999999996</v>
      </c>
      <c r="L147">
        <v>24</v>
      </c>
    </row>
    <row r="148" spans="1:12" x14ac:dyDescent="0.25">
      <c r="A148" t="s">
        <v>267</v>
      </c>
      <c r="B148" t="s">
        <v>275</v>
      </c>
      <c r="C148" t="s">
        <v>269</v>
      </c>
      <c r="D148">
        <v>2</v>
      </c>
      <c r="E148">
        <v>4</v>
      </c>
      <c r="F148">
        <v>12</v>
      </c>
      <c r="G148">
        <v>8</v>
      </c>
      <c r="H148">
        <v>2.7</v>
      </c>
      <c r="I148">
        <v>17.100000000000001</v>
      </c>
      <c r="J148">
        <v>30.1</v>
      </c>
      <c r="K148">
        <v>4.7</v>
      </c>
      <c r="L148">
        <v>8</v>
      </c>
    </row>
    <row r="149" spans="1:12" x14ac:dyDescent="0.25">
      <c r="A149" t="s">
        <v>267</v>
      </c>
      <c r="B149" t="s">
        <v>275</v>
      </c>
      <c r="C149" t="s">
        <v>269</v>
      </c>
      <c r="D149">
        <v>2</v>
      </c>
      <c r="E149">
        <v>4</v>
      </c>
      <c r="F149">
        <v>16</v>
      </c>
      <c r="G149">
        <v>8</v>
      </c>
      <c r="H149">
        <v>2.7</v>
      </c>
      <c r="I149">
        <v>17.100000000000001</v>
      </c>
      <c r="J149">
        <v>30.1</v>
      </c>
      <c r="K149">
        <v>4.7</v>
      </c>
      <c r="L149">
        <v>12</v>
      </c>
    </row>
    <row r="150" spans="1:12" x14ac:dyDescent="0.25">
      <c r="A150" t="s">
        <v>267</v>
      </c>
      <c r="B150" t="s">
        <v>275</v>
      </c>
      <c r="C150" t="s">
        <v>269</v>
      </c>
      <c r="D150">
        <v>2</v>
      </c>
      <c r="E150">
        <v>4</v>
      </c>
      <c r="F150">
        <v>20</v>
      </c>
      <c r="G150">
        <v>8</v>
      </c>
      <c r="H150">
        <v>2.7</v>
      </c>
      <c r="I150">
        <v>17.100000000000001</v>
      </c>
      <c r="J150">
        <v>30.1</v>
      </c>
      <c r="K150">
        <v>4.7</v>
      </c>
      <c r="L150">
        <v>16</v>
      </c>
    </row>
    <row r="151" spans="1:12" x14ac:dyDescent="0.25">
      <c r="A151" t="s">
        <v>267</v>
      </c>
      <c r="B151" t="s">
        <v>275</v>
      </c>
      <c r="C151" t="s">
        <v>269</v>
      </c>
      <c r="D151">
        <v>2</v>
      </c>
      <c r="E151">
        <v>4</v>
      </c>
      <c r="F151">
        <v>25</v>
      </c>
      <c r="G151">
        <v>8</v>
      </c>
      <c r="H151">
        <v>2.7</v>
      </c>
      <c r="I151">
        <v>17.100000000000001</v>
      </c>
      <c r="J151">
        <v>30.1</v>
      </c>
      <c r="K151">
        <v>4.7</v>
      </c>
      <c r="L151">
        <v>18</v>
      </c>
    </row>
    <row r="152" spans="1:12" x14ac:dyDescent="0.25">
      <c r="A152" t="s">
        <v>267</v>
      </c>
      <c r="B152" t="s">
        <v>275</v>
      </c>
      <c r="C152" t="s">
        <v>269</v>
      </c>
      <c r="D152">
        <v>2</v>
      </c>
      <c r="E152">
        <v>4</v>
      </c>
      <c r="F152">
        <v>30</v>
      </c>
      <c r="G152">
        <v>8</v>
      </c>
      <c r="H152">
        <v>2.7</v>
      </c>
      <c r="I152">
        <v>17.100000000000001</v>
      </c>
      <c r="J152">
        <v>30.1</v>
      </c>
      <c r="K152">
        <v>4.7</v>
      </c>
      <c r="L152">
        <v>18</v>
      </c>
    </row>
    <row r="153" spans="1:12" x14ac:dyDescent="0.25">
      <c r="A153" t="s">
        <v>267</v>
      </c>
      <c r="B153" t="s">
        <v>275</v>
      </c>
      <c r="C153" t="s">
        <v>269</v>
      </c>
      <c r="D153">
        <v>2</v>
      </c>
      <c r="E153">
        <v>4</v>
      </c>
      <c r="F153">
        <v>35</v>
      </c>
      <c r="G153">
        <v>8</v>
      </c>
      <c r="H153">
        <v>2.7</v>
      </c>
      <c r="I153">
        <v>17.100000000000001</v>
      </c>
      <c r="J153">
        <v>30.1</v>
      </c>
      <c r="K153">
        <v>4.7</v>
      </c>
      <c r="L153">
        <v>24</v>
      </c>
    </row>
    <row r="154" spans="1:12" x14ac:dyDescent="0.25">
      <c r="A154" t="s">
        <v>267</v>
      </c>
      <c r="B154" t="s">
        <v>275</v>
      </c>
      <c r="C154" t="s">
        <v>269</v>
      </c>
      <c r="D154">
        <v>2</v>
      </c>
      <c r="E154">
        <v>4</v>
      </c>
      <c r="F154">
        <v>40</v>
      </c>
      <c r="G154">
        <v>8</v>
      </c>
      <c r="H154">
        <v>2.7</v>
      </c>
      <c r="I154">
        <v>17.100000000000001</v>
      </c>
      <c r="J154">
        <v>30.1</v>
      </c>
      <c r="K154">
        <v>4.7</v>
      </c>
      <c r="L154">
        <v>24</v>
      </c>
    </row>
    <row r="155" spans="1:12" x14ac:dyDescent="0.25">
      <c r="A155" t="s">
        <v>267</v>
      </c>
      <c r="B155" t="s">
        <v>275</v>
      </c>
      <c r="C155" t="s">
        <v>269</v>
      </c>
      <c r="D155">
        <v>2</v>
      </c>
      <c r="E155">
        <v>4</v>
      </c>
      <c r="F155">
        <v>45</v>
      </c>
      <c r="G155">
        <v>8</v>
      </c>
      <c r="H155">
        <v>2.7</v>
      </c>
      <c r="I155">
        <v>17.100000000000001</v>
      </c>
      <c r="J155">
        <v>30.1</v>
      </c>
      <c r="K155">
        <v>4.7</v>
      </c>
      <c r="L155">
        <v>30</v>
      </c>
    </row>
    <row r="156" spans="1:12" x14ac:dyDescent="0.25">
      <c r="A156" t="s">
        <v>267</v>
      </c>
      <c r="B156" t="s">
        <v>275</v>
      </c>
      <c r="C156" t="s">
        <v>269</v>
      </c>
      <c r="D156">
        <v>2</v>
      </c>
      <c r="E156">
        <v>4</v>
      </c>
      <c r="F156">
        <v>50</v>
      </c>
      <c r="G156">
        <v>8</v>
      </c>
      <c r="H156">
        <v>2.7</v>
      </c>
      <c r="I156">
        <v>17.100000000000001</v>
      </c>
      <c r="J156">
        <v>30.1</v>
      </c>
      <c r="K156">
        <v>4.7</v>
      </c>
      <c r="L156">
        <v>30</v>
      </c>
    </row>
    <row r="157" spans="1:12" x14ac:dyDescent="0.25">
      <c r="A157" t="s">
        <v>267</v>
      </c>
      <c r="B157" t="s">
        <v>275</v>
      </c>
      <c r="C157" t="s">
        <v>269</v>
      </c>
      <c r="D157">
        <v>2</v>
      </c>
      <c r="E157">
        <v>4.5</v>
      </c>
      <c r="F157">
        <v>20</v>
      </c>
      <c r="G157">
        <v>9</v>
      </c>
      <c r="H157">
        <v>4</v>
      </c>
      <c r="I157">
        <v>16.8</v>
      </c>
      <c r="J157">
        <v>29.2</v>
      </c>
      <c r="K157">
        <v>5.8</v>
      </c>
      <c r="L157">
        <v>20</v>
      </c>
    </row>
    <row r="158" spans="1:12" x14ac:dyDescent="0.25">
      <c r="A158" t="s">
        <v>267</v>
      </c>
      <c r="B158" t="s">
        <v>275</v>
      </c>
      <c r="C158" t="s">
        <v>269</v>
      </c>
      <c r="D158">
        <v>2</v>
      </c>
      <c r="E158">
        <v>4.5</v>
      </c>
      <c r="F158">
        <v>25</v>
      </c>
      <c r="G158">
        <v>9</v>
      </c>
      <c r="H158">
        <v>4</v>
      </c>
      <c r="I158">
        <v>16.8</v>
      </c>
      <c r="J158">
        <v>29.2</v>
      </c>
      <c r="K158">
        <v>5.8</v>
      </c>
      <c r="L158">
        <v>18</v>
      </c>
    </row>
    <row r="159" spans="1:12" x14ac:dyDescent="0.25">
      <c r="A159" t="s">
        <v>267</v>
      </c>
      <c r="B159" t="s">
        <v>275</v>
      </c>
      <c r="C159" t="s">
        <v>269</v>
      </c>
      <c r="D159">
        <v>2</v>
      </c>
      <c r="E159">
        <v>4.5</v>
      </c>
      <c r="F159">
        <v>30</v>
      </c>
      <c r="G159">
        <v>9</v>
      </c>
      <c r="H159">
        <v>4</v>
      </c>
      <c r="I159">
        <v>16.8</v>
      </c>
      <c r="J159">
        <v>29.2</v>
      </c>
      <c r="K159">
        <v>5.8</v>
      </c>
      <c r="L159">
        <v>18</v>
      </c>
    </row>
    <row r="160" spans="1:12" x14ac:dyDescent="0.25">
      <c r="A160" t="s">
        <v>267</v>
      </c>
      <c r="B160" t="s">
        <v>275</v>
      </c>
      <c r="C160" t="s">
        <v>269</v>
      </c>
      <c r="D160">
        <v>2</v>
      </c>
      <c r="E160">
        <v>4.5</v>
      </c>
      <c r="F160">
        <v>35</v>
      </c>
      <c r="G160">
        <v>9</v>
      </c>
      <c r="H160">
        <v>4</v>
      </c>
      <c r="I160">
        <v>16.8</v>
      </c>
      <c r="J160">
        <v>29.2</v>
      </c>
      <c r="K160">
        <v>5.8</v>
      </c>
      <c r="L160">
        <v>24</v>
      </c>
    </row>
    <row r="161" spans="1:12" x14ac:dyDescent="0.25">
      <c r="A161" t="s">
        <v>267</v>
      </c>
      <c r="B161" t="s">
        <v>275</v>
      </c>
      <c r="C161" t="s">
        <v>269</v>
      </c>
      <c r="D161">
        <v>2</v>
      </c>
      <c r="E161">
        <v>4.5</v>
      </c>
      <c r="F161">
        <v>40</v>
      </c>
      <c r="G161">
        <v>9</v>
      </c>
      <c r="H161">
        <v>4</v>
      </c>
      <c r="I161">
        <v>16.8</v>
      </c>
      <c r="J161">
        <v>29.2</v>
      </c>
      <c r="K161">
        <v>5.8</v>
      </c>
      <c r="L161">
        <v>24</v>
      </c>
    </row>
    <row r="162" spans="1:12" x14ac:dyDescent="0.25">
      <c r="A162" t="s">
        <v>267</v>
      </c>
      <c r="B162" t="s">
        <v>275</v>
      </c>
      <c r="C162" t="s">
        <v>269</v>
      </c>
      <c r="D162">
        <v>2</v>
      </c>
      <c r="E162">
        <v>4.5</v>
      </c>
      <c r="F162">
        <v>50</v>
      </c>
      <c r="G162">
        <v>9</v>
      </c>
      <c r="H162">
        <v>4</v>
      </c>
      <c r="I162">
        <v>16.8</v>
      </c>
      <c r="J162">
        <v>29.2</v>
      </c>
      <c r="K162">
        <v>5.8</v>
      </c>
      <c r="L162">
        <v>30</v>
      </c>
    </row>
    <row r="163" spans="1:12" x14ac:dyDescent="0.25">
      <c r="A163" t="s">
        <v>267</v>
      </c>
      <c r="B163" t="s">
        <v>275</v>
      </c>
      <c r="C163" t="s">
        <v>269</v>
      </c>
      <c r="D163">
        <v>2</v>
      </c>
      <c r="E163">
        <v>5</v>
      </c>
      <c r="F163">
        <v>25</v>
      </c>
      <c r="G163">
        <v>10</v>
      </c>
      <c r="H163">
        <v>5</v>
      </c>
      <c r="I163">
        <v>16.5</v>
      </c>
      <c r="J163">
        <v>28.2</v>
      </c>
      <c r="K163">
        <v>7.8</v>
      </c>
      <c r="L163">
        <v>18</v>
      </c>
    </row>
    <row r="164" spans="1:12" x14ac:dyDescent="0.25">
      <c r="A164" t="s">
        <v>267</v>
      </c>
      <c r="B164" t="s">
        <v>275</v>
      </c>
      <c r="C164" t="s">
        <v>269</v>
      </c>
      <c r="D164">
        <v>2</v>
      </c>
      <c r="E164">
        <v>5</v>
      </c>
      <c r="F164">
        <v>30</v>
      </c>
      <c r="G164">
        <v>10</v>
      </c>
      <c r="H164">
        <v>5</v>
      </c>
      <c r="I164">
        <v>16.5</v>
      </c>
      <c r="J164">
        <v>28.2</v>
      </c>
      <c r="K164">
        <v>7.8</v>
      </c>
      <c r="L164">
        <v>18</v>
      </c>
    </row>
    <row r="165" spans="1:12" x14ac:dyDescent="0.25">
      <c r="A165" t="s">
        <v>267</v>
      </c>
      <c r="B165" t="s">
        <v>275</v>
      </c>
      <c r="C165" t="s">
        <v>269</v>
      </c>
      <c r="D165">
        <v>2</v>
      </c>
      <c r="E165">
        <v>5</v>
      </c>
      <c r="F165">
        <v>35</v>
      </c>
      <c r="G165">
        <v>10</v>
      </c>
      <c r="H165">
        <v>5</v>
      </c>
      <c r="I165">
        <v>16.5</v>
      </c>
      <c r="J165">
        <v>28.2</v>
      </c>
      <c r="K165">
        <v>7.8</v>
      </c>
      <c r="L165">
        <v>24</v>
      </c>
    </row>
    <row r="166" spans="1:12" x14ac:dyDescent="0.25">
      <c r="A166" t="s">
        <v>267</v>
      </c>
      <c r="B166" t="s">
        <v>275</v>
      </c>
      <c r="C166" t="s">
        <v>269</v>
      </c>
      <c r="D166">
        <v>2</v>
      </c>
      <c r="E166">
        <v>5</v>
      </c>
      <c r="F166">
        <v>40</v>
      </c>
      <c r="G166">
        <v>10</v>
      </c>
      <c r="H166">
        <v>5</v>
      </c>
      <c r="I166">
        <v>16.5</v>
      </c>
      <c r="J166">
        <v>28.2</v>
      </c>
      <c r="K166">
        <v>7.8</v>
      </c>
      <c r="L166">
        <v>24</v>
      </c>
    </row>
    <row r="167" spans="1:12" x14ac:dyDescent="0.25">
      <c r="A167" t="s">
        <v>267</v>
      </c>
      <c r="B167" t="s">
        <v>275</v>
      </c>
      <c r="C167" t="s">
        <v>269</v>
      </c>
      <c r="D167">
        <v>2</v>
      </c>
      <c r="E167">
        <v>5</v>
      </c>
      <c r="F167">
        <v>50</v>
      </c>
      <c r="G167">
        <v>10</v>
      </c>
      <c r="H167">
        <v>5</v>
      </c>
      <c r="I167">
        <v>16.5</v>
      </c>
      <c r="J167">
        <v>28.2</v>
      </c>
      <c r="K167">
        <v>7.8</v>
      </c>
      <c r="L167">
        <v>30</v>
      </c>
    </row>
    <row r="168" spans="1:12" x14ac:dyDescent="0.25">
      <c r="A168" t="s">
        <v>267</v>
      </c>
      <c r="B168" t="s">
        <v>275</v>
      </c>
      <c r="C168" t="s">
        <v>269</v>
      </c>
      <c r="D168">
        <v>2</v>
      </c>
      <c r="E168">
        <v>5</v>
      </c>
      <c r="F168">
        <v>60</v>
      </c>
      <c r="G168">
        <v>10</v>
      </c>
      <c r="H168">
        <v>5</v>
      </c>
      <c r="I168">
        <v>16.5</v>
      </c>
      <c r="J168">
        <v>28.2</v>
      </c>
      <c r="K168">
        <v>7.8</v>
      </c>
      <c r="L168">
        <v>36</v>
      </c>
    </row>
    <row r="169" spans="1:12" x14ac:dyDescent="0.25">
      <c r="A169" t="s">
        <v>267</v>
      </c>
      <c r="B169" t="s">
        <v>275</v>
      </c>
      <c r="C169" t="s">
        <v>269</v>
      </c>
      <c r="D169">
        <v>2</v>
      </c>
      <c r="E169">
        <v>5</v>
      </c>
      <c r="F169">
        <v>70</v>
      </c>
      <c r="G169">
        <v>10</v>
      </c>
      <c r="H169">
        <v>5</v>
      </c>
      <c r="I169">
        <v>16.5</v>
      </c>
      <c r="J169">
        <v>28.2</v>
      </c>
      <c r="K169">
        <v>7.8</v>
      </c>
      <c r="L169">
        <v>42</v>
      </c>
    </row>
    <row r="170" spans="1:12" x14ac:dyDescent="0.25">
      <c r="A170" t="s">
        <v>267</v>
      </c>
      <c r="B170" t="s">
        <v>275</v>
      </c>
      <c r="C170" t="s">
        <v>269</v>
      </c>
      <c r="D170">
        <v>2</v>
      </c>
      <c r="E170">
        <v>5</v>
      </c>
      <c r="F170">
        <v>80</v>
      </c>
      <c r="G170">
        <v>10</v>
      </c>
      <c r="H170">
        <v>5</v>
      </c>
      <c r="I170">
        <v>16.5</v>
      </c>
      <c r="J170">
        <v>28.2</v>
      </c>
      <c r="K170">
        <v>7.8</v>
      </c>
      <c r="L170">
        <v>50</v>
      </c>
    </row>
    <row r="171" spans="1:12" x14ac:dyDescent="0.25">
      <c r="A171" t="s">
        <v>267</v>
      </c>
      <c r="B171" t="s">
        <v>275</v>
      </c>
      <c r="C171" t="s">
        <v>269</v>
      </c>
      <c r="D171">
        <v>2</v>
      </c>
      <c r="E171">
        <v>5</v>
      </c>
      <c r="F171">
        <v>90</v>
      </c>
      <c r="G171">
        <v>10</v>
      </c>
      <c r="H171">
        <v>5</v>
      </c>
      <c r="I171">
        <v>16.5</v>
      </c>
      <c r="J171">
        <v>28.2</v>
      </c>
      <c r="K171">
        <v>7.8</v>
      </c>
      <c r="L171">
        <v>42</v>
      </c>
    </row>
    <row r="172" spans="1:12" x14ac:dyDescent="0.25">
      <c r="A172" t="s">
        <v>267</v>
      </c>
      <c r="B172" t="s">
        <v>275</v>
      </c>
      <c r="C172" t="s">
        <v>269</v>
      </c>
      <c r="D172">
        <v>2</v>
      </c>
      <c r="E172">
        <v>5</v>
      </c>
      <c r="F172">
        <v>100</v>
      </c>
      <c r="G172">
        <v>10</v>
      </c>
      <c r="H172">
        <v>5</v>
      </c>
      <c r="I172">
        <v>16.5</v>
      </c>
      <c r="J172">
        <v>28.2</v>
      </c>
      <c r="K172">
        <v>7.8</v>
      </c>
      <c r="L172">
        <v>52</v>
      </c>
    </row>
    <row r="173" spans="1:12" x14ac:dyDescent="0.25">
      <c r="A173" t="s">
        <v>267</v>
      </c>
      <c r="B173" t="s">
        <v>275</v>
      </c>
      <c r="C173" t="s">
        <v>269</v>
      </c>
      <c r="D173">
        <v>2</v>
      </c>
      <c r="E173">
        <v>6</v>
      </c>
      <c r="F173">
        <v>16</v>
      </c>
      <c r="G173">
        <v>12</v>
      </c>
      <c r="H173">
        <v>8.5</v>
      </c>
      <c r="I173">
        <v>15.6</v>
      </c>
      <c r="J173">
        <v>27.1</v>
      </c>
      <c r="K173">
        <v>11.5</v>
      </c>
      <c r="L173">
        <v>16</v>
      </c>
    </row>
    <row r="174" spans="1:12" x14ac:dyDescent="0.25">
      <c r="A174" t="s">
        <v>267</v>
      </c>
      <c r="B174" t="s">
        <v>275</v>
      </c>
      <c r="C174" t="s">
        <v>269</v>
      </c>
      <c r="D174">
        <v>2</v>
      </c>
      <c r="E174">
        <v>6</v>
      </c>
      <c r="F174">
        <v>40</v>
      </c>
      <c r="G174">
        <v>12</v>
      </c>
      <c r="H174">
        <v>8.5</v>
      </c>
      <c r="I174">
        <v>15.6</v>
      </c>
      <c r="J174">
        <v>27.1</v>
      </c>
      <c r="K174">
        <v>11.5</v>
      </c>
      <c r="L174">
        <v>24</v>
      </c>
    </row>
    <row r="175" spans="1:12" x14ac:dyDescent="0.25">
      <c r="A175" t="s">
        <v>267</v>
      </c>
      <c r="B175" t="s">
        <v>275</v>
      </c>
      <c r="C175" t="s">
        <v>269</v>
      </c>
      <c r="D175">
        <v>2</v>
      </c>
      <c r="E175">
        <v>6</v>
      </c>
      <c r="F175">
        <v>50</v>
      </c>
      <c r="G175">
        <v>12</v>
      </c>
      <c r="H175">
        <v>8.5</v>
      </c>
      <c r="I175">
        <v>15.6</v>
      </c>
      <c r="J175">
        <v>27.1</v>
      </c>
      <c r="K175">
        <v>11.5</v>
      </c>
      <c r="L175">
        <v>30</v>
      </c>
    </row>
    <row r="176" spans="1:12" x14ac:dyDescent="0.25">
      <c r="A176" t="s">
        <v>267</v>
      </c>
      <c r="B176" t="s">
        <v>275</v>
      </c>
      <c r="C176" t="s">
        <v>269</v>
      </c>
      <c r="D176">
        <v>2</v>
      </c>
      <c r="E176">
        <v>6</v>
      </c>
      <c r="F176">
        <v>60</v>
      </c>
      <c r="G176">
        <v>12</v>
      </c>
      <c r="H176">
        <v>8.5</v>
      </c>
      <c r="I176">
        <v>15.6</v>
      </c>
      <c r="J176">
        <v>27.1</v>
      </c>
      <c r="K176">
        <v>11.5</v>
      </c>
      <c r="L176">
        <v>36</v>
      </c>
    </row>
    <row r="177" spans="1:12" x14ac:dyDescent="0.25">
      <c r="A177" t="s">
        <v>267</v>
      </c>
      <c r="B177" t="s">
        <v>275</v>
      </c>
      <c r="C177" t="s">
        <v>269</v>
      </c>
      <c r="D177">
        <v>2</v>
      </c>
      <c r="E177">
        <v>6</v>
      </c>
      <c r="F177">
        <v>70</v>
      </c>
      <c r="G177">
        <v>12</v>
      </c>
      <c r="H177">
        <v>8.5</v>
      </c>
      <c r="I177">
        <v>15.6</v>
      </c>
      <c r="J177">
        <v>27.1</v>
      </c>
      <c r="K177">
        <v>11.5</v>
      </c>
      <c r="L177">
        <v>42</v>
      </c>
    </row>
    <row r="178" spans="1:12" x14ac:dyDescent="0.25">
      <c r="A178" t="s">
        <v>267</v>
      </c>
      <c r="B178" t="s">
        <v>275</v>
      </c>
      <c r="C178" t="s">
        <v>269</v>
      </c>
      <c r="D178">
        <v>2</v>
      </c>
      <c r="E178">
        <v>6</v>
      </c>
      <c r="F178">
        <v>80</v>
      </c>
      <c r="G178">
        <v>12</v>
      </c>
      <c r="H178">
        <v>8.5</v>
      </c>
      <c r="I178">
        <v>15.6</v>
      </c>
      <c r="J178">
        <v>27.1</v>
      </c>
      <c r="K178">
        <v>11.5</v>
      </c>
      <c r="L178">
        <v>42</v>
      </c>
    </row>
    <row r="179" spans="1:12" x14ac:dyDescent="0.25">
      <c r="A179" t="s">
        <v>267</v>
      </c>
      <c r="B179" t="s">
        <v>275</v>
      </c>
      <c r="C179" t="s">
        <v>269</v>
      </c>
      <c r="D179">
        <v>2</v>
      </c>
      <c r="E179">
        <v>6</v>
      </c>
      <c r="F179">
        <v>90</v>
      </c>
      <c r="G179">
        <v>12</v>
      </c>
      <c r="H179">
        <v>8.5</v>
      </c>
      <c r="I179">
        <v>15.6</v>
      </c>
      <c r="J179">
        <v>27.1</v>
      </c>
      <c r="K179">
        <v>11.5</v>
      </c>
      <c r="L179">
        <v>42</v>
      </c>
    </row>
    <row r="180" spans="1:12" x14ac:dyDescent="0.25">
      <c r="A180" t="s">
        <v>267</v>
      </c>
      <c r="B180" t="s">
        <v>275</v>
      </c>
      <c r="C180" t="s">
        <v>269</v>
      </c>
      <c r="D180">
        <v>2</v>
      </c>
      <c r="E180">
        <v>6</v>
      </c>
      <c r="F180">
        <v>100</v>
      </c>
      <c r="G180">
        <v>12</v>
      </c>
      <c r="H180">
        <v>8.5</v>
      </c>
      <c r="I180">
        <v>15.6</v>
      </c>
      <c r="J180">
        <v>27.1</v>
      </c>
      <c r="K180">
        <v>11.5</v>
      </c>
      <c r="L180">
        <v>52</v>
      </c>
    </row>
    <row r="181" spans="1:12" x14ac:dyDescent="0.25">
      <c r="A181" t="s">
        <v>267</v>
      </c>
      <c r="B181" t="s">
        <v>272</v>
      </c>
      <c r="C181" t="s">
        <v>268</v>
      </c>
      <c r="D181">
        <v>3</v>
      </c>
      <c r="E181">
        <v>3</v>
      </c>
      <c r="F181">
        <v>16</v>
      </c>
      <c r="G181">
        <v>6</v>
      </c>
      <c r="L181">
        <v>13</v>
      </c>
    </row>
    <row r="182" spans="1:12" x14ac:dyDescent="0.25">
      <c r="A182" t="s">
        <v>267</v>
      </c>
      <c r="B182" t="s">
        <v>272</v>
      </c>
      <c r="C182" t="s">
        <v>268</v>
      </c>
      <c r="D182">
        <v>3</v>
      </c>
      <c r="E182">
        <v>3</v>
      </c>
      <c r="F182">
        <v>20</v>
      </c>
      <c r="G182">
        <v>6</v>
      </c>
      <c r="L182">
        <v>17</v>
      </c>
    </row>
    <row r="183" spans="1:12" x14ac:dyDescent="0.25">
      <c r="A183" t="s">
        <v>267</v>
      </c>
      <c r="B183" t="s">
        <v>272</v>
      </c>
      <c r="C183" t="s">
        <v>268</v>
      </c>
      <c r="D183">
        <v>3</v>
      </c>
      <c r="E183">
        <v>3</v>
      </c>
      <c r="F183">
        <v>30</v>
      </c>
      <c r="G183">
        <v>6</v>
      </c>
      <c r="L183">
        <v>18</v>
      </c>
    </row>
    <row r="184" spans="1:12" x14ac:dyDescent="0.25">
      <c r="A184" t="s">
        <v>267</v>
      </c>
      <c r="B184" t="s">
        <v>272</v>
      </c>
      <c r="C184" t="s">
        <v>268</v>
      </c>
      <c r="D184">
        <v>3</v>
      </c>
      <c r="E184">
        <v>3</v>
      </c>
      <c r="F184">
        <v>40</v>
      </c>
      <c r="G184">
        <v>6</v>
      </c>
      <c r="L184">
        <v>24</v>
      </c>
    </row>
    <row r="185" spans="1:12" x14ac:dyDescent="0.25">
      <c r="A185" t="s">
        <v>267</v>
      </c>
      <c r="B185" t="s">
        <v>272</v>
      </c>
      <c r="C185" t="s">
        <v>268</v>
      </c>
      <c r="D185">
        <v>3</v>
      </c>
      <c r="E185">
        <v>3.5</v>
      </c>
      <c r="F185">
        <v>20</v>
      </c>
      <c r="G185">
        <v>7</v>
      </c>
      <c r="H185">
        <v>1.3</v>
      </c>
      <c r="I185">
        <v>15.4</v>
      </c>
      <c r="J185">
        <v>25.8</v>
      </c>
      <c r="K185">
        <v>2.4</v>
      </c>
      <c r="L185">
        <v>16</v>
      </c>
    </row>
    <row r="186" spans="1:12" x14ac:dyDescent="0.25">
      <c r="A186" t="s">
        <v>267</v>
      </c>
      <c r="B186" t="s">
        <v>272</v>
      </c>
      <c r="C186" t="s">
        <v>268</v>
      </c>
      <c r="D186">
        <v>3</v>
      </c>
      <c r="E186">
        <v>3.5</v>
      </c>
      <c r="F186">
        <v>30</v>
      </c>
      <c r="G186">
        <v>7</v>
      </c>
      <c r="H186">
        <v>1.3</v>
      </c>
      <c r="I186">
        <v>15.4</v>
      </c>
      <c r="J186">
        <v>25.8</v>
      </c>
      <c r="K186">
        <v>2.4</v>
      </c>
      <c r="L186">
        <v>18</v>
      </c>
    </row>
    <row r="187" spans="1:12" x14ac:dyDescent="0.25">
      <c r="A187" t="s">
        <v>267</v>
      </c>
      <c r="B187" t="s">
        <v>272</v>
      </c>
      <c r="C187" t="s">
        <v>268</v>
      </c>
      <c r="D187">
        <v>3</v>
      </c>
      <c r="E187">
        <v>3.5</v>
      </c>
      <c r="F187">
        <v>40</v>
      </c>
      <c r="G187">
        <v>7</v>
      </c>
      <c r="H187">
        <v>1.3</v>
      </c>
      <c r="I187">
        <v>15.4</v>
      </c>
      <c r="J187">
        <v>25.8</v>
      </c>
      <c r="K187">
        <v>2.4</v>
      </c>
      <c r="L187">
        <v>24</v>
      </c>
    </row>
    <row r="188" spans="1:12" x14ac:dyDescent="0.25">
      <c r="A188" t="s">
        <v>267</v>
      </c>
      <c r="B188" t="s">
        <v>272</v>
      </c>
      <c r="C188" t="s">
        <v>268</v>
      </c>
      <c r="D188">
        <v>3</v>
      </c>
      <c r="E188">
        <v>4</v>
      </c>
      <c r="F188">
        <v>20</v>
      </c>
      <c r="G188">
        <v>8</v>
      </c>
      <c r="H188">
        <v>2.4</v>
      </c>
      <c r="I188">
        <v>16.7</v>
      </c>
      <c r="J188">
        <v>25.3</v>
      </c>
      <c r="K188">
        <v>3.4</v>
      </c>
      <c r="L188">
        <v>16</v>
      </c>
    </row>
    <row r="189" spans="1:12" x14ac:dyDescent="0.25">
      <c r="A189" t="s">
        <v>267</v>
      </c>
      <c r="B189" t="s">
        <v>272</v>
      </c>
      <c r="C189" t="s">
        <v>268</v>
      </c>
      <c r="D189">
        <v>3</v>
      </c>
      <c r="E189">
        <v>4</v>
      </c>
      <c r="F189">
        <v>30</v>
      </c>
      <c r="G189">
        <v>8</v>
      </c>
      <c r="H189">
        <v>2.4</v>
      </c>
      <c r="I189">
        <v>16.7</v>
      </c>
      <c r="J189">
        <v>25.3</v>
      </c>
      <c r="K189">
        <v>3.4</v>
      </c>
      <c r="L189">
        <v>18</v>
      </c>
    </row>
    <row r="190" spans="1:12" x14ac:dyDescent="0.25">
      <c r="A190" t="s">
        <v>267</v>
      </c>
      <c r="B190" t="s">
        <v>272</v>
      </c>
      <c r="C190" t="s">
        <v>268</v>
      </c>
      <c r="D190">
        <v>3</v>
      </c>
      <c r="E190">
        <v>4</v>
      </c>
      <c r="F190">
        <v>40</v>
      </c>
      <c r="G190">
        <v>8</v>
      </c>
      <c r="H190">
        <v>2.4</v>
      </c>
      <c r="I190">
        <v>16.7</v>
      </c>
      <c r="J190">
        <v>25.3</v>
      </c>
      <c r="K190">
        <v>3.4</v>
      </c>
      <c r="L190">
        <v>24</v>
      </c>
    </row>
    <row r="191" spans="1:12" x14ac:dyDescent="0.25">
      <c r="A191" t="s">
        <v>267</v>
      </c>
      <c r="B191" t="s">
        <v>272</v>
      </c>
      <c r="C191" t="s">
        <v>268</v>
      </c>
      <c r="D191">
        <v>3</v>
      </c>
      <c r="E191">
        <v>4</v>
      </c>
      <c r="F191">
        <v>45</v>
      </c>
      <c r="G191">
        <v>8</v>
      </c>
      <c r="H191">
        <v>2.4</v>
      </c>
      <c r="I191">
        <v>16.7</v>
      </c>
      <c r="J191">
        <v>25.3</v>
      </c>
      <c r="K191">
        <v>3.4</v>
      </c>
      <c r="L191">
        <v>30</v>
      </c>
    </row>
    <row r="192" spans="1:12" x14ac:dyDescent="0.25">
      <c r="A192" t="s">
        <v>267</v>
      </c>
      <c r="B192" t="s">
        <v>272</v>
      </c>
      <c r="C192" t="s">
        <v>268</v>
      </c>
      <c r="D192">
        <v>3</v>
      </c>
      <c r="E192">
        <v>4</v>
      </c>
      <c r="F192">
        <v>50</v>
      </c>
      <c r="G192">
        <v>8</v>
      </c>
      <c r="H192">
        <v>2.4</v>
      </c>
      <c r="I192">
        <v>16.7</v>
      </c>
      <c r="J192">
        <v>25.3</v>
      </c>
      <c r="K192">
        <v>3.4</v>
      </c>
      <c r="L192">
        <v>30</v>
      </c>
    </row>
    <row r="193" spans="1:12" x14ac:dyDescent="0.25">
      <c r="A193" t="s">
        <v>267</v>
      </c>
      <c r="B193" t="s">
        <v>272</v>
      </c>
      <c r="C193" t="s">
        <v>268</v>
      </c>
      <c r="D193">
        <v>3</v>
      </c>
      <c r="E193">
        <v>4.5</v>
      </c>
      <c r="F193">
        <v>30</v>
      </c>
      <c r="G193">
        <v>9</v>
      </c>
      <c r="L193">
        <v>18</v>
      </c>
    </row>
    <row r="194" spans="1:12" x14ac:dyDescent="0.25">
      <c r="A194" t="s">
        <v>267</v>
      </c>
      <c r="B194" t="s">
        <v>272</v>
      </c>
      <c r="C194" t="s">
        <v>268</v>
      </c>
      <c r="D194">
        <v>3</v>
      </c>
      <c r="E194">
        <v>4.5</v>
      </c>
      <c r="F194">
        <v>40</v>
      </c>
      <c r="G194">
        <v>9</v>
      </c>
      <c r="L194">
        <v>24</v>
      </c>
    </row>
    <row r="195" spans="1:12" x14ac:dyDescent="0.25">
      <c r="A195" t="s">
        <v>267</v>
      </c>
      <c r="B195" t="s">
        <v>272</v>
      </c>
      <c r="C195" t="s">
        <v>268</v>
      </c>
      <c r="D195">
        <v>3</v>
      </c>
      <c r="E195">
        <v>4.5</v>
      </c>
      <c r="F195">
        <v>50</v>
      </c>
      <c r="G195">
        <v>9</v>
      </c>
      <c r="L195">
        <v>30</v>
      </c>
    </row>
    <row r="196" spans="1:12" x14ac:dyDescent="0.25">
      <c r="A196" t="s">
        <v>267</v>
      </c>
      <c r="B196" t="s">
        <v>272</v>
      </c>
      <c r="C196" t="s">
        <v>268</v>
      </c>
      <c r="D196">
        <v>3</v>
      </c>
      <c r="E196">
        <v>4.5</v>
      </c>
      <c r="F196">
        <v>60</v>
      </c>
      <c r="G196">
        <v>9</v>
      </c>
      <c r="L196">
        <v>36</v>
      </c>
    </row>
    <row r="197" spans="1:12" x14ac:dyDescent="0.25">
      <c r="A197" t="s">
        <v>267</v>
      </c>
      <c r="B197" t="s">
        <v>272</v>
      </c>
      <c r="C197" t="s">
        <v>268</v>
      </c>
      <c r="D197">
        <v>3</v>
      </c>
      <c r="E197">
        <v>4.5</v>
      </c>
      <c r="F197">
        <v>70</v>
      </c>
      <c r="G197">
        <v>9</v>
      </c>
      <c r="L197">
        <v>42</v>
      </c>
    </row>
    <row r="198" spans="1:12" x14ac:dyDescent="0.25">
      <c r="A198" t="s">
        <v>267</v>
      </c>
      <c r="B198" t="s">
        <v>272</v>
      </c>
      <c r="C198" t="s">
        <v>268</v>
      </c>
      <c r="D198">
        <v>3</v>
      </c>
      <c r="E198">
        <v>5</v>
      </c>
      <c r="F198">
        <v>40</v>
      </c>
      <c r="G198">
        <v>10</v>
      </c>
      <c r="H198">
        <v>3.3</v>
      </c>
      <c r="I198">
        <v>15.6</v>
      </c>
      <c r="J198">
        <v>23.5</v>
      </c>
      <c r="K198">
        <v>4.8</v>
      </c>
      <c r="L198">
        <v>24</v>
      </c>
    </row>
    <row r="199" spans="1:12" x14ac:dyDescent="0.25">
      <c r="A199" t="s">
        <v>267</v>
      </c>
      <c r="B199" t="s">
        <v>272</v>
      </c>
      <c r="C199" t="s">
        <v>268</v>
      </c>
      <c r="D199">
        <v>3</v>
      </c>
      <c r="E199">
        <v>5</v>
      </c>
      <c r="F199">
        <v>50</v>
      </c>
      <c r="G199">
        <v>10</v>
      </c>
      <c r="H199">
        <v>3.3</v>
      </c>
      <c r="I199">
        <v>15.6</v>
      </c>
      <c r="J199">
        <v>23.5</v>
      </c>
      <c r="K199">
        <v>4.8</v>
      </c>
      <c r="L199">
        <v>30</v>
      </c>
    </row>
    <row r="200" spans="1:12" x14ac:dyDescent="0.25">
      <c r="A200" t="s">
        <v>267</v>
      </c>
      <c r="B200" t="s">
        <v>272</v>
      </c>
      <c r="C200" t="s">
        <v>268</v>
      </c>
      <c r="D200">
        <v>3</v>
      </c>
      <c r="E200">
        <v>5</v>
      </c>
      <c r="F200">
        <v>60</v>
      </c>
      <c r="G200">
        <v>10</v>
      </c>
      <c r="H200">
        <v>3.3</v>
      </c>
      <c r="I200">
        <v>15.6</v>
      </c>
      <c r="J200">
        <v>23.5</v>
      </c>
      <c r="K200">
        <v>4.8</v>
      </c>
      <c r="L200">
        <v>36</v>
      </c>
    </row>
    <row r="201" spans="1:12" x14ac:dyDescent="0.25">
      <c r="A201" t="s">
        <v>267</v>
      </c>
      <c r="B201" t="s">
        <v>272</v>
      </c>
      <c r="C201" t="s">
        <v>268</v>
      </c>
      <c r="D201">
        <v>3</v>
      </c>
      <c r="E201">
        <v>5</v>
      </c>
      <c r="F201">
        <v>70</v>
      </c>
      <c r="G201">
        <v>10</v>
      </c>
      <c r="H201">
        <v>3.3</v>
      </c>
      <c r="I201">
        <v>15.6</v>
      </c>
      <c r="J201">
        <v>23.5</v>
      </c>
      <c r="K201">
        <v>4.8</v>
      </c>
      <c r="L201">
        <v>42</v>
      </c>
    </row>
    <row r="202" spans="1:12" x14ac:dyDescent="0.25">
      <c r="A202" t="s">
        <v>267</v>
      </c>
      <c r="B202" t="s">
        <v>272</v>
      </c>
      <c r="C202" t="s">
        <v>268</v>
      </c>
      <c r="D202">
        <v>3</v>
      </c>
      <c r="E202">
        <v>5</v>
      </c>
      <c r="F202">
        <v>80</v>
      </c>
      <c r="G202">
        <v>10</v>
      </c>
      <c r="H202">
        <v>3.3</v>
      </c>
      <c r="I202">
        <v>15.6</v>
      </c>
      <c r="J202">
        <v>23.5</v>
      </c>
      <c r="K202">
        <v>4.8</v>
      </c>
      <c r="L202">
        <v>50</v>
      </c>
    </row>
    <row r="203" spans="1:12" x14ac:dyDescent="0.25">
      <c r="A203" t="s">
        <v>267</v>
      </c>
      <c r="B203" t="s">
        <v>272</v>
      </c>
      <c r="C203" t="s">
        <v>268</v>
      </c>
      <c r="D203">
        <v>3</v>
      </c>
      <c r="E203">
        <v>5</v>
      </c>
      <c r="F203">
        <v>90</v>
      </c>
      <c r="G203">
        <v>10</v>
      </c>
      <c r="H203">
        <v>3.3</v>
      </c>
      <c r="I203">
        <v>15.6</v>
      </c>
      <c r="J203">
        <v>23.5</v>
      </c>
      <c r="K203">
        <v>4.8</v>
      </c>
      <c r="L203">
        <v>42</v>
      </c>
    </row>
    <row r="204" spans="1:12" x14ac:dyDescent="0.25">
      <c r="A204" t="s">
        <v>267</v>
      </c>
      <c r="B204" t="s">
        <v>272</v>
      </c>
      <c r="C204" t="s">
        <v>268</v>
      </c>
      <c r="D204">
        <v>3</v>
      </c>
      <c r="E204">
        <v>5</v>
      </c>
      <c r="F204">
        <v>100</v>
      </c>
      <c r="G204">
        <v>10</v>
      </c>
      <c r="H204">
        <v>3.3</v>
      </c>
      <c r="I204">
        <v>15.6</v>
      </c>
      <c r="J204">
        <v>23.5</v>
      </c>
      <c r="K204">
        <v>4.8</v>
      </c>
      <c r="L204">
        <v>52</v>
      </c>
    </row>
    <row r="205" spans="1:12" x14ac:dyDescent="0.25">
      <c r="A205" t="s">
        <v>267</v>
      </c>
      <c r="B205" t="s">
        <v>272</v>
      </c>
      <c r="C205" t="s">
        <v>268</v>
      </c>
      <c r="D205">
        <v>3</v>
      </c>
      <c r="E205">
        <v>6</v>
      </c>
      <c r="F205">
        <v>50</v>
      </c>
      <c r="G205">
        <v>12</v>
      </c>
      <c r="H205">
        <v>6.2</v>
      </c>
      <c r="I205">
        <v>15.7</v>
      </c>
      <c r="J205">
        <v>22</v>
      </c>
      <c r="K205">
        <v>6.9</v>
      </c>
      <c r="L205">
        <v>30</v>
      </c>
    </row>
    <row r="206" spans="1:12" x14ac:dyDescent="0.25">
      <c r="A206" t="s">
        <v>267</v>
      </c>
      <c r="B206" t="s">
        <v>272</v>
      </c>
      <c r="C206" t="s">
        <v>268</v>
      </c>
      <c r="D206">
        <v>3</v>
      </c>
      <c r="E206">
        <v>6</v>
      </c>
      <c r="F206">
        <v>60</v>
      </c>
      <c r="G206">
        <v>12</v>
      </c>
      <c r="H206">
        <v>6.2</v>
      </c>
      <c r="I206">
        <v>15.7</v>
      </c>
      <c r="J206">
        <v>22</v>
      </c>
      <c r="K206">
        <v>6.9</v>
      </c>
      <c r="L206">
        <v>36</v>
      </c>
    </row>
    <row r="207" spans="1:12" x14ac:dyDescent="0.25">
      <c r="A207" t="s">
        <v>267</v>
      </c>
      <c r="B207" t="s">
        <v>272</v>
      </c>
      <c r="C207" t="s">
        <v>268</v>
      </c>
      <c r="D207">
        <v>3</v>
      </c>
      <c r="E207">
        <v>6</v>
      </c>
      <c r="F207">
        <v>70</v>
      </c>
      <c r="G207">
        <v>12</v>
      </c>
      <c r="H207">
        <v>6.2</v>
      </c>
      <c r="I207">
        <v>15.7</v>
      </c>
      <c r="J207">
        <v>22</v>
      </c>
      <c r="K207">
        <v>6.9</v>
      </c>
      <c r="L207">
        <v>42</v>
      </c>
    </row>
    <row r="208" spans="1:12" x14ac:dyDescent="0.25">
      <c r="A208" t="s">
        <v>267</v>
      </c>
      <c r="B208" t="s">
        <v>272</v>
      </c>
      <c r="C208" t="s">
        <v>268</v>
      </c>
      <c r="D208">
        <v>3</v>
      </c>
      <c r="E208">
        <v>6</v>
      </c>
      <c r="F208">
        <v>80</v>
      </c>
      <c r="G208">
        <v>12</v>
      </c>
      <c r="H208">
        <v>6.2</v>
      </c>
      <c r="I208">
        <v>15.7</v>
      </c>
      <c r="J208">
        <v>22</v>
      </c>
      <c r="K208">
        <v>6.9</v>
      </c>
      <c r="L208">
        <v>42</v>
      </c>
    </row>
    <row r="209" spans="1:12" x14ac:dyDescent="0.25">
      <c r="A209" t="s">
        <v>267</v>
      </c>
      <c r="B209" t="s">
        <v>272</v>
      </c>
      <c r="C209" t="s">
        <v>268</v>
      </c>
      <c r="D209">
        <v>3</v>
      </c>
      <c r="E209">
        <v>6</v>
      </c>
      <c r="F209">
        <v>90</v>
      </c>
      <c r="G209">
        <v>12</v>
      </c>
      <c r="H209">
        <v>6.2</v>
      </c>
      <c r="I209">
        <v>15.7</v>
      </c>
      <c r="J209">
        <v>22</v>
      </c>
      <c r="K209">
        <v>6.9</v>
      </c>
      <c r="L209">
        <v>42</v>
      </c>
    </row>
    <row r="210" spans="1:12" x14ac:dyDescent="0.25">
      <c r="A210" t="s">
        <v>267</v>
      </c>
      <c r="B210" t="s">
        <v>272</v>
      </c>
      <c r="C210" t="s">
        <v>268</v>
      </c>
      <c r="D210">
        <v>3</v>
      </c>
      <c r="E210">
        <v>6</v>
      </c>
      <c r="F210">
        <v>100</v>
      </c>
      <c r="G210">
        <v>12</v>
      </c>
      <c r="H210">
        <v>6.2</v>
      </c>
      <c r="I210">
        <v>15.7</v>
      </c>
      <c r="J210">
        <v>22</v>
      </c>
      <c r="K210">
        <v>6.9</v>
      </c>
      <c r="L210">
        <v>52</v>
      </c>
    </row>
    <row r="211" spans="1:12" x14ac:dyDescent="0.25">
      <c r="A211" t="s">
        <v>267</v>
      </c>
      <c r="B211" t="s">
        <v>272</v>
      </c>
      <c r="C211" t="s">
        <v>268</v>
      </c>
      <c r="D211">
        <v>3</v>
      </c>
      <c r="E211">
        <v>6</v>
      </c>
      <c r="F211">
        <v>120</v>
      </c>
      <c r="G211">
        <v>12</v>
      </c>
      <c r="H211">
        <v>6.2</v>
      </c>
      <c r="I211">
        <v>15.7</v>
      </c>
      <c r="J211">
        <v>22</v>
      </c>
      <c r="K211">
        <v>6.9</v>
      </c>
      <c r="L211">
        <v>72</v>
      </c>
    </row>
    <row r="212" spans="1:12" x14ac:dyDescent="0.25">
      <c r="A212" t="s">
        <v>267</v>
      </c>
      <c r="B212" t="s">
        <v>272</v>
      </c>
      <c r="C212" t="s">
        <v>268</v>
      </c>
      <c r="D212">
        <v>3</v>
      </c>
      <c r="E212">
        <v>6</v>
      </c>
      <c r="F212">
        <v>130</v>
      </c>
      <c r="G212">
        <v>12</v>
      </c>
      <c r="H212">
        <v>6.2</v>
      </c>
      <c r="I212">
        <v>15.7</v>
      </c>
      <c r="J212">
        <v>22</v>
      </c>
      <c r="K212">
        <v>6.9</v>
      </c>
      <c r="L212">
        <v>72</v>
      </c>
    </row>
    <row r="213" spans="1:12" x14ac:dyDescent="0.25">
      <c r="A213" t="s">
        <v>267</v>
      </c>
      <c r="B213" t="s">
        <v>272</v>
      </c>
      <c r="C213" t="s">
        <v>268</v>
      </c>
      <c r="D213">
        <v>3</v>
      </c>
      <c r="E213">
        <v>6</v>
      </c>
      <c r="F213">
        <v>140</v>
      </c>
      <c r="G213">
        <v>12</v>
      </c>
      <c r="H213">
        <v>6.2</v>
      </c>
      <c r="I213">
        <v>15.7</v>
      </c>
      <c r="J213">
        <v>22</v>
      </c>
      <c r="K213">
        <v>6.9</v>
      </c>
      <c r="L213">
        <v>72</v>
      </c>
    </row>
    <row r="214" spans="1:12" x14ac:dyDescent="0.25">
      <c r="A214" t="s">
        <v>267</v>
      </c>
      <c r="B214" t="s">
        <v>271</v>
      </c>
      <c r="C214" t="s">
        <v>270</v>
      </c>
      <c r="D214">
        <v>2</v>
      </c>
      <c r="E214">
        <v>3</v>
      </c>
      <c r="F214">
        <v>10</v>
      </c>
      <c r="G214">
        <v>6</v>
      </c>
      <c r="H214">
        <v>1.7</v>
      </c>
      <c r="I214">
        <v>16.3</v>
      </c>
      <c r="J214">
        <v>23.5</v>
      </c>
      <c r="K214">
        <v>3.1</v>
      </c>
      <c r="L214">
        <f>F214</f>
        <v>10</v>
      </c>
    </row>
    <row r="215" spans="1:12" x14ac:dyDescent="0.25">
      <c r="A215" t="s">
        <v>267</v>
      </c>
      <c r="B215" t="s">
        <v>271</v>
      </c>
      <c r="C215" t="s">
        <v>270</v>
      </c>
      <c r="D215">
        <v>2</v>
      </c>
      <c r="E215">
        <v>3</v>
      </c>
      <c r="F215">
        <v>12</v>
      </c>
      <c r="G215">
        <v>6</v>
      </c>
      <c r="H215">
        <v>1.7</v>
      </c>
      <c r="I215">
        <v>16.3</v>
      </c>
      <c r="J215">
        <v>23.5</v>
      </c>
      <c r="K215">
        <v>3.1</v>
      </c>
      <c r="L215">
        <f t="shared" ref="L215:L263" si="0">F215</f>
        <v>12</v>
      </c>
    </row>
    <row r="216" spans="1:12" x14ac:dyDescent="0.25">
      <c r="A216" t="s">
        <v>267</v>
      </c>
      <c r="B216" t="s">
        <v>271</v>
      </c>
      <c r="C216" t="s">
        <v>270</v>
      </c>
      <c r="D216">
        <v>2</v>
      </c>
      <c r="E216">
        <v>3</v>
      </c>
      <c r="F216">
        <v>16</v>
      </c>
      <c r="G216">
        <v>6</v>
      </c>
      <c r="H216">
        <v>1.7</v>
      </c>
      <c r="I216">
        <v>16.3</v>
      </c>
      <c r="J216">
        <v>23.5</v>
      </c>
      <c r="K216">
        <v>3.1</v>
      </c>
      <c r="L216">
        <f t="shared" si="0"/>
        <v>16</v>
      </c>
    </row>
    <row r="217" spans="1:12" x14ac:dyDescent="0.25">
      <c r="A217" t="s">
        <v>267</v>
      </c>
      <c r="B217" t="s">
        <v>271</v>
      </c>
      <c r="C217" t="s">
        <v>270</v>
      </c>
      <c r="D217">
        <v>2</v>
      </c>
      <c r="E217">
        <v>3</v>
      </c>
      <c r="F217">
        <v>20</v>
      </c>
      <c r="G217">
        <v>6</v>
      </c>
      <c r="H217">
        <v>1.7</v>
      </c>
      <c r="I217">
        <v>16.3</v>
      </c>
      <c r="J217">
        <v>23.5</v>
      </c>
      <c r="K217">
        <v>3.1</v>
      </c>
      <c r="L217">
        <f t="shared" si="0"/>
        <v>20</v>
      </c>
    </row>
    <row r="218" spans="1:12" x14ac:dyDescent="0.25">
      <c r="A218" t="s">
        <v>267</v>
      </c>
      <c r="B218" t="s">
        <v>271</v>
      </c>
      <c r="C218" t="s">
        <v>270</v>
      </c>
      <c r="D218">
        <v>2</v>
      </c>
      <c r="E218">
        <v>3</v>
      </c>
      <c r="F218">
        <v>25</v>
      </c>
      <c r="G218">
        <v>6</v>
      </c>
      <c r="H218">
        <v>1.7</v>
      </c>
      <c r="I218">
        <v>16.3</v>
      </c>
      <c r="J218">
        <v>23.5</v>
      </c>
      <c r="K218">
        <v>3.1</v>
      </c>
      <c r="L218">
        <f t="shared" si="0"/>
        <v>25</v>
      </c>
    </row>
    <row r="219" spans="1:12" x14ac:dyDescent="0.25">
      <c r="A219" t="s">
        <v>267</v>
      </c>
      <c r="B219" t="s">
        <v>271</v>
      </c>
      <c r="C219" t="s">
        <v>270</v>
      </c>
      <c r="D219">
        <v>2</v>
      </c>
      <c r="E219">
        <v>3</v>
      </c>
      <c r="F219">
        <v>30</v>
      </c>
      <c r="G219">
        <v>6</v>
      </c>
      <c r="H219">
        <v>1.7</v>
      </c>
      <c r="I219">
        <v>16.3</v>
      </c>
      <c r="J219">
        <v>23.5</v>
      </c>
      <c r="K219">
        <v>3.1</v>
      </c>
      <c r="L219">
        <f t="shared" si="0"/>
        <v>30</v>
      </c>
    </row>
    <row r="220" spans="1:12" x14ac:dyDescent="0.25">
      <c r="A220" t="s">
        <v>267</v>
      </c>
      <c r="B220" t="s">
        <v>271</v>
      </c>
      <c r="C220" t="s">
        <v>270</v>
      </c>
      <c r="D220">
        <v>2</v>
      </c>
      <c r="E220">
        <v>3.5</v>
      </c>
      <c r="F220">
        <v>12</v>
      </c>
      <c r="G220">
        <v>7</v>
      </c>
      <c r="H220">
        <v>2.2000000000000002</v>
      </c>
      <c r="I220">
        <v>16</v>
      </c>
      <c r="J220">
        <v>22.6</v>
      </c>
      <c r="K220">
        <v>3.7</v>
      </c>
      <c r="L220">
        <f t="shared" si="0"/>
        <v>12</v>
      </c>
    </row>
    <row r="221" spans="1:12" x14ac:dyDescent="0.25">
      <c r="A221" t="s">
        <v>267</v>
      </c>
      <c r="B221" t="s">
        <v>271</v>
      </c>
      <c r="C221" t="s">
        <v>270</v>
      </c>
      <c r="D221">
        <v>2</v>
      </c>
      <c r="E221">
        <v>3.5</v>
      </c>
      <c r="F221">
        <v>16</v>
      </c>
      <c r="G221">
        <v>7</v>
      </c>
      <c r="H221">
        <v>2.2000000000000002</v>
      </c>
      <c r="I221">
        <v>16</v>
      </c>
      <c r="J221">
        <v>22.6</v>
      </c>
      <c r="K221">
        <v>3.7</v>
      </c>
      <c r="L221">
        <f t="shared" si="0"/>
        <v>16</v>
      </c>
    </row>
    <row r="222" spans="1:12" x14ac:dyDescent="0.25">
      <c r="A222" t="s">
        <v>267</v>
      </c>
      <c r="B222" t="s">
        <v>271</v>
      </c>
      <c r="C222" t="s">
        <v>270</v>
      </c>
      <c r="D222">
        <v>2</v>
      </c>
      <c r="E222">
        <v>3.5</v>
      </c>
      <c r="F222">
        <v>20</v>
      </c>
      <c r="G222">
        <v>7</v>
      </c>
      <c r="H222">
        <v>2.2000000000000002</v>
      </c>
      <c r="I222">
        <v>16</v>
      </c>
      <c r="J222">
        <v>22.6</v>
      </c>
      <c r="K222">
        <v>3.7</v>
      </c>
      <c r="L222">
        <f t="shared" si="0"/>
        <v>20</v>
      </c>
    </row>
    <row r="223" spans="1:12" x14ac:dyDescent="0.25">
      <c r="A223" t="s">
        <v>267</v>
      </c>
      <c r="B223" t="s">
        <v>271</v>
      </c>
      <c r="C223" t="s">
        <v>270</v>
      </c>
      <c r="D223">
        <v>2</v>
      </c>
      <c r="E223">
        <v>3.5</v>
      </c>
      <c r="F223">
        <v>25</v>
      </c>
      <c r="G223">
        <v>7</v>
      </c>
      <c r="H223">
        <v>2.2000000000000002</v>
      </c>
      <c r="I223">
        <v>16</v>
      </c>
      <c r="J223">
        <v>22.6</v>
      </c>
      <c r="K223">
        <v>3.7</v>
      </c>
      <c r="L223">
        <f t="shared" si="0"/>
        <v>25</v>
      </c>
    </row>
    <row r="224" spans="1:12" x14ac:dyDescent="0.25">
      <c r="A224" t="s">
        <v>267</v>
      </c>
      <c r="B224" t="s">
        <v>271</v>
      </c>
      <c r="C224" t="s">
        <v>270</v>
      </c>
      <c r="D224">
        <v>2</v>
      </c>
      <c r="E224">
        <v>3.5</v>
      </c>
      <c r="F224">
        <v>30</v>
      </c>
      <c r="G224">
        <v>7</v>
      </c>
      <c r="H224">
        <v>2.2000000000000002</v>
      </c>
      <c r="I224">
        <v>16</v>
      </c>
      <c r="J224">
        <v>22.6</v>
      </c>
      <c r="K224">
        <v>3.7</v>
      </c>
      <c r="L224">
        <f t="shared" si="0"/>
        <v>30</v>
      </c>
    </row>
    <row r="225" spans="1:12" x14ac:dyDescent="0.25">
      <c r="A225" t="s">
        <v>267</v>
      </c>
      <c r="B225" t="s">
        <v>271</v>
      </c>
      <c r="C225" t="s">
        <v>270</v>
      </c>
      <c r="D225">
        <v>2</v>
      </c>
      <c r="E225">
        <v>3.5</v>
      </c>
      <c r="F225">
        <v>35</v>
      </c>
      <c r="G225">
        <v>7</v>
      </c>
      <c r="H225">
        <v>2.2000000000000002</v>
      </c>
      <c r="I225">
        <v>16</v>
      </c>
      <c r="J225">
        <v>22.6</v>
      </c>
      <c r="K225">
        <v>3.7</v>
      </c>
      <c r="L225">
        <f t="shared" si="0"/>
        <v>35</v>
      </c>
    </row>
    <row r="226" spans="1:12" x14ac:dyDescent="0.25">
      <c r="A226" t="s">
        <v>267</v>
      </c>
      <c r="B226" t="s">
        <v>271</v>
      </c>
      <c r="C226" t="s">
        <v>270</v>
      </c>
      <c r="D226">
        <v>2</v>
      </c>
      <c r="E226">
        <v>4</v>
      </c>
      <c r="F226">
        <v>12</v>
      </c>
      <c r="G226">
        <v>8</v>
      </c>
      <c r="H226">
        <v>3.3</v>
      </c>
      <c r="I226">
        <v>16.600000000000001</v>
      </c>
      <c r="J226">
        <v>20.9</v>
      </c>
      <c r="K226">
        <v>4.7</v>
      </c>
      <c r="L226">
        <f t="shared" si="0"/>
        <v>12</v>
      </c>
    </row>
    <row r="227" spans="1:12" x14ac:dyDescent="0.25">
      <c r="A227" t="s">
        <v>267</v>
      </c>
      <c r="B227" t="s">
        <v>271</v>
      </c>
      <c r="C227" t="s">
        <v>270</v>
      </c>
      <c r="D227">
        <v>2</v>
      </c>
      <c r="E227">
        <v>4</v>
      </c>
      <c r="F227">
        <v>16</v>
      </c>
      <c r="G227">
        <v>8</v>
      </c>
      <c r="H227">
        <v>3.3</v>
      </c>
      <c r="I227">
        <v>16.600000000000001</v>
      </c>
      <c r="J227">
        <v>20.9</v>
      </c>
      <c r="K227">
        <v>4.7</v>
      </c>
      <c r="L227">
        <f t="shared" si="0"/>
        <v>16</v>
      </c>
    </row>
    <row r="228" spans="1:12" x14ac:dyDescent="0.25">
      <c r="A228" t="s">
        <v>267</v>
      </c>
      <c r="B228" t="s">
        <v>271</v>
      </c>
      <c r="C228" t="s">
        <v>270</v>
      </c>
      <c r="D228">
        <v>2</v>
      </c>
      <c r="E228">
        <v>4</v>
      </c>
      <c r="F228">
        <v>20</v>
      </c>
      <c r="G228">
        <v>8</v>
      </c>
      <c r="H228">
        <v>3.3</v>
      </c>
      <c r="I228">
        <v>16.600000000000001</v>
      </c>
      <c r="J228">
        <v>20.9</v>
      </c>
      <c r="K228">
        <v>4.7</v>
      </c>
      <c r="L228">
        <f t="shared" si="0"/>
        <v>20</v>
      </c>
    </row>
    <row r="229" spans="1:12" x14ac:dyDescent="0.25">
      <c r="A229" t="s">
        <v>267</v>
      </c>
      <c r="B229" t="s">
        <v>271</v>
      </c>
      <c r="C229" t="s">
        <v>270</v>
      </c>
      <c r="D229">
        <v>2</v>
      </c>
      <c r="E229">
        <v>4</v>
      </c>
      <c r="F229">
        <v>25</v>
      </c>
      <c r="G229">
        <v>8</v>
      </c>
      <c r="H229">
        <v>3.3</v>
      </c>
      <c r="I229">
        <v>16.600000000000001</v>
      </c>
      <c r="J229">
        <v>20.9</v>
      </c>
      <c r="K229">
        <v>4.7</v>
      </c>
      <c r="L229">
        <f t="shared" si="0"/>
        <v>25</v>
      </c>
    </row>
    <row r="230" spans="1:12" x14ac:dyDescent="0.25">
      <c r="A230" t="s">
        <v>267</v>
      </c>
      <c r="B230" t="s">
        <v>271</v>
      </c>
      <c r="C230" t="s">
        <v>270</v>
      </c>
      <c r="D230">
        <v>2</v>
      </c>
      <c r="E230">
        <v>4</v>
      </c>
      <c r="F230">
        <v>30</v>
      </c>
      <c r="G230">
        <v>8</v>
      </c>
      <c r="H230">
        <v>3.3</v>
      </c>
      <c r="I230">
        <v>16.600000000000001</v>
      </c>
      <c r="J230">
        <v>20.9</v>
      </c>
      <c r="K230">
        <v>4.7</v>
      </c>
      <c r="L230">
        <f t="shared" si="0"/>
        <v>30</v>
      </c>
    </row>
    <row r="231" spans="1:12" x14ac:dyDescent="0.25">
      <c r="A231" t="s">
        <v>267</v>
      </c>
      <c r="B231" t="s">
        <v>271</v>
      </c>
      <c r="C231" t="s">
        <v>270</v>
      </c>
      <c r="D231">
        <v>2</v>
      </c>
      <c r="E231">
        <v>4</v>
      </c>
      <c r="F231">
        <v>35</v>
      </c>
      <c r="G231">
        <v>8</v>
      </c>
      <c r="H231">
        <v>3.3</v>
      </c>
      <c r="I231">
        <v>16.600000000000001</v>
      </c>
      <c r="J231">
        <v>20.9</v>
      </c>
      <c r="K231">
        <v>4.7</v>
      </c>
      <c r="L231">
        <f t="shared" si="0"/>
        <v>35</v>
      </c>
    </row>
    <row r="232" spans="1:12" x14ac:dyDescent="0.25">
      <c r="A232" t="s">
        <v>267</v>
      </c>
      <c r="B232" t="s">
        <v>271</v>
      </c>
      <c r="C232" t="s">
        <v>270</v>
      </c>
      <c r="D232">
        <v>2</v>
      </c>
      <c r="E232">
        <v>4</v>
      </c>
      <c r="F232">
        <v>40</v>
      </c>
      <c r="G232">
        <v>8</v>
      </c>
      <c r="H232">
        <v>3.3</v>
      </c>
      <c r="I232">
        <v>16.600000000000001</v>
      </c>
      <c r="J232">
        <v>20.9</v>
      </c>
      <c r="K232">
        <v>4.7</v>
      </c>
      <c r="L232">
        <f t="shared" si="0"/>
        <v>40</v>
      </c>
    </row>
    <row r="233" spans="1:12" x14ac:dyDescent="0.25">
      <c r="A233" t="s">
        <v>267</v>
      </c>
      <c r="B233" t="s">
        <v>271</v>
      </c>
      <c r="C233" t="s">
        <v>270</v>
      </c>
      <c r="D233">
        <v>2</v>
      </c>
      <c r="E233">
        <v>4</v>
      </c>
      <c r="F233">
        <v>45</v>
      </c>
      <c r="G233">
        <v>8</v>
      </c>
      <c r="H233">
        <v>3.3</v>
      </c>
      <c r="I233">
        <v>16.600000000000001</v>
      </c>
      <c r="J233">
        <v>20.9</v>
      </c>
      <c r="K233">
        <v>4.7</v>
      </c>
      <c r="L233">
        <f t="shared" si="0"/>
        <v>45</v>
      </c>
    </row>
    <row r="234" spans="1:12" x14ac:dyDescent="0.25">
      <c r="A234" t="s">
        <v>267</v>
      </c>
      <c r="B234" t="s">
        <v>271</v>
      </c>
      <c r="C234" t="s">
        <v>270</v>
      </c>
      <c r="D234">
        <v>2</v>
      </c>
      <c r="E234">
        <v>4</v>
      </c>
      <c r="F234">
        <v>50</v>
      </c>
      <c r="G234">
        <v>8</v>
      </c>
      <c r="H234">
        <v>3.3</v>
      </c>
      <c r="I234">
        <v>16.600000000000001</v>
      </c>
      <c r="J234">
        <v>20.9</v>
      </c>
      <c r="K234">
        <v>4.7</v>
      </c>
      <c r="L234">
        <f t="shared" si="0"/>
        <v>50</v>
      </c>
    </row>
    <row r="235" spans="1:12" x14ac:dyDescent="0.25">
      <c r="A235" t="s">
        <v>267</v>
      </c>
      <c r="B235" t="s">
        <v>271</v>
      </c>
      <c r="C235" t="s">
        <v>270</v>
      </c>
      <c r="D235">
        <v>2</v>
      </c>
      <c r="E235">
        <v>4</v>
      </c>
      <c r="F235">
        <v>60</v>
      </c>
      <c r="G235">
        <v>8</v>
      </c>
      <c r="H235">
        <v>3.3</v>
      </c>
      <c r="I235">
        <v>16.600000000000001</v>
      </c>
      <c r="J235">
        <v>20.9</v>
      </c>
      <c r="K235">
        <v>4.7</v>
      </c>
      <c r="L235">
        <f t="shared" si="0"/>
        <v>60</v>
      </c>
    </row>
    <row r="236" spans="1:12" x14ac:dyDescent="0.25">
      <c r="A236" t="s">
        <v>267</v>
      </c>
      <c r="B236" t="s">
        <v>271</v>
      </c>
      <c r="C236" t="s">
        <v>270</v>
      </c>
      <c r="D236">
        <v>2</v>
      </c>
      <c r="E236">
        <v>4.5</v>
      </c>
      <c r="F236">
        <v>20</v>
      </c>
      <c r="G236">
        <v>9</v>
      </c>
      <c r="H236">
        <v>4.3</v>
      </c>
      <c r="I236">
        <v>15.2</v>
      </c>
      <c r="J236">
        <v>20.9</v>
      </c>
      <c r="K236">
        <v>5.9</v>
      </c>
      <c r="L236">
        <f t="shared" si="0"/>
        <v>20</v>
      </c>
    </row>
    <row r="237" spans="1:12" x14ac:dyDescent="0.25">
      <c r="A237" t="s">
        <v>267</v>
      </c>
      <c r="B237" t="s">
        <v>271</v>
      </c>
      <c r="C237" t="s">
        <v>270</v>
      </c>
      <c r="D237">
        <v>2</v>
      </c>
      <c r="E237">
        <v>4.5</v>
      </c>
      <c r="F237">
        <v>30</v>
      </c>
      <c r="G237">
        <v>9</v>
      </c>
      <c r="H237">
        <v>4.3</v>
      </c>
      <c r="I237">
        <v>15.2</v>
      </c>
      <c r="J237">
        <v>20.9</v>
      </c>
      <c r="K237">
        <v>5.9</v>
      </c>
      <c r="L237">
        <f t="shared" si="0"/>
        <v>30</v>
      </c>
    </row>
    <row r="238" spans="1:12" x14ac:dyDescent="0.25">
      <c r="A238" t="s">
        <v>267</v>
      </c>
      <c r="B238" t="s">
        <v>271</v>
      </c>
      <c r="C238" t="s">
        <v>270</v>
      </c>
      <c r="D238">
        <v>2</v>
      </c>
      <c r="E238">
        <v>4.5</v>
      </c>
      <c r="F238">
        <v>35</v>
      </c>
      <c r="G238">
        <v>9</v>
      </c>
      <c r="H238">
        <v>4.3</v>
      </c>
      <c r="I238">
        <v>15.2</v>
      </c>
      <c r="J238">
        <v>20.9</v>
      </c>
      <c r="K238">
        <v>5.9</v>
      </c>
      <c r="L238">
        <f t="shared" si="0"/>
        <v>35</v>
      </c>
    </row>
    <row r="239" spans="1:12" x14ac:dyDescent="0.25">
      <c r="A239" t="s">
        <v>267</v>
      </c>
      <c r="B239" t="s">
        <v>271</v>
      </c>
      <c r="C239" t="s">
        <v>270</v>
      </c>
      <c r="D239">
        <v>2</v>
      </c>
      <c r="E239">
        <v>4.5</v>
      </c>
      <c r="F239">
        <v>40</v>
      </c>
      <c r="G239">
        <v>9</v>
      </c>
      <c r="H239">
        <v>4.3</v>
      </c>
      <c r="I239">
        <v>15.2</v>
      </c>
      <c r="J239">
        <v>20.9</v>
      </c>
      <c r="K239">
        <v>5.9</v>
      </c>
      <c r="L239">
        <f t="shared" si="0"/>
        <v>40</v>
      </c>
    </row>
    <row r="240" spans="1:12" x14ac:dyDescent="0.25">
      <c r="A240" t="s">
        <v>267</v>
      </c>
      <c r="B240" t="s">
        <v>271</v>
      </c>
      <c r="C240" t="s">
        <v>270</v>
      </c>
      <c r="D240">
        <v>2</v>
      </c>
      <c r="E240">
        <v>4.5</v>
      </c>
      <c r="F240">
        <v>45</v>
      </c>
      <c r="G240">
        <v>9</v>
      </c>
      <c r="H240">
        <v>4.3</v>
      </c>
      <c r="I240">
        <v>15.2</v>
      </c>
      <c r="J240">
        <v>20.9</v>
      </c>
      <c r="K240">
        <v>5.9</v>
      </c>
      <c r="L240">
        <f t="shared" si="0"/>
        <v>45</v>
      </c>
    </row>
    <row r="241" spans="1:12" x14ac:dyDescent="0.25">
      <c r="A241" t="s">
        <v>267</v>
      </c>
      <c r="B241" t="s">
        <v>271</v>
      </c>
      <c r="C241" t="s">
        <v>270</v>
      </c>
      <c r="D241">
        <v>2</v>
      </c>
      <c r="E241">
        <v>4.5</v>
      </c>
      <c r="F241">
        <v>50</v>
      </c>
      <c r="G241">
        <v>9</v>
      </c>
      <c r="H241">
        <v>4.3</v>
      </c>
      <c r="I241">
        <v>15.2</v>
      </c>
      <c r="J241">
        <v>20.9</v>
      </c>
      <c r="K241">
        <v>5.9</v>
      </c>
      <c r="L241">
        <f t="shared" si="0"/>
        <v>50</v>
      </c>
    </row>
    <row r="242" spans="1:12" x14ac:dyDescent="0.25">
      <c r="A242" t="s">
        <v>267</v>
      </c>
      <c r="B242" t="s">
        <v>271</v>
      </c>
      <c r="C242" t="s">
        <v>270</v>
      </c>
      <c r="D242">
        <v>2</v>
      </c>
      <c r="E242">
        <v>4.5</v>
      </c>
      <c r="F242">
        <v>60</v>
      </c>
      <c r="G242">
        <v>9</v>
      </c>
      <c r="H242">
        <v>4.3</v>
      </c>
      <c r="I242">
        <v>15.2</v>
      </c>
      <c r="J242">
        <v>20.9</v>
      </c>
      <c r="K242">
        <v>5.9</v>
      </c>
      <c r="L242">
        <f t="shared" si="0"/>
        <v>60</v>
      </c>
    </row>
    <row r="243" spans="1:12" x14ac:dyDescent="0.25">
      <c r="A243" t="s">
        <v>267</v>
      </c>
      <c r="B243" t="s">
        <v>271</v>
      </c>
      <c r="C243" t="s">
        <v>270</v>
      </c>
      <c r="D243">
        <v>2</v>
      </c>
      <c r="E243">
        <v>5</v>
      </c>
      <c r="F243">
        <v>16</v>
      </c>
      <c r="G243">
        <v>10</v>
      </c>
      <c r="H243">
        <v>6.3</v>
      </c>
      <c r="I243">
        <v>15.8</v>
      </c>
      <c r="J243">
        <v>20.6</v>
      </c>
      <c r="K243">
        <v>7.3</v>
      </c>
      <c r="L243">
        <f t="shared" si="0"/>
        <v>16</v>
      </c>
    </row>
    <row r="244" spans="1:12" x14ac:dyDescent="0.25">
      <c r="A244" t="s">
        <v>267</v>
      </c>
      <c r="B244" t="s">
        <v>271</v>
      </c>
      <c r="C244" t="s">
        <v>270</v>
      </c>
      <c r="D244">
        <v>2</v>
      </c>
      <c r="E244">
        <v>5</v>
      </c>
      <c r="F244">
        <v>20</v>
      </c>
      <c r="G244">
        <v>10</v>
      </c>
      <c r="H244">
        <v>6.3</v>
      </c>
      <c r="I244">
        <v>15.8</v>
      </c>
      <c r="J244">
        <v>20.6</v>
      </c>
      <c r="K244">
        <v>7.3</v>
      </c>
      <c r="L244">
        <f t="shared" si="0"/>
        <v>20</v>
      </c>
    </row>
    <row r="245" spans="1:12" x14ac:dyDescent="0.25">
      <c r="A245" t="s">
        <v>267</v>
      </c>
      <c r="B245" t="s">
        <v>271</v>
      </c>
      <c r="C245" t="s">
        <v>270</v>
      </c>
      <c r="D245">
        <v>2</v>
      </c>
      <c r="E245">
        <v>5</v>
      </c>
      <c r="F245">
        <v>25</v>
      </c>
      <c r="G245">
        <v>10</v>
      </c>
      <c r="H245">
        <v>6.3</v>
      </c>
      <c r="I245">
        <v>15.8</v>
      </c>
      <c r="J245">
        <v>20.6</v>
      </c>
      <c r="K245">
        <v>7.3</v>
      </c>
      <c r="L245">
        <f t="shared" si="0"/>
        <v>25</v>
      </c>
    </row>
    <row r="246" spans="1:12" x14ac:dyDescent="0.25">
      <c r="A246" t="s">
        <v>267</v>
      </c>
      <c r="B246" t="s">
        <v>271</v>
      </c>
      <c r="C246" t="s">
        <v>270</v>
      </c>
      <c r="D246">
        <v>2</v>
      </c>
      <c r="E246">
        <v>5</v>
      </c>
      <c r="F246">
        <v>30</v>
      </c>
      <c r="G246">
        <v>10</v>
      </c>
      <c r="H246">
        <v>6.3</v>
      </c>
      <c r="I246">
        <v>15.8</v>
      </c>
      <c r="J246">
        <v>20.6</v>
      </c>
      <c r="K246">
        <v>7.3</v>
      </c>
      <c r="L246">
        <f t="shared" si="0"/>
        <v>30</v>
      </c>
    </row>
    <row r="247" spans="1:12" x14ac:dyDescent="0.25">
      <c r="A247" t="s">
        <v>267</v>
      </c>
      <c r="B247" t="s">
        <v>271</v>
      </c>
      <c r="C247" t="s">
        <v>270</v>
      </c>
      <c r="D247">
        <v>2</v>
      </c>
      <c r="E247">
        <v>5</v>
      </c>
      <c r="F247">
        <v>35</v>
      </c>
      <c r="G247">
        <v>10</v>
      </c>
      <c r="H247">
        <v>6.3</v>
      </c>
      <c r="I247">
        <v>15.8</v>
      </c>
      <c r="J247">
        <v>20.6</v>
      </c>
      <c r="K247">
        <v>7.3</v>
      </c>
      <c r="L247">
        <f t="shared" si="0"/>
        <v>35</v>
      </c>
    </row>
    <row r="248" spans="1:12" x14ac:dyDescent="0.25">
      <c r="A248" t="s">
        <v>267</v>
      </c>
      <c r="B248" t="s">
        <v>271</v>
      </c>
      <c r="C248" t="s">
        <v>270</v>
      </c>
      <c r="D248">
        <v>2</v>
      </c>
      <c r="E248">
        <v>5</v>
      </c>
      <c r="F248">
        <v>40</v>
      </c>
      <c r="G248">
        <v>10</v>
      </c>
      <c r="H248">
        <v>6.3</v>
      </c>
      <c r="I248">
        <v>15.8</v>
      </c>
      <c r="J248">
        <v>20.6</v>
      </c>
      <c r="K248">
        <v>7.3</v>
      </c>
      <c r="L248">
        <f t="shared" si="0"/>
        <v>40</v>
      </c>
    </row>
    <row r="249" spans="1:12" x14ac:dyDescent="0.25">
      <c r="A249" t="s">
        <v>267</v>
      </c>
      <c r="B249" t="s">
        <v>271</v>
      </c>
      <c r="C249" t="s">
        <v>270</v>
      </c>
      <c r="D249">
        <v>2</v>
      </c>
      <c r="E249">
        <v>5</v>
      </c>
      <c r="F249">
        <v>45</v>
      </c>
      <c r="G249">
        <v>10</v>
      </c>
      <c r="H249">
        <v>6.3</v>
      </c>
      <c r="I249">
        <v>15.8</v>
      </c>
      <c r="J249">
        <v>20.6</v>
      </c>
      <c r="K249">
        <v>7.3</v>
      </c>
      <c r="L249">
        <f t="shared" si="0"/>
        <v>45</v>
      </c>
    </row>
    <row r="250" spans="1:12" x14ac:dyDescent="0.25">
      <c r="A250" t="s">
        <v>267</v>
      </c>
      <c r="B250" t="s">
        <v>271</v>
      </c>
      <c r="C250" t="s">
        <v>270</v>
      </c>
      <c r="D250">
        <v>2</v>
      </c>
      <c r="E250">
        <v>5</v>
      </c>
      <c r="F250">
        <v>50</v>
      </c>
      <c r="G250">
        <v>10</v>
      </c>
      <c r="H250">
        <v>6.3</v>
      </c>
      <c r="I250">
        <v>15.8</v>
      </c>
      <c r="J250">
        <v>20.6</v>
      </c>
      <c r="K250">
        <v>7.3</v>
      </c>
      <c r="L250">
        <f t="shared" si="0"/>
        <v>50</v>
      </c>
    </row>
    <row r="251" spans="1:12" x14ac:dyDescent="0.25">
      <c r="A251" t="s">
        <v>267</v>
      </c>
      <c r="B251" t="s">
        <v>271</v>
      </c>
      <c r="C251" t="s">
        <v>270</v>
      </c>
      <c r="D251">
        <v>2</v>
      </c>
      <c r="E251">
        <v>5</v>
      </c>
      <c r="F251">
        <v>60</v>
      </c>
      <c r="G251">
        <v>10</v>
      </c>
      <c r="H251">
        <v>6.3</v>
      </c>
      <c r="I251">
        <v>15.8</v>
      </c>
      <c r="J251">
        <v>20.6</v>
      </c>
      <c r="K251">
        <v>7.3</v>
      </c>
      <c r="L251">
        <f t="shared" si="0"/>
        <v>60</v>
      </c>
    </row>
    <row r="252" spans="1:12" x14ac:dyDescent="0.25">
      <c r="A252" t="s">
        <v>267</v>
      </c>
      <c r="B252" t="s">
        <v>271</v>
      </c>
      <c r="C252" t="s">
        <v>270</v>
      </c>
      <c r="D252">
        <v>2</v>
      </c>
      <c r="E252">
        <v>5</v>
      </c>
      <c r="F252">
        <v>70</v>
      </c>
      <c r="G252">
        <v>10</v>
      </c>
      <c r="H252">
        <v>6.3</v>
      </c>
      <c r="I252">
        <v>15.8</v>
      </c>
      <c r="J252">
        <v>20.6</v>
      </c>
      <c r="K252">
        <v>7.3</v>
      </c>
      <c r="L252">
        <f t="shared" si="0"/>
        <v>70</v>
      </c>
    </row>
    <row r="253" spans="1:12" x14ac:dyDescent="0.25">
      <c r="A253" t="s">
        <v>267</v>
      </c>
      <c r="B253" t="s">
        <v>271</v>
      </c>
      <c r="C253" t="s">
        <v>270</v>
      </c>
      <c r="D253">
        <v>2</v>
      </c>
      <c r="E253">
        <v>5</v>
      </c>
      <c r="F253">
        <v>80</v>
      </c>
      <c r="G253">
        <v>10</v>
      </c>
      <c r="H253">
        <v>6.3</v>
      </c>
      <c r="I253">
        <v>15.8</v>
      </c>
      <c r="J253">
        <v>20.6</v>
      </c>
      <c r="K253">
        <v>7.3</v>
      </c>
      <c r="L253">
        <f t="shared" si="0"/>
        <v>80</v>
      </c>
    </row>
    <row r="254" spans="1:12" x14ac:dyDescent="0.25">
      <c r="A254" t="s">
        <v>267</v>
      </c>
      <c r="B254" t="s">
        <v>271</v>
      </c>
      <c r="C254" t="s">
        <v>270</v>
      </c>
      <c r="D254">
        <v>2</v>
      </c>
      <c r="E254">
        <v>5</v>
      </c>
      <c r="F254">
        <v>90</v>
      </c>
      <c r="G254">
        <v>10</v>
      </c>
      <c r="H254">
        <v>6.3</v>
      </c>
      <c r="I254">
        <v>15.8</v>
      </c>
      <c r="J254">
        <v>20.6</v>
      </c>
      <c r="K254">
        <v>7.3</v>
      </c>
      <c r="L254">
        <f t="shared" si="0"/>
        <v>90</v>
      </c>
    </row>
    <row r="255" spans="1:12" x14ac:dyDescent="0.25">
      <c r="A255" t="s">
        <v>267</v>
      </c>
      <c r="B255" t="s">
        <v>271</v>
      </c>
      <c r="C255" t="s">
        <v>270</v>
      </c>
      <c r="D255">
        <v>2</v>
      </c>
      <c r="E255">
        <v>6</v>
      </c>
      <c r="F255">
        <v>30</v>
      </c>
      <c r="G255">
        <v>12</v>
      </c>
      <c r="H255">
        <v>10.8</v>
      </c>
      <c r="I255">
        <v>14.4</v>
      </c>
      <c r="J255">
        <v>19.8</v>
      </c>
      <c r="K255">
        <v>11.1</v>
      </c>
      <c r="L255">
        <f t="shared" si="0"/>
        <v>30</v>
      </c>
    </row>
    <row r="256" spans="1:12" x14ac:dyDescent="0.25">
      <c r="A256" t="s">
        <v>267</v>
      </c>
      <c r="B256" t="s">
        <v>271</v>
      </c>
      <c r="C256" t="s">
        <v>270</v>
      </c>
      <c r="D256">
        <v>2</v>
      </c>
      <c r="E256">
        <v>6</v>
      </c>
      <c r="F256">
        <v>35</v>
      </c>
      <c r="G256">
        <v>12</v>
      </c>
      <c r="H256">
        <v>10.8</v>
      </c>
      <c r="I256">
        <v>14.4</v>
      </c>
      <c r="J256">
        <v>19.8</v>
      </c>
      <c r="K256">
        <v>11.1</v>
      </c>
      <c r="L256">
        <f t="shared" si="0"/>
        <v>35</v>
      </c>
    </row>
    <row r="257" spans="1:12" x14ac:dyDescent="0.25">
      <c r="A257" t="s">
        <v>267</v>
      </c>
      <c r="B257" t="s">
        <v>271</v>
      </c>
      <c r="C257" t="s">
        <v>270</v>
      </c>
      <c r="D257">
        <v>2</v>
      </c>
      <c r="E257">
        <v>6</v>
      </c>
      <c r="F257">
        <v>40</v>
      </c>
      <c r="G257">
        <v>12</v>
      </c>
      <c r="H257">
        <v>10.8</v>
      </c>
      <c r="I257">
        <v>14.4</v>
      </c>
      <c r="J257">
        <v>19.8</v>
      </c>
      <c r="K257">
        <v>11.1</v>
      </c>
      <c r="L257">
        <f t="shared" si="0"/>
        <v>40</v>
      </c>
    </row>
    <row r="258" spans="1:12" x14ac:dyDescent="0.25">
      <c r="A258" t="s">
        <v>267</v>
      </c>
      <c r="B258" t="s">
        <v>271</v>
      </c>
      <c r="C258" t="s">
        <v>270</v>
      </c>
      <c r="D258">
        <v>2</v>
      </c>
      <c r="E258">
        <v>6</v>
      </c>
      <c r="F258">
        <v>45</v>
      </c>
      <c r="G258">
        <v>12</v>
      </c>
      <c r="H258">
        <v>10.8</v>
      </c>
      <c r="I258">
        <v>14.4</v>
      </c>
      <c r="J258">
        <v>19.8</v>
      </c>
      <c r="K258">
        <v>11.1</v>
      </c>
      <c r="L258">
        <f t="shared" si="0"/>
        <v>45</v>
      </c>
    </row>
    <row r="259" spans="1:12" x14ac:dyDescent="0.25">
      <c r="A259" t="s">
        <v>267</v>
      </c>
      <c r="B259" t="s">
        <v>271</v>
      </c>
      <c r="C259" t="s">
        <v>270</v>
      </c>
      <c r="D259">
        <v>2</v>
      </c>
      <c r="E259">
        <v>6</v>
      </c>
      <c r="F259">
        <v>50</v>
      </c>
      <c r="G259">
        <v>12</v>
      </c>
      <c r="H259">
        <v>10.8</v>
      </c>
      <c r="I259">
        <v>14.4</v>
      </c>
      <c r="J259">
        <v>19.8</v>
      </c>
      <c r="K259">
        <v>11.1</v>
      </c>
      <c r="L259">
        <f t="shared" si="0"/>
        <v>50</v>
      </c>
    </row>
    <row r="260" spans="1:12" x14ac:dyDescent="0.25">
      <c r="A260" t="s">
        <v>267</v>
      </c>
      <c r="B260" t="s">
        <v>271</v>
      </c>
      <c r="C260" t="s">
        <v>270</v>
      </c>
      <c r="D260">
        <v>2</v>
      </c>
      <c r="E260">
        <v>6</v>
      </c>
      <c r="F260">
        <v>60</v>
      </c>
      <c r="G260">
        <v>12</v>
      </c>
      <c r="H260">
        <v>10.8</v>
      </c>
      <c r="I260">
        <v>14.4</v>
      </c>
      <c r="J260">
        <v>19.8</v>
      </c>
      <c r="K260">
        <v>11.1</v>
      </c>
      <c r="L260">
        <f t="shared" si="0"/>
        <v>60</v>
      </c>
    </row>
    <row r="261" spans="1:12" x14ac:dyDescent="0.25">
      <c r="A261" t="s">
        <v>267</v>
      </c>
      <c r="B261" t="s">
        <v>271</v>
      </c>
      <c r="C261" t="s">
        <v>270</v>
      </c>
      <c r="D261">
        <v>2</v>
      </c>
      <c r="E261">
        <v>6</v>
      </c>
      <c r="F261">
        <v>70</v>
      </c>
      <c r="G261">
        <v>12</v>
      </c>
      <c r="H261">
        <v>10.8</v>
      </c>
      <c r="I261">
        <v>14.4</v>
      </c>
      <c r="J261">
        <v>19.8</v>
      </c>
      <c r="K261">
        <v>11.1</v>
      </c>
      <c r="L261">
        <f t="shared" si="0"/>
        <v>70</v>
      </c>
    </row>
    <row r="262" spans="1:12" x14ac:dyDescent="0.25">
      <c r="A262" t="s">
        <v>267</v>
      </c>
      <c r="B262" t="s">
        <v>271</v>
      </c>
      <c r="C262" t="s">
        <v>270</v>
      </c>
      <c r="D262">
        <v>2</v>
      </c>
      <c r="E262">
        <v>6</v>
      </c>
      <c r="F262">
        <v>80</v>
      </c>
      <c r="G262">
        <v>12</v>
      </c>
      <c r="H262">
        <v>10.8</v>
      </c>
      <c r="I262">
        <v>14.4</v>
      </c>
      <c r="J262">
        <v>19.8</v>
      </c>
      <c r="K262">
        <v>11.1</v>
      </c>
      <c r="L262">
        <f t="shared" si="0"/>
        <v>80</v>
      </c>
    </row>
    <row r="263" spans="1:12" x14ac:dyDescent="0.25">
      <c r="A263" t="s">
        <v>267</v>
      </c>
      <c r="B263" t="s">
        <v>271</v>
      </c>
      <c r="C263" t="s">
        <v>270</v>
      </c>
      <c r="D263">
        <v>2</v>
      </c>
      <c r="E263">
        <v>6</v>
      </c>
      <c r="F263">
        <v>90</v>
      </c>
      <c r="G263">
        <v>12</v>
      </c>
      <c r="H263">
        <v>10.8</v>
      </c>
      <c r="I263">
        <v>14.4</v>
      </c>
      <c r="J263">
        <v>19.8</v>
      </c>
      <c r="K263">
        <v>11.1</v>
      </c>
      <c r="L263">
        <f t="shared" si="0"/>
        <v>90</v>
      </c>
    </row>
    <row r="264" spans="1:12" x14ac:dyDescent="0.25">
      <c r="A264" t="s">
        <v>267</v>
      </c>
      <c r="B264" t="s">
        <v>276</v>
      </c>
      <c r="C264" t="s">
        <v>277</v>
      </c>
      <c r="D264">
        <v>3</v>
      </c>
      <c r="E264">
        <v>4</v>
      </c>
      <c r="F264">
        <v>30</v>
      </c>
      <c r="G264">
        <v>8</v>
      </c>
      <c r="H264">
        <v>2.2000000000000002</v>
      </c>
      <c r="I264">
        <v>13.6</v>
      </c>
      <c r="J264">
        <v>25.5</v>
      </c>
      <c r="K264">
        <v>4.8</v>
      </c>
      <c r="L264">
        <v>18</v>
      </c>
    </row>
    <row r="265" spans="1:12" x14ac:dyDescent="0.25">
      <c r="A265" t="s">
        <v>267</v>
      </c>
      <c r="B265" t="s">
        <v>276</v>
      </c>
      <c r="C265" t="s">
        <v>277</v>
      </c>
      <c r="D265">
        <v>3</v>
      </c>
      <c r="E265">
        <v>4</v>
      </c>
      <c r="F265">
        <v>40</v>
      </c>
      <c r="G265">
        <v>8</v>
      </c>
      <c r="H265">
        <v>2.2000000000000002</v>
      </c>
      <c r="I265">
        <v>13.6</v>
      </c>
      <c r="J265">
        <v>25.5</v>
      </c>
      <c r="K265">
        <v>4.8</v>
      </c>
      <c r="L265">
        <v>24</v>
      </c>
    </row>
    <row r="266" spans="1:12" x14ac:dyDescent="0.25">
      <c r="A266" t="s">
        <v>267</v>
      </c>
      <c r="B266" t="s">
        <v>276</v>
      </c>
      <c r="C266" t="s">
        <v>277</v>
      </c>
      <c r="D266">
        <v>3</v>
      </c>
      <c r="E266">
        <v>4</v>
      </c>
      <c r="F266">
        <v>50</v>
      </c>
      <c r="G266">
        <v>8</v>
      </c>
      <c r="H266">
        <v>2.2000000000000002</v>
      </c>
      <c r="I266">
        <v>13.6</v>
      </c>
      <c r="J266">
        <v>25.5</v>
      </c>
      <c r="K266">
        <v>4.8</v>
      </c>
      <c r="L266">
        <v>30</v>
      </c>
    </row>
    <row r="267" spans="1:12" x14ac:dyDescent="0.25">
      <c r="A267" t="s">
        <v>267</v>
      </c>
      <c r="B267" t="s">
        <v>276</v>
      </c>
      <c r="C267" t="s">
        <v>277</v>
      </c>
      <c r="D267">
        <v>3</v>
      </c>
      <c r="E267">
        <v>4.5</v>
      </c>
      <c r="F267">
        <v>40</v>
      </c>
      <c r="G267">
        <v>9</v>
      </c>
      <c r="H267">
        <v>3.4</v>
      </c>
      <c r="I267">
        <v>13</v>
      </c>
      <c r="J267">
        <v>24.5</v>
      </c>
      <c r="K267">
        <v>6.3</v>
      </c>
      <c r="L267">
        <v>30</v>
      </c>
    </row>
    <row r="268" spans="1:12" x14ac:dyDescent="0.25">
      <c r="A268" t="s">
        <v>267</v>
      </c>
      <c r="B268" t="s">
        <v>276</v>
      </c>
      <c r="C268" t="s">
        <v>277</v>
      </c>
      <c r="D268">
        <v>3</v>
      </c>
      <c r="E268">
        <v>4.5</v>
      </c>
      <c r="F268">
        <v>50</v>
      </c>
      <c r="G268">
        <v>9</v>
      </c>
      <c r="H268">
        <v>3.4</v>
      </c>
      <c r="I268">
        <v>13</v>
      </c>
      <c r="J268">
        <v>24.5</v>
      </c>
      <c r="K268">
        <v>6.3</v>
      </c>
      <c r="L268">
        <v>30</v>
      </c>
    </row>
    <row r="269" spans="1:12" x14ac:dyDescent="0.25">
      <c r="A269" t="s">
        <v>267</v>
      </c>
      <c r="B269" t="s">
        <v>276</v>
      </c>
      <c r="C269" t="s">
        <v>277</v>
      </c>
      <c r="D269">
        <v>3</v>
      </c>
      <c r="E269">
        <v>4.5</v>
      </c>
      <c r="F269">
        <v>60</v>
      </c>
      <c r="G269">
        <v>9</v>
      </c>
      <c r="H269">
        <v>3.4</v>
      </c>
      <c r="I269">
        <v>13</v>
      </c>
      <c r="J269">
        <v>24.5</v>
      </c>
      <c r="K269">
        <v>6.3</v>
      </c>
      <c r="L269">
        <v>36</v>
      </c>
    </row>
    <row r="270" spans="1:12" x14ac:dyDescent="0.25">
      <c r="A270" t="s">
        <v>267</v>
      </c>
      <c r="B270" t="s">
        <v>276</v>
      </c>
      <c r="C270" t="s">
        <v>277</v>
      </c>
      <c r="D270">
        <v>3</v>
      </c>
      <c r="E270">
        <v>4.5</v>
      </c>
      <c r="F270">
        <v>70</v>
      </c>
      <c r="G270">
        <v>9</v>
      </c>
      <c r="H270">
        <v>3.4</v>
      </c>
      <c r="I270">
        <v>13</v>
      </c>
      <c r="J270">
        <v>24.5</v>
      </c>
      <c r="K270">
        <v>6.3</v>
      </c>
      <c r="L270">
        <v>42</v>
      </c>
    </row>
    <row r="271" spans="1:12" x14ac:dyDescent="0.25">
      <c r="A271" t="s">
        <v>267</v>
      </c>
      <c r="B271" t="s">
        <v>276</v>
      </c>
      <c r="C271" t="s">
        <v>277</v>
      </c>
      <c r="D271">
        <v>3</v>
      </c>
      <c r="E271">
        <v>5</v>
      </c>
      <c r="F271">
        <v>40</v>
      </c>
      <c r="G271">
        <v>10</v>
      </c>
      <c r="H271">
        <v>5</v>
      </c>
      <c r="I271">
        <v>16.5</v>
      </c>
      <c r="J271">
        <v>22.4</v>
      </c>
      <c r="K271">
        <v>7.8</v>
      </c>
      <c r="L271">
        <v>30</v>
      </c>
    </row>
    <row r="272" spans="1:12" x14ac:dyDescent="0.25">
      <c r="A272" t="s">
        <v>267</v>
      </c>
      <c r="B272" t="s">
        <v>276</v>
      </c>
      <c r="C272" t="s">
        <v>277</v>
      </c>
      <c r="D272">
        <v>3</v>
      </c>
      <c r="E272">
        <v>5</v>
      </c>
      <c r="F272">
        <v>50</v>
      </c>
      <c r="G272">
        <v>10</v>
      </c>
      <c r="H272">
        <v>5</v>
      </c>
      <c r="I272">
        <v>16.5</v>
      </c>
      <c r="J272">
        <v>22.4</v>
      </c>
      <c r="K272">
        <v>7.8</v>
      </c>
      <c r="L272">
        <v>30</v>
      </c>
    </row>
    <row r="273" spans="1:12" x14ac:dyDescent="0.25">
      <c r="A273" t="s">
        <v>267</v>
      </c>
      <c r="B273" t="s">
        <v>276</v>
      </c>
      <c r="C273" t="s">
        <v>277</v>
      </c>
      <c r="D273">
        <v>3</v>
      </c>
      <c r="E273">
        <v>5</v>
      </c>
      <c r="F273">
        <v>60</v>
      </c>
      <c r="G273">
        <v>10</v>
      </c>
      <c r="H273">
        <v>5</v>
      </c>
      <c r="I273">
        <v>16.5</v>
      </c>
      <c r="J273">
        <v>22.4</v>
      </c>
      <c r="K273">
        <v>7.8</v>
      </c>
      <c r="L273">
        <v>36</v>
      </c>
    </row>
    <row r="274" spans="1:12" x14ac:dyDescent="0.25">
      <c r="A274" t="s">
        <v>267</v>
      </c>
      <c r="B274" t="s">
        <v>276</v>
      </c>
      <c r="C274" t="s">
        <v>277</v>
      </c>
      <c r="D274">
        <v>3</v>
      </c>
      <c r="E274">
        <v>5</v>
      </c>
      <c r="F274">
        <v>70</v>
      </c>
      <c r="G274">
        <v>10</v>
      </c>
      <c r="H274">
        <v>5</v>
      </c>
      <c r="I274">
        <v>16.5</v>
      </c>
      <c r="J274">
        <v>22.4</v>
      </c>
      <c r="K274">
        <v>7.8</v>
      </c>
      <c r="L274">
        <v>42</v>
      </c>
    </row>
    <row r="275" spans="1:12" x14ac:dyDescent="0.25">
      <c r="A275" t="s">
        <v>267</v>
      </c>
      <c r="B275" t="s">
        <v>276</v>
      </c>
      <c r="C275" t="s">
        <v>277</v>
      </c>
      <c r="D275">
        <v>3</v>
      </c>
      <c r="E275">
        <v>5</v>
      </c>
      <c r="F275">
        <v>80</v>
      </c>
      <c r="G275">
        <v>10</v>
      </c>
      <c r="H275">
        <v>5</v>
      </c>
      <c r="I275">
        <v>16.5</v>
      </c>
      <c r="J275">
        <v>22.4</v>
      </c>
      <c r="K275">
        <v>7.8</v>
      </c>
      <c r="L275">
        <v>50</v>
      </c>
    </row>
    <row r="276" spans="1:12" x14ac:dyDescent="0.25">
      <c r="A276" t="s">
        <v>267</v>
      </c>
      <c r="B276" t="s">
        <v>276</v>
      </c>
      <c r="C276" t="s">
        <v>277</v>
      </c>
      <c r="D276">
        <v>3</v>
      </c>
      <c r="E276">
        <v>5</v>
      </c>
      <c r="F276">
        <v>90</v>
      </c>
      <c r="G276">
        <v>10</v>
      </c>
      <c r="H276">
        <v>5</v>
      </c>
      <c r="I276">
        <v>16.5</v>
      </c>
      <c r="J276">
        <v>22.4</v>
      </c>
      <c r="K276">
        <v>7.8</v>
      </c>
      <c r="L276">
        <v>42</v>
      </c>
    </row>
    <row r="277" spans="1:12" x14ac:dyDescent="0.25">
      <c r="A277" t="s">
        <v>267</v>
      </c>
      <c r="B277" t="s">
        <v>276</v>
      </c>
      <c r="C277" t="s">
        <v>277</v>
      </c>
      <c r="D277">
        <v>3</v>
      </c>
      <c r="E277">
        <v>5</v>
      </c>
      <c r="F277">
        <v>100</v>
      </c>
      <c r="G277">
        <v>10</v>
      </c>
      <c r="H277">
        <v>5</v>
      </c>
      <c r="I277">
        <v>16.5</v>
      </c>
      <c r="J277">
        <v>22.4</v>
      </c>
      <c r="K277">
        <v>7.8</v>
      </c>
      <c r="L277">
        <v>52</v>
      </c>
    </row>
    <row r="278" spans="1:12" x14ac:dyDescent="0.25">
      <c r="A278" t="s">
        <v>267</v>
      </c>
      <c r="B278" t="s">
        <v>276</v>
      </c>
      <c r="C278" t="s">
        <v>277</v>
      </c>
      <c r="D278">
        <v>3</v>
      </c>
      <c r="E278">
        <v>5</v>
      </c>
      <c r="F278">
        <v>120</v>
      </c>
      <c r="G278">
        <v>10</v>
      </c>
      <c r="H278">
        <v>5</v>
      </c>
      <c r="I278">
        <v>16.5</v>
      </c>
      <c r="J278">
        <v>22.4</v>
      </c>
      <c r="K278">
        <v>7.8</v>
      </c>
      <c r="L278">
        <v>62</v>
      </c>
    </row>
    <row r="279" spans="1:12" x14ac:dyDescent="0.25">
      <c r="A279" t="s">
        <v>267</v>
      </c>
      <c r="B279" t="s">
        <v>276</v>
      </c>
      <c r="C279" t="s">
        <v>277</v>
      </c>
      <c r="D279">
        <v>3</v>
      </c>
      <c r="E279">
        <v>6</v>
      </c>
      <c r="F279">
        <v>60</v>
      </c>
      <c r="G279">
        <v>12</v>
      </c>
      <c r="H279">
        <v>8.5</v>
      </c>
      <c r="I279">
        <v>15.6</v>
      </c>
      <c r="J279">
        <v>22</v>
      </c>
      <c r="K279">
        <v>11.5</v>
      </c>
      <c r="L279">
        <v>36</v>
      </c>
    </row>
    <row r="280" spans="1:12" x14ac:dyDescent="0.25">
      <c r="A280" t="s">
        <v>267</v>
      </c>
      <c r="B280" t="s">
        <v>276</v>
      </c>
      <c r="C280" t="s">
        <v>277</v>
      </c>
      <c r="D280">
        <v>3</v>
      </c>
      <c r="E280">
        <v>6</v>
      </c>
      <c r="F280">
        <v>70</v>
      </c>
      <c r="G280">
        <v>12</v>
      </c>
      <c r="H280">
        <v>8.5</v>
      </c>
      <c r="I280">
        <v>15.6</v>
      </c>
      <c r="J280">
        <v>22</v>
      </c>
      <c r="K280">
        <v>11.5</v>
      </c>
      <c r="L280">
        <v>42</v>
      </c>
    </row>
    <row r="281" spans="1:12" x14ac:dyDescent="0.25">
      <c r="A281" t="s">
        <v>267</v>
      </c>
      <c r="B281" t="s">
        <v>276</v>
      </c>
      <c r="C281" t="s">
        <v>277</v>
      </c>
      <c r="D281">
        <v>3</v>
      </c>
      <c r="E281">
        <v>6</v>
      </c>
      <c r="F281">
        <v>80</v>
      </c>
      <c r="G281">
        <v>12</v>
      </c>
      <c r="H281">
        <v>8.5</v>
      </c>
      <c r="I281">
        <v>15.6</v>
      </c>
      <c r="J281">
        <v>22</v>
      </c>
      <c r="K281">
        <v>11.5</v>
      </c>
      <c r="L281">
        <v>42</v>
      </c>
    </row>
    <row r="282" spans="1:12" x14ac:dyDescent="0.25">
      <c r="A282" t="s">
        <v>267</v>
      </c>
      <c r="B282" t="s">
        <v>276</v>
      </c>
      <c r="C282" t="s">
        <v>277</v>
      </c>
      <c r="D282">
        <v>3</v>
      </c>
      <c r="E282">
        <v>6</v>
      </c>
      <c r="F282">
        <v>90</v>
      </c>
      <c r="G282">
        <v>12</v>
      </c>
      <c r="H282">
        <v>8.5</v>
      </c>
      <c r="I282">
        <v>15.6</v>
      </c>
      <c r="J282">
        <v>22</v>
      </c>
      <c r="K282">
        <v>11.5</v>
      </c>
      <c r="L282">
        <v>42</v>
      </c>
    </row>
    <row r="283" spans="1:12" x14ac:dyDescent="0.25">
      <c r="A283" t="s">
        <v>267</v>
      </c>
      <c r="B283" t="s">
        <v>276</v>
      </c>
      <c r="C283" t="s">
        <v>277</v>
      </c>
      <c r="D283">
        <v>3</v>
      </c>
      <c r="E283">
        <v>6</v>
      </c>
      <c r="F283">
        <v>100</v>
      </c>
      <c r="G283">
        <v>12</v>
      </c>
      <c r="H283">
        <v>8.5</v>
      </c>
      <c r="I283">
        <v>15.6</v>
      </c>
      <c r="J283">
        <v>22</v>
      </c>
      <c r="K283">
        <v>11.5</v>
      </c>
      <c r="L283">
        <v>52</v>
      </c>
    </row>
    <row r="284" spans="1:12" x14ac:dyDescent="0.25">
      <c r="A284" t="s">
        <v>267</v>
      </c>
      <c r="B284" t="s">
        <v>276</v>
      </c>
      <c r="C284" t="s">
        <v>277</v>
      </c>
      <c r="D284">
        <v>3</v>
      </c>
      <c r="E284">
        <v>6</v>
      </c>
      <c r="F284">
        <v>110</v>
      </c>
      <c r="G284">
        <v>12</v>
      </c>
      <c r="H284">
        <v>8.5</v>
      </c>
      <c r="I284">
        <v>15.6</v>
      </c>
      <c r="J284">
        <v>22</v>
      </c>
      <c r="K284">
        <v>11.5</v>
      </c>
      <c r="L284">
        <v>62</v>
      </c>
    </row>
    <row r="285" spans="1:12" x14ac:dyDescent="0.25">
      <c r="A285" t="s">
        <v>267</v>
      </c>
      <c r="B285" t="s">
        <v>276</v>
      </c>
      <c r="C285" t="s">
        <v>277</v>
      </c>
      <c r="D285">
        <v>3</v>
      </c>
      <c r="E285">
        <v>6</v>
      </c>
      <c r="F285">
        <v>120</v>
      </c>
      <c r="G285">
        <v>12</v>
      </c>
      <c r="H285">
        <v>8.5</v>
      </c>
      <c r="I285">
        <v>15.6</v>
      </c>
      <c r="J285">
        <v>22</v>
      </c>
      <c r="K285">
        <v>11.5</v>
      </c>
      <c r="L285">
        <v>72</v>
      </c>
    </row>
    <row r="286" spans="1:12" x14ac:dyDescent="0.25">
      <c r="A286" t="s">
        <v>267</v>
      </c>
      <c r="B286" t="s">
        <v>276</v>
      </c>
      <c r="C286" t="s">
        <v>277</v>
      </c>
      <c r="D286">
        <v>3</v>
      </c>
      <c r="E286">
        <v>6</v>
      </c>
      <c r="F286">
        <v>140</v>
      </c>
      <c r="G286">
        <v>12</v>
      </c>
      <c r="H286">
        <v>8.5</v>
      </c>
      <c r="I286">
        <v>15.6</v>
      </c>
      <c r="J286">
        <v>22</v>
      </c>
      <c r="K286">
        <v>11.5</v>
      </c>
      <c r="L286">
        <v>72</v>
      </c>
    </row>
    <row r="287" spans="1:12" x14ac:dyDescent="0.25">
      <c r="A287" t="s">
        <v>267</v>
      </c>
      <c r="B287" t="s">
        <v>276</v>
      </c>
      <c r="C287" t="s">
        <v>277</v>
      </c>
      <c r="D287">
        <v>3</v>
      </c>
      <c r="E287">
        <v>6</v>
      </c>
      <c r="F287">
        <v>160</v>
      </c>
      <c r="G287">
        <v>12</v>
      </c>
      <c r="H287">
        <v>8.5</v>
      </c>
      <c r="I287">
        <v>15.6</v>
      </c>
      <c r="J287">
        <v>22</v>
      </c>
      <c r="K287">
        <v>11.5</v>
      </c>
      <c r="L287">
        <v>72</v>
      </c>
    </row>
    <row r="288" spans="1:12" x14ac:dyDescent="0.25">
      <c r="A288" t="s">
        <v>267</v>
      </c>
      <c r="B288" t="s">
        <v>276</v>
      </c>
      <c r="C288" t="s">
        <v>277</v>
      </c>
      <c r="D288">
        <v>3</v>
      </c>
      <c r="E288">
        <v>6</v>
      </c>
      <c r="F288">
        <v>180</v>
      </c>
      <c r="G288">
        <v>12</v>
      </c>
      <c r="H288">
        <v>8.5</v>
      </c>
      <c r="I288">
        <v>15.6</v>
      </c>
      <c r="J288">
        <v>22</v>
      </c>
      <c r="K288">
        <v>11.5</v>
      </c>
      <c r="L288">
        <v>72</v>
      </c>
    </row>
    <row r="289" spans="1:12" x14ac:dyDescent="0.25">
      <c r="A289" t="s">
        <v>267</v>
      </c>
      <c r="B289" t="s">
        <v>276</v>
      </c>
      <c r="C289" t="s">
        <v>277</v>
      </c>
      <c r="D289">
        <v>3</v>
      </c>
      <c r="E289">
        <v>6</v>
      </c>
      <c r="F289">
        <v>220</v>
      </c>
      <c r="G289">
        <v>12</v>
      </c>
      <c r="H289">
        <v>8.5</v>
      </c>
      <c r="I289">
        <v>15.6</v>
      </c>
      <c r="J289">
        <v>22</v>
      </c>
      <c r="K289">
        <v>11.5</v>
      </c>
      <c r="L289">
        <v>72</v>
      </c>
    </row>
    <row r="290" spans="1:12" x14ac:dyDescent="0.25">
      <c r="A290" t="s">
        <v>267</v>
      </c>
      <c r="B290" t="s">
        <v>278</v>
      </c>
      <c r="C290" t="s">
        <v>279</v>
      </c>
      <c r="D290">
        <v>1</v>
      </c>
      <c r="E290">
        <v>3</v>
      </c>
      <c r="F290">
        <v>12</v>
      </c>
      <c r="G290">
        <v>6</v>
      </c>
      <c r="H290">
        <v>1.2</v>
      </c>
      <c r="I290">
        <v>13.2</v>
      </c>
      <c r="J290">
        <v>27.7</v>
      </c>
      <c r="K290">
        <v>3.2</v>
      </c>
      <c r="L290">
        <v>9</v>
      </c>
    </row>
    <row r="291" spans="1:12" x14ac:dyDescent="0.25">
      <c r="A291" t="s">
        <v>267</v>
      </c>
      <c r="B291" t="s">
        <v>278</v>
      </c>
      <c r="C291" t="s">
        <v>279</v>
      </c>
      <c r="D291">
        <v>1</v>
      </c>
      <c r="E291">
        <v>3</v>
      </c>
      <c r="F291">
        <v>16</v>
      </c>
      <c r="G291">
        <v>6</v>
      </c>
      <c r="H291">
        <v>1.2</v>
      </c>
      <c r="I291">
        <v>13.2</v>
      </c>
      <c r="J291">
        <v>27.7</v>
      </c>
      <c r="K291">
        <v>3.2</v>
      </c>
      <c r="L291">
        <v>13</v>
      </c>
    </row>
    <row r="292" spans="1:12" x14ac:dyDescent="0.25">
      <c r="A292" t="s">
        <v>267</v>
      </c>
      <c r="B292" t="s">
        <v>278</v>
      </c>
      <c r="C292" t="s">
        <v>279</v>
      </c>
      <c r="D292">
        <v>1</v>
      </c>
      <c r="E292">
        <v>3</v>
      </c>
      <c r="F292">
        <v>20</v>
      </c>
      <c r="G292">
        <v>6</v>
      </c>
      <c r="H292">
        <v>1.2</v>
      </c>
      <c r="I292">
        <v>13.2</v>
      </c>
      <c r="J292">
        <v>27.7</v>
      </c>
      <c r="K292">
        <v>3.2</v>
      </c>
      <c r="L292">
        <v>17</v>
      </c>
    </row>
    <row r="293" spans="1:12" x14ac:dyDescent="0.25">
      <c r="A293" t="s">
        <v>267</v>
      </c>
      <c r="B293" t="s">
        <v>278</v>
      </c>
      <c r="C293" t="s">
        <v>279</v>
      </c>
      <c r="D293">
        <v>1</v>
      </c>
      <c r="E293">
        <v>3</v>
      </c>
      <c r="F293">
        <v>25</v>
      </c>
      <c r="G293">
        <v>6</v>
      </c>
      <c r="H293">
        <v>1.2</v>
      </c>
      <c r="I293">
        <v>13.2</v>
      </c>
      <c r="J293">
        <v>27.7</v>
      </c>
      <c r="K293">
        <v>3.2</v>
      </c>
      <c r="L293">
        <v>18</v>
      </c>
    </row>
    <row r="294" spans="1:12" x14ac:dyDescent="0.25">
      <c r="A294" t="s">
        <v>267</v>
      </c>
      <c r="B294" t="s">
        <v>278</v>
      </c>
      <c r="C294" t="s">
        <v>279</v>
      </c>
      <c r="D294">
        <v>1</v>
      </c>
      <c r="E294">
        <v>3</v>
      </c>
      <c r="F294">
        <v>30</v>
      </c>
      <c r="G294">
        <v>6</v>
      </c>
      <c r="H294">
        <v>1.2</v>
      </c>
      <c r="I294">
        <v>13.2</v>
      </c>
      <c r="J294">
        <v>27.7</v>
      </c>
      <c r="K294">
        <v>3.2</v>
      </c>
      <c r="L294">
        <v>18</v>
      </c>
    </row>
    <row r="295" spans="1:12" x14ac:dyDescent="0.25">
      <c r="A295" t="s">
        <v>267</v>
      </c>
      <c r="B295" t="s">
        <v>278</v>
      </c>
      <c r="C295" t="s">
        <v>279</v>
      </c>
      <c r="D295">
        <v>1</v>
      </c>
      <c r="E295">
        <v>3</v>
      </c>
      <c r="F295">
        <v>35</v>
      </c>
      <c r="G295">
        <v>6</v>
      </c>
      <c r="H295">
        <v>1.2</v>
      </c>
      <c r="I295">
        <v>13.2</v>
      </c>
      <c r="J295">
        <v>27.7</v>
      </c>
      <c r="K295">
        <v>3.2</v>
      </c>
      <c r="L295">
        <v>24</v>
      </c>
    </row>
    <row r="296" spans="1:12" x14ac:dyDescent="0.25">
      <c r="A296" t="s">
        <v>267</v>
      </c>
      <c r="B296" t="s">
        <v>278</v>
      </c>
      <c r="C296" t="s">
        <v>279</v>
      </c>
      <c r="D296">
        <v>1</v>
      </c>
      <c r="E296">
        <v>3</v>
      </c>
      <c r="F296">
        <v>40</v>
      </c>
      <c r="G296">
        <v>6</v>
      </c>
      <c r="H296">
        <v>1.2</v>
      </c>
      <c r="I296">
        <v>13.2</v>
      </c>
      <c r="J296">
        <v>27.7</v>
      </c>
      <c r="K296">
        <v>3.2</v>
      </c>
      <c r="L296">
        <v>24</v>
      </c>
    </row>
    <row r="297" spans="1:12" x14ac:dyDescent="0.25">
      <c r="A297" t="s">
        <v>267</v>
      </c>
      <c r="B297" t="s">
        <v>278</v>
      </c>
      <c r="C297" t="s">
        <v>279</v>
      </c>
      <c r="D297">
        <v>1</v>
      </c>
      <c r="E297">
        <v>3.5</v>
      </c>
      <c r="F297">
        <v>16</v>
      </c>
      <c r="G297">
        <v>7</v>
      </c>
      <c r="H297">
        <v>1.8</v>
      </c>
      <c r="I297">
        <v>12.2</v>
      </c>
      <c r="J297">
        <v>26.5</v>
      </c>
      <c r="K297">
        <v>4.0999999999999996</v>
      </c>
      <c r="L297">
        <v>13</v>
      </c>
    </row>
    <row r="298" spans="1:12" x14ac:dyDescent="0.25">
      <c r="A298" t="s">
        <v>267</v>
      </c>
      <c r="B298" t="s">
        <v>278</v>
      </c>
      <c r="C298" t="s">
        <v>279</v>
      </c>
      <c r="D298">
        <v>1</v>
      </c>
      <c r="E298">
        <v>3.5</v>
      </c>
      <c r="F298">
        <v>20</v>
      </c>
      <c r="G298">
        <v>7</v>
      </c>
      <c r="H298">
        <v>1.8</v>
      </c>
      <c r="I298">
        <v>12.2</v>
      </c>
      <c r="J298">
        <v>26.5</v>
      </c>
      <c r="K298">
        <v>4.0999999999999996</v>
      </c>
      <c r="L298">
        <v>16</v>
      </c>
    </row>
    <row r="299" spans="1:12" x14ac:dyDescent="0.25">
      <c r="A299" t="s">
        <v>267</v>
      </c>
      <c r="B299" t="s">
        <v>278</v>
      </c>
      <c r="C299" t="s">
        <v>279</v>
      </c>
      <c r="D299">
        <v>1</v>
      </c>
      <c r="E299">
        <v>3.5</v>
      </c>
      <c r="F299">
        <v>25</v>
      </c>
      <c r="G299">
        <v>7</v>
      </c>
      <c r="H299">
        <v>1.8</v>
      </c>
      <c r="I299">
        <v>12.2</v>
      </c>
      <c r="J299">
        <v>26.5</v>
      </c>
      <c r="K299">
        <v>4.0999999999999996</v>
      </c>
      <c r="L299">
        <v>18</v>
      </c>
    </row>
    <row r="300" spans="1:12" x14ac:dyDescent="0.25">
      <c r="A300" t="s">
        <v>267</v>
      </c>
      <c r="B300" t="s">
        <v>278</v>
      </c>
      <c r="C300" t="s">
        <v>279</v>
      </c>
      <c r="D300">
        <v>1</v>
      </c>
      <c r="E300">
        <v>3.5</v>
      </c>
      <c r="F300">
        <v>30</v>
      </c>
      <c r="G300">
        <v>7</v>
      </c>
      <c r="H300">
        <v>1.8</v>
      </c>
      <c r="I300">
        <v>12.2</v>
      </c>
      <c r="J300">
        <v>26.5</v>
      </c>
      <c r="K300">
        <v>4.0999999999999996</v>
      </c>
      <c r="L300">
        <v>18</v>
      </c>
    </row>
    <row r="301" spans="1:12" x14ac:dyDescent="0.25">
      <c r="A301" t="s">
        <v>267</v>
      </c>
      <c r="B301" t="s">
        <v>278</v>
      </c>
      <c r="C301" t="s">
        <v>279</v>
      </c>
      <c r="D301">
        <v>1</v>
      </c>
      <c r="E301">
        <v>3.5</v>
      </c>
      <c r="F301">
        <v>35</v>
      </c>
      <c r="G301">
        <v>7</v>
      </c>
      <c r="H301">
        <v>1.8</v>
      </c>
      <c r="I301">
        <v>12.2</v>
      </c>
      <c r="J301">
        <v>26.5</v>
      </c>
      <c r="K301">
        <v>4.0999999999999996</v>
      </c>
      <c r="L301">
        <v>24</v>
      </c>
    </row>
    <row r="302" spans="1:12" x14ac:dyDescent="0.25">
      <c r="A302" t="s">
        <v>267</v>
      </c>
      <c r="B302" t="s">
        <v>278</v>
      </c>
      <c r="C302" t="s">
        <v>279</v>
      </c>
      <c r="D302">
        <v>1</v>
      </c>
      <c r="E302">
        <v>3.5</v>
      </c>
      <c r="F302">
        <v>40</v>
      </c>
      <c r="G302">
        <v>7</v>
      </c>
      <c r="H302">
        <v>1.8</v>
      </c>
      <c r="I302">
        <v>12.2</v>
      </c>
      <c r="J302">
        <v>26.5</v>
      </c>
      <c r="K302">
        <v>4.0999999999999996</v>
      </c>
      <c r="L302">
        <v>24</v>
      </c>
    </row>
    <row r="303" spans="1:12" x14ac:dyDescent="0.25">
      <c r="A303" t="s">
        <v>267</v>
      </c>
      <c r="B303" t="s">
        <v>278</v>
      </c>
      <c r="C303" t="s">
        <v>279</v>
      </c>
      <c r="D303">
        <v>1</v>
      </c>
      <c r="E303">
        <v>3.5</v>
      </c>
      <c r="F303">
        <v>50</v>
      </c>
      <c r="G303">
        <v>7</v>
      </c>
      <c r="H303">
        <v>1.8</v>
      </c>
      <c r="I303">
        <v>12.2</v>
      </c>
      <c r="J303">
        <v>26.5</v>
      </c>
      <c r="K303">
        <v>4.0999999999999996</v>
      </c>
      <c r="L303">
        <v>30</v>
      </c>
    </row>
    <row r="304" spans="1:12" x14ac:dyDescent="0.25">
      <c r="A304" t="s">
        <v>267</v>
      </c>
      <c r="B304" t="s">
        <v>278</v>
      </c>
      <c r="C304" t="s">
        <v>279</v>
      </c>
      <c r="D304">
        <v>1</v>
      </c>
      <c r="E304">
        <v>4</v>
      </c>
      <c r="F304">
        <v>20</v>
      </c>
      <c r="G304">
        <v>8</v>
      </c>
      <c r="H304">
        <v>2.7</v>
      </c>
      <c r="I304">
        <v>17.100000000000001</v>
      </c>
      <c r="J304">
        <v>22.7</v>
      </c>
      <c r="K304">
        <v>4.7</v>
      </c>
      <c r="L304">
        <v>16</v>
      </c>
    </row>
    <row r="305" spans="1:25" x14ac:dyDescent="0.25">
      <c r="A305" t="s">
        <v>267</v>
      </c>
      <c r="B305" t="s">
        <v>278</v>
      </c>
      <c r="C305" t="s">
        <v>279</v>
      </c>
      <c r="D305">
        <v>1</v>
      </c>
      <c r="E305">
        <v>4</v>
      </c>
      <c r="F305">
        <v>25</v>
      </c>
      <c r="G305">
        <v>8</v>
      </c>
      <c r="H305">
        <v>2.7</v>
      </c>
      <c r="I305">
        <v>17.100000000000001</v>
      </c>
      <c r="J305">
        <v>22.7</v>
      </c>
      <c r="K305">
        <v>4.7</v>
      </c>
      <c r="L305">
        <v>18</v>
      </c>
    </row>
    <row r="306" spans="1:25" x14ac:dyDescent="0.25">
      <c r="A306" t="s">
        <v>267</v>
      </c>
      <c r="B306" t="s">
        <v>278</v>
      </c>
      <c r="C306" t="s">
        <v>279</v>
      </c>
      <c r="D306">
        <v>1</v>
      </c>
      <c r="E306">
        <v>4</v>
      </c>
      <c r="F306">
        <v>30</v>
      </c>
      <c r="G306">
        <v>8</v>
      </c>
      <c r="H306">
        <v>2.7</v>
      </c>
      <c r="I306">
        <v>17.100000000000001</v>
      </c>
      <c r="J306">
        <v>22.7</v>
      </c>
      <c r="K306">
        <v>4.7</v>
      </c>
      <c r="L306">
        <v>18</v>
      </c>
    </row>
    <row r="307" spans="1:25" x14ac:dyDescent="0.25">
      <c r="A307" t="s">
        <v>267</v>
      </c>
      <c r="B307" t="s">
        <v>278</v>
      </c>
      <c r="C307" t="s">
        <v>279</v>
      </c>
      <c r="D307">
        <v>1</v>
      </c>
      <c r="E307">
        <v>4</v>
      </c>
      <c r="F307">
        <v>35</v>
      </c>
      <c r="G307">
        <v>8</v>
      </c>
      <c r="H307">
        <v>2.7</v>
      </c>
      <c r="I307">
        <v>17.100000000000001</v>
      </c>
      <c r="J307">
        <v>22.7</v>
      </c>
      <c r="K307">
        <v>4.7</v>
      </c>
      <c r="L307">
        <v>24</v>
      </c>
      <c r="Y307">
        <v>100</v>
      </c>
    </row>
    <row r="308" spans="1:25" x14ac:dyDescent="0.25">
      <c r="A308" t="s">
        <v>267</v>
      </c>
      <c r="B308" t="s">
        <v>278</v>
      </c>
      <c r="C308" t="s">
        <v>279</v>
      </c>
      <c r="D308">
        <v>1</v>
      </c>
      <c r="E308">
        <v>4</v>
      </c>
      <c r="F308">
        <v>40</v>
      </c>
      <c r="G308">
        <v>8</v>
      </c>
      <c r="H308">
        <v>2.7</v>
      </c>
      <c r="I308">
        <v>17.100000000000001</v>
      </c>
      <c r="J308">
        <v>22.7</v>
      </c>
      <c r="K308">
        <v>4.7</v>
      </c>
      <c r="L308">
        <v>24</v>
      </c>
      <c r="Y308">
        <v>100</v>
      </c>
    </row>
    <row r="309" spans="1:25" x14ac:dyDescent="0.25">
      <c r="A309" t="s">
        <v>267</v>
      </c>
      <c r="B309" t="s">
        <v>278</v>
      </c>
      <c r="C309" t="s">
        <v>279</v>
      </c>
      <c r="D309">
        <v>1</v>
      </c>
      <c r="E309">
        <v>4</v>
      </c>
      <c r="F309">
        <v>45</v>
      </c>
      <c r="G309">
        <v>8</v>
      </c>
      <c r="H309">
        <v>2.7</v>
      </c>
      <c r="I309">
        <v>17.100000000000001</v>
      </c>
      <c r="J309">
        <v>22.7</v>
      </c>
      <c r="K309">
        <v>4.7</v>
      </c>
      <c r="L309">
        <v>30</v>
      </c>
      <c r="Y309">
        <v>100</v>
      </c>
    </row>
    <row r="310" spans="1:25" x14ac:dyDescent="0.25">
      <c r="A310" t="s">
        <v>267</v>
      </c>
      <c r="B310" t="s">
        <v>278</v>
      </c>
      <c r="C310" t="s">
        <v>279</v>
      </c>
      <c r="D310">
        <v>1</v>
      </c>
      <c r="E310">
        <v>4</v>
      </c>
      <c r="F310">
        <v>50</v>
      </c>
      <c r="G310">
        <v>8</v>
      </c>
      <c r="H310">
        <v>2.7</v>
      </c>
      <c r="I310">
        <v>17.100000000000001</v>
      </c>
      <c r="J310">
        <v>22.7</v>
      </c>
      <c r="K310">
        <v>4.7</v>
      </c>
      <c r="L310">
        <v>30</v>
      </c>
      <c r="Y310">
        <v>100</v>
      </c>
    </row>
    <row r="311" spans="1:25" x14ac:dyDescent="0.25">
      <c r="A311" t="s">
        <v>267</v>
      </c>
      <c r="B311" t="s">
        <v>278</v>
      </c>
      <c r="C311" t="s">
        <v>279</v>
      </c>
      <c r="D311">
        <v>1</v>
      </c>
      <c r="E311">
        <v>4</v>
      </c>
      <c r="F311">
        <v>60</v>
      </c>
      <c r="G311">
        <v>8</v>
      </c>
      <c r="H311">
        <v>2.7</v>
      </c>
      <c r="I311">
        <v>17.100000000000001</v>
      </c>
      <c r="J311">
        <v>22.7</v>
      </c>
      <c r="K311">
        <v>4.7</v>
      </c>
      <c r="L311">
        <v>36</v>
      </c>
      <c r="Y311">
        <v>100</v>
      </c>
    </row>
    <row r="312" spans="1:25" x14ac:dyDescent="0.25">
      <c r="A312" t="s">
        <v>267</v>
      </c>
      <c r="B312" t="s">
        <v>278</v>
      </c>
      <c r="C312" t="s">
        <v>279</v>
      </c>
      <c r="D312">
        <v>1</v>
      </c>
      <c r="E312">
        <v>4.5</v>
      </c>
      <c r="F312">
        <v>25</v>
      </c>
      <c r="G312">
        <v>9</v>
      </c>
      <c r="H312">
        <v>4</v>
      </c>
      <c r="I312">
        <v>16.8</v>
      </c>
      <c r="J312">
        <v>21.3</v>
      </c>
      <c r="K312">
        <v>5.8</v>
      </c>
      <c r="L312">
        <v>18</v>
      </c>
      <c r="Y312">
        <v>100</v>
      </c>
    </row>
    <row r="313" spans="1:25" x14ac:dyDescent="0.25">
      <c r="A313" t="s">
        <v>267</v>
      </c>
      <c r="B313" t="s">
        <v>278</v>
      </c>
      <c r="C313" t="s">
        <v>279</v>
      </c>
      <c r="D313">
        <v>1</v>
      </c>
      <c r="E313">
        <v>4.5</v>
      </c>
      <c r="F313">
        <v>30</v>
      </c>
      <c r="G313">
        <v>9</v>
      </c>
      <c r="H313">
        <v>4</v>
      </c>
      <c r="I313">
        <v>16.8</v>
      </c>
      <c r="J313">
        <v>21.3</v>
      </c>
      <c r="K313">
        <v>5.8</v>
      </c>
      <c r="L313">
        <v>18</v>
      </c>
      <c r="Y313">
        <v>50</v>
      </c>
    </row>
    <row r="314" spans="1:25" x14ac:dyDescent="0.25">
      <c r="A314" t="s">
        <v>267</v>
      </c>
      <c r="B314" t="s">
        <v>278</v>
      </c>
      <c r="C314" t="s">
        <v>279</v>
      </c>
      <c r="D314">
        <v>1</v>
      </c>
      <c r="E314">
        <v>4.5</v>
      </c>
      <c r="F314">
        <v>35</v>
      </c>
      <c r="G314">
        <v>9</v>
      </c>
      <c r="H314">
        <v>4</v>
      </c>
      <c r="I314">
        <v>16.8</v>
      </c>
      <c r="J314">
        <v>21.3</v>
      </c>
      <c r="K314">
        <v>5.8</v>
      </c>
      <c r="L314">
        <v>24</v>
      </c>
      <c r="Y314">
        <v>50</v>
      </c>
    </row>
    <row r="315" spans="1:25" x14ac:dyDescent="0.25">
      <c r="A315" t="s">
        <v>267</v>
      </c>
      <c r="B315" t="s">
        <v>278</v>
      </c>
      <c r="C315" t="s">
        <v>279</v>
      </c>
      <c r="D315">
        <v>1</v>
      </c>
      <c r="E315">
        <v>4.5</v>
      </c>
      <c r="F315">
        <v>40</v>
      </c>
      <c r="G315">
        <v>9</v>
      </c>
      <c r="H315">
        <v>4</v>
      </c>
      <c r="I315">
        <v>16.8</v>
      </c>
      <c r="J315">
        <v>21.3</v>
      </c>
      <c r="K315">
        <v>5.8</v>
      </c>
      <c r="L315">
        <v>24</v>
      </c>
      <c r="Y315">
        <v>50</v>
      </c>
    </row>
    <row r="316" spans="1:25" x14ac:dyDescent="0.25">
      <c r="A316" t="s">
        <v>267</v>
      </c>
      <c r="B316" t="s">
        <v>278</v>
      </c>
      <c r="C316" t="s">
        <v>279</v>
      </c>
      <c r="D316">
        <v>1</v>
      </c>
      <c r="E316">
        <v>4.5</v>
      </c>
      <c r="F316">
        <v>50</v>
      </c>
      <c r="G316">
        <v>9</v>
      </c>
      <c r="H316">
        <v>4</v>
      </c>
      <c r="I316">
        <v>16.8</v>
      </c>
      <c r="J316">
        <v>21.3</v>
      </c>
      <c r="K316">
        <v>5.8</v>
      </c>
      <c r="L316">
        <v>30</v>
      </c>
      <c r="Y316">
        <v>50</v>
      </c>
    </row>
    <row r="317" spans="1:25" x14ac:dyDescent="0.25">
      <c r="A317" t="s">
        <v>267</v>
      </c>
      <c r="B317" t="s">
        <v>278</v>
      </c>
      <c r="C317" t="s">
        <v>279</v>
      </c>
      <c r="D317">
        <v>1</v>
      </c>
      <c r="E317">
        <v>4.5</v>
      </c>
      <c r="F317">
        <v>60</v>
      </c>
      <c r="G317">
        <v>9</v>
      </c>
      <c r="H317">
        <v>4</v>
      </c>
      <c r="I317">
        <v>16.8</v>
      </c>
      <c r="J317">
        <v>21.3</v>
      </c>
      <c r="K317">
        <v>5.8</v>
      </c>
      <c r="L317">
        <v>36</v>
      </c>
      <c r="Y317">
        <v>50</v>
      </c>
    </row>
    <row r="318" spans="1:25" x14ac:dyDescent="0.25">
      <c r="A318" t="s">
        <v>267</v>
      </c>
      <c r="B318" t="s">
        <v>278</v>
      </c>
      <c r="C318" t="s">
        <v>279</v>
      </c>
      <c r="D318">
        <v>1</v>
      </c>
      <c r="E318">
        <v>4.5</v>
      </c>
      <c r="F318">
        <v>70</v>
      </c>
      <c r="G318">
        <v>9</v>
      </c>
      <c r="H318">
        <v>4</v>
      </c>
      <c r="I318">
        <v>16.8</v>
      </c>
      <c r="J318">
        <v>21.3</v>
      </c>
      <c r="K318">
        <v>5.8</v>
      </c>
      <c r="L318">
        <v>42</v>
      </c>
      <c r="Y318">
        <v>50</v>
      </c>
    </row>
    <row r="319" spans="1:25" x14ac:dyDescent="0.25">
      <c r="A319" t="s">
        <v>267</v>
      </c>
      <c r="B319" t="s">
        <v>278</v>
      </c>
      <c r="C319" t="s">
        <v>279</v>
      </c>
      <c r="D319">
        <v>1</v>
      </c>
      <c r="E319">
        <v>5</v>
      </c>
      <c r="F319">
        <v>25</v>
      </c>
      <c r="G319">
        <v>10</v>
      </c>
      <c r="H319">
        <v>5</v>
      </c>
      <c r="I319">
        <v>16.5</v>
      </c>
      <c r="J319">
        <v>22.4</v>
      </c>
      <c r="K319">
        <v>7.8</v>
      </c>
      <c r="L319">
        <v>18</v>
      </c>
      <c r="Y319">
        <v>50</v>
      </c>
    </row>
    <row r="320" spans="1:25" x14ac:dyDescent="0.25">
      <c r="A320" t="s">
        <v>267</v>
      </c>
      <c r="B320" t="s">
        <v>278</v>
      </c>
      <c r="C320" t="s">
        <v>279</v>
      </c>
      <c r="D320">
        <v>1</v>
      </c>
      <c r="E320">
        <v>5</v>
      </c>
      <c r="F320">
        <v>30</v>
      </c>
      <c r="G320">
        <v>10</v>
      </c>
      <c r="H320">
        <v>5</v>
      </c>
      <c r="I320">
        <v>16.5</v>
      </c>
      <c r="J320">
        <v>22.4</v>
      </c>
      <c r="K320">
        <v>7.8</v>
      </c>
      <c r="L320">
        <v>18</v>
      </c>
      <c r="Y320">
        <v>50</v>
      </c>
    </row>
    <row r="321" spans="1:25" x14ac:dyDescent="0.25">
      <c r="A321" t="s">
        <v>267</v>
      </c>
      <c r="B321" t="s">
        <v>278</v>
      </c>
      <c r="C321" t="s">
        <v>279</v>
      </c>
      <c r="D321">
        <v>1</v>
      </c>
      <c r="E321">
        <v>5</v>
      </c>
      <c r="F321">
        <v>35</v>
      </c>
      <c r="G321">
        <v>10</v>
      </c>
      <c r="H321">
        <v>5</v>
      </c>
      <c r="I321">
        <v>16.5</v>
      </c>
      <c r="J321">
        <v>22.4</v>
      </c>
      <c r="K321">
        <v>7.8</v>
      </c>
      <c r="L321">
        <v>24</v>
      </c>
      <c r="Y321">
        <v>50</v>
      </c>
    </row>
    <row r="322" spans="1:25" x14ac:dyDescent="0.25">
      <c r="A322" t="s">
        <v>267</v>
      </c>
      <c r="B322" t="s">
        <v>278</v>
      </c>
      <c r="C322" t="s">
        <v>279</v>
      </c>
      <c r="D322">
        <v>1</v>
      </c>
      <c r="E322">
        <v>5</v>
      </c>
      <c r="F322">
        <v>40</v>
      </c>
      <c r="G322">
        <v>10</v>
      </c>
      <c r="H322">
        <v>5</v>
      </c>
      <c r="I322">
        <v>16.5</v>
      </c>
      <c r="J322">
        <v>22.4</v>
      </c>
      <c r="K322">
        <v>7.8</v>
      </c>
      <c r="L322">
        <v>24</v>
      </c>
      <c r="Y322">
        <v>50</v>
      </c>
    </row>
    <row r="323" spans="1:25" x14ac:dyDescent="0.25">
      <c r="A323" t="s">
        <v>267</v>
      </c>
      <c r="B323" t="s">
        <v>278</v>
      </c>
      <c r="C323" t="s">
        <v>279</v>
      </c>
      <c r="D323">
        <v>1</v>
      </c>
      <c r="E323">
        <v>5</v>
      </c>
      <c r="F323">
        <v>50</v>
      </c>
      <c r="G323">
        <v>10</v>
      </c>
      <c r="H323">
        <v>5</v>
      </c>
      <c r="I323">
        <v>16.5</v>
      </c>
      <c r="J323">
        <v>22.4</v>
      </c>
      <c r="K323">
        <v>7.8</v>
      </c>
      <c r="L323">
        <v>30</v>
      </c>
      <c r="Y323">
        <v>50</v>
      </c>
    </row>
    <row r="324" spans="1:25" x14ac:dyDescent="0.25">
      <c r="A324" t="s">
        <v>267</v>
      </c>
      <c r="B324" t="s">
        <v>278</v>
      </c>
      <c r="C324" t="s">
        <v>279</v>
      </c>
      <c r="D324">
        <v>1</v>
      </c>
      <c r="E324">
        <v>5</v>
      </c>
      <c r="F324">
        <v>60</v>
      </c>
      <c r="G324">
        <v>10</v>
      </c>
      <c r="H324">
        <v>5</v>
      </c>
      <c r="I324">
        <v>16.5</v>
      </c>
      <c r="J324">
        <v>22.4</v>
      </c>
      <c r="K324">
        <v>7.8</v>
      </c>
      <c r="L324">
        <v>36</v>
      </c>
      <c r="Y324">
        <v>50</v>
      </c>
    </row>
    <row r="325" spans="1:25" x14ac:dyDescent="0.25">
      <c r="A325" t="s">
        <v>267</v>
      </c>
      <c r="B325" t="s">
        <v>278</v>
      </c>
      <c r="C325" t="s">
        <v>279</v>
      </c>
      <c r="D325">
        <v>1</v>
      </c>
      <c r="E325">
        <v>5</v>
      </c>
      <c r="F325">
        <v>70</v>
      </c>
      <c r="G325">
        <v>10</v>
      </c>
      <c r="H325">
        <v>5</v>
      </c>
      <c r="I325">
        <v>16.5</v>
      </c>
      <c r="J325">
        <v>22.4</v>
      </c>
      <c r="K325">
        <v>7.8</v>
      </c>
      <c r="L325">
        <v>42</v>
      </c>
      <c r="Y325">
        <v>50</v>
      </c>
    </row>
    <row r="326" spans="1:25" x14ac:dyDescent="0.25">
      <c r="A326" t="s">
        <v>267</v>
      </c>
      <c r="B326" t="s">
        <v>278</v>
      </c>
      <c r="C326" t="s">
        <v>279</v>
      </c>
      <c r="D326">
        <v>1</v>
      </c>
      <c r="E326">
        <v>5</v>
      </c>
      <c r="F326">
        <v>80</v>
      </c>
      <c r="G326">
        <v>10</v>
      </c>
      <c r="H326">
        <v>5</v>
      </c>
      <c r="I326">
        <v>16.5</v>
      </c>
      <c r="J326">
        <v>22.4</v>
      </c>
      <c r="K326">
        <v>7.8</v>
      </c>
      <c r="L326">
        <v>50</v>
      </c>
      <c r="Y326">
        <v>50</v>
      </c>
    </row>
    <row r="327" spans="1:25" x14ac:dyDescent="0.25">
      <c r="A327" t="s">
        <v>267</v>
      </c>
      <c r="B327" t="s">
        <v>278</v>
      </c>
      <c r="C327" t="s">
        <v>279</v>
      </c>
      <c r="D327">
        <v>1</v>
      </c>
      <c r="E327">
        <v>5</v>
      </c>
      <c r="F327">
        <v>90</v>
      </c>
      <c r="G327">
        <v>10</v>
      </c>
      <c r="H327">
        <v>5</v>
      </c>
      <c r="I327">
        <v>16.5</v>
      </c>
      <c r="J327">
        <v>22.4</v>
      </c>
      <c r="K327">
        <v>7.8</v>
      </c>
      <c r="L327">
        <v>42</v>
      </c>
      <c r="Y327">
        <v>50</v>
      </c>
    </row>
    <row r="328" spans="1:25" x14ac:dyDescent="0.25">
      <c r="A328" t="s">
        <v>267</v>
      </c>
      <c r="B328" t="s">
        <v>278</v>
      </c>
      <c r="C328" t="s">
        <v>279</v>
      </c>
      <c r="D328">
        <v>1</v>
      </c>
      <c r="E328">
        <v>5</v>
      </c>
      <c r="F328">
        <v>100</v>
      </c>
      <c r="G328">
        <v>10</v>
      </c>
      <c r="H328">
        <v>5</v>
      </c>
      <c r="I328">
        <v>16.5</v>
      </c>
      <c r="J328">
        <v>22.4</v>
      </c>
      <c r="K328">
        <v>7.8</v>
      </c>
      <c r="L328">
        <v>52</v>
      </c>
      <c r="Y328">
        <v>50</v>
      </c>
    </row>
    <row r="329" spans="1:25" x14ac:dyDescent="0.25">
      <c r="A329" t="s">
        <v>267</v>
      </c>
      <c r="B329" t="s">
        <v>278</v>
      </c>
      <c r="C329" t="s">
        <v>279</v>
      </c>
      <c r="D329">
        <v>1</v>
      </c>
      <c r="E329">
        <v>5</v>
      </c>
      <c r="F329">
        <v>120</v>
      </c>
      <c r="G329">
        <v>10</v>
      </c>
      <c r="H329">
        <v>5</v>
      </c>
      <c r="I329">
        <v>16.5</v>
      </c>
      <c r="J329">
        <v>22.4</v>
      </c>
      <c r="K329">
        <v>7.8</v>
      </c>
      <c r="L329">
        <v>62</v>
      </c>
      <c r="Y329">
        <v>50</v>
      </c>
    </row>
    <row r="330" spans="1:25" x14ac:dyDescent="0.25">
      <c r="A330" t="s">
        <v>267</v>
      </c>
      <c r="B330" t="s">
        <v>278</v>
      </c>
      <c r="C330" t="s">
        <v>279</v>
      </c>
      <c r="D330">
        <v>1</v>
      </c>
      <c r="E330">
        <v>6</v>
      </c>
      <c r="F330">
        <v>40</v>
      </c>
      <c r="G330">
        <v>12</v>
      </c>
      <c r="H330">
        <v>8.5</v>
      </c>
      <c r="I330">
        <v>15.6</v>
      </c>
      <c r="J330">
        <v>22</v>
      </c>
      <c r="K330">
        <v>11.5</v>
      </c>
      <c r="L330">
        <v>24</v>
      </c>
      <c r="Y330">
        <v>50</v>
      </c>
    </row>
    <row r="331" spans="1:25" x14ac:dyDescent="0.25">
      <c r="A331" t="s">
        <v>267</v>
      </c>
      <c r="B331" t="s">
        <v>278</v>
      </c>
      <c r="C331" t="s">
        <v>279</v>
      </c>
      <c r="D331">
        <v>1</v>
      </c>
      <c r="E331">
        <v>6</v>
      </c>
      <c r="F331">
        <v>50</v>
      </c>
      <c r="G331">
        <v>12</v>
      </c>
      <c r="H331">
        <v>8.5</v>
      </c>
      <c r="I331">
        <v>15.6</v>
      </c>
      <c r="J331">
        <v>22</v>
      </c>
      <c r="K331">
        <v>11.5</v>
      </c>
      <c r="L331">
        <v>30</v>
      </c>
      <c r="Y331">
        <v>25</v>
      </c>
    </row>
    <row r="332" spans="1:25" x14ac:dyDescent="0.25">
      <c r="A332" t="s">
        <v>267</v>
      </c>
      <c r="B332" t="s">
        <v>278</v>
      </c>
      <c r="C332" t="s">
        <v>279</v>
      </c>
      <c r="D332">
        <v>1</v>
      </c>
      <c r="E332">
        <v>6</v>
      </c>
      <c r="F332">
        <v>60</v>
      </c>
      <c r="G332">
        <v>12</v>
      </c>
      <c r="H332">
        <v>8.5</v>
      </c>
      <c r="I332">
        <v>15.6</v>
      </c>
      <c r="J332">
        <v>22</v>
      </c>
      <c r="K332">
        <v>11.5</v>
      </c>
      <c r="L332">
        <v>36</v>
      </c>
      <c r="Y332">
        <v>25</v>
      </c>
    </row>
    <row r="333" spans="1:25" x14ac:dyDescent="0.25">
      <c r="A333" t="s">
        <v>267</v>
      </c>
      <c r="B333" t="s">
        <v>278</v>
      </c>
      <c r="C333" t="s">
        <v>279</v>
      </c>
      <c r="D333">
        <v>1</v>
      </c>
      <c r="E333">
        <v>6</v>
      </c>
      <c r="F333">
        <v>70</v>
      </c>
      <c r="G333">
        <v>12</v>
      </c>
      <c r="H333">
        <v>8.5</v>
      </c>
      <c r="I333">
        <v>15.6</v>
      </c>
      <c r="J333">
        <v>22</v>
      </c>
      <c r="K333">
        <v>11.5</v>
      </c>
      <c r="L333">
        <v>42</v>
      </c>
      <c r="Y333">
        <v>25</v>
      </c>
    </row>
    <row r="334" spans="1:25" x14ac:dyDescent="0.25">
      <c r="A334" t="s">
        <v>267</v>
      </c>
      <c r="B334" t="s">
        <v>278</v>
      </c>
      <c r="C334" t="s">
        <v>279</v>
      </c>
      <c r="D334">
        <v>1</v>
      </c>
      <c r="E334">
        <v>6</v>
      </c>
      <c r="F334">
        <v>80</v>
      </c>
      <c r="G334">
        <v>12</v>
      </c>
      <c r="H334">
        <v>8.5</v>
      </c>
      <c r="I334">
        <v>15.6</v>
      </c>
      <c r="J334">
        <v>22</v>
      </c>
      <c r="K334">
        <v>11.5</v>
      </c>
      <c r="L334">
        <v>42</v>
      </c>
      <c r="Y334">
        <v>25</v>
      </c>
    </row>
    <row r="335" spans="1:25" x14ac:dyDescent="0.25">
      <c r="A335" t="s">
        <v>267</v>
      </c>
      <c r="B335" t="s">
        <v>278</v>
      </c>
      <c r="C335" t="s">
        <v>279</v>
      </c>
      <c r="D335">
        <v>1</v>
      </c>
      <c r="E335">
        <v>6</v>
      </c>
      <c r="F335">
        <v>90</v>
      </c>
      <c r="G335">
        <v>12</v>
      </c>
      <c r="H335">
        <v>8.5</v>
      </c>
      <c r="I335">
        <v>15.6</v>
      </c>
      <c r="J335">
        <v>22</v>
      </c>
      <c r="K335">
        <v>11.5</v>
      </c>
      <c r="L335">
        <v>42</v>
      </c>
      <c r="Y335">
        <v>25</v>
      </c>
    </row>
    <row r="336" spans="1:25" x14ac:dyDescent="0.25">
      <c r="A336" t="s">
        <v>267</v>
      </c>
      <c r="B336" t="s">
        <v>278</v>
      </c>
      <c r="C336" t="s">
        <v>279</v>
      </c>
      <c r="D336">
        <v>1</v>
      </c>
      <c r="E336">
        <v>6</v>
      </c>
      <c r="F336">
        <v>100</v>
      </c>
      <c r="G336">
        <v>12</v>
      </c>
      <c r="H336">
        <v>8.5</v>
      </c>
      <c r="I336">
        <v>15.6</v>
      </c>
      <c r="J336">
        <v>22</v>
      </c>
      <c r="K336">
        <v>11.5</v>
      </c>
      <c r="L336">
        <v>52</v>
      </c>
      <c r="Y336">
        <v>25</v>
      </c>
    </row>
    <row r="337" spans="1:25" x14ac:dyDescent="0.25">
      <c r="A337" t="s">
        <v>267</v>
      </c>
      <c r="B337" t="s">
        <v>278</v>
      </c>
      <c r="C337" t="s">
        <v>279</v>
      </c>
      <c r="D337">
        <v>1</v>
      </c>
      <c r="E337">
        <v>6</v>
      </c>
      <c r="F337">
        <v>110</v>
      </c>
      <c r="G337">
        <v>12</v>
      </c>
      <c r="H337">
        <v>8.5</v>
      </c>
      <c r="I337">
        <v>15.6</v>
      </c>
      <c r="J337">
        <v>22</v>
      </c>
      <c r="K337">
        <v>11.5</v>
      </c>
      <c r="L337">
        <v>62</v>
      </c>
      <c r="Y337">
        <v>25</v>
      </c>
    </row>
    <row r="338" spans="1:25" x14ac:dyDescent="0.25">
      <c r="A338" t="s">
        <v>267</v>
      </c>
      <c r="B338" t="s">
        <v>278</v>
      </c>
      <c r="C338" t="s">
        <v>279</v>
      </c>
      <c r="D338">
        <v>1</v>
      </c>
      <c r="E338">
        <v>6</v>
      </c>
      <c r="F338">
        <v>120</v>
      </c>
      <c r="G338">
        <v>12</v>
      </c>
      <c r="H338">
        <v>8.5</v>
      </c>
      <c r="I338">
        <v>15.6</v>
      </c>
      <c r="J338">
        <v>22</v>
      </c>
      <c r="K338">
        <v>11.5</v>
      </c>
      <c r="L338">
        <v>72</v>
      </c>
      <c r="Y338">
        <v>25</v>
      </c>
    </row>
    <row r="339" spans="1:25" x14ac:dyDescent="0.25">
      <c r="A339" t="s">
        <v>267</v>
      </c>
      <c r="B339" t="s">
        <v>278</v>
      </c>
      <c r="C339" t="s">
        <v>279</v>
      </c>
      <c r="D339">
        <v>1</v>
      </c>
      <c r="E339">
        <v>6</v>
      </c>
      <c r="F339">
        <v>130</v>
      </c>
      <c r="G339">
        <v>12</v>
      </c>
      <c r="H339">
        <v>8.5</v>
      </c>
      <c r="I339">
        <v>15.6</v>
      </c>
      <c r="J339">
        <v>22</v>
      </c>
      <c r="K339">
        <v>11.5</v>
      </c>
      <c r="L339">
        <v>72</v>
      </c>
      <c r="Y339">
        <v>25</v>
      </c>
    </row>
    <row r="340" spans="1:25" x14ac:dyDescent="0.25">
      <c r="A340" t="s">
        <v>267</v>
      </c>
      <c r="B340" t="s">
        <v>278</v>
      </c>
      <c r="C340" t="s">
        <v>279</v>
      </c>
      <c r="D340">
        <v>1</v>
      </c>
      <c r="E340">
        <v>6</v>
      </c>
      <c r="F340">
        <v>140</v>
      </c>
      <c r="G340">
        <v>12</v>
      </c>
      <c r="H340">
        <v>8.5</v>
      </c>
      <c r="I340">
        <v>15.6</v>
      </c>
      <c r="J340">
        <v>22</v>
      </c>
      <c r="K340">
        <v>11.5</v>
      </c>
      <c r="L340">
        <v>72</v>
      </c>
    </row>
    <row r="341" spans="1:25" x14ac:dyDescent="0.25">
      <c r="A341" t="s">
        <v>267</v>
      </c>
      <c r="B341" t="s">
        <v>278</v>
      </c>
      <c r="C341" t="s">
        <v>279</v>
      </c>
      <c r="D341">
        <v>1</v>
      </c>
      <c r="E341">
        <v>6</v>
      </c>
      <c r="F341">
        <v>150</v>
      </c>
      <c r="G341">
        <v>12</v>
      </c>
      <c r="H341">
        <v>8.5</v>
      </c>
      <c r="I341">
        <v>15.6</v>
      </c>
      <c r="J341">
        <v>22</v>
      </c>
      <c r="K341">
        <v>11.5</v>
      </c>
      <c r="L341">
        <v>72</v>
      </c>
    </row>
    <row r="342" spans="1:25" x14ac:dyDescent="0.25">
      <c r="A342" t="s">
        <v>267</v>
      </c>
      <c r="B342" t="s">
        <v>280</v>
      </c>
      <c r="C342" t="s">
        <v>269</v>
      </c>
      <c r="D342">
        <v>3</v>
      </c>
      <c r="E342">
        <v>3</v>
      </c>
      <c r="F342">
        <v>30</v>
      </c>
      <c r="G342">
        <v>6</v>
      </c>
      <c r="H342">
        <v>0.8</v>
      </c>
      <c r="I342">
        <v>15.8</v>
      </c>
      <c r="J342">
        <v>38.700000000000003</v>
      </c>
      <c r="K342">
        <v>1.7</v>
      </c>
      <c r="L342">
        <v>18</v>
      </c>
    </row>
    <row r="343" spans="1:25" x14ac:dyDescent="0.25">
      <c r="A343" t="s">
        <v>267</v>
      </c>
      <c r="B343" t="s">
        <v>280</v>
      </c>
      <c r="C343" t="s">
        <v>269</v>
      </c>
      <c r="D343">
        <v>3</v>
      </c>
      <c r="E343">
        <v>3.5</v>
      </c>
      <c r="F343">
        <v>20</v>
      </c>
      <c r="G343">
        <v>7</v>
      </c>
      <c r="H343">
        <v>1.1000000000000001</v>
      </c>
      <c r="I343">
        <v>16</v>
      </c>
      <c r="J343">
        <v>41.7</v>
      </c>
      <c r="K343">
        <v>2.2999999999999998</v>
      </c>
      <c r="L343">
        <v>16</v>
      </c>
    </row>
    <row r="344" spans="1:25" x14ac:dyDescent="0.25">
      <c r="A344" t="s">
        <v>267</v>
      </c>
      <c r="B344" t="s">
        <v>280</v>
      </c>
      <c r="C344" t="s">
        <v>269</v>
      </c>
      <c r="D344">
        <v>3</v>
      </c>
      <c r="E344">
        <v>3.5</v>
      </c>
      <c r="F344">
        <v>30</v>
      </c>
      <c r="G344">
        <v>7</v>
      </c>
      <c r="H344">
        <v>1.1000000000000001</v>
      </c>
      <c r="I344">
        <v>16</v>
      </c>
      <c r="J344">
        <v>41.7</v>
      </c>
      <c r="K344">
        <v>2.2999999999999998</v>
      </c>
      <c r="L344">
        <v>18</v>
      </c>
    </row>
    <row r="345" spans="1:25" x14ac:dyDescent="0.25">
      <c r="A345" t="s">
        <v>267</v>
      </c>
      <c r="B345" t="s">
        <v>280</v>
      </c>
      <c r="C345" t="s">
        <v>269</v>
      </c>
      <c r="D345">
        <v>3</v>
      </c>
      <c r="E345">
        <v>3.5</v>
      </c>
      <c r="F345">
        <v>40</v>
      </c>
      <c r="G345">
        <v>7</v>
      </c>
      <c r="H345">
        <v>1.1000000000000001</v>
      </c>
      <c r="I345">
        <v>16</v>
      </c>
      <c r="J345">
        <v>41.7</v>
      </c>
      <c r="K345">
        <v>2.2999999999999998</v>
      </c>
      <c r="L345">
        <v>24</v>
      </c>
    </row>
    <row r="346" spans="1:25" x14ac:dyDescent="0.25">
      <c r="A346" t="s">
        <v>267</v>
      </c>
      <c r="B346" t="s">
        <v>280</v>
      </c>
      <c r="C346" t="s">
        <v>269</v>
      </c>
      <c r="D346">
        <v>3</v>
      </c>
      <c r="E346">
        <v>4</v>
      </c>
      <c r="F346">
        <v>30</v>
      </c>
      <c r="G346">
        <v>8</v>
      </c>
      <c r="H346">
        <v>1.7</v>
      </c>
      <c r="I346">
        <v>15.5</v>
      </c>
      <c r="J346">
        <v>35.6</v>
      </c>
      <c r="K346">
        <v>2.7</v>
      </c>
      <c r="L346">
        <v>18</v>
      </c>
    </row>
    <row r="347" spans="1:25" x14ac:dyDescent="0.25">
      <c r="A347" t="s">
        <v>267</v>
      </c>
      <c r="B347" t="s">
        <v>280</v>
      </c>
      <c r="C347" t="s">
        <v>269</v>
      </c>
      <c r="D347">
        <v>3</v>
      </c>
      <c r="E347">
        <v>4</v>
      </c>
      <c r="F347">
        <v>40</v>
      </c>
      <c r="G347">
        <v>8</v>
      </c>
      <c r="H347">
        <v>1.7</v>
      </c>
      <c r="I347">
        <v>15.5</v>
      </c>
      <c r="J347">
        <v>35.6</v>
      </c>
      <c r="K347">
        <v>2.7</v>
      </c>
      <c r="L347">
        <v>24</v>
      </c>
    </row>
    <row r="348" spans="1:25" x14ac:dyDescent="0.25">
      <c r="A348" t="s">
        <v>267</v>
      </c>
      <c r="B348" t="s">
        <v>280</v>
      </c>
      <c r="C348" t="s">
        <v>269</v>
      </c>
      <c r="D348">
        <v>3</v>
      </c>
      <c r="E348">
        <v>4</v>
      </c>
      <c r="F348">
        <v>50</v>
      </c>
      <c r="G348">
        <v>8</v>
      </c>
      <c r="H348">
        <v>1.7</v>
      </c>
      <c r="I348">
        <v>15.5</v>
      </c>
      <c r="J348">
        <v>35.6</v>
      </c>
      <c r="K348">
        <v>2.7</v>
      </c>
      <c r="L348">
        <v>30</v>
      </c>
    </row>
    <row r="349" spans="1:25" x14ac:dyDescent="0.25">
      <c r="A349" t="s">
        <v>267</v>
      </c>
      <c r="B349" t="s">
        <v>280</v>
      </c>
      <c r="C349" t="s">
        <v>269</v>
      </c>
      <c r="D349">
        <v>3</v>
      </c>
      <c r="E349">
        <v>4.5</v>
      </c>
      <c r="F349">
        <v>30</v>
      </c>
      <c r="G349">
        <v>9</v>
      </c>
      <c r="H349">
        <v>2.1</v>
      </c>
      <c r="I349">
        <v>15.7</v>
      </c>
      <c r="J349">
        <v>35</v>
      </c>
      <c r="K349">
        <v>3.2</v>
      </c>
      <c r="L349">
        <v>18</v>
      </c>
    </row>
    <row r="350" spans="1:25" x14ac:dyDescent="0.25">
      <c r="A350" t="s">
        <v>267</v>
      </c>
      <c r="B350" t="s">
        <v>280</v>
      </c>
      <c r="C350" t="s">
        <v>269</v>
      </c>
      <c r="D350">
        <v>3</v>
      </c>
      <c r="E350">
        <v>4.5</v>
      </c>
      <c r="F350">
        <v>40</v>
      </c>
      <c r="G350">
        <v>9</v>
      </c>
      <c r="H350">
        <v>2.1</v>
      </c>
      <c r="I350">
        <v>15.7</v>
      </c>
      <c r="J350">
        <v>35</v>
      </c>
      <c r="K350">
        <v>3.2</v>
      </c>
      <c r="L350">
        <v>24</v>
      </c>
    </row>
    <row r="351" spans="1:25" x14ac:dyDescent="0.25">
      <c r="A351" t="s">
        <v>267</v>
      </c>
      <c r="B351" t="s">
        <v>280</v>
      </c>
      <c r="C351" t="s">
        <v>269</v>
      </c>
      <c r="D351">
        <v>3</v>
      </c>
      <c r="E351">
        <v>4.5</v>
      </c>
      <c r="F351">
        <v>50</v>
      </c>
      <c r="G351">
        <v>9</v>
      </c>
      <c r="H351">
        <v>2.1</v>
      </c>
      <c r="I351">
        <v>15.7</v>
      </c>
      <c r="J351">
        <v>35</v>
      </c>
      <c r="K351">
        <v>3.2</v>
      </c>
      <c r="L351">
        <v>30</v>
      </c>
    </row>
    <row r="352" spans="1:25" x14ac:dyDescent="0.25">
      <c r="A352" t="s">
        <v>267</v>
      </c>
      <c r="B352" t="s">
        <v>280</v>
      </c>
      <c r="C352" t="s">
        <v>269</v>
      </c>
      <c r="D352">
        <v>3</v>
      </c>
      <c r="E352">
        <v>5</v>
      </c>
      <c r="F352">
        <v>40</v>
      </c>
      <c r="G352">
        <v>10</v>
      </c>
      <c r="H352">
        <v>2</v>
      </c>
      <c r="I352">
        <v>10.3</v>
      </c>
      <c r="J352">
        <v>32.6</v>
      </c>
      <c r="K352">
        <v>3.8</v>
      </c>
      <c r="L352">
        <v>24</v>
      </c>
    </row>
    <row r="353" spans="1:12" x14ac:dyDescent="0.25">
      <c r="A353" t="s">
        <v>267</v>
      </c>
      <c r="B353" t="s">
        <v>280</v>
      </c>
      <c r="C353" t="s">
        <v>269</v>
      </c>
      <c r="D353">
        <v>3</v>
      </c>
      <c r="E353">
        <v>5</v>
      </c>
      <c r="F353">
        <v>50</v>
      </c>
      <c r="G353">
        <v>10</v>
      </c>
      <c r="H353">
        <v>2</v>
      </c>
      <c r="I353">
        <v>10.3</v>
      </c>
      <c r="J353">
        <v>32.6</v>
      </c>
      <c r="K353">
        <v>3.8</v>
      </c>
      <c r="L353">
        <v>30</v>
      </c>
    </row>
    <row r="354" spans="1:12" x14ac:dyDescent="0.25">
      <c r="A354" t="s">
        <v>267</v>
      </c>
      <c r="B354" t="s">
        <v>280</v>
      </c>
      <c r="C354" t="s">
        <v>269</v>
      </c>
      <c r="D354">
        <v>3</v>
      </c>
      <c r="E354">
        <v>5</v>
      </c>
      <c r="F354">
        <v>60</v>
      </c>
      <c r="G354">
        <v>10</v>
      </c>
      <c r="H354">
        <v>2</v>
      </c>
      <c r="I354">
        <v>10.3</v>
      </c>
      <c r="J354">
        <v>32.6</v>
      </c>
      <c r="K354">
        <v>3.8</v>
      </c>
      <c r="L354">
        <v>36</v>
      </c>
    </row>
    <row r="355" spans="1:12" x14ac:dyDescent="0.25">
      <c r="A355" t="s">
        <v>267</v>
      </c>
      <c r="B355" t="s">
        <v>280</v>
      </c>
      <c r="C355" t="s">
        <v>269</v>
      </c>
      <c r="D355">
        <v>3</v>
      </c>
      <c r="E355">
        <v>5</v>
      </c>
      <c r="F355">
        <v>70</v>
      </c>
      <c r="G355">
        <v>10</v>
      </c>
      <c r="H355">
        <v>2</v>
      </c>
      <c r="I355">
        <v>10.3</v>
      </c>
      <c r="J355">
        <v>32.6</v>
      </c>
      <c r="K355">
        <v>3.8</v>
      </c>
      <c r="L355">
        <v>42</v>
      </c>
    </row>
    <row r="356" spans="1:12" x14ac:dyDescent="0.25">
      <c r="A356" t="s">
        <v>267</v>
      </c>
      <c r="B356" t="s">
        <v>280</v>
      </c>
      <c r="C356" t="s">
        <v>269</v>
      </c>
      <c r="D356">
        <v>3</v>
      </c>
      <c r="E356">
        <v>5</v>
      </c>
      <c r="F356">
        <v>80</v>
      </c>
      <c r="G356">
        <v>10</v>
      </c>
      <c r="H356">
        <v>2</v>
      </c>
      <c r="I356">
        <v>10.3</v>
      </c>
      <c r="J356">
        <v>32.6</v>
      </c>
      <c r="K356">
        <v>3.8</v>
      </c>
      <c r="L356">
        <v>50</v>
      </c>
    </row>
    <row r="357" spans="1:12" x14ac:dyDescent="0.25">
      <c r="A357" t="s">
        <v>267</v>
      </c>
      <c r="B357" t="s">
        <v>280</v>
      </c>
      <c r="C357" t="s">
        <v>269</v>
      </c>
      <c r="D357">
        <v>3</v>
      </c>
      <c r="E357">
        <v>5</v>
      </c>
      <c r="F357">
        <v>100</v>
      </c>
      <c r="G357">
        <v>10</v>
      </c>
      <c r="H357">
        <v>2</v>
      </c>
      <c r="I357">
        <v>10.3</v>
      </c>
      <c r="J357">
        <v>32.6</v>
      </c>
      <c r="K357">
        <v>3.8</v>
      </c>
      <c r="L357">
        <v>52</v>
      </c>
    </row>
    <row r="358" spans="1:12" x14ac:dyDescent="0.25">
      <c r="A358" t="s">
        <v>267</v>
      </c>
      <c r="B358" t="s">
        <v>280</v>
      </c>
      <c r="C358" t="s">
        <v>269</v>
      </c>
      <c r="D358">
        <v>3</v>
      </c>
      <c r="E358">
        <v>6</v>
      </c>
      <c r="F358">
        <v>60</v>
      </c>
      <c r="G358">
        <v>12</v>
      </c>
      <c r="H358">
        <v>2.8</v>
      </c>
      <c r="I358">
        <v>12.3</v>
      </c>
      <c r="J358">
        <v>27.7</v>
      </c>
      <c r="K358">
        <v>6.1</v>
      </c>
      <c r="L358">
        <v>36</v>
      </c>
    </row>
    <row r="359" spans="1:12" x14ac:dyDescent="0.25">
      <c r="A359" t="s">
        <v>267</v>
      </c>
      <c r="B359" t="s">
        <v>280</v>
      </c>
      <c r="C359" t="s">
        <v>269</v>
      </c>
      <c r="D359">
        <v>3</v>
      </c>
      <c r="E359">
        <v>6</v>
      </c>
      <c r="F359">
        <v>80</v>
      </c>
      <c r="G359">
        <v>12</v>
      </c>
      <c r="H359">
        <v>2.8</v>
      </c>
      <c r="I359">
        <v>12.3</v>
      </c>
      <c r="J359">
        <v>27.7</v>
      </c>
      <c r="K359">
        <v>6.1</v>
      </c>
      <c r="L359">
        <v>42</v>
      </c>
    </row>
    <row r="360" spans="1:12" x14ac:dyDescent="0.25">
      <c r="A360" t="s">
        <v>267</v>
      </c>
      <c r="B360" t="s">
        <v>280</v>
      </c>
      <c r="C360" t="s">
        <v>269</v>
      </c>
      <c r="D360">
        <v>3</v>
      </c>
      <c r="E360">
        <v>6</v>
      </c>
      <c r="F360">
        <v>100</v>
      </c>
      <c r="G360">
        <v>12</v>
      </c>
      <c r="H360">
        <v>2.8</v>
      </c>
      <c r="I360">
        <v>12.3</v>
      </c>
      <c r="J360">
        <v>27.7</v>
      </c>
      <c r="K360">
        <v>6.1</v>
      </c>
      <c r="L360">
        <v>52</v>
      </c>
    </row>
    <row r="361" spans="1:12" x14ac:dyDescent="0.25">
      <c r="A361" t="s">
        <v>267</v>
      </c>
      <c r="B361" t="s">
        <v>281</v>
      </c>
      <c r="C361" t="s">
        <v>282</v>
      </c>
      <c r="D361">
        <v>3</v>
      </c>
      <c r="E361">
        <v>4</v>
      </c>
      <c r="F361">
        <v>30</v>
      </c>
      <c r="G361">
        <v>8</v>
      </c>
      <c r="H361">
        <v>2.9</v>
      </c>
      <c r="I361">
        <v>14.1</v>
      </c>
      <c r="J361">
        <v>24.1</v>
      </c>
      <c r="K361">
        <v>5.0999999999999996</v>
      </c>
      <c r="L361">
        <v>18</v>
      </c>
    </row>
    <row r="362" spans="1:12" x14ac:dyDescent="0.25">
      <c r="A362" t="s">
        <v>267</v>
      </c>
      <c r="B362" t="s">
        <v>281</v>
      </c>
      <c r="C362" t="s">
        <v>282</v>
      </c>
      <c r="D362">
        <v>3</v>
      </c>
      <c r="E362">
        <v>4</v>
      </c>
      <c r="F362">
        <v>40</v>
      </c>
      <c r="G362">
        <v>8</v>
      </c>
      <c r="H362">
        <v>2.9</v>
      </c>
      <c r="I362">
        <v>14.1</v>
      </c>
      <c r="J362">
        <v>24.1</v>
      </c>
      <c r="K362">
        <v>5.0999999999999996</v>
      </c>
      <c r="L362">
        <v>24</v>
      </c>
    </row>
    <row r="363" spans="1:12" x14ac:dyDescent="0.25">
      <c r="A363" t="s">
        <v>267</v>
      </c>
      <c r="B363" t="s">
        <v>281</v>
      </c>
      <c r="C363" t="s">
        <v>282</v>
      </c>
      <c r="D363">
        <v>3</v>
      </c>
      <c r="E363">
        <v>4</v>
      </c>
      <c r="F363">
        <v>50</v>
      </c>
      <c r="G363">
        <v>8</v>
      </c>
      <c r="H363">
        <v>2.9</v>
      </c>
      <c r="I363">
        <v>14.1</v>
      </c>
      <c r="J363">
        <v>24.1</v>
      </c>
      <c r="K363">
        <v>5.0999999999999996</v>
      </c>
      <c r="L363">
        <v>30</v>
      </c>
    </row>
    <row r="364" spans="1:12" x14ac:dyDescent="0.25">
      <c r="A364" t="s">
        <v>267</v>
      </c>
      <c r="B364" t="s">
        <v>281</v>
      </c>
      <c r="C364" t="s">
        <v>282</v>
      </c>
      <c r="D364">
        <v>3</v>
      </c>
      <c r="E364">
        <v>4.5</v>
      </c>
      <c r="F364">
        <v>40</v>
      </c>
      <c r="G364">
        <v>9</v>
      </c>
      <c r="H364">
        <v>3.2</v>
      </c>
      <c r="I364">
        <v>16.2</v>
      </c>
      <c r="J364">
        <v>27</v>
      </c>
      <c r="K364">
        <v>6</v>
      </c>
      <c r="L364">
        <v>24</v>
      </c>
    </row>
    <row r="365" spans="1:12" x14ac:dyDescent="0.25">
      <c r="A365" t="s">
        <v>267</v>
      </c>
      <c r="B365" t="s">
        <v>281</v>
      </c>
      <c r="C365" t="s">
        <v>282</v>
      </c>
      <c r="D365">
        <v>3</v>
      </c>
      <c r="E365">
        <v>5</v>
      </c>
      <c r="F365">
        <v>40</v>
      </c>
      <c r="G365">
        <v>10</v>
      </c>
      <c r="H365">
        <v>3.7</v>
      </c>
      <c r="I365">
        <v>17.3</v>
      </c>
      <c r="J365">
        <v>21.8</v>
      </c>
      <c r="K365">
        <v>7.3</v>
      </c>
      <c r="L365">
        <v>24</v>
      </c>
    </row>
    <row r="366" spans="1:12" x14ac:dyDescent="0.25">
      <c r="A366" t="s">
        <v>267</v>
      </c>
      <c r="B366" t="s">
        <v>281</v>
      </c>
      <c r="C366" t="s">
        <v>282</v>
      </c>
      <c r="D366">
        <v>3</v>
      </c>
      <c r="E366">
        <v>5</v>
      </c>
      <c r="F366">
        <v>50</v>
      </c>
      <c r="G366">
        <v>10</v>
      </c>
      <c r="H366">
        <v>3.7</v>
      </c>
      <c r="I366">
        <v>17.3</v>
      </c>
      <c r="J366">
        <v>21.8</v>
      </c>
      <c r="K366">
        <v>7.3</v>
      </c>
      <c r="L366">
        <v>30</v>
      </c>
    </row>
    <row r="367" spans="1:12" x14ac:dyDescent="0.25">
      <c r="A367" t="s">
        <v>267</v>
      </c>
      <c r="B367" t="s">
        <v>281</v>
      </c>
      <c r="C367" t="s">
        <v>282</v>
      </c>
      <c r="D367">
        <v>3</v>
      </c>
      <c r="E367">
        <v>5</v>
      </c>
      <c r="F367">
        <v>60</v>
      </c>
      <c r="G367">
        <v>10</v>
      </c>
      <c r="H367">
        <v>3.7</v>
      </c>
      <c r="I367">
        <v>17.3</v>
      </c>
      <c r="J367">
        <v>21.8</v>
      </c>
      <c r="K367">
        <v>7.3</v>
      </c>
      <c r="L367">
        <v>36</v>
      </c>
    </row>
    <row r="368" spans="1:12" x14ac:dyDescent="0.25">
      <c r="A368" t="s">
        <v>267</v>
      </c>
      <c r="B368" t="s">
        <v>281</v>
      </c>
      <c r="C368" t="s">
        <v>282</v>
      </c>
      <c r="D368">
        <v>3</v>
      </c>
      <c r="E368">
        <v>5</v>
      </c>
      <c r="F368">
        <v>70</v>
      </c>
      <c r="G368">
        <v>10</v>
      </c>
      <c r="H368">
        <v>3.7</v>
      </c>
      <c r="I368">
        <v>17.3</v>
      </c>
      <c r="J368">
        <v>21.8</v>
      </c>
      <c r="K368">
        <v>7.3</v>
      </c>
      <c r="L368">
        <v>42</v>
      </c>
    </row>
    <row r="369" spans="1:12" x14ac:dyDescent="0.25">
      <c r="A369" t="s">
        <v>267</v>
      </c>
      <c r="B369" t="s">
        <v>281</v>
      </c>
      <c r="C369" t="s">
        <v>282</v>
      </c>
      <c r="D369">
        <v>3</v>
      </c>
      <c r="E369">
        <v>5</v>
      </c>
      <c r="F369">
        <v>80</v>
      </c>
      <c r="G369">
        <v>10</v>
      </c>
      <c r="H369">
        <v>3.7</v>
      </c>
      <c r="I369">
        <v>17.3</v>
      </c>
      <c r="J369">
        <v>21.8</v>
      </c>
      <c r="K369">
        <v>7.3</v>
      </c>
      <c r="L369">
        <v>50</v>
      </c>
    </row>
    <row r="370" spans="1:12" x14ac:dyDescent="0.25">
      <c r="A370" t="s">
        <v>267</v>
      </c>
      <c r="B370" t="s">
        <v>281</v>
      </c>
      <c r="C370" t="s">
        <v>282</v>
      </c>
      <c r="D370">
        <v>3</v>
      </c>
      <c r="E370">
        <v>5</v>
      </c>
      <c r="F370">
        <v>90</v>
      </c>
      <c r="G370">
        <v>10</v>
      </c>
      <c r="H370">
        <v>3.7</v>
      </c>
      <c r="I370">
        <v>17.3</v>
      </c>
      <c r="J370">
        <v>21.8</v>
      </c>
      <c r="K370">
        <v>7.3</v>
      </c>
      <c r="L370">
        <v>42</v>
      </c>
    </row>
    <row r="371" spans="1:12" x14ac:dyDescent="0.25">
      <c r="A371" t="s">
        <v>267</v>
      </c>
      <c r="B371" t="s">
        <v>281</v>
      </c>
      <c r="C371" t="s">
        <v>282</v>
      </c>
      <c r="D371">
        <v>3</v>
      </c>
      <c r="E371">
        <v>5</v>
      </c>
      <c r="F371">
        <v>100</v>
      </c>
      <c r="G371">
        <v>10</v>
      </c>
      <c r="H371">
        <v>3.7</v>
      </c>
      <c r="I371">
        <v>17.3</v>
      </c>
      <c r="J371">
        <v>21.8</v>
      </c>
      <c r="K371">
        <v>7.3</v>
      </c>
      <c r="L371">
        <v>52</v>
      </c>
    </row>
    <row r="372" spans="1:12" x14ac:dyDescent="0.25">
      <c r="A372" t="s">
        <v>267</v>
      </c>
      <c r="B372" t="s">
        <v>281</v>
      </c>
      <c r="C372" t="s">
        <v>282</v>
      </c>
      <c r="D372">
        <v>3</v>
      </c>
      <c r="E372">
        <v>5</v>
      </c>
      <c r="F372">
        <v>120</v>
      </c>
      <c r="G372">
        <v>10</v>
      </c>
      <c r="H372">
        <v>3.7</v>
      </c>
      <c r="I372">
        <v>17.3</v>
      </c>
      <c r="J372">
        <v>21.8</v>
      </c>
      <c r="K372">
        <v>7.3</v>
      </c>
      <c r="L372">
        <v>72</v>
      </c>
    </row>
    <row r="373" spans="1:12" x14ac:dyDescent="0.25">
      <c r="A373" t="s">
        <v>267</v>
      </c>
      <c r="B373" t="s">
        <v>281</v>
      </c>
      <c r="C373" t="s">
        <v>282</v>
      </c>
      <c r="D373">
        <v>3</v>
      </c>
      <c r="E373">
        <v>6</v>
      </c>
      <c r="F373">
        <v>60</v>
      </c>
      <c r="G373">
        <v>12</v>
      </c>
      <c r="H373">
        <v>8.1</v>
      </c>
      <c r="I373">
        <v>13.9</v>
      </c>
      <c r="J373">
        <v>22.9</v>
      </c>
      <c r="K373">
        <v>10.9</v>
      </c>
      <c r="L373">
        <v>36</v>
      </c>
    </row>
    <row r="374" spans="1:12" x14ac:dyDescent="0.25">
      <c r="A374" t="s">
        <v>267</v>
      </c>
      <c r="B374" t="s">
        <v>281</v>
      </c>
      <c r="C374" t="s">
        <v>282</v>
      </c>
      <c r="D374">
        <v>3</v>
      </c>
      <c r="E374">
        <v>6</v>
      </c>
      <c r="F374">
        <v>70</v>
      </c>
      <c r="G374">
        <v>12</v>
      </c>
      <c r="H374">
        <v>8.1</v>
      </c>
      <c r="I374">
        <v>13.9</v>
      </c>
      <c r="J374">
        <v>22.9</v>
      </c>
      <c r="K374">
        <v>10.9</v>
      </c>
      <c r="L374">
        <v>42</v>
      </c>
    </row>
    <row r="375" spans="1:12" x14ac:dyDescent="0.25">
      <c r="A375" t="s">
        <v>267</v>
      </c>
      <c r="B375" t="s">
        <v>281</v>
      </c>
      <c r="C375" t="s">
        <v>282</v>
      </c>
      <c r="D375">
        <v>3</v>
      </c>
      <c r="E375">
        <v>6</v>
      </c>
      <c r="F375">
        <v>80</v>
      </c>
      <c r="G375">
        <v>12</v>
      </c>
      <c r="H375">
        <v>8.1</v>
      </c>
      <c r="I375">
        <v>13.9</v>
      </c>
      <c r="J375">
        <v>22.9</v>
      </c>
      <c r="K375">
        <v>10.9</v>
      </c>
      <c r="L375">
        <v>42</v>
      </c>
    </row>
    <row r="376" spans="1:12" x14ac:dyDescent="0.25">
      <c r="A376" t="s">
        <v>267</v>
      </c>
      <c r="B376" t="s">
        <v>281</v>
      </c>
      <c r="C376" t="s">
        <v>282</v>
      </c>
      <c r="D376">
        <v>3</v>
      </c>
      <c r="E376">
        <v>6</v>
      </c>
      <c r="F376">
        <v>90</v>
      </c>
      <c r="G376">
        <v>12</v>
      </c>
      <c r="H376">
        <v>8.1</v>
      </c>
      <c r="I376">
        <v>13.9</v>
      </c>
      <c r="J376">
        <v>22.9</v>
      </c>
      <c r="K376">
        <v>10.9</v>
      </c>
      <c r="L376">
        <v>42</v>
      </c>
    </row>
    <row r="377" spans="1:12" x14ac:dyDescent="0.25">
      <c r="A377" t="s">
        <v>267</v>
      </c>
      <c r="B377" t="s">
        <v>281</v>
      </c>
      <c r="C377" t="s">
        <v>282</v>
      </c>
      <c r="D377">
        <v>3</v>
      </c>
      <c r="E377">
        <v>6</v>
      </c>
      <c r="F377">
        <v>110</v>
      </c>
      <c r="G377">
        <v>12</v>
      </c>
      <c r="H377">
        <v>8.1</v>
      </c>
      <c r="I377">
        <v>13.9</v>
      </c>
      <c r="J377">
        <v>22.9</v>
      </c>
      <c r="K377">
        <v>10.9</v>
      </c>
      <c r="L377">
        <v>60</v>
      </c>
    </row>
    <row r="378" spans="1:12" x14ac:dyDescent="0.25">
      <c r="A378" t="s">
        <v>267</v>
      </c>
      <c r="B378" t="s">
        <v>281</v>
      </c>
      <c r="C378" t="s">
        <v>282</v>
      </c>
      <c r="D378">
        <v>3</v>
      </c>
      <c r="E378">
        <v>6</v>
      </c>
      <c r="F378">
        <v>120</v>
      </c>
      <c r="G378">
        <v>12</v>
      </c>
      <c r="H378">
        <v>8.1</v>
      </c>
      <c r="I378">
        <v>13.9</v>
      </c>
      <c r="J378">
        <v>22.9</v>
      </c>
      <c r="K378">
        <v>10.9</v>
      </c>
      <c r="L378">
        <v>72</v>
      </c>
    </row>
    <row r="379" spans="1:12" x14ac:dyDescent="0.25">
      <c r="A379" t="s">
        <v>267</v>
      </c>
      <c r="B379" t="s">
        <v>281</v>
      </c>
      <c r="C379" t="s">
        <v>282</v>
      </c>
      <c r="D379">
        <v>3</v>
      </c>
      <c r="E379">
        <v>6</v>
      </c>
      <c r="F379">
        <v>140</v>
      </c>
      <c r="G379">
        <v>12</v>
      </c>
      <c r="H379">
        <v>8.1</v>
      </c>
      <c r="I379">
        <v>13.9</v>
      </c>
      <c r="J379">
        <v>22.9</v>
      </c>
      <c r="K379">
        <v>10.9</v>
      </c>
      <c r="L379">
        <v>72</v>
      </c>
    </row>
    <row r="380" spans="1:12" x14ac:dyDescent="0.25">
      <c r="A380" t="s">
        <v>267</v>
      </c>
      <c r="B380" t="s">
        <v>281</v>
      </c>
      <c r="C380" t="s">
        <v>282</v>
      </c>
      <c r="D380">
        <v>3</v>
      </c>
      <c r="E380">
        <v>8</v>
      </c>
      <c r="F380">
        <v>50</v>
      </c>
      <c r="G380">
        <v>15</v>
      </c>
      <c r="H380">
        <v>14.1</v>
      </c>
      <c r="I380">
        <v>10.7</v>
      </c>
      <c r="J380">
        <v>18.3</v>
      </c>
      <c r="K380">
        <v>21.1</v>
      </c>
      <c r="L380">
        <v>40</v>
      </c>
    </row>
    <row r="381" spans="1:12" x14ac:dyDescent="0.25">
      <c r="A381" t="s">
        <v>267</v>
      </c>
      <c r="B381" t="s">
        <v>281</v>
      </c>
      <c r="C381" t="s">
        <v>282</v>
      </c>
      <c r="D381">
        <v>3</v>
      </c>
      <c r="E381">
        <v>8</v>
      </c>
      <c r="F381">
        <v>75</v>
      </c>
      <c r="G381">
        <v>15</v>
      </c>
      <c r="H381">
        <v>14.1</v>
      </c>
      <c r="I381">
        <v>10.7</v>
      </c>
      <c r="J381">
        <v>18.3</v>
      </c>
      <c r="K381">
        <v>21.1</v>
      </c>
      <c r="L381">
        <v>50</v>
      </c>
    </row>
    <row r="382" spans="1:12" x14ac:dyDescent="0.25">
      <c r="A382" t="s">
        <v>267</v>
      </c>
      <c r="B382" t="s">
        <v>281</v>
      </c>
      <c r="C382" t="s">
        <v>282</v>
      </c>
      <c r="D382">
        <v>3</v>
      </c>
      <c r="E382">
        <v>8</v>
      </c>
      <c r="F382">
        <v>100</v>
      </c>
      <c r="G382">
        <v>15</v>
      </c>
      <c r="H382">
        <v>14.1</v>
      </c>
      <c r="I382">
        <v>10.7</v>
      </c>
      <c r="J382">
        <v>18.3</v>
      </c>
      <c r="K382">
        <v>21.1</v>
      </c>
      <c r="L382">
        <v>60</v>
      </c>
    </row>
    <row r="383" spans="1:12" x14ac:dyDescent="0.25">
      <c r="A383" t="s">
        <v>267</v>
      </c>
      <c r="B383" t="s">
        <v>281</v>
      </c>
      <c r="C383" t="s">
        <v>282</v>
      </c>
      <c r="D383">
        <v>3</v>
      </c>
      <c r="E383">
        <v>8</v>
      </c>
      <c r="F383">
        <v>130</v>
      </c>
      <c r="G383">
        <v>15</v>
      </c>
      <c r="H383">
        <v>14.1</v>
      </c>
      <c r="I383">
        <v>10.7</v>
      </c>
      <c r="J383">
        <v>18.3</v>
      </c>
      <c r="K383">
        <v>21.1</v>
      </c>
      <c r="L383">
        <v>80</v>
      </c>
    </row>
    <row r="384" spans="1:12" x14ac:dyDescent="0.25">
      <c r="A384" t="s">
        <v>267</v>
      </c>
      <c r="B384" t="s">
        <v>281</v>
      </c>
      <c r="C384" t="s">
        <v>282</v>
      </c>
      <c r="D384">
        <v>3</v>
      </c>
      <c r="E384">
        <v>8</v>
      </c>
      <c r="F384">
        <v>150</v>
      </c>
      <c r="G384">
        <v>15</v>
      </c>
      <c r="H384">
        <v>14.1</v>
      </c>
      <c r="I384">
        <v>10.7</v>
      </c>
      <c r="J384">
        <v>18.3</v>
      </c>
      <c r="K384">
        <v>21.1</v>
      </c>
      <c r="L384">
        <v>80</v>
      </c>
    </row>
    <row r="385" spans="1:12" x14ac:dyDescent="0.25">
      <c r="A385" t="s">
        <v>267</v>
      </c>
      <c r="B385" t="s">
        <v>281</v>
      </c>
      <c r="C385" t="s">
        <v>282</v>
      </c>
      <c r="D385">
        <v>3</v>
      </c>
      <c r="E385">
        <v>8</v>
      </c>
      <c r="F385">
        <v>170</v>
      </c>
      <c r="G385">
        <v>15</v>
      </c>
      <c r="H385">
        <v>14.1</v>
      </c>
      <c r="I385">
        <v>10.7</v>
      </c>
      <c r="J385">
        <v>18.3</v>
      </c>
      <c r="K385">
        <v>21.1</v>
      </c>
      <c r="L385">
        <v>80</v>
      </c>
    </row>
    <row r="386" spans="1:12" x14ac:dyDescent="0.25">
      <c r="A386" t="s">
        <v>267</v>
      </c>
      <c r="B386" t="s">
        <v>281</v>
      </c>
      <c r="C386" t="s">
        <v>282</v>
      </c>
      <c r="D386">
        <v>3</v>
      </c>
      <c r="E386">
        <v>8</v>
      </c>
      <c r="F386">
        <v>200</v>
      </c>
      <c r="G386">
        <v>15</v>
      </c>
      <c r="H386">
        <v>14.1</v>
      </c>
      <c r="I386">
        <v>10.7</v>
      </c>
      <c r="J386">
        <v>18.3</v>
      </c>
      <c r="K386">
        <v>21.1</v>
      </c>
      <c r="L386">
        <v>80</v>
      </c>
    </row>
    <row r="387" spans="1:12" x14ac:dyDescent="0.25">
      <c r="A387" t="s">
        <v>267</v>
      </c>
      <c r="B387" t="s">
        <v>281</v>
      </c>
      <c r="C387" t="s">
        <v>282</v>
      </c>
      <c r="D387">
        <v>3</v>
      </c>
      <c r="E387">
        <v>8</v>
      </c>
      <c r="F387">
        <v>240</v>
      </c>
      <c r="G387">
        <v>15</v>
      </c>
      <c r="H387">
        <v>14.1</v>
      </c>
      <c r="I387">
        <v>10.7</v>
      </c>
      <c r="J387">
        <v>18.3</v>
      </c>
      <c r="K387">
        <v>21.1</v>
      </c>
      <c r="L387">
        <v>80</v>
      </c>
    </row>
    <row r="388" spans="1:12" x14ac:dyDescent="0.25">
      <c r="A388" t="s">
        <v>267</v>
      </c>
      <c r="B388" t="s">
        <v>281</v>
      </c>
      <c r="C388" t="s">
        <v>282</v>
      </c>
      <c r="D388">
        <v>3</v>
      </c>
      <c r="E388">
        <v>8</v>
      </c>
      <c r="F388">
        <v>300</v>
      </c>
      <c r="G388">
        <v>15</v>
      </c>
      <c r="H388">
        <v>14.1</v>
      </c>
      <c r="I388">
        <v>10.7</v>
      </c>
      <c r="J388">
        <v>18.3</v>
      </c>
      <c r="K388">
        <v>21.1</v>
      </c>
      <c r="L388">
        <v>80</v>
      </c>
    </row>
    <row r="389" spans="1:12" x14ac:dyDescent="0.25">
      <c r="A389" t="s">
        <v>267</v>
      </c>
      <c r="B389" t="s">
        <v>283</v>
      </c>
      <c r="C389" t="s">
        <v>284</v>
      </c>
      <c r="D389">
        <v>3</v>
      </c>
      <c r="E389">
        <v>3</v>
      </c>
      <c r="F389">
        <v>16</v>
      </c>
      <c r="G389">
        <v>6</v>
      </c>
      <c r="H389">
        <v>0.8</v>
      </c>
      <c r="I389">
        <v>15.8</v>
      </c>
      <c r="J389">
        <v>29.4</v>
      </c>
      <c r="K389">
        <v>1.7</v>
      </c>
      <c r="L389">
        <v>13</v>
      </c>
    </row>
    <row r="390" spans="1:12" x14ac:dyDescent="0.25">
      <c r="A390" t="s">
        <v>267</v>
      </c>
      <c r="B390" t="s">
        <v>283</v>
      </c>
      <c r="C390" t="s">
        <v>284</v>
      </c>
      <c r="D390">
        <v>3</v>
      </c>
      <c r="E390">
        <v>3.5</v>
      </c>
      <c r="F390">
        <v>40</v>
      </c>
      <c r="G390">
        <v>7</v>
      </c>
      <c r="H390">
        <v>1.1000000000000001</v>
      </c>
      <c r="I390">
        <v>16</v>
      </c>
      <c r="J390">
        <v>29.7</v>
      </c>
      <c r="K390">
        <v>2.2999999999999998</v>
      </c>
      <c r="L390">
        <v>24</v>
      </c>
    </row>
    <row r="391" spans="1:12" x14ac:dyDescent="0.25">
      <c r="A391" t="s">
        <v>267</v>
      </c>
      <c r="B391" t="s">
        <v>283</v>
      </c>
      <c r="C391" t="s">
        <v>284</v>
      </c>
      <c r="D391">
        <v>3</v>
      </c>
      <c r="E391">
        <v>4</v>
      </c>
      <c r="F391">
        <v>30</v>
      </c>
      <c r="G391">
        <v>8</v>
      </c>
      <c r="H391">
        <v>1.7</v>
      </c>
      <c r="I391">
        <v>15.5</v>
      </c>
      <c r="J391">
        <v>29.6</v>
      </c>
      <c r="K391">
        <v>2.7</v>
      </c>
      <c r="L391">
        <v>18</v>
      </c>
    </row>
    <row r="392" spans="1:12" x14ac:dyDescent="0.25">
      <c r="A392" t="s">
        <v>267</v>
      </c>
      <c r="B392" t="s">
        <v>283</v>
      </c>
      <c r="C392" t="s">
        <v>284</v>
      </c>
      <c r="D392">
        <v>3</v>
      </c>
      <c r="E392">
        <v>4</v>
      </c>
      <c r="F392">
        <v>40</v>
      </c>
      <c r="G392">
        <v>8</v>
      </c>
      <c r="H392">
        <v>1.7</v>
      </c>
      <c r="I392">
        <v>15.5</v>
      </c>
      <c r="J392">
        <v>29.6</v>
      </c>
      <c r="K392">
        <v>2.7</v>
      </c>
      <c r="L392">
        <v>24</v>
      </c>
    </row>
    <row r="393" spans="1:12" x14ac:dyDescent="0.25">
      <c r="A393" t="s">
        <v>267</v>
      </c>
      <c r="B393" t="s">
        <v>283</v>
      </c>
      <c r="C393" t="s">
        <v>284</v>
      </c>
      <c r="D393">
        <v>3</v>
      </c>
      <c r="E393">
        <v>4</v>
      </c>
      <c r="F393">
        <v>50</v>
      </c>
      <c r="G393">
        <v>8</v>
      </c>
      <c r="H393">
        <v>1.7</v>
      </c>
      <c r="I393">
        <v>15.5</v>
      </c>
      <c r="J393">
        <v>29.6</v>
      </c>
      <c r="K393">
        <v>2.7</v>
      </c>
      <c r="L393">
        <v>30</v>
      </c>
    </row>
    <row r="394" spans="1:12" x14ac:dyDescent="0.25">
      <c r="A394" t="s">
        <v>267</v>
      </c>
      <c r="B394" t="s">
        <v>283</v>
      </c>
      <c r="C394" t="s">
        <v>284</v>
      </c>
      <c r="D394">
        <v>3</v>
      </c>
      <c r="E394">
        <v>4</v>
      </c>
      <c r="F394">
        <v>60</v>
      </c>
      <c r="G394">
        <v>8</v>
      </c>
      <c r="H394">
        <v>1.7</v>
      </c>
      <c r="I394">
        <v>15.5</v>
      </c>
      <c r="J394">
        <v>29.6</v>
      </c>
      <c r="K394">
        <v>2.7</v>
      </c>
      <c r="L394">
        <v>36</v>
      </c>
    </row>
    <row r="395" spans="1:12" x14ac:dyDescent="0.25">
      <c r="A395" t="s">
        <v>267</v>
      </c>
      <c r="B395" t="s">
        <v>283</v>
      </c>
      <c r="C395" t="s">
        <v>284</v>
      </c>
      <c r="D395">
        <v>3</v>
      </c>
      <c r="E395">
        <v>5</v>
      </c>
      <c r="F395">
        <v>60</v>
      </c>
      <c r="G395">
        <v>10</v>
      </c>
      <c r="H395">
        <v>2</v>
      </c>
      <c r="I395">
        <v>10.3</v>
      </c>
      <c r="J395">
        <v>27.4</v>
      </c>
      <c r="K395">
        <v>3.8</v>
      </c>
      <c r="L395">
        <v>36</v>
      </c>
    </row>
    <row r="396" spans="1:12" x14ac:dyDescent="0.25">
      <c r="A396" t="s">
        <v>267</v>
      </c>
      <c r="B396" t="s">
        <v>283</v>
      </c>
      <c r="C396" t="s">
        <v>284</v>
      </c>
      <c r="D396">
        <v>3</v>
      </c>
      <c r="E396">
        <v>5</v>
      </c>
      <c r="F396">
        <v>70</v>
      </c>
      <c r="G396">
        <v>10</v>
      </c>
      <c r="H396">
        <v>2</v>
      </c>
      <c r="I396">
        <v>10.3</v>
      </c>
      <c r="J396">
        <v>27.4</v>
      </c>
      <c r="K396">
        <v>3.8</v>
      </c>
      <c r="L396">
        <v>42</v>
      </c>
    </row>
    <row r="397" spans="1:12" x14ac:dyDescent="0.25">
      <c r="A397" t="s">
        <v>267</v>
      </c>
      <c r="B397" t="s">
        <v>283</v>
      </c>
      <c r="C397" t="s">
        <v>284</v>
      </c>
      <c r="D397">
        <v>3</v>
      </c>
      <c r="E397">
        <v>5</v>
      </c>
      <c r="F397">
        <v>80</v>
      </c>
      <c r="G397">
        <v>10</v>
      </c>
      <c r="H397">
        <v>2</v>
      </c>
      <c r="I397">
        <v>10.3</v>
      </c>
      <c r="J397">
        <v>27.4</v>
      </c>
      <c r="K397">
        <v>3.8</v>
      </c>
      <c r="L397">
        <v>50</v>
      </c>
    </row>
    <row r="398" spans="1:12" x14ac:dyDescent="0.25">
      <c r="A398" t="s">
        <v>267</v>
      </c>
      <c r="B398" t="s">
        <v>283</v>
      </c>
      <c r="C398" t="s">
        <v>284</v>
      </c>
      <c r="D398">
        <v>3</v>
      </c>
      <c r="E398">
        <v>5</v>
      </c>
      <c r="F398">
        <v>90</v>
      </c>
      <c r="G398">
        <v>10</v>
      </c>
      <c r="H398">
        <v>2</v>
      </c>
      <c r="I398">
        <v>10.3</v>
      </c>
      <c r="J398">
        <v>27.4</v>
      </c>
      <c r="K398">
        <v>3.8</v>
      </c>
      <c r="L398">
        <v>42</v>
      </c>
    </row>
    <row r="399" spans="1:12" x14ac:dyDescent="0.25">
      <c r="A399" t="s">
        <v>267</v>
      </c>
      <c r="B399" t="s">
        <v>283</v>
      </c>
      <c r="C399" t="s">
        <v>284</v>
      </c>
      <c r="D399">
        <v>3</v>
      </c>
      <c r="E399">
        <v>5</v>
      </c>
      <c r="F399">
        <v>100</v>
      </c>
      <c r="G399">
        <v>10</v>
      </c>
      <c r="H399">
        <v>2</v>
      </c>
      <c r="I399">
        <v>10.3</v>
      </c>
      <c r="J399">
        <v>27.4</v>
      </c>
      <c r="K399">
        <v>3.8</v>
      </c>
      <c r="L399">
        <v>52</v>
      </c>
    </row>
    <row r="400" spans="1:12" x14ac:dyDescent="0.25">
      <c r="A400" t="s">
        <v>267</v>
      </c>
      <c r="B400" t="s">
        <v>283</v>
      </c>
      <c r="C400" t="s">
        <v>284</v>
      </c>
      <c r="D400">
        <v>3</v>
      </c>
      <c r="E400">
        <v>6</v>
      </c>
      <c r="F400">
        <v>50</v>
      </c>
      <c r="G400">
        <v>12</v>
      </c>
      <c r="H400">
        <v>2.8</v>
      </c>
      <c r="I400">
        <v>12.3</v>
      </c>
      <c r="J400">
        <v>17.8</v>
      </c>
      <c r="K400">
        <v>6.1</v>
      </c>
      <c r="L400">
        <v>30</v>
      </c>
    </row>
    <row r="401" spans="1:12" x14ac:dyDescent="0.25">
      <c r="A401" t="s">
        <v>267</v>
      </c>
      <c r="B401" t="s">
        <v>283</v>
      </c>
      <c r="C401" t="s">
        <v>284</v>
      </c>
      <c r="D401">
        <v>3</v>
      </c>
      <c r="E401">
        <v>6</v>
      </c>
      <c r="F401">
        <v>60</v>
      </c>
      <c r="G401">
        <v>12</v>
      </c>
      <c r="H401">
        <v>2.8</v>
      </c>
      <c r="I401">
        <v>12.3</v>
      </c>
      <c r="J401">
        <v>17.8</v>
      </c>
      <c r="K401">
        <v>6.1</v>
      </c>
      <c r="L401">
        <v>36</v>
      </c>
    </row>
    <row r="402" spans="1:12" x14ac:dyDescent="0.25">
      <c r="A402" t="s">
        <v>267</v>
      </c>
      <c r="B402" t="s">
        <v>283</v>
      </c>
      <c r="C402" t="s">
        <v>284</v>
      </c>
      <c r="D402">
        <v>3</v>
      </c>
      <c r="E402">
        <v>6</v>
      </c>
      <c r="F402">
        <v>75</v>
      </c>
      <c r="G402">
        <v>12</v>
      </c>
      <c r="H402">
        <v>2.8</v>
      </c>
      <c r="I402">
        <v>12.3</v>
      </c>
      <c r="J402">
        <v>17.8</v>
      </c>
      <c r="K402">
        <v>6.1</v>
      </c>
      <c r="L402">
        <v>42</v>
      </c>
    </row>
    <row r="403" spans="1:12" x14ac:dyDescent="0.25">
      <c r="A403" t="s">
        <v>267</v>
      </c>
      <c r="B403" t="s">
        <v>283</v>
      </c>
      <c r="C403" t="s">
        <v>284</v>
      </c>
      <c r="D403">
        <v>3</v>
      </c>
      <c r="E403">
        <v>6</v>
      </c>
      <c r="F403">
        <v>80</v>
      </c>
      <c r="G403">
        <v>12</v>
      </c>
      <c r="H403">
        <v>2.8</v>
      </c>
      <c r="I403">
        <v>12.3</v>
      </c>
      <c r="J403">
        <v>17.8</v>
      </c>
      <c r="K403">
        <v>6.1</v>
      </c>
      <c r="L403">
        <v>42</v>
      </c>
    </row>
    <row r="404" spans="1:12" x14ac:dyDescent="0.25">
      <c r="A404" t="s">
        <v>267</v>
      </c>
      <c r="B404" t="s">
        <v>283</v>
      </c>
      <c r="C404" t="s">
        <v>284</v>
      </c>
      <c r="D404">
        <v>3</v>
      </c>
      <c r="E404">
        <v>6</v>
      </c>
      <c r="F404">
        <v>100</v>
      </c>
      <c r="G404">
        <v>12</v>
      </c>
      <c r="H404">
        <v>2.8</v>
      </c>
      <c r="I404">
        <v>12.3</v>
      </c>
      <c r="J404">
        <v>17.8</v>
      </c>
      <c r="K404">
        <v>6.1</v>
      </c>
      <c r="L404">
        <v>52</v>
      </c>
    </row>
    <row r="405" spans="1:12" x14ac:dyDescent="0.25">
      <c r="A405" t="s">
        <v>267</v>
      </c>
      <c r="B405" t="s">
        <v>283</v>
      </c>
      <c r="C405" t="s">
        <v>284</v>
      </c>
      <c r="D405">
        <v>3</v>
      </c>
      <c r="E405">
        <v>6</v>
      </c>
      <c r="F405">
        <v>110</v>
      </c>
      <c r="G405">
        <v>12</v>
      </c>
      <c r="H405">
        <v>2.8</v>
      </c>
      <c r="I405">
        <v>12.3</v>
      </c>
      <c r="J405">
        <v>17.8</v>
      </c>
      <c r="K405">
        <v>6.1</v>
      </c>
      <c r="L405">
        <v>72</v>
      </c>
    </row>
    <row r="406" spans="1:12" x14ac:dyDescent="0.25">
      <c r="A406" t="s">
        <v>267</v>
      </c>
      <c r="B406" t="s">
        <v>283</v>
      </c>
      <c r="C406" t="s">
        <v>284</v>
      </c>
      <c r="D406">
        <v>3</v>
      </c>
      <c r="E406">
        <v>6</v>
      </c>
      <c r="F406">
        <v>130</v>
      </c>
      <c r="G406">
        <v>12</v>
      </c>
      <c r="H406">
        <v>2.8</v>
      </c>
      <c r="I406">
        <v>12.3</v>
      </c>
      <c r="J406">
        <v>17.8</v>
      </c>
      <c r="K406">
        <v>6.1</v>
      </c>
      <c r="L406">
        <v>72</v>
      </c>
    </row>
    <row r="407" spans="1:12" x14ac:dyDescent="0.25">
      <c r="A407" t="s">
        <v>267</v>
      </c>
      <c r="B407" t="s">
        <v>283</v>
      </c>
      <c r="C407" t="s">
        <v>284</v>
      </c>
      <c r="D407">
        <v>3</v>
      </c>
      <c r="E407">
        <v>6</v>
      </c>
      <c r="F407">
        <v>140</v>
      </c>
      <c r="G407">
        <v>12</v>
      </c>
      <c r="H407">
        <v>2.8</v>
      </c>
      <c r="I407">
        <v>12.3</v>
      </c>
      <c r="J407">
        <v>17.8</v>
      </c>
      <c r="K407">
        <v>6.1</v>
      </c>
      <c r="L407">
        <v>72</v>
      </c>
    </row>
    <row r="408" spans="1:12" x14ac:dyDescent="0.25">
      <c r="A408" t="s">
        <v>267</v>
      </c>
      <c r="B408" t="s">
        <v>285</v>
      </c>
      <c r="C408" t="s">
        <v>286</v>
      </c>
      <c r="D408">
        <v>3</v>
      </c>
      <c r="E408">
        <v>5</v>
      </c>
      <c r="F408">
        <v>50</v>
      </c>
      <c r="G408">
        <v>10</v>
      </c>
      <c r="H408">
        <v>2.6</v>
      </c>
      <c r="I408">
        <v>15</v>
      </c>
      <c r="J408">
        <v>17.600000000000001</v>
      </c>
      <c r="K408">
        <v>3.8</v>
      </c>
      <c r="L408">
        <v>30</v>
      </c>
    </row>
    <row r="409" spans="1:12" x14ac:dyDescent="0.25">
      <c r="A409" t="s">
        <v>267</v>
      </c>
      <c r="B409" t="s">
        <v>285</v>
      </c>
      <c r="C409" t="s">
        <v>286</v>
      </c>
      <c r="D409">
        <v>3</v>
      </c>
      <c r="E409">
        <v>5</v>
      </c>
      <c r="F409">
        <v>60</v>
      </c>
      <c r="G409">
        <v>10</v>
      </c>
      <c r="H409">
        <v>2.6</v>
      </c>
      <c r="I409">
        <v>15</v>
      </c>
      <c r="J409">
        <v>17.600000000000001</v>
      </c>
      <c r="K409">
        <v>3.8</v>
      </c>
      <c r="L409">
        <v>36</v>
      </c>
    </row>
    <row r="410" spans="1:12" x14ac:dyDescent="0.25">
      <c r="A410" t="s">
        <v>267</v>
      </c>
      <c r="B410" t="s">
        <v>285</v>
      </c>
      <c r="C410" t="s">
        <v>286</v>
      </c>
      <c r="D410">
        <v>3</v>
      </c>
      <c r="E410">
        <v>5</v>
      </c>
      <c r="F410">
        <v>70</v>
      </c>
      <c r="G410">
        <v>10</v>
      </c>
      <c r="H410">
        <v>2.6</v>
      </c>
      <c r="I410">
        <v>15</v>
      </c>
      <c r="J410">
        <v>17.600000000000001</v>
      </c>
      <c r="K410">
        <v>3.8</v>
      </c>
      <c r="L410">
        <v>42</v>
      </c>
    </row>
    <row r="411" spans="1:12" x14ac:dyDescent="0.25">
      <c r="A411" t="s">
        <v>267</v>
      </c>
      <c r="B411" t="s">
        <v>285</v>
      </c>
      <c r="C411" t="s">
        <v>286</v>
      </c>
      <c r="D411">
        <v>3</v>
      </c>
      <c r="E411">
        <v>5</v>
      </c>
      <c r="F411">
        <v>80</v>
      </c>
      <c r="G411">
        <v>10</v>
      </c>
      <c r="H411">
        <v>2.6</v>
      </c>
      <c r="I411">
        <v>15</v>
      </c>
      <c r="J411">
        <v>17.600000000000001</v>
      </c>
      <c r="K411">
        <v>3.8</v>
      </c>
      <c r="L411">
        <v>50</v>
      </c>
    </row>
    <row r="412" spans="1:12" x14ac:dyDescent="0.25">
      <c r="A412" t="s">
        <v>267</v>
      </c>
      <c r="B412" t="s">
        <v>285</v>
      </c>
      <c r="C412" t="s">
        <v>286</v>
      </c>
      <c r="D412">
        <v>3</v>
      </c>
      <c r="E412">
        <v>5</v>
      </c>
      <c r="F412">
        <v>90</v>
      </c>
      <c r="G412">
        <v>10</v>
      </c>
      <c r="H412">
        <v>2.6</v>
      </c>
      <c r="I412">
        <v>15</v>
      </c>
      <c r="J412">
        <v>17.600000000000001</v>
      </c>
      <c r="K412">
        <v>3.8</v>
      </c>
      <c r="L412">
        <v>42</v>
      </c>
    </row>
    <row r="413" spans="1:12" x14ac:dyDescent="0.25">
      <c r="A413" t="s">
        <v>267</v>
      </c>
      <c r="B413" t="s">
        <v>285</v>
      </c>
      <c r="C413" t="s">
        <v>286</v>
      </c>
      <c r="D413">
        <v>3</v>
      </c>
      <c r="E413">
        <v>6</v>
      </c>
      <c r="F413">
        <v>60</v>
      </c>
      <c r="G413">
        <v>12</v>
      </c>
      <c r="H413">
        <v>6.4</v>
      </c>
      <c r="I413">
        <v>14.2</v>
      </c>
      <c r="J413">
        <v>18.899999999999999</v>
      </c>
      <c r="K413">
        <v>5.8</v>
      </c>
      <c r="L413">
        <v>36</v>
      </c>
    </row>
    <row r="414" spans="1:12" x14ac:dyDescent="0.25">
      <c r="A414" t="s">
        <v>267</v>
      </c>
      <c r="B414" t="s">
        <v>285</v>
      </c>
      <c r="C414" t="s">
        <v>286</v>
      </c>
      <c r="D414">
        <v>3</v>
      </c>
      <c r="E414">
        <v>6</v>
      </c>
      <c r="F414">
        <v>70</v>
      </c>
      <c r="G414">
        <v>12</v>
      </c>
      <c r="H414">
        <v>6.4</v>
      </c>
      <c r="I414">
        <v>14.2</v>
      </c>
      <c r="J414">
        <v>18.899999999999999</v>
      </c>
      <c r="K414">
        <v>5.8</v>
      </c>
      <c r="L414">
        <v>42</v>
      </c>
    </row>
    <row r="415" spans="1:12" x14ac:dyDescent="0.25">
      <c r="A415" t="s">
        <v>267</v>
      </c>
      <c r="B415" t="s">
        <v>285</v>
      </c>
      <c r="C415" t="s">
        <v>286</v>
      </c>
      <c r="D415">
        <v>3</v>
      </c>
      <c r="E415">
        <v>6</v>
      </c>
      <c r="F415">
        <v>110</v>
      </c>
      <c r="G415">
        <v>12</v>
      </c>
      <c r="H415">
        <v>6.4</v>
      </c>
      <c r="I415">
        <v>14.2</v>
      </c>
      <c r="J415">
        <v>18.899999999999999</v>
      </c>
      <c r="K415">
        <v>5.8</v>
      </c>
      <c r="L415">
        <v>72</v>
      </c>
    </row>
    <row r="416" spans="1:12" x14ac:dyDescent="0.25">
      <c r="A416" t="s">
        <v>267</v>
      </c>
      <c r="B416" t="s">
        <v>287</v>
      </c>
      <c r="C416" t="s">
        <v>288</v>
      </c>
      <c r="D416">
        <v>2</v>
      </c>
      <c r="E416">
        <v>3</v>
      </c>
      <c r="F416">
        <v>12</v>
      </c>
      <c r="G416">
        <v>6</v>
      </c>
      <c r="H416">
        <v>1.7</v>
      </c>
      <c r="I416">
        <v>16.3</v>
      </c>
      <c r="J416">
        <v>20.100000000000001</v>
      </c>
      <c r="K416">
        <v>3.1</v>
      </c>
      <c r="L416">
        <f>F416</f>
        <v>12</v>
      </c>
    </row>
    <row r="417" spans="1:12" x14ac:dyDescent="0.25">
      <c r="A417" t="s">
        <v>267</v>
      </c>
      <c r="B417" t="s">
        <v>287</v>
      </c>
      <c r="C417" t="s">
        <v>288</v>
      </c>
      <c r="D417">
        <v>2</v>
      </c>
      <c r="E417">
        <v>3</v>
      </c>
      <c r="F417">
        <v>16</v>
      </c>
      <c r="G417">
        <v>6</v>
      </c>
      <c r="H417">
        <v>1.7</v>
      </c>
      <c r="I417">
        <v>16.3</v>
      </c>
      <c r="J417">
        <v>20.100000000000001</v>
      </c>
      <c r="K417">
        <v>3.1</v>
      </c>
      <c r="L417">
        <f t="shared" ref="L417:L466" si="1">F417</f>
        <v>16</v>
      </c>
    </row>
    <row r="418" spans="1:12" x14ac:dyDescent="0.25">
      <c r="A418" t="s">
        <v>267</v>
      </c>
      <c r="B418" t="s">
        <v>287</v>
      </c>
      <c r="C418" t="s">
        <v>288</v>
      </c>
      <c r="D418">
        <v>2</v>
      </c>
      <c r="E418">
        <v>3</v>
      </c>
      <c r="F418">
        <v>20</v>
      </c>
      <c r="G418">
        <v>6</v>
      </c>
      <c r="H418">
        <v>1.7</v>
      </c>
      <c r="I418">
        <v>16.3</v>
      </c>
      <c r="J418">
        <v>20.100000000000001</v>
      </c>
      <c r="K418">
        <v>3.1</v>
      </c>
      <c r="L418">
        <f t="shared" si="1"/>
        <v>20</v>
      </c>
    </row>
    <row r="419" spans="1:12" x14ac:dyDescent="0.25">
      <c r="A419" t="s">
        <v>267</v>
      </c>
      <c r="B419" t="s">
        <v>287</v>
      </c>
      <c r="C419" t="s">
        <v>288</v>
      </c>
      <c r="D419">
        <v>2</v>
      </c>
      <c r="E419">
        <v>3</v>
      </c>
      <c r="F419">
        <v>25</v>
      </c>
      <c r="G419">
        <v>6</v>
      </c>
      <c r="H419">
        <v>1.7</v>
      </c>
      <c r="I419">
        <v>16.3</v>
      </c>
      <c r="J419">
        <v>20.100000000000001</v>
      </c>
      <c r="K419">
        <v>3.1</v>
      </c>
      <c r="L419">
        <f t="shared" si="1"/>
        <v>25</v>
      </c>
    </row>
    <row r="420" spans="1:12" x14ac:dyDescent="0.25">
      <c r="A420" t="s">
        <v>267</v>
      </c>
      <c r="B420" t="s">
        <v>287</v>
      </c>
      <c r="C420" t="s">
        <v>288</v>
      </c>
      <c r="D420">
        <v>2</v>
      </c>
      <c r="E420">
        <v>3</v>
      </c>
      <c r="F420">
        <v>30</v>
      </c>
      <c r="G420">
        <v>6</v>
      </c>
      <c r="H420">
        <v>1.7</v>
      </c>
      <c r="I420">
        <v>16.3</v>
      </c>
      <c r="J420">
        <v>20.100000000000001</v>
      </c>
      <c r="K420">
        <v>3.1</v>
      </c>
      <c r="L420">
        <f t="shared" si="1"/>
        <v>30</v>
      </c>
    </row>
    <row r="421" spans="1:12" x14ac:dyDescent="0.25">
      <c r="A421" t="s">
        <v>267</v>
      </c>
      <c r="B421" t="s">
        <v>287</v>
      </c>
      <c r="C421" t="s">
        <v>288</v>
      </c>
      <c r="D421">
        <v>2</v>
      </c>
      <c r="E421">
        <v>3</v>
      </c>
      <c r="F421">
        <v>35</v>
      </c>
      <c r="G421">
        <v>6</v>
      </c>
      <c r="H421">
        <v>1.7</v>
      </c>
      <c r="I421">
        <v>16.3</v>
      </c>
      <c r="J421">
        <v>20.100000000000001</v>
      </c>
      <c r="K421">
        <v>3.1</v>
      </c>
      <c r="L421">
        <f t="shared" si="1"/>
        <v>35</v>
      </c>
    </row>
    <row r="422" spans="1:12" x14ac:dyDescent="0.25">
      <c r="A422" t="s">
        <v>267</v>
      </c>
      <c r="B422" t="s">
        <v>287</v>
      </c>
      <c r="C422" t="s">
        <v>288</v>
      </c>
      <c r="D422">
        <v>2</v>
      </c>
      <c r="E422">
        <v>3</v>
      </c>
      <c r="F422">
        <v>40</v>
      </c>
      <c r="G422">
        <v>6</v>
      </c>
      <c r="H422">
        <v>1.7</v>
      </c>
      <c r="I422">
        <v>16.3</v>
      </c>
      <c r="J422">
        <v>20.100000000000001</v>
      </c>
      <c r="K422">
        <v>3.1</v>
      </c>
      <c r="L422">
        <f t="shared" si="1"/>
        <v>40</v>
      </c>
    </row>
    <row r="423" spans="1:12" x14ac:dyDescent="0.25">
      <c r="A423" t="s">
        <v>267</v>
      </c>
      <c r="B423" t="s">
        <v>287</v>
      </c>
      <c r="C423" t="s">
        <v>288</v>
      </c>
      <c r="D423">
        <v>2</v>
      </c>
      <c r="E423">
        <v>3</v>
      </c>
      <c r="F423">
        <v>45</v>
      </c>
      <c r="G423">
        <v>6</v>
      </c>
      <c r="H423">
        <v>1.7</v>
      </c>
      <c r="I423">
        <v>16.3</v>
      </c>
      <c r="J423">
        <v>20.100000000000001</v>
      </c>
      <c r="K423">
        <v>3.1</v>
      </c>
      <c r="L423">
        <f t="shared" si="1"/>
        <v>45</v>
      </c>
    </row>
    <row r="424" spans="1:12" x14ac:dyDescent="0.25">
      <c r="A424" t="s">
        <v>267</v>
      </c>
      <c r="B424" t="s">
        <v>287</v>
      </c>
      <c r="C424" t="s">
        <v>288</v>
      </c>
      <c r="D424">
        <v>2</v>
      </c>
      <c r="E424">
        <v>3.5</v>
      </c>
      <c r="F424">
        <v>20</v>
      </c>
      <c r="G424">
        <v>7</v>
      </c>
      <c r="H424">
        <v>2.2000000000000002</v>
      </c>
      <c r="I424">
        <v>16</v>
      </c>
      <c r="J424">
        <v>18.899999999999999</v>
      </c>
      <c r="K424">
        <v>3.7</v>
      </c>
      <c r="L424">
        <f t="shared" si="1"/>
        <v>20</v>
      </c>
    </row>
    <row r="425" spans="1:12" x14ac:dyDescent="0.25">
      <c r="A425" t="s">
        <v>267</v>
      </c>
      <c r="B425" t="s">
        <v>287</v>
      </c>
      <c r="C425" t="s">
        <v>288</v>
      </c>
      <c r="D425">
        <v>2</v>
      </c>
      <c r="E425">
        <v>3.5</v>
      </c>
      <c r="F425">
        <v>25</v>
      </c>
      <c r="G425">
        <v>7</v>
      </c>
      <c r="H425">
        <v>2.2000000000000002</v>
      </c>
      <c r="I425">
        <v>16</v>
      </c>
      <c r="J425">
        <v>18.899999999999999</v>
      </c>
      <c r="K425">
        <v>3.7</v>
      </c>
      <c r="L425">
        <f t="shared" si="1"/>
        <v>25</v>
      </c>
    </row>
    <row r="426" spans="1:12" x14ac:dyDescent="0.25">
      <c r="A426" t="s">
        <v>267</v>
      </c>
      <c r="B426" t="s">
        <v>287</v>
      </c>
      <c r="C426" t="s">
        <v>288</v>
      </c>
      <c r="D426">
        <v>2</v>
      </c>
      <c r="E426">
        <v>3.5</v>
      </c>
      <c r="F426">
        <v>30</v>
      </c>
      <c r="G426">
        <v>7</v>
      </c>
      <c r="H426">
        <v>2.2000000000000002</v>
      </c>
      <c r="I426">
        <v>16</v>
      </c>
      <c r="J426">
        <v>18.899999999999999</v>
      </c>
      <c r="K426">
        <v>3.7</v>
      </c>
      <c r="L426">
        <f t="shared" si="1"/>
        <v>30</v>
      </c>
    </row>
    <row r="427" spans="1:12" x14ac:dyDescent="0.25">
      <c r="A427" t="s">
        <v>267</v>
      </c>
      <c r="B427" t="s">
        <v>287</v>
      </c>
      <c r="C427" t="s">
        <v>288</v>
      </c>
      <c r="D427">
        <v>2</v>
      </c>
      <c r="E427">
        <v>3.5</v>
      </c>
      <c r="F427">
        <v>35</v>
      </c>
      <c r="G427">
        <v>7</v>
      </c>
      <c r="H427">
        <v>2.2000000000000002</v>
      </c>
      <c r="I427">
        <v>16</v>
      </c>
      <c r="J427">
        <v>18.899999999999999</v>
      </c>
      <c r="K427">
        <v>3.7</v>
      </c>
      <c r="L427">
        <f t="shared" si="1"/>
        <v>35</v>
      </c>
    </row>
    <row r="428" spans="1:12" x14ac:dyDescent="0.25">
      <c r="A428" t="s">
        <v>267</v>
      </c>
      <c r="B428" t="s">
        <v>287</v>
      </c>
      <c r="C428" t="s">
        <v>288</v>
      </c>
      <c r="D428">
        <v>2</v>
      </c>
      <c r="E428">
        <v>3.5</v>
      </c>
      <c r="F428">
        <v>40</v>
      </c>
      <c r="G428">
        <v>7</v>
      </c>
      <c r="H428">
        <v>2.2000000000000002</v>
      </c>
      <c r="I428">
        <v>16</v>
      </c>
      <c r="J428">
        <v>18.899999999999999</v>
      </c>
      <c r="K428">
        <v>3.7</v>
      </c>
      <c r="L428">
        <f t="shared" si="1"/>
        <v>40</v>
      </c>
    </row>
    <row r="429" spans="1:12" x14ac:dyDescent="0.25">
      <c r="A429" t="s">
        <v>267</v>
      </c>
      <c r="B429" t="s">
        <v>287</v>
      </c>
      <c r="C429" t="s">
        <v>288</v>
      </c>
      <c r="D429">
        <v>2</v>
      </c>
      <c r="E429">
        <v>3.5</v>
      </c>
      <c r="F429">
        <v>45</v>
      </c>
      <c r="G429">
        <v>7</v>
      </c>
      <c r="H429">
        <v>2.2000000000000002</v>
      </c>
      <c r="I429">
        <v>16</v>
      </c>
      <c r="J429">
        <v>18.899999999999999</v>
      </c>
      <c r="K429">
        <v>3.7</v>
      </c>
      <c r="L429">
        <f t="shared" si="1"/>
        <v>45</v>
      </c>
    </row>
    <row r="430" spans="1:12" x14ac:dyDescent="0.25">
      <c r="A430" t="s">
        <v>267</v>
      </c>
      <c r="B430" t="s">
        <v>287</v>
      </c>
      <c r="C430" t="s">
        <v>288</v>
      </c>
      <c r="D430">
        <v>2</v>
      </c>
      <c r="E430">
        <v>3.5</v>
      </c>
      <c r="F430">
        <v>50</v>
      </c>
      <c r="G430">
        <v>7</v>
      </c>
      <c r="H430">
        <v>2.2000000000000002</v>
      </c>
      <c r="I430">
        <v>16</v>
      </c>
      <c r="J430">
        <v>18.899999999999999</v>
      </c>
      <c r="K430">
        <v>3.7</v>
      </c>
      <c r="L430">
        <f t="shared" si="1"/>
        <v>50</v>
      </c>
    </row>
    <row r="431" spans="1:12" x14ac:dyDescent="0.25">
      <c r="A431" t="s">
        <v>267</v>
      </c>
      <c r="B431" t="s">
        <v>287</v>
      </c>
      <c r="C431" t="s">
        <v>288</v>
      </c>
      <c r="D431">
        <v>2</v>
      </c>
      <c r="E431">
        <v>4</v>
      </c>
      <c r="F431">
        <v>20</v>
      </c>
      <c r="G431">
        <v>8</v>
      </c>
      <c r="H431">
        <v>3.3</v>
      </c>
      <c r="I431">
        <v>16.600000000000001</v>
      </c>
      <c r="J431">
        <v>17.899999999999999</v>
      </c>
      <c r="K431">
        <v>4.7</v>
      </c>
      <c r="L431">
        <f t="shared" si="1"/>
        <v>20</v>
      </c>
    </row>
    <row r="432" spans="1:12" x14ac:dyDescent="0.25">
      <c r="A432" t="s">
        <v>267</v>
      </c>
      <c r="B432" t="s">
        <v>287</v>
      </c>
      <c r="C432" t="s">
        <v>288</v>
      </c>
      <c r="D432">
        <v>2</v>
      </c>
      <c r="E432">
        <v>4</v>
      </c>
      <c r="F432">
        <v>25</v>
      </c>
      <c r="G432">
        <v>8</v>
      </c>
      <c r="H432">
        <v>3.3</v>
      </c>
      <c r="I432">
        <v>16.600000000000001</v>
      </c>
      <c r="J432">
        <v>17.899999999999999</v>
      </c>
      <c r="K432">
        <v>4.7</v>
      </c>
      <c r="L432">
        <f t="shared" si="1"/>
        <v>25</v>
      </c>
    </row>
    <row r="433" spans="1:12" x14ac:dyDescent="0.25">
      <c r="A433" t="s">
        <v>267</v>
      </c>
      <c r="B433" t="s">
        <v>287</v>
      </c>
      <c r="C433" t="s">
        <v>288</v>
      </c>
      <c r="D433">
        <v>2</v>
      </c>
      <c r="E433">
        <v>4</v>
      </c>
      <c r="F433">
        <v>30</v>
      </c>
      <c r="G433">
        <v>8</v>
      </c>
      <c r="H433">
        <v>3.3</v>
      </c>
      <c r="I433">
        <v>16.600000000000001</v>
      </c>
      <c r="J433">
        <v>17.899999999999999</v>
      </c>
      <c r="K433">
        <v>4.7</v>
      </c>
      <c r="L433">
        <f t="shared" si="1"/>
        <v>30</v>
      </c>
    </row>
    <row r="434" spans="1:12" x14ac:dyDescent="0.25">
      <c r="A434" t="s">
        <v>267</v>
      </c>
      <c r="B434" t="s">
        <v>287</v>
      </c>
      <c r="C434" t="s">
        <v>288</v>
      </c>
      <c r="D434">
        <v>2</v>
      </c>
      <c r="E434">
        <v>4</v>
      </c>
      <c r="F434">
        <v>35</v>
      </c>
      <c r="G434">
        <v>8</v>
      </c>
      <c r="H434">
        <v>3.3</v>
      </c>
      <c r="I434">
        <v>16.600000000000001</v>
      </c>
      <c r="J434">
        <v>17.899999999999999</v>
      </c>
      <c r="K434">
        <v>4.7</v>
      </c>
      <c r="L434">
        <f t="shared" si="1"/>
        <v>35</v>
      </c>
    </row>
    <row r="435" spans="1:12" x14ac:dyDescent="0.25">
      <c r="A435" t="s">
        <v>267</v>
      </c>
      <c r="B435" t="s">
        <v>287</v>
      </c>
      <c r="C435" t="s">
        <v>288</v>
      </c>
      <c r="D435">
        <v>2</v>
      </c>
      <c r="E435">
        <v>4</v>
      </c>
      <c r="F435">
        <v>40</v>
      </c>
      <c r="G435">
        <v>8</v>
      </c>
      <c r="H435">
        <v>3.3</v>
      </c>
      <c r="I435">
        <v>16.600000000000001</v>
      </c>
      <c r="J435">
        <v>17.899999999999999</v>
      </c>
      <c r="K435">
        <v>4.7</v>
      </c>
      <c r="L435">
        <f t="shared" si="1"/>
        <v>40</v>
      </c>
    </row>
    <row r="436" spans="1:12" x14ac:dyDescent="0.25">
      <c r="A436" t="s">
        <v>267</v>
      </c>
      <c r="B436" t="s">
        <v>287</v>
      </c>
      <c r="C436" t="s">
        <v>288</v>
      </c>
      <c r="D436">
        <v>2</v>
      </c>
      <c r="E436">
        <v>4</v>
      </c>
      <c r="F436">
        <v>45</v>
      </c>
      <c r="G436">
        <v>8</v>
      </c>
      <c r="H436">
        <v>3.3</v>
      </c>
      <c r="I436">
        <v>16.600000000000001</v>
      </c>
      <c r="J436">
        <v>17.899999999999999</v>
      </c>
      <c r="K436">
        <v>4.7</v>
      </c>
      <c r="L436">
        <f t="shared" si="1"/>
        <v>45</v>
      </c>
    </row>
    <row r="437" spans="1:12" x14ac:dyDescent="0.25">
      <c r="A437" t="s">
        <v>267</v>
      </c>
      <c r="B437" t="s">
        <v>287</v>
      </c>
      <c r="C437" t="s">
        <v>288</v>
      </c>
      <c r="D437">
        <v>2</v>
      </c>
      <c r="E437">
        <v>4</v>
      </c>
      <c r="F437">
        <v>50</v>
      </c>
      <c r="G437">
        <v>8</v>
      </c>
      <c r="H437">
        <v>3.3</v>
      </c>
      <c r="I437">
        <v>16.600000000000001</v>
      </c>
      <c r="J437">
        <v>17.899999999999999</v>
      </c>
      <c r="K437">
        <v>4.7</v>
      </c>
      <c r="L437">
        <f t="shared" si="1"/>
        <v>50</v>
      </c>
    </row>
    <row r="438" spans="1:12" x14ac:dyDescent="0.25">
      <c r="A438" t="s">
        <v>267</v>
      </c>
      <c r="B438" t="s">
        <v>287</v>
      </c>
      <c r="C438" t="s">
        <v>288</v>
      </c>
      <c r="D438">
        <v>2</v>
      </c>
      <c r="E438">
        <v>4</v>
      </c>
      <c r="F438">
        <v>55</v>
      </c>
      <c r="G438">
        <v>8</v>
      </c>
      <c r="H438">
        <v>3.3</v>
      </c>
      <c r="I438">
        <v>16.600000000000001</v>
      </c>
      <c r="J438">
        <v>17.899999999999999</v>
      </c>
      <c r="K438">
        <v>4.7</v>
      </c>
      <c r="L438">
        <f t="shared" si="1"/>
        <v>55</v>
      </c>
    </row>
    <row r="439" spans="1:12" x14ac:dyDescent="0.25">
      <c r="A439" t="s">
        <v>267</v>
      </c>
      <c r="B439" t="s">
        <v>287</v>
      </c>
      <c r="C439" t="s">
        <v>288</v>
      </c>
      <c r="D439">
        <v>2</v>
      </c>
      <c r="E439">
        <v>4</v>
      </c>
      <c r="F439">
        <v>60</v>
      </c>
      <c r="G439">
        <v>8</v>
      </c>
      <c r="H439">
        <v>3.3</v>
      </c>
      <c r="I439">
        <v>16.600000000000001</v>
      </c>
      <c r="J439">
        <v>17.899999999999999</v>
      </c>
      <c r="K439">
        <v>4.7</v>
      </c>
      <c r="L439">
        <f t="shared" si="1"/>
        <v>60</v>
      </c>
    </row>
    <row r="440" spans="1:12" x14ac:dyDescent="0.25">
      <c r="A440" t="s">
        <v>267</v>
      </c>
      <c r="B440" t="s">
        <v>287</v>
      </c>
      <c r="C440" t="s">
        <v>288</v>
      </c>
      <c r="D440">
        <v>2</v>
      </c>
      <c r="E440">
        <v>4</v>
      </c>
      <c r="F440">
        <v>70</v>
      </c>
      <c r="G440">
        <v>8</v>
      </c>
      <c r="H440">
        <v>3.3</v>
      </c>
      <c r="I440">
        <v>16.600000000000001</v>
      </c>
      <c r="J440">
        <v>17.899999999999999</v>
      </c>
      <c r="K440">
        <v>4.7</v>
      </c>
      <c r="L440">
        <f t="shared" si="1"/>
        <v>70</v>
      </c>
    </row>
    <row r="441" spans="1:12" x14ac:dyDescent="0.25">
      <c r="A441" t="s">
        <v>267</v>
      </c>
      <c r="B441" t="s">
        <v>287</v>
      </c>
      <c r="C441" t="s">
        <v>288</v>
      </c>
      <c r="D441">
        <v>2</v>
      </c>
      <c r="E441">
        <v>4.5</v>
      </c>
      <c r="F441">
        <v>20</v>
      </c>
      <c r="G441">
        <v>9</v>
      </c>
      <c r="H441">
        <v>4.3</v>
      </c>
      <c r="I441">
        <v>15.2</v>
      </c>
      <c r="J441">
        <v>17.5</v>
      </c>
      <c r="K441">
        <v>5.9</v>
      </c>
      <c r="L441">
        <f t="shared" si="1"/>
        <v>20</v>
      </c>
    </row>
    <row r="442" spans="1:12" x14ac:dyDescent="0.25">
      <c r="A442" t="s">
        <v>267</v>
      </c>
      <c r="B442" t="s">
        <v>287</v>
      </c>
      <c r="C442" t="s">
        <v>288</v>
      </c>
      <c r="D442">
        <v>2</v>
      </c>
      <c r="E442">
        <v>4.5</v>
      </c>
      <c r="F442">
        <v>25</v>
      </c>
      <c r="G442">
        <v>9</v>
      </c>
      <c r="H442">
        <v>4.3</v>
      </c>
      <c r="I442">
        <v>15.2</v>
      </c>
      <c r="J442">
        <v>17.5</v>
      </c>
      <c r="K442">
        <v>5.9</v>
      </c>
      <c r="L442">
        <f t="shared" si="1"/>
        <v>25</v>
      </c>
    </row>
    <row r="443" spans="1:12" x14ac:dyDescent="0.25">
      <c r="A443" t="s">
        <v>267</v>
      </c>
      <c r="B443" t="s">
        <v>287</v>
      </c>
      <c r="C443" t="s">
        <v>288</v>
      </c>
      <c r="D443">
        <v>2</v>
      </c>
      <c r="E443">
        <v>4.5</v>
      </c>
      <c r="F443">
        <v>30</v>
      </c>
      <c r="G443">
        <v>9</v>
      </c>
      <c r="H443">
        <v>4.3</v>
      </c>
      <c r="I443">
        <v>15.2</v>
      </c>
      <c r="J443">
        <v>17.5</v>
      </c>
      <c r="K443">
        <v>5.9</v>
      </c>
      <c r="L443">
        <f t="shared" si="1"/>
        <v>30</v>
      </c>
    </row>
    <row r="444" spans="1:12" x14ac:dyDescent="0.25">
      <c r="A444" t="s">
        <v>267</v>
      </c>
      <c r="B444" t="s">
        <v>287</v>
      </c>
      <c r="C444" t="s">
        <v>288</v>
      </c>
      <c r="D444">
        <v>2</v>
      </c>
      <c r="E444">
        <v>4.5</v>
      </c>
      <c r="F444">
        <v>35</v>
      </c>
      <c r="G444">
        <v>9</v>
      </c>
      <c r="H444">
        <v>4.3</v>
      </c>
      <c r="I444">
        <v>15.2</v>
      </c>
      <c r="J444">
        <v>17.5</v>
      </c>
      <c r="K444">
        <v>5.9</v>
      </c>
      <c r="L444">
        <f t="shared" si="1"/>
        <v>35</v>
      </c>
    </row>
    <row r="445" spans="1:12" x14ac:dyDescent="0.25">
      <c r="A445" t="s">
        <v>267</v>
      </c>
      <c r="B445" t="s">
        <v>287</v>
      </c>
      <c r="C445" t="s">
        <v>288</v>
      </c>
      <c r="D445">
        <v>2</v>
      </c>
      <c r="E445">
        <v>4.5</v>
      </c>
      <c r="F445">
        <v>40</v>
      </c>
      <c r="G445">
        <v>9</v>
      </c>
      <c r="H445">
        <v>4.3</v>
      </c>
      <c r="I445">
        <v>15.2</v>
      </c>
      <c r="J445">
        <v>17.5</v>
      </c>
      <c r="K445">
        <v>5.9</v>
      </c>
      <c r="L445">
        <f t="shared" si="1"/>
        <v>40</v>
      </c>
    </row>
    <row r="446" spans="1:12" x14ac:dyDescent="0.25">
      <c r="A446" t="s">
        <v>267</v>
      </c>
      <c r="B446" t="s">
        <v>287</v>
      </c>
      <c r="C446" t="s">
        <v>288</v>
      </c>
      <c r="D446">
        <v>2</v>
      </c>
      <c r="E446">
        <v>4.5</v>
      </c>
      <c r="F446">
        <v>45</v>
      </c>
      <c r="G446">
        <v>9</v>
      </c>
      <c r="H446">
        <v>4.3</v>
      </c>
      <c r="I446">
        <v>15.2</v>
      </c>
      <c r="J446">
        <v>17.5</v>
      </c>
      <c r="K446">
        <v>5.9</v>
      </c>
      <c r="L446">
        <f t="shared" si="1"/>
        <v>45</v>
      </c>
    </row>
    <row r="447" spans="1:12" x14ac:dyDescent="0.25">
      <c r="A447" t="s">
        <v>267</v>
      </c>
      <c r="B447" t="s">
        <v>287</v>
      </c>
      <c r="C447" t="s">
        <v>288</v>
      </c>
      <c r="D447">
        <v>2</v>
      </c>
      <c r="E447">
        <v>4.5</v>
      </c>
      <c r="F447">
        <v>50</v>
      </c>
      <c r="G447">
        <v>9</v>
      </c>
      <c r="H447">
        <v>4.3</v>
      </c>
      <c r="I447">
        <v>15.2</v>
      </c>
      <c r="J447">
        <v>17.5</v>
      </c>
      <c r="K447">
        <v>5.9</v>
      </c>
      <c r="L447">
        <f t="shared" si="1"/>
        <v>50</v>
      </c>
    </row>
    <row r="448" spans="1:12" x14ac:dyDescent="0.25">
      <c r="A448" t="s">
        <v>267</v>
      </c>
      <c r="B448" t="s">
        <v>287</v>
      </c>
      <c r="C448" t="s">
        <v>288</v>
      </c>
      <c r="D448">
        <v>2</v>
      </c>
      <c r="E448">
        <v>4.5</v>
      </c>
      <c r="F448">
        <v>60</v>
      </c>
      <c r="G448">
        <v>9</v>
      </c>
      <c r="H448">
        <v>4.3</v>
      </c>
      <c r="I448">
        <v>15.2</v>
      </c>
      <c r="J448">
        <v>17.5</v>
      </c>
      <c r="K448">
        <v>5.9</v>
      </c>
      <c r="L448">
        <f t="shared" si="1"/>
        <v>60</v>
      </c>
    </row>
    <row r="449" spans="1:12" x14ac:dyDescent="0.25">
      <c r="A449" t="s">
        <v>267</v>
      </c>
      <c r="B449" t="s">
        <v>287</v>
      </c>
      <c r="C449" t="s">
        <v>288</v>
      </c>
      <c r="D449">
        <v>2</v>
      </c>
      <c r="E449">
        <v>4.5</v>
      </c>
      <c r="F449">
        <v>70</v>
      </c>
      <c r="G449">
        <v>9</v>
      </c>
      <c r="H449">
        <v>4.3</v>
      </c>
      <c r="I449">
        <v>15.2</v>
      </c>
      <c r="J449">
        <v>17.5</v>
      </c>
      <c r="K449">
        <v>5.9</v>
      </c>
      <c r="L449">
        <f t="shared" si="1"/>
        <v>70</v>
      </c>
    </row>
    <row r="450" spans="1:12" x14ac:dyDescent="0.25">
      <c r="A450" t="s">
        <v>267</v>
      </c>
      <c r="B450" t="s">
        <v>287</v>
      </c>
      <c r="C450" t="s">
        <v>288</v>
      </c>
      <c r="D450">
        <v>2</v>
      </c>
      <c r="E450">
        <v>4.5</v>
      </c>
      <c r="F450">
        <v>80</v>
      </c>
      <c r="G450">
        <v>9</v>
      </c>
      <c r="H450">
        <v>4.3</v>
      </c>
      <c r="I450">
        <v>15.2</v>
      </c>
      <c r="J450">
        <v>17.5</v>
      </c>
      <c r="K450">
        <v>5.9</v>
      </c>
      <c r="L450">
        <f t="shared" si="1"/>
        <v>80</v>
      </c>
    </row>
    <row r="451" spans="1:12" x14ac:dyDescent="0.25">
      <c r="A451" t="s">
        <v>267</v>
      </c>
      <c r="B451" t="s">
        <v>287</v>
      </c>
      <c r="C451" t="s">
        <v>288</v>
      </c>
      <c r="D451">
        <v>2</v>
      </c>
      <c r="E451">
        <v>5</v>
      </c>
      <c r="F451">
        <v>30</v>
      </c>
      <c r="G451">
        <v>10</v>
      </c>
      <c r="H451">
        <v>6.3</v>
      </c>
      <c r="I451">
        <v>15.8</v>
      </c>
      <c r="J451">
        <v>16.8</v>
      </c>
      <c r="K451">
        <v>7.3</v>
      </c>
      <c r="L451">
        <f t="shared" si="1"/>
        <v>30</v>
      </c>
    </row>
    <row r="452" spans="1:12" x14ac:dyDescent="0.25">
      <c r="A452" t="s">
        <v>267</v>
      </c>
      <c r="B452" t="s">
        <v>287</v>
      </c>
      <c r="C452" t="s">
        <v>288</v>
      </c>
      <c r="D452">
        <v>2</v>
      </c>
      <c r="E452">
        <v>5</v>
      </c>
      <c r="F452">
        <v>35</v>
      </c>
      <c r="G452">
        <v>10</v>
      </c>
      <c r="H452">
        <v>6.3</v>
      </c>
      <c r="I452">
        <v>15.8</v>
      </c>
      <c r="J452">
        <v>16.8</v>
      </c>
      <c r="K452">
        <v>7.3</v>
      </c>
      <c r="L452">
        <f t="shared" si="1"/>
        <v>35</v>
      </c>
    </row>
    <row r="453" spans="1:12" x14ac:dyDescent="0.25">
      <c r="A453" t="s">
        <v>267</v>
      </c>
      <c r="B453" t="s">
        <v>287</v>
      </c>
      <c r="C453" t="s">
        <v>288</v>
      </c>
      <c r="D453">
        <v>2</v>
      </c>
      <c r="E453">
        <v>5</v>
      </c>
      <c r="F453">
        <v>40</v>
      </c>
      <c r="G453">
        <v>10</v>
      </c>
      <c r="H453">
        <v>6.3</v>
      </c>
      <c r="I453">
        <v>15.8</v>
      </c>
      <c r="J453">
        <v>16.8</v>
      </c>
      <c r="K453">
        <v>7.3</v>
      </c>
      <c r="L453">
        <f t="shared" si="1"/>
        <v>40</v>
      </c>
    </row>
    <row r="454" spans="1:12" x14ac:dyDescent="0.25">
      <c r="A454" t="s">
        <v>267</v>
      </c>
      <c r="B454" t="s">
        <v>287</v>
      </c>
      <c r="C454" t="s">
        <v>288</v>
      </c>
      <c r="D454">
        <v>2</v>
      </c>
      <c r="E454">
        <v>5</v>
      </c>
      <c r="F454">
        <v>45</v>
      </c>
      <c r="G454">
        <v>10</v>
      </c>
      <c r="H454">
        <v>6.3</v>
      </c>
      <c r="I454">
        <v>15.8</v>
      </c>
      <c r="J454">
        <v>16.8</v>
      </c>
      <c r="K454">
        <v>7.3</v>
      </c>
      <c r="L454">
        <f t="shared" si="1"/>
        <v>45</v>
      </c>
    </row>
    <row r="455" spans="1:12" x14ac:dyDescent="0.25">
      <c r="A455" t="s">
        <v>267</v>
      </c>
      <c r="B455" t="s">
        <v>287</v>
      </c>
      <c r="C455" t="s">
        <v>288</v>
      </c>
      <c r="D455">
        <v>2</v>
      </c>
      <c r="E455">
        <v>5</v>
      </c>
      <c r="F455">
        <v>50</v>
      </c>
      <c r="G455">
        <v>10</v>
      </c>
      <c r="H455">
        <v>6.3</v>
      </c>
      <c r="I455">
        <v>15.8</v>
      </c>
      <c r="J455">
        <v>16.8</v>
      </c>
      <c r="K455">
        <v>7.3</v>
      </c>
      <c r="L455">
        <f t="shared" si="1"/>
        <v>50</v>
      </c>
    </row>
    <row r="456" spans="1:12" x14ac:dyDescent="0.25">
      <c r="A456" t="s">
        <v>267</v>
      </c>
      <c r="B456" t="s">
        <v>287</v>
      </c>
      <c r="C456" t="s">
        <v>288</v>
      </c>
      <c r="D456">
        <v>2</v>
      </c>
      <c r="E456">
        <v>5</v>
      </c>
      <c r="F456">
        <v>55</v>
      </c>
      <c r="G456">
        <v>10</v>
      </c>
      <c r="H456">
        <v>6.3</v>
      </c>
      <c r="I456">
        <v>15.8</v>
      </c>
      <c r="J456">
        <v>16.8</v>
      </c>
      <c r="K456">
        <v>7.3</v>
      </c>
      <c r="L456">
        <f t="shared" si="1"/>
        <v>55</v>
      </c>
    </row>
    <row r="457" spans="1:12" x14ac:dyDescent="0.25">
      <c r="A457" t="s">
        <v>267</v>
      </c>
      <c r="B457" t="s">
        <v>287</v>
      </c>
      <c r="C457" t="s">
        <v>288</v>
      </c>
      <c r="D457">
        <v>2</v>
      </c>
      <c r="E457">
        <v>5</v>
      </c>
      <c r="F457">
        <v>60</v>
      </c>
      <c r="G457">
        <v>10</v>
      </c>
      <c r="H457">
        <v>6.3</v>
      </c>
      <c r="I457">
        <v>15.8</v>
      </c>
      <c r="J457">
        <v>16.8</v>
      </c>
      <c r="K457">
        <v>7.3</v>
      </c>
      <c r="L457">
        <f t="shared" si="1"/>
        <v>60</v>
      </c>
    </row>
    <row r="458" spans="1:12" x14ac:dyDescent="0.25">
      <c r="A458" t="s">
        <v>267</v>
      </c>
      <c r="B458" t="s">
        <v>287</v>
      </c>
      <c r="C458" t="s">
        <v>288</v>
      </c>
      <c r="D458">
        <v>2</v>
      </c>
      <c r="E458">
        <v>5</v>
      </c>
      <c r="F458">
        <v>70</v>
      </c>
      <c r="G458">
        <v>10</v>
      </c>
      <c r="H458">
        <v>6.3</v>
      </c>
      <c r="I458">
        <v>15.8</v>
      </c>
      <c r="J458">
        <v>16.8</v>
      </c>
      <c r="K458">
        <v>7.3</v>
      </c>
      <c r="L458">
        <f t="shared" si="1"/>
        <v>70</v>
      </c>
    </row>
    <row r="459" spans="1:12" x14ac:dyDescent="0.25">
      <c r="A459" t="s">
        <v>267</v>
      </c>
      <c r="B459" t="s">
        <v>287</v>
      </c>
      <c r="C459" t="s">
        <v>288</v>
      </c>
      <c r="D459">
        <v>2</v>
      </c>
      <c r="E459">
        <v>5</v>
      </c>
      <c r="F459">
        <v>80</v>
      </c>
      <c r="G459">
        <v>10</v>
      </c>
      <c r="H459">
        <v>6.3</v>
      </c>
      <c r="I459">
        <v>15.8</v>
      </c>
      <c r="J459">
        <v>16.8</v>
      </c>
      <c r="K459">
        <v>7.3</v>
      </c>
      <c r="L459">
        <f t="shared" si="1"/>
        <v>80</v>
      </c>
    </row>
    <row r="460" spans="1:12" x14ac:dyDescent="0.25">
      <c r="A460" t="s">
        <v>267</v>
      </c>
      <c r="B460" t="s">
        <v>287</v>
      </c>
      <c r="C460" t="s">
        <v>288</v>
      </c>
      <c r="D460">
        <v>2</v>
      </c>
      <c r="E460">
        <v>5</v>
      </c>
      <c r="F460">
        <v>90</v>
      </c>
      <c r="G460">
        <v>10</v>
      </c>
      <c r="H460">
        <v>6.3</v>
      </c>
      <c r="I460">
        <v>15.8</v>
      </c>
      <c r="J460">
        <v>16.8</v>
      </c>
      <c r="K460">
        <v>7.3</v>
      </c>
      <c r="L460">
        <f t="shared" si="1"/>
        <v>90</v>
      </c>
    </row>
    <row r="461" spans="1:12" x14ac:dyDescent="0.25">
      <c r="A461" t="s">
        <v>267</v>
      </c>
      <c r="B461" t="s">
        <v>287</v>
      </c>
      <c r="C461" t="s">
        <v>288</v>
      </c>
      <c r="D461">
        <v>2</v>
      </c>
      <c r="E461">
        <v>6</v>
      </c>
      <c r="F461">
        <v>40</v>
      </c>
      <c r="G461">
        <v>12</v>
      </c>
      <c r="H461">
        <v>10.8</v>
      </c>
      <c r="I461">
        <v>14.4</v>
      </c>
      <c r="J461">
        <v>16.5</v>
      </c>
      <c r="K461">
        <v>11.1</v>
      </c>
      <c r="L461">
        <f t="shared" si="1"/>
        <v>40</v>
      </c>
    </row>
    <row r="462" spans="1:12" x14ac:dyDescent="0.25">
      <c r="A462" t="s">
        <v>267</v>
      </c>
      <c r="B462" t="s">
        <v>287</v>
      </c>
      <c r="C462" t="s">
        <v>288</v>
      </c>
      <c r="D462">
        <v>2</v>
      </c>
      <c r="E462">
        <v>6</v>
      </c>
      <c r="F462">
        <v>50</v>
      </c>
      <c r="G462">
        <v>12</v>
      </c>
      <c r="H462">
        <v>10.8</v>
      </c>
      <c r="I462">
        <v>14.4</v>
      </c>
      <c r="J462">
        <v>16.5</v>
      </c>
      <c r="K462">
        <v>11.1</v>
      </c>
      <c r="L462">
        <f t="shared" si="1"/>
        <v>50</v>
      </c>
    </row>
    <row r="463" spans="1:12" x14ac:dyDescent="0.25">
      <c r="A463" t="s">
        <v>267</v>
      </c>
      <c r="B463" t="s">
        <v>287</v>
      </c>
      <c r="C463" t="s">
        <v>288</v>
      </c>
      <c r="D463">
        <v>2</v>
      </c>
      <c r="E463">
        <v>6</v>
      </c>
      <c r="F463">
        <v>60</v>
      </c>
      <c r="G463">
        <v>12</v>
      </c>
      <c r="H463">
        <v>10.8</v>
      </c>
      <c r="I463">
        <v>14.4</v>
      </c>
      <c r="J463">
        <v>16.5</v>
      </c>
      <c r="K463">
        <v>11.1</v>
      </c>
      <c r="L463">
        <f t="shared" si="1"/>
        <v>60</v>
      </c>
    </row>
    <row r="464" spans="1:12" x14ac:dyDescent="0.25">
      <c r="A464" t="s">
        <v>267</v>
      </c>
      <c r="B464" t="s">
        <v>287</v>
      </c>
      <c r="C464" t="s">
        <v>288</v>
      </c>
      <c r="D464">
        <v>2</v>
      </c>
      <c r="E464">
        <v>6</v>
      </c>
      <c r="F464">
        <v>70</v>
      </c>
      <c r="G464">
        <v>12</v>
      </c>
      <c r="H464">
        <v>10.8</v>
      </c>
      <c r="I464">
        <v>14.4</v>
      </c>
      <c r="J464">
        <v>16.5</v>
      </c>
      <c r="K464">
        <v>11.1</v>
      </c>
      <c r="L464">
        <f t="shared" si="1"/>
        <v>70</v>
      </c>
    </row>
    <row r="465" spans="1:12" x14ac:dyDescent="0.25">
      <c r="A465" t="s">
        <v>267</v>
      </c>
      <c r="B465" t="s">
        <v>287</v>
      </c>
      <c r="C465" t="s">
        <v>288</v>
      </c>
      <c r="D465">
        <v>2</v>
      </c>
      <c r="E465">
        <v>6</v>
      </c>
      <c r="F465">
        <v>80</v>
      </c>
      <c r="G465">
        <v>12</v>
      </c>
      <c r="H465">
        <v>10.8</v>
      </c>
      <c r="I465">
        <v>14.4</v>
      </c>
      <c r="J465">
        <v>16.5</v>
      </c>
      <c r="K465">
        <v>11.1</v>
      </c>
      <c r="L465">
        <f t="shared" si="1"/>
        <v>80</v>
      </c>
    </row>
    <row r="466" spans="1:12" x14ac:dyDescent="0.25">
      <c r="A466" t="s">
        <v>267</v>
      </c>
      <c r="B466" t="s">
        <v>287</v>
      </c>
      <c r="C466" t="s">
        <v>288</v>
      </c>
      <c r="D466">
        <v>2</v>
      </c>
      <c r="E466">
        <v>6</v>
      </c>
      <c r="F466">
        <v>90</v>
      </c>
      <c r="G466">
        <v>12</v>
      </c>
      <c r="H466">
        <v>10.8</v>
      </c>
      <c r="I466">
        <v>14.4</v>
      </c>
      <c r="J466">
        <v>16.5</v>
      </c>
      <c r="K466">
        <v>11.1</v>
      </c>
      <c r="L466">
        <f t="shared" si="1"/>
        <v>90</v>
      </c>
    </row>
    <row r="467" spans="1:12" x14ac:dyDescent="0.25">
      <c r="A467" t="s">
        <v>267</v>
      </c>
      <c r="B467" t="s">
        <v>291</v>
      </c>
      <c r="C467" t="s">
        <v>294</v>
      </c>
      <c r="D467">
        <v>1</v>
      </c>
      <c r="E467">
        <v>4</v>
      </c>
      <c r="F467">
        <v>30</v>
      </c>
      <c r="G467">
        <v>11</v>
      </c>
      <c r="H467">
        <v>3.1</v>
      </c>
      <c r="I467">
        <v>16.7</v>
      </c>
      <c r="J467">
        <v>31.1</v>
      </c>
      <c r="K467">
        <v>5.0999999999999996</v>
      </c>
      <c r="L467">
        <v>18</v>
      </c>
    </row>
    <row r="468" spans="1:12" x14ac:dyDescent="0.25">
      <c r="A468" t="s">
        <v>267</v>
      </c>
      <c r="B468" t="s">
        <v>291</v>
      </c>
      <c r="C468" t="s">
        <v>294</v>
      </c>
      <c r="D468">
        <v>1</v>
      </c>
      <c r="E468">
        <v>6</v>
      </c>
      <c r="F468">
        <v>50</v>
      </c>
      <c r="G468">
        <v>15.3</v>
      </c>
      <c r="H468">
        <v>9.5</v>
      </c>
      <c r="I468">
        <v>11</v>
      </c>
      <c r="J468">
        <v>8</v>
      </c>
      <c r="K468">
        <v>9.5</v>
      </c>
      <c r="L468">
        <v>40</v>
      </c>
    </row>
    <row r="469" spans="1:12" x14ac:dyDescent="0.25">
      <c r="A469" t="s">
        <v>267</v>
      </c>
      <c r="B469" t="s">
        <v>291</v>
      </c>
      <c r="C469" t="s">
        <v>294</v>
      </c>
      <c r="D469">
        <v>1</v>
      </c>
      <c r="E469">
        <v>6</v>
      </c>
      <c r="F469">
        <v>60</v>
      </c>
      <c r="G469">
        <v>15.3</v>
      </c>
      <c r="H469">
        <v>9.5</v>
      </c>
      <c r="I469">
        <v>11</v>
      </c>
      <c r="J469">
        <v>8</v>
      </c>
      <c r="K469">
        <v>9.5</v>
      </c>
      <c r="L469">
        <v>40</v>
      </c>
    </row>
    <row r="470" spans="1:12" x14ac:dyDescent="0.25">
      <c r="A470" t="s">
        <v>267</v>
      </c>
      <c r="B470" t="s">
        <v>291</v>
      </c>
      <c r="C470" t="s">
        <v>294</v>
      </c>
      <c r="D470">
        <v>1</v>
      </c>
      <c r="E470">
        <v>6</v>
      </c>
      <c r="F470">
        <v>80</v>
      </c>
      <c r="G470">
        <v>15.3</v>
      </c>
      <c r="H470">
        <v>9.5</v>
      </c>
      <c r="I470">
        <v>11</v>
      </c>
      <c r="J470">
        <v>8</v>
      </c>
      <c r="K470">
        <v>9.5</v>
      </c>
      <c r="L470">
        <v>40</v>
      </c>
    </row>
    <row r="471" spans="1:12" x14ac:dyDescent="0.25">
      <c r="A471" t="s">
        <v>267</v>
      </c>
      <c r="B471" t="s">
        <v>291</v>
      </c>
      <c r="C471" t="s">
        <v>294</v>
      </c>
      <c r="D471">
        <v>1</v>
      </c>
      <c r="E471">
        <v>6</v>
      </c>
      <c r="F471">
        <v>90</v>
      </c>
      <c r="G471">
        <v>15.3</v>
      </c>
      <c r="H471">
        <v>9.5</v>
      </c>
      <c r="I471">
        <v>11</v>
      </c>
      <c r="J471">
        <v>8</v>
      </c>
      <c r="K471">
        <v>9.5</v>
      </c>
      <c r="L471">
        <v>50</v>
      </c>
    </row>
    <row r="472" spans="1:12" x14ac:dyDescent="0.25">
      <c r="A472" t="s">
        <v>267</v>
      </c>
      <c r="B472" t="s">
        <v>291</v>
      </c>
      <c r="C472" t="s">
        <v>294</v>
      </c>
      <c r="D472">
        <v>1</v>
      </c>
      <c r="E472">
        <v>6</v>
      </c>
      <c r="F472">
        <v>100</v>
      </c>
      <c r="G472">
        <v>15.3</v>
      </c>
      <c r="H472">
        <v>9.5</v>
      </c>
      <c r="I472">
        <v>11</v>
      </c>
      <c r="J472">
        <v>8</v>
      </c>
      <c r="K472">
        <v>9.5</v>
      </c>
      <c r="L472">
        <v>50</v>
      </c>
    </row>
    <row r="473" spans="1:12" x14ac:dyDescent="0.25">
      <c r="A473" t="s">
        <v>267</v>
      </c>
      <c r="B473" t="s">
        <v>291</v>
      </c>
      <c r="C473" t="s">
        <v>294</v>
      </c>
      <c r="D473">
        <v>1</v>
      </c>
      <c r="E473">
        <v>6</v>
      </c>
      <c r="F473">
        <v>120</v>
      </c>
      <c r="G473">
        <v>15.3</v>
      </c>
      <c r="H473">
        <v>9.5</v>
      </c>
      <c r="I473">
        <v>11</v>
      </c>
      <c r="J473">
        <v>8</v>
      </c>
      <c r="K473">
        <v>9.5</v>
      </c>
      <c r="L473">
        <v>75</v>
      </c>
    </row>
    <row r="474" spans="1:12" x14ac:dyDescent="0.25">
      <c r="A474" t="s">
        <v>267</v>
      </c>
      <c r="B474" t="s">
        <v>291</v>
      </c>
      <c r="C474" t="s">
        <v>294</v>
      </c>
      <c r="D474">
        <v>1</v>
      </c>
      <c r="E474">
        <v>6</v>
      </c>
      <c r="F474">
        <v>140</v>
      </c>
      <c r="G474">
        <v>15.3</v>
      </c>
      <c r="H474">
        <v>9.5</v>
      </c>
      <c r="I474">
        <v>11</v>
      </c>
      <c r="J474">
        <v>8</v>
      </c>
      <c r="K474">
        <v>9.5</v>
      </c>
      <c r="L474">
        <v>75</v>
      </c>
    </row>
    <row r="475" spans="1:12" x14ac:dyDescent="0.25">
      <c r="A475" t="s">
        <v>267</v>
      </c>
      <c r="B475" t="s">
        <v>291</v>
      </c>
      <c r="C475" t="s">
        <v>294</v>
      </c>
      <c r="D475">
        <v>1</v>
      </c>
      <c r="E475">
        <v>8</v>
      </c>
      <c r="F475">
        <v>70</v>
      </c>
      <c r="G475">
        <v>22</v>
      </c>
      <c r="H475">
        <v>20</v>
      </c>
      <c r="I475">
        <v>11</v>
      </c>
      <c r="J475">
        <v>8</v>
      </c>
      <c r="K475">
        <v>19</v>
      </c>
      <c r="L475">
        <v>40</v>
      </c>
    </row>
    <row r="476" spans="1:12" x14ac:dyDescent="0.25">
      <c r="A476" t="s">
        <v>267</v>
      </c>
      <c r="B476" t="s">
        <v>291</v>
      </c>
      <c r="C476" t="s">
        <v>294</v>
      </c>
      <c r="D476">
        <v>1</v>
      </c>
      <c r="E476">
        <v>8</v>
      </c>
      <c r="F476">
        <v>80</v>
      </c>
      <c r="G476">
        <v>22</v>
      </c>
      <c r="H476">
        <v>20</v>
      </c>
      <c r="I476">
        <v>11</v>
      </c>
      <c r="J476">
        <v>8</v>
      </c>
      <c r="K476">
        <v>19</v>
      </c>
      <c r="L476">
        <v>40</v>
      </c>
    </row>
    <row r="477" spans="1:12" x14ac:dyDescent="0.25">
      <c r="A477" t="s">
        <v>267</v>
      </c>
      <c r="B477" t="s">
        <v>291</v>
      </c>
      <c r="C477" t="s">
        <v>294</v>
      </c>
      <c r="D477">
        <v>1</v>
      </c>
      <c r="E477">
        <v>8</v>
      </c>
      <c r="F477">
        <v>90</v>
      </c>
      <c r="G477">
        <v>22</v>
      </c>
      <c r="H477">
        <v>20</v>
      </c>
      <c r="I477">
        <v>11</v>
      </c>
      <c r="J477">
        <v>8</v>
      </c>
      <c r="K477">
        <v>19</v>
      </c>
      <c r="L477">
        <v>50</v>
      </c>
    </row>
    <row r="478" spans="1:12" x14ac:dyDescent="0.25">
      <c r="A478" t="s">
        <v>267</v>
      </c>
      <c r="B478" t="s">
        <v>291</v>
      </c>
      <c r="C478" t="s">
        <v>294</v>
      </c>
      <c r="D478">
        <v>1</v>
      </c>
      <c r="E478">
        <v>8</v>
      </c>
      <c r="F478">
        <v>100</v>
      </c>
      <c r="G478">
        <v>22</v>
      </c>
      <c r="H478">
        <v>20</v>
      </c>
      <c r="I478">
        <v>11</v>
      </c>
      <c r="J478">
        <v>8</v>
      </c>
      <c r="K478">
        <v>19</v>
      </c>
      <c r="L478">
        <v>80</v>
      </c>
    </row>
    <row r="479" spans="1:12" x14ac:dyDescent="0.25">
      <c r="A479" t="s">
        <v>267</v>
      </c>
      <c r="B479" t="s">
        <v>291</v>
      </c>
      <c r="C479" t="s">
        <v>294</v>
      </c>
      <c r="D479">
        <v>1</v>
      </c>
      <c r="E479">
        <v>8</v>
      </c>
      <c r="F479">
        <v>120</v>
      </c>
      <c r="G479">
        <v>22</v>
      </c>
      <c r="H479">
        <v>20</v>
      </c>
      <c r="I479">
        <v>11</v>
      </c>
      <c r="J479">
        <v>8</v>
      </c>
      <c r="K479">
        <v>19</v>
      </c>
      <c r="L479">
        <v>80</v>
      </c>
    </row>
    <row r="480" spans="1:12" x14ac:dyDescent="0.25">
      <c r="A480" t="s">
        <v>267</v>
      </c>
      <c r="B480" t="s">
        <v>291</v>
      </c>
      <c r="C480" t="s">
        <v>294</v>
      </c>
      <c r="D480">
        <v>1</v>
      </c>
      <c r="E480">
        <v>8</v>
      </c>
      <c r="F480">
        <v>140</v>
      </c>
      <c r="G480">
        <v>22</v>
      </c>
      <c r="H480">
        <v>20</v>
      </c>
      <c r="I480">
        <v>11</v>
      </c>
      <c r="J480">
        <v>8</v>
      </c>
      <c r="K480">
        <v>19</v>
      </c>
      <c r="L480">
        <v>80</v>
      </c>
    </row>
    <row r="481" spans="1:12" x14ac:dyDescent="0.25">
      <c r="A481" t="s">
        <v>267</v>
      </c>
      <c r="B481" t="s">
        <v>291</v>
      </c>
      <c r="C481" t="s">
        <v>294</v>
      </c>
      <c r="D481">
        <v>1</v>
      </c>
      <c r="E481">
        <v>8</v>
      </c>
      <c r="F481">
        <v>160</v>
      </c>
      <c r="G481">
        <v>22</v>
      </c>
      <c r="H481">
        <v>20</v>
      </c>
      <c r="I481">
        <v>11</v>
      </c>
      <c r="J481">
        <v>8</v>
      </c>
      <c r="K481">
        <v>19</v>
      </c>
      <c r="L481">
        <v>80</v>
      </c>
    </row>
    <row r="482" spans="1:12" x14ac:dyDescent="0.25">
      <c r="A482" t="s">
        <v>267</v>
      </c>
      <c r="B482" t="s">
        <v>291</v>
      </c>
      <c r="C482" t="s">
        <v>294</v>
      </c>
      <c r="D482">
        <v>1</v>
      </c>
      <c r="E482">
        <v>8</v>
      </c>
      <c r="F482">
        <v>180</v>
      </c>
      <c r="G482">
        <v>22</v>
      </c>
      <c r="H482">
        <v>20</v>
      </c>
      <c r="I482">
        <v>11</v>
      </c>
      <c r="J482">
        <v>8</v>
      </c>
      <c r="K482">
        <v>19</v>
      </c>
      <c r="L482">
        <v>80</v>
      </c>
    </row>
    <row r="483" spans="1:12" x14ac:dyDescent="0.25">
      <c r="A483" t="s">
        <v>267</v>
      </c>
      <c r="B483" t="s">
        <v>291</v>
      </c>
      <c r="C483" t="s">
        <v>294</v>
      </c>
      <c r="D483">
        <v>1</v>
      </c>
      <c r="E483">
        <v>8</v>
      </c>
      <c r="F483">
        <v>200</v>
      </c>
      <c r="G483">
        <v>22</v>
      </c>
      <c r="H483">
        <v>20</v>
      </c>
      <c r="I483">
        <v>11</v>
      </c>
      <c r="J483">
        <v>8</v>
      </c>
      <c r="K483">
        <v>19</v>
      </c>
      <c r="L483">
        <v>100</v>
      </c>
    </row>
    <row r="484" spans="1:12" x14ac:dyDescent="0.25">
      <c r="A484" t="s">
        <v>267</v>
      </c>
      <c r="B484" t="s">
        <v>291</v>
      </c>
      <c r="C484" t="s">
        <v>294</v>
      </c>
      <c r="D484">
        <v>1</v>
      </c>
      <c r="E484">
        <v>8</v>
      </c>
      <c r="F484">
        <v>240</v>
      </c>
      <c r="G484">
        <v>22</v>
      </c>
      <c r="H484">
        <v>20</v>
      </c>
      <c r="I484">
        <v>11</v>
      </c>
      <c r="J484">
        <v>8</v>
      </c>
      <c r="K484">
        <v>19</v>
      </c>
      <c r="L484">
        <v>100</v>
      </c>
    </row>
    <row r="485" spans="1:12" x14ac:dyDescent="0.25">
      <c r="A485" t="s">
        <v>267</v>
      </c>
      <c r="B485" t="s">
        <v>291</v>
      </c>
      <c r="C485" t="s">
        <v>294</v>
      </c>
      <c r="D485">
        <v>1</v>
      </c>
      <c r="E485">
        <v>8</v>
      </c>
      <c r="F485">
        <v>280</v>
      </c>
      <c r="G485">
        <v>22</v>
      </c>
      <c r="H485">
        <v>20</v>
      </c>
      <c r="I485">
        <v>11</v>
      </c>
      <c r="J485">
        <v>8</v>
      </c>
      <c r="K485">
        <v>19</v>
      </c>
      <c r="L485">
        <v>100</v>
      </c>
    </row>
    <row r="486" spans="1:12" x14ac:dyDescent="0.25">
      <c r="A486" t="s">
        <v>267</v>
      </c>
      <c r="B486" t="s">
        <v>291</v>
      </c>
      <c r="C486" t="s">
        <v>294</v>
      </c>
      <c r="D486">
        <v>1</v>
      </c>
      <c r="E486">
        <v>8</v>
      </c>
      <c r="F486">
        <v>320</v>
      </c>
      <c r="G486">
        <v>22</v>
      </c>
      <c r="H486">
        <v>20</v>
      </c>
      <c r="I486">
        <v>11</v>
      </c>
      <c r="J486">
        <v>8</v>
      </c>
      <c r="K486">
        <v>19</v>
      </c>
      <c r="L486">
        <v>100</v>
      </c>
    </row>
    <row r="487" spans="1:12" x14ac:dyDescent="0.25">
      <c r="A487" t="s">
        <v>267</v>
      </c>
      <c r="B487" t="s">
        <v>291</v>
      </c>
      <c r="C487" t="s">
        <v>294</v>
      </c>
      <c r="D487">
        <v>1</v>
      </c>
      <c r="E487">
        <v>10</v>
      </c>
      <c r="F487">
        <v>80</v>
      </c>
      <c r="G487">
        <v>25</v>
      </c>
      <c r="H487">
        <v>36</v>
      </c>
      <c r="I487">
        <v>10</v>
      </c>
      <c r="J487">
        <v>8</v>
      </c>
      <c r="K487">
        <v>25</v>
      </c>
      <c r="L487">
        <v>40</v>
      </c>
    </row>
    <row r="488" spans="1:12" x14ac:dyDescent="0.25">
      <c r="A488" t="s">
        <v>267</v>
      </c>
      <c r="B488" t="s">
        <v>291</v>
      </c>
      <c r="C488" t="s">
        <v>294</v>
      </c>
      <c r="D488">
        <v>1</v>
      </c>
      <c r="E488">
        <v>10</v>
      </c>
      <c r="F488">
        <v>100</v>
      </c>
      <c r="G488">
        <v>25</v>
      </c>
      <c r="H488">
        <v>36</v>
      </c>
      <c r="I488">
        <v>10</v>
      </c>
      <c r="J488">
        <v>8</v>
      </c>
      <c r="K488">
        <v>25</v>
      </c>
      <c r="L488">
        <v>60</v>
      </c>
    </row>
    <row r="489" spans="1:12" x14ac:dyDescent="0.25">
      <c r="A489" t="s">
        <v>267</v>
      </c>
      <c r="B489" t="s">
        <v>291</v>
      </c>
      <c r="C489" t="s">
        <v>294</v>
      </c>
      <c r="D489">
        <v>1</v>
      </c>
      <c r="E489">
        <v>10</v>
      </c>
      <c r="F489">
        <v>120</v>
      </c>
      <c r="G489">
        <v>25</v>
      </c>
      <c r="H489">
        <v>36</v>
      </c>
      <c r="I489">
        <v>10</v>
      </c>
      <c r="J489">
        <v>8</v>
      </c>
      <c r="K489">
        <v>25</v>
      </c>
      <c r="L489">
        <v>80</v>
      </c>
    </row>
    <row r="490" spans="1:12" x14ac:dyDescent="0.25">
      <c r="A490" t="s">
        <v>267</v>
      </c>
      <c r="B490" t="s">
        <v>291</v>
      </c>
      <c r="C490" t="s">
        <v>294</v>
      </c>
      <c r="D490">
        <v>1</v>
      </c>
      <c r="E490">
        <v>10</v>
      </c>
      <c r="F490">
        <v>140</v>
      </c>
      <c r="G490">
        <v>25</v>
      </c>
      <c r="H490">
        <v>36</v>
      </c>
      <c r="I490">
        <v>10</v>
      </c>
      <c r="J490">
        <v>8</v>
      </c>
      <c r="K490">
        <v>25</v>
      </c>
      <c r="L490">
        <v>80</v>
      </c>
    </row>
    <row r="491" spans="1:12" x14ac:dyDescent="0.25">
      <c r="A491" t="s">
        <v>267</v>
      </c>
      <c r="B491" t="s">
        <v>291</v>
      </c>
      <c r="C491" t="s">
        <v>294</v>
      </c>
      <c r="D491">
        <v>1</v>
      </c>
      <c r="E491">
        <v>10</v>
      </c>
      <c r="F491">
        <v>160</v>
      </c>
      <c r="G491">
        <v>25</v>
      </c>
      <c r="H491">
        <v>36</v>
      </c>
      <c r="I491">
        <v>10</v>
      </c>
      <c r="J491">
        <v>8</v>
      </c>
      <c r="K491">
        <v>25</v>
      </c>
      <c r="L491">
        <v>80</v>
      </c>
    </row>
    <row r="492" spans="1:12" x14ac:dyDescent="0.25">
      <c r="A492" t="s">
        <v>267</v>
      </c>
      <c r="B492" t="s">
        <v>291</v>
      </c>
      <c r="C492" t="s">
        <v>294</v>
      </c>
      <c r="D492">
        <v>1</v>
      </c>
      <c r="E492">
        <v>10</v>
      </c>
      <c r="F492">
        <v>180</v>
      </c>
      <c r="G492">
        <v>25</v>
      </c>
      <c r="H492">
        <v>36</v>
      </c>
      <c r="I492">
        <v>10</v>
      </c>
      <c r="J492">
        <v>8</v>
      </c>
      <c r="K492">
        <v>25</v>
      </c>
      <c r="L492">
        <v>80</v>
      </c>
    </row>
    <row r="493" spans="1:12" x14ac:dyDescent="0.25">
      <c r="A493" t="s">
        <v>267</v>
      </c>
      <c r="B493" t="s">
        <v>291</v>
      </c>
      <c r="C493" t="s">
        <v>294</v>
      </c>
      <c r="D493">
        <v>1</v>
      </c>
      <c r="E493">
        <v>10</v>
      </c>
      <c r="F493">
        <v>200</v>
      </c>
      <c r="G493">
        <v>25</v>
      </c>
      <c r="H493">
        <v>36</v>
      </c>
      <c r="I493">
        <v>10</v>
      </c>
      <c r="J493">
        <v>8</v>
      </c>
      <c r="K493">
        <v>25</v>
      </c>
      <c r="L493">
        <v>100</v>
      </c>
    </row>
    <row r="494" spans="1:12" x14ac:dyDescent="0.25">
      <c r="A494" t="s">
        <v>267</v>
      </c>
      <c r="B494" t="s">
        <v>291</v>
      </c>
      <c r="C494" t="s">
        <v>294</v>
      </c>
      <c r="D494">
        <v>1</v>
      </c>
      <c r="E494">
        <v>10</v>
      </c>
      <c r="F494">
        <v>240</v>
      </c>
      <c r="G494">
        <v>25</v>
      </c>
      <c r="H494">
        <v>36</v>
      </c>
      <c r="I494">
        <v>10</v>
      </c>
      <c r="J494">
        <v>8</v>
      </c>
      <c r="K494">
        <v>25</v>
      </c>
      <c r="L494">
        <v>100</v>
      </c>
    </row>
    <row r="495" spans="1:12" x14ac:dyDescent="0.25">
      <c r="A495" t="s">
        <v>267</v>
      </c>
      <c r="B495" t="s">
        <v>295</v>
      </c>
      <c r="C495" t="s">
        <v>293</v>
      </c>
      <c r="D495">
        <v>3</v>
      </c>
      <c r="E495">
        <v>6</v>
      </c>
      <c r="F495">
        <v>40</v>
      </c>
      <c r="G495">
        <v>15.3</v>
      </c>
      <c r="H495">
        <v>9.5</v>
      </c>
      <c r="I495">
        <v>11</v>
      </c>
      <c r="J495">
        <v>8</v>
      </c>
      <c r="K495">
        <v>9.5</v>
      </c>
      <c r="L495">
        <v>35</v>
      </c>
    </row>
    <row r="496" spans="1:12" x14ac:dyDescent="0.25">
      <c r="A496" t="s">
        <v>267</v>
      </c>
      <c r="B496" t="s">
        <v>295</v>
      </c>
      <c r="C496" t="s">
        <v>293</v>
      </c>
      <c r="D496">
        <v>3</v>
      </c>
      <c r="E496">
        <v>6</v>
      </c>
      <c r="F496">
        <v>50</v>
      </c>
      <c r="G496">
        <v>15.3</v>
      </c>
      <c r="H496">
        <v>9.5</v>
      </c>
      <c r="I496">
        <v>11</v>
      </c>
      <c r="J496">
        <v>8</v>
      </c>
      <c r="K496">
        <v>9.5</v>
      </c>
      <c r="L496">
        <v>40</v>
      </c>
    </row>
    <row r="497" spans="1:12" x14ac:dyDescent="0.25">
      <c r="A497" t="s">
        <v>267</v>
      </c>
      <c r="B497" t="s">
        <v>295</v>
      </c>
      <c r="C497" t="s">
        <v>293</v>
      </c>
      <c r="D497">
        <v>3</v>
      </c>
      <c r="E497">
        <v>6</v>
      </c>
      <c r="F497">
        <v>60</v>
      </c>
      <c r="G497">
        <v>15.3</v>
      </c>
      <c r="H497">
        <v>9.5</v>
      </c>
      <c r="I497">
        <v>11</v>
      </c>
      <c r="J497">
        <v>8</v>
      </c>
      <c r="K497">
        <v>9.5</v>
      </c>
      <c r="L497">
        <v>40</v>
      </c>
    </row>
    <row r="498" spans="1:12" x14ac:dyDescent="0.25">
      <c r="A498" t="s">
        <v>267</v>
      </c>
      <c r="B498" t="s">
        <v>295</v>
      </c>
      <c r="C498" t="s">
        <v>293</v>
      </c>
      <c r="D498">
        <v>3</v>
      </c>
      <c r="E498">
        <v>6</v>
      </c>
      <c r="F498">
        <v>70</v>
      </c>
      <c r="G498">
        <v>15.3</v>
      </c>
      <c r="H498">
        <v>9.5</v>
      </c>
      <c r="I498">
        <v>11</v>
      </c>
      <c r="J498">
        <v>8</v>
      </c>
      <c r="K498">
        <v>9.5</v>
      </c>
      <c r="L498">
        <v>40</v>
      </c>
    </row>
    <row r="499" spans="1:12" x14ac:dyDescent="0.25">
      <c r="A499" t="s">
        <v>267</v>
      </c>
      <c r="B499" t="s">
        <v>295</v>
      </c>
      <c r="C499" t="s">
        <v>293</v>
      </c>
      <c r="D499">
        <v>3</v>
      </c>
      <c r="E499">
        <v>6</v>
      </c>
      <c r="F499">
        <v>80</v>
      </c>
      <c r="G499">
        <v>15.3</v>
      </c>
      <c r="H499">
        <v>9.5</v>
      </c>
      <c r="I499">
        <v>11</v>
      </c>
      <c r="J499">
        <v>8</v>
      </c>
      <c r="K499">
        <v>9.5</v>
      </c>
      <c r="L499">
        <v>40</v>
      </c>
    </row>
    <row r="500" spans="1:12" x14ac:dyDescent="0.25">
      <c r="A500" t="s">
        <v>267</v>
      </c>
      <c r="B500" t="s">
        <v>295</v>
      </c>
      <c r="C500" t="s">
        <v>293</v>
      </c>
      <c r="D500">
        <v>3</v>
      </c>
      <c r="E500">
        <v>6</v>
      </c>
      <c r="F500">
        <v>90</v>
      </c>
      <c r="G500">
        <v>15.3</v>
      </c>
      <c r="H500">
        <v>9.5</v>
      </c>
      <c r="I500">
        <v>11</v>
      </c>
      <c r="J500">
        <v>8</v>
      </c>
      <c r="K500">
        <v>9.5</v>
      </c>
      <c r="L500">
        <v>50</v>
      </c>
    </row>
    <row r="501" spans="1:12" x14ac:dyDescent="0.25">
      <c r="A501" t="s">
        <v>267</v>
      </c>
      <c r="B501" t="s">
        <v>295</v>
      </c>
      <c r="C501" t="s">
        <v>293</v>
      </c>
      <c r="D501">
        <v>3</v>
      </c>
      <c r="E501">
        <v>6</v>
      </c>
      <c r="F501">
        <v>100</v>
      </c>
      <c r="G501">
        <v>15.3</v>
      </c>
      <c r="H501">
        <v>9.5</v>
      </c>
      <c r="I501">
        <v>11</v>
      </c>
      <c r="J501">
        <v>8</v>
      </c>
      <c r="K501">
        <v>9.5</v>
      </c>
      <c r="L501">
        <v>50</v>
      </c>
    </row>
    <row r="502" spans="1:12" x14ac:dyDescent="0.25">
      <c r="A502" t="s">
        <v>267</v>
      </c>
      <c r="B502" t="s">
        <v>295</v>
      </c>
      <c r="C502" t="s">
        <v>293</v>
      </c>
      <c r="D502">
        <v>3</v>
      </c>
      <c r="E502">
        <v>6</v>
      </c>
      <c r="F502">
        <v>120</v>
      </c>
      <c r="G502">
        <v>15.3</v>
      </c>
      <c r="H502">
        <v>9.5</v>
      </c>
      <c r="I502">
        <v>11</v>
      </c>
      <c r="J502">
        <v>8</v>
      </c>
      <c r="K502">
        <v>9.5</v>
      </c>
      <c r="L502">
        <v>75</v>
      </c>
    </row>
    <row r="503" spans="1:12" x14ac:dyDescent="0.25">
      <c r="A503" t="s">
        <v>267</v>
      </c>
      <c r="B503" t="s">
        <v>295</v>
      </c>
      <c r="C503" t="s">
        <v>293</v>
      </c>
      <c r="D503">
        <v>3</v>
      </c>
      <c r="E503">
        <v>6</v>
      </c>
      <c r="F503">
        <v>140</v>
      </c>
      <c r="G503">
        <v>15.3</v>
      </c>
      <c r="H503">
        <v>9.5</v>
      </c>
      <c r="I503">
        <v>11</v>
      </c>
      <c r="J503">
        <v>8</v>
      </c>
      <c r="K503">
        <v>9.5</v>
      </c>
      <c r="L503">
        <v>75</v>
      </c>
    </row>
    <row r="504" spans="1:12" x14ac:dyDescent="0.25">
      <c r="A504" t="s">
        <v>267</v>
      </c>
      <c r="B504" t="s">
        <v>295</v>
      </c>
      <c r="C504" t="s">
        <v>293</v>
      </c>
      <c r="D504">
        <v>3</v>
      </c>
      <c r="E504">
        <v>6</v>
      </c>
      <c r="F504">
        <v>180</v>
      </c>
      <c r="G504">
        <v>15.3</v>
      </c>
      <c r="H504">
        <v>9.5</v>
      </c>
      <c r="I504">
        <v>11</v>
      </c>
      <c r="J504">
        <v>8</v>
      </c>
      <c r="K504">
        <v>9.5</v>
      </c>
      <c r="L504">
        <v>75</v>
      </c>
    </row>
    <row r="505" spans="1:12" x14ac:dyDescent="0.25">
      <c r="A505" t="s">
        <v>267</v>
      </c>
      <c r="B505" t="s">
        <v>295</v>
      </c>
      <c r="C505" t="s">
        <v>293</v>
      </c>
      <c r="D505">
        <v>3</v>
      </c>
      <c r="E505">
        <v>6</v>
      </c>
      <c r="F505">
        <v>200</v>
      </c>
      <c r="G505">
        <v>15.3</v>
      </c>
      <c r="H505">
        <v>9.5</v>
      </c>
      <c r="I505">
        <v>11</v>
      </c>
      <c r="J505">
        <v>8</v>
      </c>
      <c r="K505">
        <v>9.5</v>
      </c>
      <c r="L505">
        <v>75</v>
      </c>
    </row>
    <row r="506" spans="1:12" x14ac:dyDescent="0.25">
      <c r="A506" t="s">
        <v>267</v>
      </c>
      <c r="B506" t="s">
        <v>295</v>
      </c>
      <c r="C506" t="s">
        <v>293</v>
      </c>
      <c r="D506">
        <v>3</v>
      </c>
      <c r="E506">
        <v>6</v>
      </c>
      <c r="F506">
        <v>220</v>
      </c>
      <c r="G506">
        <v>15.3</v>
      </c>
      <c r="H506">
        <v>9.5</v>
      </c>
      <c r="I506">
        <v>11</v>
      </c>
      <c r="J506">
        <v>8</v>
      </c>
      <c r="K506">
        <v>9.5</v>
      </c>
      <c r="L506">
        <v>75</v>
      </c>
    </row>
    <row r="507" spans="1:12" x14ac:dyDescent="0.25">
      <c r="A507" t="s">
        <v>267</v>
      </c>
      <c r="B507" t="s">
        <v>295</v>
      </c>
      <c r="C507" t="s">
        <v>293</v>
      </c>
      <c r="D507">
        <v>3</v>
      </c>
      <c r="E507">
        <v>8</v>
      </c>
      <c r="F507">
        <v>40</v>
      </c>
      <c r="G507">
        <v>22</v>
      </c>
      <c r="H507">
        <v>20</v>
      </c>
      <c r="I507">
        <v>11</v>
      </c>
      <c r="J507">
        <v>8</v>
      </c>
      <c r="K507">
        <v>19</v>
      </c>
      <c r="L507">
        <v>35</v>
      </c>
    </row>
    <row r="508" spans="1:12" x14ac:dyDescent="0.25">
      <c r="A508" t="s">
        <v>267</v>
      </c>
      <c r="B508" t="s">
        <v>295</v>
      </c>
      <c r="C508" t="s">
        <v>293</v>
      </c>
      <c r="D508">
        <v>3</v>
      </c>
      <c r="E508">
        <v>8</v>
      </c>
      <c r="F508">
        <v>50</v>
      </c>
      <c r="G508">
        <v>22</v>
      </c>
      <c r="H508">
        <v>20</v>
      </c>
      <c r="I508">
        <v>11</v>
      </c>
      <c r="J508">
        <v>8</v>
      </c>
      <c r="K508">
        <v>19</v>
      </c>
      <c r="L508">
        <v>40</v>
      </c>
    </row>
    <row r="509" spans="1:12" x14ac:dyDescent="0.25">
      <c r="A509" t="s">
        <v>267</v>
      </c>
      <c r="B509" t="s">
        <v>295</v>
      </c>
      <c r="C509" t="s">
        <v>293</v>
      </c>
      <c r="D509">
        <v>3</v>
      </c>
      <c r="E509">
        <v>8</v>
      </c>
      <c r="F509">
        <v>60</v>
      </c>
      <c r="G509">
        <v>22</v>
      </c>
      <c r="H509">
        <v>20</v>
      </c>
      <c r="I509">
        <v>11</v>
      </c>
      <c r="J509">
        <v>8</v>
      </c>
      <c r="K509">
        <v>19</v>
      </c>
      <c r="L509">
        <v>40</v>
      </c>
    </row>
    <row r="510" spans="1:12" x14ac:dyDescent="0.25">
      <c r="A510" t="s">
        <v>267</v>
      </c>
      <c r="B510" t="s">
        <v>295</v>
      </c>
      <c r="C510" t="s">
        <v>293</v>
      </c>
      <c r="D510">
        <v>3</v>
      </c>
      <c r="E510">
        <v>8</v>
      </c>
      <c r="F510">
        <v>70</v>
      </c>
      <c r="G510">
        <v>22</v>
      </c>
      <c r="H510">
        <v>20</v>
      </c>
      <c r="I510">
        <v>11</v>
      </c>
      <c r="J510">
        <v>8</v>
      </c>
      <c r="K510">
        <v>19</v>
      </c>
      <c r="L510">
        <v>40</v>
      </c>
    </row>
    <row r="511" spans="1:12" x14ac:dyDescent="0.25">
      <c r="A511" t="s">
        <v>267</v>
      </c>
      <c r="B511" t="s">
        <v>295</v>
      </c>
      <c r="C511" t="s">
        <v>293</v>
      </c>
      <c r="D511">
        <v>3</v>
      </c>
      <c r="E511">
        <v>8</v>
      </c>
      <c r="F511">
        <v>80</v>
      </c>
      <c r="G511">
        <v>22</v>
      </c>
      <c r="H511">
        <v>20</v>
      </c>
      <c r="I511">
        <v>11</v>
      </c>
      <c r="J511">
        <v>8</v>
      </c>
      <c r="K511">
        <v>19</v>
      </c>
      <c r="L511">
        <v>40</v>
      </c>
    </row>
    <row r="512" spans="1:12" x14ac:dyDescent="0.25">
      <c r="A512" t="s">
        <v>267</v>
      </c>
      <c r="B512" t="s">
        <v>295</v>
      </c>
      <c r="C512" t="s">
        <v>293</v>
      </c>
      <c r="D512">
        <v>3</v>
      </c>
      <c r="E512">
        <v>8</v>
      </c>
      <c r="F512">
        <v>90</v>
      </c>
      <c r="G512">
        <v>22</v>
      </c>
      <c r="H512">
        <v>20</v>
      </c>
      <c r="I512">
        <v>11</v>
      </c>
      <c r="J512">
        <v>8</v>
      </c>
      <c r="K512">
        <v>19</v>
      </c>
      <c r="L512">
        <v>50</v>
      </c>
    </row>
    <row r="513" spans="1:12" x14ac:dyDescent="0.25">
      <c r="A513" t="s">
        <v>267</v>
      </c>
      <c r="B513" t="s">
        <v>295</v>
      </c>
      <c r="C513" t="s">
        <v>293</v>
      </c>
      <c r="D513">
        <v>3</v>
      </c>
      <c r="E513">
        <v>8</v>
      </c>
      <c r="F513">
        <v>100</v>
      </c>
      <c r="G513">
        <v>22</v>
      </c>
      <c r="H513">
        <v>20</v>
      </c>
      <c r="I513">
        <v>11</v>
      </c>
      <c r="J513">
        <v>8</v>
      </c>
      <c r="K513">
        <v>19</v>
      </c>
      <c r="L513">
        <v>60</v>
      </c>
    </row>
    <row r="514" spans="1:12" x14ac:dyDescent="0.25">
      <c r="A514" t="s">
        <v>267</v>
      </c>
      <c r="B514" t="s">
        <v>295</v>
      </c>
      <c r="C514" t="s">
        <v>293</v>
      </c>
      <c r="D514">
        <v>3</v>
      </c>
      <c r="E514">
        <v>8</v>
      </c>
      <c r="F514">
        <v>120</v>
      </c>
      <c r="G514">
        <v>22</v>
      </c>
      <c r="H514">
        <v>20</v>
      </c>
      <c r="I514">
        <v>11</v>
      </c>
      <c r="J514">
        <v>8</v>
      </c>
      <c r="K514">
        <v>19</v>
      </c>
      <c r="L514">
        <v>80</v>
      </c>
    </row>
    <row r="515" spans="1:12" x14ac:dyDescent="0.25">
      <c r="A515" t="s">
        <v>267</v>
      </c>
      <c r="B515" t="s">
        <v>295</v>
      </c>
      <c r="C515" t="s">
        <v>293</v>
      </c>
      <c r="D515">
        <v>3</v>
      </c>
      <c r="E515">
        <v>8</v>
      </c>
      <c r="F515">
        <v>140</v>
      </c>
      <c r="G515">
        <v>22</v>
      </c>
      <c r="H515">
        <v>20</v>
      </c>
      <c r="I515">
        <v>11</v>
      </c>
      <c r="J515">
        <v>8</v>
      </c>
      <c r="K515">
        <v>19</v>
      </c>
      <c r="L515">
        <v>80</v>
      </c>
    </row>
    <row r="516" spans="1:12" x14ac:dyDescent="0.25">
      <c r="A516" t="s">
        <v>267</v>
      </c>
      <c r="B516" t="s">
        <v>295</v>
      </c>
      <c r="C516" t="s">
        <v>293</v>
      </c>
      <c r="D516">
        <v>3</v>
      </c>
      <c r="E516">
        <v>8</v>
      </c>
      <c r="F516">
        <v>180</v>
      </c>
      <c r="G516">
        <v>22</v>
      </c>
      <c r="H516">
        <v>20</v>
      </c>
      <c r="I516">
        <v>11</v>
      </c>
      <c r="J516">
        <v>8</v>
      </c>
      <c r="K516">
        <v>19</v>
      </c>
      <c r="L516">
        <v>80</v>
      </c>
    </row>
    <row r="517" spans="1:12" x14ac:dyDescent="0.25">
      <c r="A517" t="s">
        <v>267</v>
      </c>
      <c r="B517" t="s">
        <v>295</v>
      </c>
      <c r="C517" t="s">
        <v>293</v>
      </c>
      <c r="D517">
        <v>3</v>
      </c>
      <c r="E517">
        <v>8</v>
      </c>
      <c r="F517">
        <v>200</v>
      </c>
      <c r="G517">
        <v>22</v>
      </c>
      <c r="H517">
        <v>20</v>
      </c>
      <c r="I517">
        <v>11</v>
      </c>
      <c r="J517">
        <v>8</v>
      </c>
      <c r="K517">
        <v>19</v>
      </c>
      <c r="L517">
        <v>100</v>
      </c>
    </row>
    <row r="518" spans="1:12" x14ac:dyDescent="0.25">
      <c r="A518" t="s">
        <v>267</v>
      </c>
      <c r="B518" t="s">
        <v>295</v>
      </c>
      <c r="C518" t="s">
        <v>293</v>
      </c>
      <c r="D518">
        <v>3</v>
      </c>
      <c r="E518">
        <v>8</v>
      </c>
      <c r="F518">
        <v>220</v>
      </c>
      <c r="G518">
        <v>22</v>
      </c>
      <c r="H518">
        <v>20</v>
      </c>
      <c r="I518">
        <v>11</v>
      </c>
      <c r="J518">
        <v>8</v>
      </c>
      <c r="K518">
        <v>19</v>
      </c>
      <c r="L518">
        <v>100</v>
      </c>
    </row>
    <row r="519" spans="1:12" x14ac:dyDescent="0.25">
      <c r="A519" t="s">
        <v>267</v>
      </c>
      <c r="B519" t="s">
        <v>295</v>
      </c>
      <c r="C519" t="s">
        <v>293</v>
      </c>
      <c r="D519">
        <v>3</v>
      </c>
      <c r="E519">
        <v>8</v>
      </c>
      <c r="F519">
        <v>240</v>
      </c>
      <c r="G519">
        <v>22</v>
      </c>
      <c r="H519">
        <v>20</v>
      </c>
      <c r="I519">
        <v>11</v>
      </c>
      <c r="J519">
        <v>8</v>
      </c>
      <c r="K519">
        <v>19</v>
      </c>
      <c r="L519">
        <v>100</v>
      </c>
    </row>
    <row r="520" spans="1:12" x14ac:dyDescent="0.25">
      <c r="A520" t="s">
        <v>267</v>
      </c>
      <c r="B520" t="s">
        <v>295</v>
      </c>
      <c r="C520" t="s">
        <v>293</v>
      </c>
      <c r="D520">
        <v>3</v>
      </c>
      <c r="E520">
        <v>8</v>
      </c>
      <c r="F520">
        <v>280</v>
      </c>
      <c r="G520">
        <v>22</v>
      </c>
      <c r="H520">
        <v>20</v>
      </c>
      <c r="I520">
        <v>11</v>
      </c>
      <c r="J520">
        <v>8</v>
      </c>
      <c r="K520">
        <v>19</v>
      </c>
      <c r="L520">
        <v>100</v>
      </c>
    </row>
    <row r="521" spans="1:12" x14ac:dyDescent="0.25">
      <c r="A521" t="s">
        <v>267</v>
      </c>
      <c r="B521" t="s">
        <v>295</v>
      </c>
      <c r="C521" t="s">
        <v>293</v>
      </c>
      <c r="D521">
        <v>3</v>
      </c>
      <c r="E521">
        <v>8</v>
      </c>
      <c r="F521">
        <v>300</v>
      </c>
      <c r="G521">
        <v>22</v>
      </c>
      <c r="H521">
        <v>20</v>
      </c>
      <c r="I521">
        <v>11</v>
      </c>
      <c r="J521">
        <v>8</v>
      </c>
      <c r="K521">
        <v>19</v>
      </c>
      <c r="L521">
        <v>100</v>
      </c>
    </row>
    <row r="522" spans="1:12" x14ac:dyDescent="0.25">
      <c r="A522" t="s">
        <v>267</v>
      </c>
      <c r="B522" t="s">
        <v>295</v>
      </c>
      <c r="C522" t="s">
        <v>293</v>
      </c>
      <c r="D522">
        <v>3</v>
      </c>
      <c r="E522">
        <v>8</v>
      </c>
      <c r="F522">
        <v>320</v>
      </c>
      <c r="G522">
        <v>22</v>
      </c>
      <c r="H522">
        <v>20</v>
      </c>
      <c r="I522">
        <v>11</v>
      </c>
      <c r="J522">
        <v>8</v>
      </c>
      <c r="K522">
        <v>19</v>
      </c>
      <c r="L522">
        <v>100</v>
      </c>
    </row>
    <row r="523" spans="1:12" x14ac:dyDescent="0.25">
      <c r="A523" t="s">
        <v>267</v>
      </c>
      <c r="B523" t="s">
        <v>295</v>
      </c>
      <c r="C523" t="s">
        <v>293</v>
      </c>
      <c r="D523">
        <v>3</v>
      </c>
      <c r="E523">
        <v>10</v>
      </c>
      <c r="F523">
        <v>40</v>
      </c>
      <c r="G523">
        <v>25</v>
      </c>
      <c r="H523">
        <v>36</v>
      </c>
      <c r="I523">
        <v>10</v>
      </c>
      <c r="J523">
        <v>8</v>
      </c>
      <c r="K523">
        <v>25</v>
      </c>
      <c r="L523">
        <v>35</v>
      </c>
    </row>
    <row r="524" spans="1:12" x14ac:dyDescent="0.25">
      <c r="A524" t="s">
        <v>267</v>
      </c>
      <c r="B524" t="s">
        <v>295</v>
      </c>
      <c r="C524" t="s">
        <v>293</v>
      </c>
      <c r="D524">
        <v>3</v>
      </c>
      <c r="E524">
        <v>10</v>
      </c>
      <c r="F524">
        <v>50</v>
      </c>
      <c r="G524">
        <v>25</v>
      </c>
      <c r="H524">
        <v>36</v>
      </c>
      <c r="I524">
        <v>10</v>
      </c>
      <c r="J524">
        <v>8</v>
      </c>
      <c r="K524">
        <v>25</v>
      </c>
      <c r="L524">
        <v>40</v>
      </c>
    </row>
    <row r="525" spans="1:12" x14ac:dyDescent="0.25">
      <c r="A525" t="s">
        <v>267</v>
      </c>
      <c r="B525" t="s">
        <v>295</v>
      </c>
      <c r="C525" t="s">
        <v>293</v>
      </c>
      <c r="D525">
        <v>3</v>
      </c>
      <c r="E525">
        <v>10</v>
      </c>
      <c r="F525">
        <v>60</v>
      </c>
      <c r="G525">
        <v>25</v>
      </c>
      <c r="H525">
        <v>36</v>
      </c>
      <c r="I525">
        <v>10</v>
      </c>
      <c r="J525">
        <v>8</v>
      </c>
      <c r="K525">
        <v>25</v>
      </c>
      <c r="L525">
        <v>40</v>
      </c>
    </row>
    <row r="526" spans="1:12" x14ac:dyDescent="0.25">
      <c r="A526" t="s">
        <v>267</v>
      </c>
      <c r="B526" t="s">
        <v>295</v>
      </c>
      <c r="C526" t="s">
        <v>293</v>
      </c>
      <c r="D526">
        <v>3</v>
      </c>
      <c r="E526">
        <v>10</v>
      </c>
      <c r="F526">
        <v>70</v>
      </c>
      <c r="G526">
        <v>25</v>
      </c>
      <c r="H526">
        <v>36</v>
      </c>
      <c r="I526">
        <v>10</v>
      </c>
      <c r="J526">
        <v>8</v>
      </c>
      <c r="K526">
        <v>25</v>
      </c>
      <c r="L526">
        <v>40</v>
      </c>
    </row>
    <row r="527" spans="1:12" x14ac:dyDescent="0.25">
      <c r="A527" t="s">
        <v>267</v>
      </c>
      <c r="B527" t="s">
        <v>295</v>
      </c>
      <c r="C527" t="s">
        <v>293</v>
      </c>
      <c r="D527">
        <v>3</v>
      </c>
      <c r="E527">
        <v>10</v>
      </c>
      <c r="F527">
        <v>80</v>
      </c>
      <c r="G527">
        <v>25</v>
      </c>
      <c r="H527">
        <v>36</v>
      </c>
      <c r="I527">
        <v>10</v>
      </c>
      <c r="J527">
        <v>8</v>
      </c>
      <c r="K527">
        <v>25</v>
      </c>
      <c r="L527">
        <v>40</v>
      </c>
    </row>
    <row r="528" spans="1:12" x14ac:dyDescent="0.25">
      <c r="A528" t="s">
        <v>267</v>
      </c>
      <c r="B528" t="s">
        <v>295</v>
      </c>
      <c r="C528" t="s">
        <v>293</v>
      </c>
      <c r="D528">
        <v>3</v>
      </c>
      <c r="E528">
        <v>10</v>
      </c>
      <c r="F528">
        <v>100</v>
      </c>
      <c r="G528">
        <v>25</v>
      </c>
      <c r="H528">
        <v>36</v>
      </c>
      <c r="I528">
        <v>10</v>
      </c>
      <c r="J528">
        <v>8</v>
      </c>
      <c r="K528">
        <v>25</v>
      </c>
      <c r="L528">
        <v>60</v>
      </c>
    </row>
    <row r="529" spans="1:12" x14ac:dyDescent="0.25">
      <c r="A529" t="s">
        <v>267</v>
      </c>
      <c r="B529" t="s">
        <v>295</v>
      </c>
      <c r="C529" t="s">
        <v>293</v>
      </c>
      <c r="D529">
        <v>3</v>
      </c>
      <c r="E529">
        <v>10</v>
      </c>
      <c r="F529">
        <v>120</v>
      </c>
      <c r="G529">
        <v>25</v>
      </c>
      <c r="H529">
        <v>36</v>
      </c>
      <c r="I529">
        <v>10</v>
      </c>
      <c r="J529">
        <v>8</v>
      </c>
      <c r="K529">
        <v>25</v>
      </c>
      <c r="L529">
        <v>80</v>
      </c>
    </row>
    <row r="530" spans="1:12" x14ac:dyDescent="0.25">
      <c r="A530" t="s">
        <v>267</v>
      </c>
      <c r="B530" t="s">
        <v>295</v>
      </c>
      <c r="C530" t="s">
        <v>293</v>
      </c>
      <c r="D530">
        <v>3</v>
      </c>
      <c r="E530">
        <v>10</v>
      </c>
      <c r="F530">
        <v>140</v>
      </c>
      <c r="G530">
        <v>25</v>
      </c>
      <c r="H530">
        <v>36</v>
      </c>
      <c r="I530">
        <v>10</v>
      </c>
      <c r="J530">
        <v>8</v>
      </c>
      <c r="K530">
        <v>25</v>
      </c>
      <c r="L530">
        <v>80</v>
      </c>
    </row>
    <row r="531" spans="1:12" x14ac:dyDescent="0.25">
      <c r="A531" t="s">
        <v>267</v>
      </c>
      <c r="B531" t="s">
        <v>295</v>
      </c>
      <c r="C531" t="s">
        <v>293</v>
      </c>
      <c r="D531">
        <v>3</v>
      </c>
      <c r="E531">
        <v>10</v>
      </c>
      <c r="F531">
        <v>160</v>
      </c>
      <c r="G531">
        <v>25</v>
      </c>
      <c r="H531">
        <v>36</v>
      </c>
      <c r="I531">
        <v>10</v>
      </c>
      <c r="J531">
        <v>8</v>
      </c>
      <c r="K531">
        <v>25</v>
      </c>
      <c r="L531">
        <v>80</v>
      </c>
    </row>
    <row r="532" spans="1:12" x14ac:dyDescent="0.25">
      <c r="A532" t="s">
        <v>267</v>
      </c>
      <c r="B532" t="s">
        <v>295</v>
      </c>
      <c r="C532" t="s">
        <v>293</v>
      </c>
      <c r="D532">
        <v>3</v>
      </c>
      <c r="E532">
        <v>10</v>
      </c>
      <c r="F532">
        <v>180</v>
      </c>
      <c r="G532">
        <v>25</v>
      </c>
      <c r="H532">
        <v>36</v>
      </c>
      <c r="I532">
        <v>10</v>
      </c>
      <c r="J532">
        <v>8</v>
      </c>
      <c r="K532">
        <v>25</v>
      </c>
      <c r="L532">
        <v>80</v>
      </c>
    </row>
    <row r="533" spans="1:12" x14ac:dyDescent="0.25">
      <c r="A533" t="s">
        <v>267</v>
      </c>
      <c r="B533" t="s">
        <v>295</v>
      </c>
      <c r="C533" t="s">
        <v>293</v>
      </c>
      <c r="D533">
        <v>3</v>
      </c>
      <c r="E533">
        <v>10</v>
      </c>
      <c r="F533">
        <v>200</v>
      </c>
      <c r="G533">
        <v>25</v>
      </c>
      <c r="H533">
        <v>36</v>
      </c>
      <c r="I533">
        <v>10</v>
      </c>
      <c r="J533">
        <v>8</v>
      </c>
      <c r="K533">
        <v>25</v>
      </c>
      <c r="L533">
        <v>100</v>
      </c>
    </row>
    <row r="534" spans="1:12" x14ac:dyDescent="0.25">
      <c r="A534" t="s">
        <v>267</v>
      </c>
      <c r="B534" t="s">
        <v>295</v>
      </c>
      <c r="C534" t="s">
        <v>293</v>
      </c>
      <c r="D534">
        <v>3</v>
      </c>
      <c r="E534">
        <v>10</v>
      </c>
      <c r="F534">
        <v>220</v>
      </c>
      <c r="G534">
        <v>25</v>
      </c>
      <c r="H534">
        <v>36</v>
      </c>
      <c r="I534">
        <v>10</v>
      </c>
      <c r="J534">
        <v>8</v>
      </c>
      <c r="K534">
        <v>25</v>
      </c>
      <c r="L534">
        <v>100</v>
      </c>
    </row>
    <row r="535" spans="1:12" x14ac:dyDescent="0.25">
      <c r="A535" t="s">
        <v>267</v>
      </c>
      <c r="B535" t="s">
        <v>295</v>
      </c>
      <c r="C535" t="s">
        <v>293</v>
      </c>
      <c r="D535">
        <v>3</v>
      </c>
      <c r="E535">
        <v>10</v>
      </c>
      <c r="F535">
        <v>240</v>
      </c>
      <c r="G535">
        <v>25</v>
      </c>
      <c r="H535">
        <v>36</v>
      </c>
      <c r="I535">
        <v>10</v>
      </c>
      <c r="J535">
        <v>8</v>
      </c>
      <c r="K535">
        <v>25</v>
      </c>
      <c r="L535">
        <v>100</v>
      </c>
    </row>
    <row r="536" spans="1:12" x14ac:dyDescent="0.25">
      <c r="A536" t="s">
        <v>267</v>
      </c>
      <c r="B536" t="s">
        <v>296</v>
      </c>
      <c r="C536" t="s">
        <v>297</v>
      </c>
      <c r="D536">
        <v>3</v>
      </c>
      <c r="E536">
        <v>6</v>
      </c>
      <c r="F536">
        <v>70</v>
      </c>
      <c r="G536">
        <v>14</v>
      </c>
      <c r="H536">
        <v>5.2</v>
      </c>
      <c r="I536">
        <v>15.9</v>
      </c>
      <c r="J536">
        <v>24.7</v>
      </c>
      <c r="K536">
        <v>5.7</v>
      </c>
      <c r="L536">
        <v>40</v>
      </c>
    </row>
    <row r="537" spans="1:12" x14ac:dyDescent="0.25">
      <c r="A537" t="s">
        <v>267</v>
      </c>
      <c r="B537" t="s">
        <v>296</v>
      </c>
      <c r="C537" t="s">
        <v>297</v>
      </c>
      <c r="D537">
        <v>3</v>
      </c>
      <c r="E537">
        <v>6</v>
      </c>
      <c r="F537">
        <v>90</v>
      </c>
      <c r="G537">
        <v>14</v>
      </c>
      <c r="H537">
        <v>5.2</v>
      </c>
      <c r="I537">
        <v>15.9</v>
      </c>
      <c r="J537">
        <v>24.7</v>
      </c>
      <c r="K537">
        <v>5.7</v>
      </c>
      <c r="L537">
        <v>50</v>
      </c>
    </row>
    <row r="538" spans="1:12" x14ac:dyDescent="0.25">
      <c r="A538" t="s">
        <v>267</v>
      </c>
      <c r="B538" t="s">
        <v>296</v>
      </c>
      <c r="C538" t="s">
        <v>297</v>
      </c>
      <c r="D538">
        <v>3</v>
      </c>
      <c r="E538">
        <v>6</v>
      </c>
      <c r="F538">
        <v>120</v>
      </c>
      <c r="G538">
        <v>14</v>
      </c>
      <c r="H538">
        <v>5.2</v>
      </c>
      <c r="I538">
        <v>15.9</v>
      </c>
      <c r="J538">
        <v>24.7</v>
      </c>
      <c r="K538">
        <v>5.7</v>
      </c>
      <c r="L538">
        <v>75</v>
      </c>
    </row>
    <row r="539" spans="1:12" x14ac:dyDescent="0.25">
      <c r="A539" t="s">
        <v>267</v>
      </c>
      <c r="B539" t="s">
        <v>296</v>
      </c>
      <c r="C539" t="s">
        <v>297</v>
      </c>
      <c r="D539">
        <v>3</v>
      </c>
      <c r="E539">
        <v>8</v>
      </c>
      <c r="F539">
        <v>40</v>
      </c>
      <c r="G539">
        <v>17</v>
      </c>
      <c r="H539">
        <v>10.199999999999999</v>
      </c>
      <c r="I539">
        <v>15.4</v>
      </c>
      <c r="J539">
        <v>22.5</v>
      </c>
      <c r="K539">
        <v>11</v>
      </c>
      <c r="L539">
        <v>35</v>
      </c>
    </row>
    <row r="540" spans="1:12" x14ac:dyDescent="0.25">
      <c r="A540" t="s">
        <v>267</v>
      </c>
      <c r="B540" t="s">
        <v>296</v>
      </c>
      <c r="C540" t="s">
        <v>297</v>
      </c>
      <c r="D540">
        <v>3</v>
      </c>
      <c r="E540">
        <v>8</v>
      </c>
      <c r="F540">
        <v>70</v>
      </c>
      <c r="G540">
        <v>17</v>
      </c>
      <c r="H540">
        <v>10.199999999999999</v>
      </c>
      <c r="I540">
        <v>15.4</v>
      </c>
      <c r="J540">
        <v>22.5</v>
      </c>
      <c r="K540">
        <v>11</v>
      </c>
      <c r="L540">
        <v>40</v>
      </c>
    </row>
    <row r="541" spans="1:12" x14ac:dyDescent="0.25">
      <c r="A541" t="s">
        <v>267</v>
      </c>
      <c r="B541" t="s">
        <v>296</v>
      </c>
      <c r="C541" t="s">
        <v>297</v>
      </c>
      <c r="D541">
        <v>3</v>
      </c>
      <c r="E541">
        <v>8</v>
      </c>
      <c r="F541">
        <v>90</v>
      </c>
      <c r="G541">
        <v>17</v>
      </c>
      <c r="H541">
        <v>10.199999999999999</v>
      </c>
      <c r="I541">
        <v>15.4</v>
      </c>
      <c r="J541">
        <v>22.5</v>
      </c>
      <c r="K541">
        <v>11</v>
      </c>
      <c r="L541">
        <v>50</v>
      </c>
    </row>
    <row r="542" spans="1:12" x14ac:dyDescent="0.25">
      <c r="A542" t="s">
        <v>267</v>
      </c>
      <c r="B542" t="s">
        <v>296</v>
      </c>
      <c r="C542" t="s">
        <v>297</v>
      </c>
      <c r="D542">
        <v>3</v>
      </c>
      <c r="E542">
        <v>8</v>
      </c>
      <c r="F542">
        <v>120</v>
      </c>
      <c r="G542">
        <v>17</v>
      </c>
      <c r="H542">
        <v>10.199999999999999</v>
      </c>
      <c r="I542">
        <v>15.4</v>
      </c>
      <c r="J542">
        <v>22.5</v>
      </c>
      <c r="K542">
        <v>11</v>
      </c>
      <c r="L542">
        <v>80</v>
      </c>
    </row>
    <row r="543" spans="1:12" x14ac:dyDescent="0.25">
      <c r="A543" t="s">
        <v>267</v>
      </c>
      <c r="B543" t="s">
        <v>296</v>
      </c>
      <c r="C543" t="s">
        <v>297</v>
      </c>
      <c r="D543">
        <v>3</v>
      </c>
      <c r="E543">
        <v>8</v>
      </c>
      <c r="F543">
        <v>150</v>
      </c>
      <c r="G543">
        <v>17</v>
      </c>
      <c r="H543">
        <v>10.199999999999999</v>
      </c>
      <c r="I543">
        <v>15.4</v>
      </c>
      <c r="J543">
        <v>22.5</v>
      </c>
      <c r="K543">
        <v>11</v>
      </c>
      <c r="L543">
        <v>80</v>
      </c>
    </row>
    <row r="544" spans="1:12" x14ac:dyDescent="0.25">
      <c r="A544" t="s">
        <v>267</v>
      </c>
      <c r="B544" t="s">
        <v>296</v>
      </c>
      <c r="C544" t="s">
        <v>297</v>
      </c>
      <c r="D544">
        <v>3</v>
      </c>
      <c r="E544">
        <v>10</v>
      </c>
      <c r="F544">
        <v>40</v>
      </c>
      <c r="G544">
        <v>22</v>
      </c>
      <c r="H544">
        <v>17.3</v>
      </c>
      <c r="I544">
        <v>14</v>
      </c>
      <c r="J544">
        <v>22.5</v>
      </c>
      <c r="K544">
        <v>16.100000000000001</v>
      </c>
      <c r="L544">
        <v>35</v>
      </c>
    </row>
    <row r="545" spans="1:12" x14ac:dyDescent="0.25">
      <c r="A545" t="s">
        <v>267</v>
      </c>
      <c r="B545" t="s">
        <v>296</v>
      </c>
      <c r="C545" t="s">
        <v>297</v>
      </c>
      <c r="D545">
        <v>3</v>
      </c>
      <c r="E545">
        <v>10</v>
      </c>
      <c r="F545">
        <v>70</v>
      </c>
      <c r="G545">
        <v>22</v>
      </c>
      <c r="H545">
        <v>17.3</v>
      </c>
      <c r="I545">
        <v>14</v>
      </c>
      <c r="J545">
        <v>22.5</v>
      </c>
      <c r="K545">
        <v>16.100000000000001</v>
      </c>
      <c r="L545">
        <v>40</v>
      </c>
    </row>
    <row r="546" spans="1:12" x14ac:dyDescent="0.25">
      <c r="A546" t="s">
        <v>267</v>
      </c>
      <c r="B546" t="s">
        <v>296</v>
      </c>
      <c r="C546" t="s">
        <v>297</v>
      </c>
      <c r="D546">
        <v>3</v>
      </c>
      <c r="E546">
        <v>10</v>
      </c>
      <c r="F546">
        <v>90</v>
      </c>
      <c r="G546">
        <v>22</v>
      </c>
      <c r="H546">
        <v>17.3</v>
      </c>
      <c r="I546">
        <v>14</v>
      </c>
      <c r="J546">
        <v>22.5</v>
      </c>
      <c r="K546">
        <v>16.100000000000001</v>
      </c>
      <c r="L546">
        <v>50</v>
      </c>
    </row>
    <row r="547" spans="1:12" x14ac:dyDescent="0.25">
      <c r="A547" t="s">
        <v>267</v>
      </c>
      <c r="B547" t="s">
        <v>296</v>
      </c>
      <c r="C547" t="s">
        <v>297</v>
      </c>
      <c r="D547">
        <v>3</v>
      </c>
      <c r="E547">
        <v>10</v>
      </c>
      <c r="F547">
        <v>120</v>
      </c>
      <c r="G547">
        <v>22</v>
      </c>
      <c r="H547">
        <v>17.3</v>
      </c>
      <c r="I547">
        <v>14</v>
      </c>
      <c r="J547">
        <v>22.5</v>
      </c>
      <c r="K547">
        <v>16.100000000000001</v>
      </c>
      <c r="L547">
        <v>80</v>
      </c>
    </row>
    <row r="548" spans="1:12" x14ac:dyDescent="0.25">
      <c r="A548" t="s">
        <v>267</v>
      </c>
      <c r="B548" t="s">
        <v>296</v>
      </c>
      <c r="C548" t="s">
        <v>297</v>
      </c>
      <c r="D548">
        <v>3</v>
      </c>
      <c r="E548">
        <v>10</v>
      </c>
      <c r="F548">
        <v>150</v>
      </c>
      <c r="G548">
        <v>22</v>
      </c>
      <c r="H548">
        <v>17.3</v>
      </c>
      <c r="I548">
        <v>14</v>
      </c>
      <c r="J548">
        <v>22.5</v>
      </c>
      <c r="K548">
        <v>16.100000000000001</v>
      </c>
      <c r="L548">
        <v>80</v>
      </c>
    </row>
    <row r="549" spans="1:12" x14ac:dyDescent="0.25">
      <c r="A549" t="s">
        <v>267</v>
      </c>
      <c r="B549" t="s">
        <v>298</v>
      </c>
      <c r="D549">
        <v>2</v>
      </c>
      <c r="E549">
        <v>5</v>
      </c>
      <c r="F549">
        <v>40</v>
      </c>
      <c r="G549">
        <v>8</v>
      </c>
      <c r="H549">
        <v>4.8</v>
      </c>
      <c r="I549">
        <v>15.2</v>
      </c>
      <c r="J549">
        <v>26.9</v>
      </c>
      <c r="K549">
        <v>7.3</v>
      </c>
      <c r="L549">
        <v>40</v>
      </c>
    </row>
    <row r="550" spans="1:12" x14ac:dyDescent="0.25">
      <c r="A550" t="s">
        <v>267</v>
      </c>
      <c r="B550" t="s">
        <v>299</v>
      </c>
      <c r="D550">
        <v>3</v>
      </c>
      <c r="E550">
        <v>5</v>
      </c>
      <c r="F550">
        <v>35</v>
      </c>
      <c r="G550">
        <v>8</v>
      </c>
      <c r="H550">
        <v>4.8</v>
      </c>
      <c r="I550">
        <v>15.2</v>
      </c>
      <c r="J550">
        <v>26.9</v>
      </c>
      <c r="K550">
        <v>7.3</v>
      </c>
      <c r="L550">
        <v>35</v>
      </c>
    </row>
    <row r="551" spans="1:12" x14ac:dyDescent="0.25">
      <c r="A551" t="s">
        <v>267</v>
      </c>
      <c r="B551" t="s">
        <v>299</v>
      </c>
      <c r="D551">
        <v>3</v>
      </c>
      <c r="E551">
        <v>5</v>
      </c>
      <c r="F551">
        <v>40</v>
      </c>
      <c r="G551">
        <v>8</v>
      </c>
      <c r="H551">
        <v>4.8</v>
      </c>
      <c r="I551">
        <v>15.2</v>
      </c>
      <c r="J551">
        <v>26.9</v>
      </c>
      <c r="K551">
        <v>7.3</v>
      </c>
      <c r="L551">
        <v>40</v>
      </c>
    </row>
  </sheetData>
  <autoFilter ref="A1:Y551" xr:uid="{00000000-0009-0000-0000-00000B000000}"/>
  <phoneticPr fontId="4" type="noConversion"/>
  <pageMargins left="0.7" right="0.7" top="0.75" bottom="0.75" header="0.3" footer="0.3"/>
  <pageSetup paperSize="9" orientation="portrait" horizontalDpi="30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A14F7-A3EE-4B9F-ACA9-A795EF6A444A}">
  <sheetPr>
    <tabColor theme="9" tint="0.39997558519241921"/>
  </sheetPr>
  <dimension ref="A1:O335"/>
  <sheetViews>
    <sheetView workbookViewId="0">
      <pane ySplit="1" topLeftCell="A262" activePane="bottomLeft" state="frozen"/>
      <selection pane="bottomLeft" activeCell="A2" sqref="A2:M335"/>
    </sheetView>
  </sheetViews>
  <sheetFormatPr baseColWidth="10" defaultRowHeight="15" x14ac:dyDescent="0.25"/>
  <cols>
    <col min="2" max="2" width="21.140625" customWidth="1"/>
    <col min="3" max="3" width="50" bestFit="1" customWidth="1"/>
  </cols>
  <sheetData>
    <row r="1" spans="1:15" ht="45" x14ac:dyDescent="0.25">
      <c r="A1" s="74" t="s">
        <v>424</v>
      </c>
      <c r="B1" s="74" t="s">
        <v>468</v>
      </c>
      <c r="C1" s="75" t="s">
        <v>469</v>
      </c>
      <c r="D1" s="75" t="s">
        <v>232</v>
      </c>
      <c r="E1" s="74" t="s">
        <v>18</v>
      </c>
      <c r="F1" s="74" t="s">
        <v>20</v>
      </c>
      <c r="G1" s="74" t="s">
        <v>22</v>
      </c>
      <c r="H1" s="75" t="s">
        <v>215</v>
      </c>
      <c r="I1" s="75" t="s">
        <v>214</v>
      </c>
      <c r="J1" s="75" t="s">
        <v>171</v>
      </c>
      <c r="K1" s="75" t="s">
        <v>172</v>
      </c>
      <c r="L1" s="74" t="s">
        <v>325</v>
      </c>
      <c r="M1" s="74" t="s">
        <v>326</v>
      </c>
      <c r="N1" s="74" t="s">
        <v>414</v>
      </c>
      <c r="O1" s="74" t="s">
        <v>471</v>
      </c>
    </row>
    <row r="2" spans="1:15" x14ac:dyDescent="0.25">
      <c r="A2" t="s">
        <v>482</v>
      </c>
      <c r="B2" t="s">
        <v>483</v>
      </c>
      <c r="C2" t="s">
        <v>478</v>
      </c>
      <c r="D2">
        <v>2</v>
      </c>
      <c r="E2" s="83">
        <v>5.2</v>
      </c>
      <c r="F2">
        <v>80</v>
      </c>
      <c r="G2">
        <v>6.4</v>
      </c>
      <c r="H2">
        <v>10</v>
      </c>
      <c r="I2">
        <v>15.5</v>
      </c>
      <c r="J2">
        <v>12</v>
      </c>
      <c r="K2">
        <v>13</v>
      </c>
      <c r="L2">
        <f>F2-5.5</f>
        <v>74.5</v>
      </c>
      <c r="M2" s="74"/>
    </row>
    <row r="3" spans="1:15" x14ac:dyDescent="0.25">
      <c r="A3" t="s">
        <v>482</v>
      </c>
      <c r="B3" t="s">
        <v>483</v>
      </c>
      <c r="C3" t="s">
        <v>478</v>
      </c>
      <c r="D3">
        <v>2</v>
      </c>
      <c r="E3" s="83">
        <v>5.2</v>
      </c>
      <c r="F3">
        <v>100</v>
      </c>
      <c r="G3">
        <v>6.4</v>
      </c>
      <c r="H3">
        <v>10</v>
      </c>
      <c r="I3">
        <v>15.5</v>
      </c>
      <c r="J3">
        <v>12</v>
      </c>
      <c r="K3">
        <v>13</v>
      </c>
      <c r="L3">
        <f t="shared" ref="L3:L6" si="0">F3-5.5</f>
        <v>94.5</v>
      </c>
      <c r="M3" s="74"/>
    </row>
    <row r="4" spans="1:15" x14ac:dyDescent="0.25">
      <c r="A4" t="s">
        <v>482</v>
      </c>
      <c r="B4" t="s">
        <v>483</v>
      </c>
      <c r="C4" t="s">
        <v>478</v>
      </c>
      <c r="D4">
        <v>2</v>
      </c>
      <c r="E4" s="83">
        <v>5.2</v>
      </c>
      <c r="F4">
        <v>120</v>
      </c>
      <c r="G4">
        <v>6.4</v>
      </c>
      <c r="H4">
        <v>10</v>
      </c>
      <c r="I4">
        <v>15.5</v>
      </c>
      <c r="J4">
        <v>12</v>
      </c>
      <c r="K4">
        <v>13</v>
      </c>
      <c r="L4">
        <f t="shared" si="0"/>
        <v>114.5</v>
      </c>
      <c r="M4" s="74"/>
    </row>
    <row r="5" spans="1:15" x14ac:dyDescent="0.25">
      <c r="A5" t="s">
        <v>482</v>
      </c>
      <c r="B5" t="s">
        <v>483</v>
      </c>
      <c r="C5" t="s">
        <v>478</v>
      </c>
      <c r="D5">
        <v>2</v>
      </c>
      <c r="E5" s="83">
        <v>5.2</v>
      </c>
      <c r="F5">
        <v>140</v>
      </c>
      <c r="G5">
        <v>6.4</v>
      </c>
      <c r="H5">
        <v>10</v>
      </c>
      <c r="I5">
        <v>15.5</v>
      </c>
      <c r="J5">
        <v>12</v>
      </c>
      <c r="K5">
        <v>13</v>
      </c>
      <c r="L5">
        <f t="shared" si="0"/>
        <v>134.5</v>
      </c>
      <c r="M5" s="74"/>
    </row>
    <row r="6" spans="1:15" x14ac:dyDescent="0.25">
      <c r="A6" t="s">
        <v>482</v>
      </c>
      <c r="B6" t="s">
        <v>483</v>
      </c>
      <c r="C6" t="s">
        <v>478</v>
      </c>
      <c r="D6">
        <v>2</v>
      </c>
      <c r="E6" s="83">
        <v>5.2</v>
      </c>
      <c r="F6">
        <v>160</v>
      </c>
      <c r="G6">
        <v>6.4</v>
      </c>
      <c r="H6">
        <v>10</v>
      </c>
      <c r="I6">
        <v>15.5</v>
      </c>
      <c r="J6">
        <v>12</v>
      </c>
      <c r="K6">
        <v>13</v>
      </c>
      <c r="L6">
        <f t="shared" si="0"/>
        <v>154.5</v>
      </c>
      <c r="M6" s="74"/>
    </row>
    <row r="7" spans="1:15" x14ac:dyDescent="0.25">
      <c r="A7" t="s">
        <v>482</v>
      </c>
      <c r="B7" t="s">
        <v>483</v>
      </c>
      <c r="C7" t="s">
        <v>478</v>
      </c>
      <c r="D7">
        <v>2</v>
      </c>
      <c r="E7" s="66">
        <v>5.9</v>
      </c>
      <c r="F7">
        <v>80</v>
      </c>
      <c r="G7">
        <v>8</v>
      </c>
      <c r="H7">
        <v>10</v>
      </c>
      <c r="I7">
        <v>15.5</v>
      </c>
      <c r="J7">
        <v>12</v>
      </c>
      <c r="K7">
        <v>17</v>
      </c>
      <c r="L7">
        <f>F7-5.5</f>
        <v>74.5</v>
      </c>
      <c r="M7" s="74"/>
    </row>
    <row r="8" spans="1:15" x14ac:dyDescent="0.25">
      <c r="A8" t="s">
        <v>482</v>
      </c>
      <c r="B8" t="s">
        <v>483</v>
      </c>
      <c r="C8" t="s">
        <v>478</v>
      </c>
      <c r="D8">
        <v>2</v>
      </c>
      <c r="E8" s="66">
        <v>5.9</v>
      </c>
      <c r="F8">
        <v>100</v>
      </c>
      <c r="G8">
        <v>8</v>
      </c>
      <c r="H8">
        <v>15</v>
      </c>
      <c r="I8">
        <v>15.5</v>
      </c>
      <c r="J8">
        <v>12</v>
      </c>
      <c r="K8">
        <v>17</v>
      </c>
      <c r="L8">
        <f t="shared" ref="L8:L13" si="1">F8-5.5</f>
        <v>94.5</v>
      </c>
      <c r="M8" s="74"/>
    </row>
    <row r="9" spans="1:15" x14ac:dyDescent="0.25">
      <c r="A9" t="s">
        <v>482</v>
      </c>
      <c r="B9" t="s">
        <v>483</v>
      </c>
      <c r="C9" t="s">
        <v>478</v>
      </c>
      <c r="D9">
        <v>2</v>
      </c>
      <c r="E9" s="66">
        <v>5.9</v>
      </c>
      <c r="F9">
        <v>120</v>
      </c>
      <c r="G9">
        <v>8</v>
      </c>
      <c r="H9">
        <v>15</v>
      </c>
      <c r="I9">
        <v>15.5</v>
      </c>
      <c r="J9">
        <v>12</v>
      </c>
      <c r="K9">
        <v>17</v>
      </c>
      <c r="L9">
        <f t="shared" si="1"/>
        <v>114.5</v>
      </c>
      <c r="M9" s="74"/>
    </row>
    <row r="10" spans="1:15" x14ac:dyDescent="0.25">
      <c r="A10" t="s">
        <v>482</v>
      </c>
      <c r="B10" t="s">
        <v>483</v>
      </c>
      <c r="C10" t="s">
        <v>478</v>
      </c>
      <c r="D10">
        <v>2</v>
      </c>
      <c r="E10" s="66">
        <v>5.9</v>
      </c>
      <c r="F10">
        <v>140</v>
      </c>
      <c r="G10">
        <v>8</v>
      </c>
      <c r="H10">
        <v>15</v>
      </c>
      <c r="I10">
        <v>15.5</v>
      </c>
      <c r="J10">
        <v>12</v>
      </c>
      <c r="K10">
        <v>17</v>
      </c>
      <c r="L10">
        <f t="shared" si="1"/>
        <v>134.5</v>
      </c>
      <c r="M10" s="74"/>
    </row>
    <row r="11" spans="1:15" x14ac:dyDescent="0.25">
      <c r="A11" t="s">
        <v>482</v>
      </c>
      <c r="B11" t="s">
        <v>483</v>
      </c>
      <c r="C11" t="s">
        <v>478</v>
      </c>
      <c r="D11">
        <v>2</v>
      </c>
      <c r="E11" s="66">
        <v>5.9</v>
      </c>
      <c r="F11">
        <v>160</v>
      </c>
      <c r="G11">
        <v>8</v>
      </c>
      <c r="H11">
        <v>15</v>
      </c>
      <c r="I11">
        <v>15.5</v>
      </c>
      <c r="J11">
        <v>12</v>
      </c>
      <c r="K11">
        <v>17</v>
      </c>
      <c r="L11">
        <f t="shared" si="1"/>
        <v>154.5</v>
      </c>
      <c r="M11" s="74"/>
    </row>
    <row r="12" spans="1:15" x14ac:dyDescent="0.25">
      <c r="A12" t="s">
        <v>482</v>
      </c>
      <c r="B12" t="s">
        <v>483</v>
      </c>
      <c r="C12" t="s">
        <v>478</v>
      </c>
      <c r="D12">
        <v>2</v>
      </c>
      <c r="E12" s="66">
        <v>5.9</v>
      </c>
      <c r="F12">
        <v>180</v>
      </c>
      <c r="G12">
        <v>8</v>
      </c>
      <c r="H12">
        <v>15</v>
      </c>
      <c r="I12">
        <v>15.5</v>
      </c>
      <c r="J12">
        <v>12</v>
      </c>
      <c r="K12">
        <v>17</v>
      </c>
      <c r="L12">
        <f t="shared" si="1"/>
        <v>174.5</v>
      </c>
      <c r="M12" s="74"/>
    </row>
    <row r="13" spans="1:15" x14ac:dyDescent="0.25">
      <c r="A13" t="s">
        <v>482</v>
      </c>
      <c r="B13" t="s">
        <v>483</v>
      </c>
      <c r="C13" t="s">
        <v>478</v>
      </c>
      <c r="D13">
        <v>2</v>
      </c>
      <c r="E13" s="66">
        <v>5.9</v>
      </c>
      <c r="F13">
        <v>200</v>
      </c>
      <c r="G13">
        <v>8</v>
      </c>
      <c r="H13">
        <v>15</v>
      </c>
      <c r="I13">
        <v>15.5</v>
      </c>
      <c r="J13">
        <v>12</v>
      </c>
      <c r="K13">
        <v>17</v>
      </c>
      <c r="L13">
        <f t="shared" si="1"/>
        <v>194.5</v>
      </c>
      <c r="M13" s="74"/>
    </row>
    <row r="14" spans="1:15" x14ac:dyDescent="0.25">
      <c r="A14" t="s">
        <v>482</v>
      </c>
      <c r="B14" t="s">
        <v>483</v>
      </c>
      <c r="C14" t="s">
        <v>478</v>
      </c>
      <c r="D14">
        <v>2</v>
      </c>
      <c r="E14">
        <v>6.5</v>
      </c>
      <c r="F14">
        <v>80</v>
      </c>
      <c r="G14">
        <v>8</v>
      </c>
      <c r="H14">
        <v>15</v>
      </c>
      <c r="I14">
        <v>11.4</v>
      </c>
      <c r="J14">
        <v>12</v>
      </c>
      <c r="K14">
        <v>17</v>
      </c>
      <c r="L14">
        <f>F14-5.5</f>
        <v>74.5</v>
      </c>
    </row>
    <row r="15" spans="1:15" x14ac:dyDescent="0.25">
      <c r="A15" t="s">
        <v>482</v>
      </c>
      <c r="B15" t="s">
        <v>483</v>
      </c>
      <c r="C15" t="s">
        <v>478</v>
      </c>
      <c r="D15">
        <v>2</v>
      </c>
      <c r="E15">
        <v>6.5</v>
      </c>
      <c r="F15">
        <v>100</v>
      </c>
      <c r="G15">
        <v>8</v>
      </c>
      <c r="H15">
        <v>15</v>
      </c>
      <c r="I15">
        <v>11.4</v>
      </c>
      <c r="J15">
        <v>12</v>
      </c>
      <c r="K15">
        <v>17</v>
      </c>
      <c r="L15">
        <f t="shared" ref="L15:L23" si="2">F15-5.5</f>
        <v>94.5</v>
      </c>
    </row>
    <row r="16" spans="1:15" x14ac:dyDescent="0.25">
      <c r="A16" t="s">
        <v>482</v>
      </c>
      <c r="B16" t="s">
        <v>483</v>
      </c>
      <c r="C16" t="s">
        <v>478</v>
      </c>
      <c r="D16">
        <v>2</v>
      </c>
      <c r="E16">
        <v>6.5</v>
      </c>
      <c r="F16">
        <v>120</v>
      </c>
      <c r="G16">
        <v>8</v>
      </c>
      <c r="H16">
        <v>15</v>
      </c>
      <c r="I16">
        <v>11.4</v>
      </c>
      <c r="J16">
        <v>12</v>
      </c>
      <c r="K16">
        <v>17</v>
      </c>
      <c r="L16">
        <f t="shared" si="2"/>
        <v>114.5</v>
      </c>
    </row>
    <row r="17" spans="1:12" x14ac:dyDescent="0.25">
      <c r="A17" t="s">
        <v>482</v>
      </c>
      <c r="B17" t="s">
        <v>483</v>
      </c>
      <c r="C17" t="s">
        <v>478</v>
      </c>
      <c r="D17">
        <v>2</v>
      </c>
      <c r="E17">
        <v>6.5</v>
      </c>
      <c r="F17">
        <v>140</v>
      </c>
      <c r="G17">
        <v>8</v>
      </c>
      <c r="H17">
        <v>15</v>
      </c>
      <c r="I17">
        <v>11.4</v>
      </c>
      <c r="J17">
        <v>12</v>
      </c>
      <c r="K17">
        <v>17</v>
      </c>
      <c r="L17">
        <f t="shared" si="2"/>
        <v>134.5</v>
      </c>
    </row>
    <row r="18" spans="1:12" x14ac:dyDescent="0.25">
      <c r="A18" t="s">
        <v>482</v>
      </c>
      <c r="B18" t="s">
        <v>483</v>
      </c>
      <c r="C18" t="s">
        <v>478</v>
      </c>
      <c r="D18">
        <v>2</v>
      </c>
      <c r="E18">
        <v>6.5</v>
      </c>
      <c r="F18">
        <v>160</v>
      </c>
      <c r="G18">
        <v>8</v>
      </c>
      <c r="H18">
        <v>15</v>
      </c>
      <c r="I18">
        <v>11.4</v>
      </c>
      <c r="J18">
        <v>12</v>
      </c>
      <c r="K18">
        <v>17</v>
      </c>
      <c r="L18">
        <f t="shared" si="2"/>
        <v>154.5</v>
      </c>
    </row>
    <row r="19" spans="1:12" x14ac:dyDescent="0.25">
      <c r="A19" t="s">
        <v>482</v>
      </c>
      <c r="B19" t="s">
        <v>483</v>
      </c>
      <c r="C19" t="s">
        <v>478</v>
      </c>
      <c r="D19">
        <v>2</v>
      </c>
      <c r="E19">
        <v>6.5</v>
      </c>
      <c r="F19">
        <v>195</v>
      </c>
      <c r="G19">
        <v>8</v>
      </c>
      <c r="H19">
        <v>15</v>
      </c>
      <c r="I19">
        <v>11.4</v>
      </c>
      <c r="J19">
        <v>12</v>
      </c>
      <c r="K19">
        <v>17</v>
      </c>
      <c r="L19">
        <f t="shared" si="2"/>
        <v>189.5</v>
      </c>
    </row>
    <row r="20" spans="1:12" x14ac:dyDescent="0.25">
      <c r="A20" t="s">
        <v>482</v>
      </c>
      <c r="B20" t="s">
        <v>483</v>
      </c>
      <c r="C20" t="s">
        <v>478</v>
      </c>
      <c r="D20">
        <v>2</v>
      </c>
      <c r="E20">
        <v>6.5</v>
      </c>
      <c r="F20">
        <v>200</v>
      </c>
      <c r="G20">
        <v>8</v>
      </c>
      <c r="H20">
        <v>15</v>
      </c>
      <c r="I20">
        <v>11.4</v>
      </c>
      <c r="J20">
        <v>12</v>
      </c>
      <c r="K20">
        <v>17</v>
      </c>
      <c r="L20">
        <f t="shared" si="2"/>
        <v>194.5</v>
      </c>
    </row>
    <row r="21" spans="1:12" x14ac:dyDescent="0.25">
      <c r="A21" t="s">
        <v>482</v>
      </c>
      <c r="B21" t="s">
        <v>483</v>
      </c>
      <c r="C21" t="s">
        <v>478</v>
      </c>
      <c r="D21">
        <v>2</v>
      </c>
      <c r="E21">
        <v>6.5</v>
      </c>
      <c r="F21">
        <v>220</v>
      </c>
      <c r="G21">
        <v>8</v>
      </c>
      <c r="H21">
        <v>15</v>
      </c>
      <c r="I21">
        <v>11.4</v>
      </c>
      <c r="J21">
        <v>12</v>
      </c>
      <c r="K21">
        <v>17</v>
      </c>
      <c r="L21">
        <f t="shared" si="2"/>
        <v>214.5</v>
      </c>
    </row>
    <row r="22" spans="1:12" x14ac:dyDescent="0.25">
      <c r="A22" t="s">
        <v>482</v>
      </c>
      <c r="B22" t="s">
        <v>483</v>
      </c>
      <c r="C22" t="s">
        <v>478</v>
      </c>
      <c r="D22">
        <v>2</v>
      </c>
      <c r="E22">
        <v>6.5</v>
      </c>
      <c r="F22">
        <v>240</v>
      </c>
      <c r="G22">
        <v>8</v>
      </c>
      <c r="H22">
        <v>15</v>
      </c>
      <c r="I22">
        <v>11.4</v>
      </c>
      <c r="J22">
        <v>12</v>
      </c>
      <c r="K22">
        <v>17</v>
      </c>
      <c r="L22">
        <f t="shared" si="2"/>
        <v>234.5</v>
      </c>
    </row>
    <row r="23" spans="1:12" x14ac:dyDescent="0.25">
      <c r="A23" t="s">
        <v>482</v>
      </c>
      <c r="B23" t="s">
        <v>483</v>
      </c>
      <c r="C23" t="s">
        <v>478</v>
      </c>
      <c r="D23">
        <v>2</v>
      </c>
      <c r="E23">
        <v>6.5</v>
      </c>
      <c r="F23">
        <v>260</v>
      </c>
      <c r="G23">
        <v>8</v>
      </c>
      <c r="H23">
        <v>15</v>
      </c>
      <c r="I23">
        <v>11.4</v>
      </c>
      <c r="J23">
        <v>12</v>
      </c>
      <c r="K23">
        <v>17</v>
      </c>
      <c r="L23">
        <f t="shared" si="2"/>
        <v>254.5</v>
      </c>
    </row>
    <row r="24" spans="1:12" x14ac:dyDescent="0.25">
      <c r="A24" t="s">
        <v>482</v>
      </c>
      <c r="B24" t="s">
        <v>483</v>
      </c>
      <c r="C24" t="s">
        <v>478</v>
      </c>
      <c r="D24">
        <v>2</v>
      </c>
      <c r="E24">
        <v>8</v>
      </c>
      <c r="F24">
        <v>155</v>
      </c>
      <c r="G24">
        <v>10</v>
      </c>
      <c r="H24">
        <v>25</v>
      </c>
      <c r="I24">
        <v>11.1</v>
      </c>
      <c r="J24">
        <v>12</v>
      </c>
      <c r="K24">
        <v>25</v>
      </c>
      <c r="L24">
        <f>F24-6.5</f>
        <v>148.5</v>
      </c>
    </row>
    <row r="25" spans="1:12" x14ac:dyDescent="0.25">
      <c r="A25" t="s">
        <v>482</v>
      </c>
      <c r="B25" t="s">
        <v>483</v>
      </c>
      <c r="C25" t="s">
        <v>478</v>
      </c>
      <c r="D25">
        <v>2</v>
      </c>
      <c r="E25">
        <v>8</v>
      </c>
      <c r="F25">
        <v>195</v>
      </c>
      <c r="G25">
        <v>10</v>
      </c>
      <c r="H25">
        <v>25</v>
      </c>
      <c r="I25">
        <v>11.1</v>
      </c>
      <c r="J25">
        <v>12</v>
      </c>
      <c r="K25">
        <v>25</v>
      </c>
      <c r="L25">
        <f t="shared" ref="L25:L53" si="3">F25-6.5</f>
        <v>188.5</v>
      </c>
    </row>
    <row r="26" spans="1:12" x14ac:dyDescent="0.25">
      <c r="A26" t="s">
        <v>482</v>
      </c>
      <c r="B26" t="s">
        <v>483</v>
      </c>
      <c r="C26" t="s">
        <v>478</v>
      </c>
      <c r="D26">
        <v>2</v>
      </c>
      <c r="E26">
        <v>8</v>
      </c>
      <c r="F26">
        <v>220</v>
      </c>
      <c r="G26">
        <v>10</v>
      </c>
      <c r="H26">
        <v>25</v>
      </c>
      <c r="I26">
        <v>11.1</v>
      </c>
      <c r="J26">
        <v>12</v>
      </c>
      <c r="K26">
        <v>25</v>
      </c>
      <c r="L26">
        <f t="shared" si="3"/>
        <v>213.5</v>
      </c>
    </row>
    <row r="27" spans="1:12" x14ac:dyDescent="0.25">
      <c r="A27" t="s">
        <v>482</v>
      </c>
      <c r="B27" t="s">
        <v>483</v>
      </c>
      <c r="C27" t="s">
        <v>478</v>
      </c>
      <c r="D27">
        <v>2</v>
      </c>
      <c r="E27">
        <v>8</v>
      </c>
      <c r="F27">
        <v>245</v>
      </c>
      <c r="G27">
        <v>10</v>
      </c>
      <c r="H27">
        <v>25</v>
      </c>
      <c r="I27">
        <v>11.1</v>
      </c>
      <c r="J27">
        <v>12</v>
      </c>
      <c r="K27">
        <v>25</v>
      </c>
      <c r="L27">
        <f t="shared" si="3"/>
        <v>238.5</v>
      </c>
    </row>
    <row r="28" spans="1:12" x14ac:dyDescent="0.25">
      <c r="A28" t="s">
        <v>482</v>
      </c>
      <c r="B28" t="s">
        <v>483</v>
      </c>
      <c r="C28" t="s">
        <v>478</v>
      </c>
      <c r="D28">
        <v>2</v>
      </c>
      <c r="E28">
        <v>8</v>
      </c>
      <c r="F28">
        <v>295</v>
      </c>
      <c r="G28">
        <v>10</v>
      </c>
      <c r="H28">
        <v>25</v>
      </c>
      <c r="I28">
        <v>11.1</v>
      </c>
      <c r="J28">
        <v>12</v>
      </c>
      <c r="K28">
        <v>25</v>
      </c>
      <c r="L28">
        <f t="shared" si="3"/>
        <v>288.5</v>
      </c>
    </row>
    <row r="29" spans="1:12" x14ac:dyDescent="0.25">
      <c r="A29" t="s">
        <v>482</v>
      </c>
      <c r="B29" t="s">
        <v>483</v>
      </c>
      <c r="C29" t="s">
        <v>478</v>
      </c>
      <c r="D29">
        <v>2</v>
      </c>
      <c r="E29">
        <v>8</v>
      </c>
      <c r="F29">
        <v>330</v>
      </c>
      <c r="G29">
        <v>10</v>
      </c>
      <c r="H29">
        <v>25</v>
      </c>
      <c r="I29">
        <v>11.1</v>
      </c>
      <c r="J29">
        <v>12</v>
      </c>
      <c r="K29">
        <v>25</v>
      </c>
      <c r="L29">
        <f t="shared" si="3"/>
        <v>323.5</v>
      </c>
    </row>
    <row r="30" spans="1:12" x14ac:dyDescent="0.25">
      <c r="A30" t="s">
        <v>482</v>
      </c>
      <c r="B30" t="s">
        <v>483</v>
      </c>
      <c r="C30" t="s">
        <v>478</v>
      </c>
      <c r="D30">
        <v>2</v>
      </c>
      <c r="E30">
        <v>8</v>
      </c>
      <c r="F30">
        <v>375</v>
      </c>
      <c r="G30">
        <v>10</v>
      </c>
      <c r="H30">
        <v>25</v>
      </c>
      <c r="I30">
        <v>11.1</v>
      </c>
      <c r="J30">
        <v>12</v>
      </c>
      <c r="K30">
        <v>25</v>
      </c>
      <c r="L30">
        <f t="shared" si="3"/>
        <v>368.5</v>
      </c>
    </row>
    <row r="31" spans="1:12" x14ac:dyDescent="0.25">
      <c r="A31" t="s">
        <v>482</v>
      </c>
      <c r="B31" t="s">
        <v>483</v>
      </c>
      <c r="C31" t="s">
        <v>478</v>
      </c>
      <c r="D31">
        <v>2</v>
      </c>
      <c r="E31">
        <v>8</v>
      </c>
      <c r="F31">
        <v>400</v>
      </c>
      <c r="G31">
        <v>10</v>
      </c>
      <c r="H31">
        <v>25</v>
      </c>
      <c r="I31">
        <v>11.1</v>
      </c>
      <c r="J31">
        <v>12</v>
      </c>
      <c r="K31">
        <v>25</v>
      </c>
      <c r="L31">
        <f t="shared" si="3"/>
        <v>393.5</v>
      </c>
    </row>
    <row r="32" spans="1:12" x14ac:dyDescent="0.25">
      <c r="A32" t="s">
        <v>482</v>
      </c>
      <c r="B32" t="s">
        <v>483</v>
      </c>
      <c r="C32" t="s">
        <v>478</v>
      </c>
      <c r="D32">
        <v>2</v>
      </c>
      <c r="E32">
        <v>8</v>
      </c>
      <c r="F32">
        <v>430</v>
      </c>
      <c r="G32">
        <v>10</v>
      </c>
      <c r="H32">
        <v>25</v>
      </c>
      <c r="I32">
        <v>11.1</v>
      </c>
      <c r="J32">
        <v>12</v>
      </c>
      <c r="K32">
        <v>25</v>
      </c>
      <c r="L32">
        <f t="shared" si="3"/>
        <v>423.5</v>
      </c>
    </row>
    <row r="33" spans="1:12" x14ac:dyDescent="0.25">
      <c r="A33" t="s">
        <v>482</v>
      </c>
      <c r="B33" t="s">
        <v>483</v>
      </c>
      <c r="C33" t="s">
        <v>478</v>
      </c>
      <c r="D33">
        <v>2</v>
      </c>
      <c r="E33">
        <v>8</v>
      </c>
      <c r="F33">
        <v>480</v>
      </c>
      <c r="G33">
        <v>10</v>
      </c>
      <c r="H33">
        <v>25</v>
      </c>
      <c r="I33">
        <v>11.1</v>
      </c>
      <c r="J33">
        <v>12</v>
      </c>
      <c r="K33">
        <v>25</v>
      </c>
      <c r="L33">
        <f t="shared" si="3"/>
        <v>473.5</v>
      </c>
    </row>
    <row r="34" spans="1:12" x14ac:dyDescent="0.25">
      <c r="A34" t="s">
        <v>482</v>
      </c>
      <c r="B34" t="s">
        <v>483</v>
      </c>
      <c r="C34" t="s">
        <v>478</v>
      </c>
      <c r="D34">
        <v>2</v>
      </c>
      <c r="E34">
        <v>8</v>
      </c>
      <c r="F34">
        <v>530</v>
      </c>
      <c r="G34">
        <v>10</v>
      </c>
      <c r="H34">
        <v>25</v>
      </c>
      <c r="I34">
        <v>11.1</v>
      </c>
      <c r="J34">
        <v>12</v>
      </c>
      <c r="K34">
        <v>25</v>
      </c>
      <c r="L34">
        <f t="shared" si="3"/>
        <v>523.5</v>
      </c>
    </row>
    <row r="35" spans="1:12" x14ac:dyDescent="0.25">
      <c r="A35" t="s">
        <v>482</v>
      </c>
      <c r="B35" t="s">
        <v>483</v>
      </c>
      <c r="C35" t="s">
        <v>478</v>
      </c>
      <c r="D35">
        <v>2</v>
      </c>
      <c r="E35">
        <v>8</v>
      </c>
      <c r="F35">
        <v>580</v>
      </c>
      <c r="G35">
        <v>10</v>
      </c>
      <c r="H35">
        <v>25</v>
      </c>
      <c r="I35">
        <v>11.1</v>
      </c>
      <c r="J35">
        <v>12</v>
      </c>
      <c r="K35">
        <v>25</v>
      </c>
      <c r="L35">
        <f t="shared" si="3"/>
        <v>573.5</v>
      </c>
    </row>
    <row r="36" spans="1:12" x14ac:dyDescent="0.25">
      <c r="A36" t="s">
        <v>482</v>
      </c>
      <c r="B36" t="s">
        <v>483</v>
      </c>
      <c r="C36" t="s">
        <v>478</v>
      </c>
      <c r="D36">
        <v>2</v>
      </c>
      <c r="E36">
        <v>10</v>
      </c>
      <c r="F36">
        <v>195</v>
      </c>
      <c r="G36">
        <v>13</v>
      </c>
      <c r="H36">
        <v>40</v>
      </c>
      <c r="I36">
        <v>10.8</v>
      </c>
      <c r="J36">
        <v>12</v>
      </c>
      <c r="K36">
        <v>33</v>
      </c>
      <c r="L36">
        <f t="shared" si="3"/>
        <v>188.5</v>
      </c>
    </row>
    <row r="37" spans="1:12" x14ac:dyDescent="0.25">
      <c r="A37" t="s">
        <v>482</v>
      </c>
      <c r="B37" t="s">
        <v>483</v>
      </c>
      <c r="C37" t="s">
        <v>478</v>
      </c>
      <c r="D37">
        <v>2</v>
      </c>
      <c r="E37">
        <v>10</v>
      </c>
      <c r="F37">
        <v>220</v>
      </c>
      <c r="G37">
        <v>13</v>
      </c>
      <c r="H37">
        <v>40</v>
      </c>
      <c r="I37">
        <v>10.8</v>
      </c>
      <c r="J37">
        <v>12</v>
      </c>
      <c r="K37">
        <v>33</v>
      </c>
      <c r="L37">
        <f t="shared" si="3"/>
        <v>213.5</v>
      </c>
    </row>
    <row r="38" spans="1:12" x14ac:dyDescent="0.25">
      <c r="A38" t="s">
        <v>482</v>
      </c>
      <c r="B38" t="s">
        <v>483</v>
      </c>
      <c r="C38" t="s">
        <v>478</v>
      </c>
      <c r="D38">
        <v>2</v>
      </c>
      <c r="E38">
        <v>10</v>
      </c>
      <c r="F38">
        <v>245</v>
      </c>
      <c r="G38">
        <v>13</v>
      </c>
      <c r="H38">
        <v>40</v>
      </c>
      <c r="I38">
        <v>10.8</v>
      </c>
      <c r="J38">
        <v>12</v>
      </c>
      <c r="K38">
        <v>33</v>
      </c>
      <c r="L38">
        <f t="shared" si="3"/>
        <v>238.5</v>
      </c>
    </row>
    <row r="39" spans="1:12" x14ac:dyDescent="0.25">
      <c r="A39" t="s">
        <v>482</v>
      </c>
      <c r="B39" t="s">
        <v>483</v>
      </c>
      <c r="C39" t="s">
        <v>478</v>
      </c>
      <c r="D39">
        <v>2</v>
      </c>
      <c r="E39">
        <v>10</v>
      </c>
      <c r="F39">
        <v>270</v>
      </c>
      <c r="G39">
        <v>13</v>
      </c>
      <c r="H39">
        <v>40</v>
      </c>
      <c r="I39">
        <v>10.8</v>
      </c>
      <c r="J39">
        <v>12</v>
      </c>
      <c r="K39">
        <v>33</v>
      </c>
      <c r="L39">
        <f t="shared" si="3"/>
        <v>263.5</v>
      </c>
    </row>
    <row r="40" spans="1:12" x14ac:dyDescent="0.25">
      <c r="A40" t="s">
        <v>482</v>
      </c>
      <c r="B40" t="s">
        <v>483</v>
      </c>
      <c r="C40" t="s">
        <v>478</v>
      </c>
      <c r="D40">
        <v>2</v>
      </c>
      <c r="E40">
        <v>10</v>
      </c>
      <c r="F40">
        <v>300</v>
      </c>
      <c r="G40">
        <v>13</v>
      </c>
      <c r="H40">
        <v>40</v>
      </c>
      <c r="I40">
        <v>10.8</v>
      </c>
      <c r="J40">
        <v>12</v>
      </c>
      <c r="K40">
        <v>33</v>
      </c>
      <c r="L40">
        <f t="shared" si="3"/>
        <v>293.5</v>
      </c>
    </row>
    <row r="41" spans="1:12" x14ac:dyDescent="0.25">
      <c r="A41" t="s">
        <v>482</v>
      </c>
      <c r="B41" t="s">
        <v>483</v>
      </c>
      <c r="C41" t="s">
        <v>478</v>
      </c>
      <c r="D41">
        <v>2</v>
      </c>
      <c r="E41">
        <v>10</v>
      </c>
      <c r="F41">
        <v>330</v>
      </c>
      <c r="G41">
        <v>13</v>
      </c>
      <c r="H41">
        <v>40</v>
      </c>
      <c r="I41">
        <v>10.8</v>
      </c>
      <c r="J41">
        <v>12</v>
      </c>
      <c r="K41">
        <v>33</v>
      </c>
      <c r="L41">
        <f t="shared" si="3"/>
        <v>323.5</v>
      </c>
    </row>
    <row r="42" spans="1:12" x14ac:dyDescent="0.25">
      <c r="A42" t="s">
        <v>482</v>
      </c>
      <c r="B42" t="s">
        <v>483</v>
      </c>
      <c r="C42" t="s">
        <v>478</v>
      </c>
      <c r="D42">
        <v>2</v>
      </c>
      <c r="E42">
        <v>10</v>
      </c>
      <c r="F42">
        <v>360</v>
      </c>
      <c r="G42">
        <v>13</v>
      </c>
      <c r="H42">
        <v>40</v>
      </c>
      <c r="I42">
        <v>10.8</v>
      </c>
      <c r="J42">
        <v>12</v>
      </c>
      <c r="K42">
        <v>33</v>
      </c>
      <c r="L42">
        <f t="shared" si="3"/>
        <v>353.5</v>
      </c>
    </row>
    <row r="43" spans="1:12" x14ac:dyDescent="0.25">
      <c r="A43" t="s">
        <v>482</v>
      </c>
      <c r="B43" t="s">
        <v>483</v>
      </c>
      <c r="C43" t="s">
        <v>478</v>
      </c>
      <c r="D43">
        <v>2</v>
      </c>
      <c r="E43">
        <v>10</v>
      </c>
      <c r="F43">
        <v>400</v>
      </c>
      <c r="G43">
        <v>13</v>
      </c>
      <c r="H43">
        <v>40</v>
      </c>
      <c r="I43">
        <v>10.8</v>
      </c>
      <c r="J43">
        <v>12</v>
      </c>
      <c r="K43">
        <v>33</v>
      </c>
      <c r="L43">
        <f t="shared" si="3"/>
        <v>393.5</v>
      </c>
    </row>
    <row r="44" spans="1:12" x14ac:dyDescent="0.25">
      <c r="A44" t="s">
        <v>482</v>
      </c>
      <c r="B44" t="s">
        <v>483</v>
      </c>
      <c r="C44" t="s">
        <v>478</v>
      </c>
      <c r="D44">
        <v>2</v>
      </c>
      <c r="E44">
        <v>10</v>
      </c>
      <c r="F44">
        <v>450</v>
      </c>
      <c r="G44">
        <v>13</v>
      </c>
      <c r="H44">
        <v>40</v>
      </c>
      <c r="I44">
        <v>10.8</v>
      </c>
      <c r="J44">
        <v>12</v>
      </c>
      <c r="K44">
        <v>33</v>
      </c>
      <c r="L44">
        <f t="shared" si="3"/>
        <v>443.5</v>
      </c>
    </row>
    <row r="45" spans="1:12" x14ac:dyDescent="0.25">
      <c r="A45" t="s">
        <v>482</v>
      </c>
      <c r="B45" t="s">
        <v>483</v>
      </c>
      <c r="C45" t="s">
        <v>478</v>
      </c>
      <c r="D45">
        <v>2</v>
      </c>
      <c r="E45">
        <v>10</v>
      </c>
      <c r="F45">
        <v>500</v>
      </c>
      <c r="G45">
        <v>13</v>
      </c>
      <c r="H45">
        <v>40</v>
      </c>
      <c r="I45">
        <v>10.8</v>
      </c>
      <c r="J45">
        <v>12</v>
      </c>
      <c r="K45">
        <v>33</v>
      </c>
      <c r="L45">
        <f t="shared" si="3"/>
        <v>493.5</v>
      </c>
    </row>
    <row r="46" spans="1:12" x14ac:dyDescent="0.25">
      <c r="A46" t="s">
        <v>482</v>
      </c>
      <c r="B46" t="s">
        <v>483</v>
      </c>
      <c r="C46" t="s">
        <v>478</v>
      </c>
      <c r="D46">
        <v>2</v>
      </c>
      <c r="E46">
        <v>10</v>
      </c>
      <c r="F46">
        <v>550</v>
      </c>
      <c r="G46">
        <v>13</v>
      </c>
      <c r="H46">
        <v>40</v>
      </c>
      <c r="I46">
        <v>10.8</v>
      </c>
      <c r="J46">
        <v>12</v>
      </c>
      <c r="K46">
        <v>33</v>
      </c>
      <c r="L46">
        <f t="shared" si="3"/>
        <v>543.5</v>
      </c>
    </row>
    <row r="47" spans="1:12" x14ac:dyDescent="0.25">
      <c r="A47" t="s">
        <v>482</v>
      </c>
      <c r="B47" t="s">
        <v>483</v>
      </c>
      <c r="C47" t="s">
        <v>478</v>
      </c>
      <c r="D47">
        <v>2</v>
      </c>
      <c r="E47">
        <v>10</v>
      </c>
      <c r="F47">
        <v>600</v>
      </c>
      <c r="G47">
        <v>13</v>
      </c>
      <c r="H47">
        <v>40</v>
      </c>
      <c r="I47">
        <v>10.8</v>
      </c>
      <c r="J47">
        <v>12</v>
      </c>
      <c r="K47">
        <v>33</v>
      </c>
      <c r="L47">
        <f t="shared" si="3"/>
        <v>593.5</v>
      </c>
    </row>
    <row r="48" spans="1:12" x14ac:dyDescent="0.25">
      <c r="A48" t="s">
        <v>482</v>
      </c>
      <c r="B48" t="s">
        <v>483</v>
      </c>
      <c r="C48" t="s">
        <v>478</v>
      </c>
      <c r="D48">
        <v>2</v>
      </c>
      <c r="E48">
        <v>10</v>
      </c>
      <c r="F48">
        <v>650</v>
      </c>
      <c r="G48">
        <v>13</v>
      </c>
      <c r="H48">
        <v>40</v>
      </c>
      <c r="I48">
        <v>10.8</v>
      </c>
      <c r="J48">
        <v>12</v>
      </c>
      <c r="K48">
        <v>33</v>
      </c>
      <c r="L48">
        <f t="shared" si="3"/>
        <v>643.5</v>
      </c>
    </row>
    <row r="49" spans="1:12" x14ac:dyDescent="0.25">
      <c r="A49" t="s">
        <v>482</v>
      </c>
      <c r="B49" t="s">
        <v>483</v>
      </c>
      <c r="C49" t="s">
        <v>478</v>
      </c>
      <c r="D49">
        <v>2</v>
      </c>
      <c r="E49">
        <v>10</v>
      </c>
      <c r="F49">
        <v>700</v>
      </c>
      <c r="G49">
        <v>13</v>
      </c>
      <c r="H49">
        <v>40</v>
      </c>
      <c r="I49">
        <v>10.8</v>
      </c>
      <c r="J49">
        <v>12</v>
      </c>
      <c r="K49">
        <v>33</v>
      </c>
      <c r="L49">
        <f t="shared" si="3"/>
        <v>693.5</v>
      </c>
    </row>
    <row r="50" spans="1:12" x14ac:dyDescent="0.25">
      <c r="A50" t="s">
        <v>482</v>
      </c>
      <c r="B50" t="s">
        <v>483</v>
      </c>
      <c r="C50" t="s">
        <v>478</v>
      </c>
      <c r="D50">
        <v>2</v>
      </c>
      <c r="E50">
        <v>10</v>
      </c>
      <c r="F50">
        <v>750</v>
      </c>
      <c r="G50">
        <v>13</v>
      </c>
      <c r="H50">
        <v>40</v>
      </c>
      <c r="I50">
        <v>10.8</v>
      </c>
      <c r="J50">
        <v>12</v>
      </c>
      <c r="K50">
        <v>33</v>
      </c>
      <c r="L50">
        <f t="shared" si="3"/>
        <v>743.5</v>
      </c>
    </row>
    <row r="51" spans="1:12" x14ac:dyDescent="0.25">
      <c r="A51" t="s">
        <v>482</v>
      </c>
      <c r="B51" t="s">
        <v>483</v>
      </c>
      <c r="C51" t="s">
        <v>478</v>
      </c>
      <c r="D51">
        <v>2</v>
      </c>
      <c r="E51">
        <v>10</v>
      </c>
      <c r="F51">
        <v>800</v>
      </c>
      <c r="G51">
        <v>13</v>
      </c>
      <c r="H51">
        <v>40</v>
      </c>
      <c r="I51">
        <v>10.8</v>
      </c>
      <c r="J51">
        <v>12</v>
      </c>
      <c r="K51">
        <v>33</v>
      </c>
      <c r="L51">
        <f t="shared" si="3"/>
        <v>793.5</v>
      </c>
    </row>
    <row r="52" spans="1:12" x14ac:dyDescent="0.25">
      <c r="A52" t="s">
        <v>482</v>
      </c>
      <c r="B52" t="s">
        <v>483</v>
      </c>
      <c r="C52" t="s">
        <v>478</v>
      </c>
      <c r="D52">
        <v>2</v>
      </c>
      <c r="E52">
        <v>10</v>
      </c>
      <c r="F52">
        <v>900</v>
      </c>
      <c r="G52">
        <v>13</v>
      </c>
      <c r="H52">
        <v>40</v>
      </c>
      <c r="I52">
        <v>10.8</v>
      </c>
      <c r="J52">
        <v>12</v>
      </c>
      <c r="K52">
        <v>33</v>
      </c>
      <c r="L52">
        <f t="shared" si="3"/>
        <v>893.5</v>
      </c>
    </row>
    <row r="53" spans="1:12" x14ac:dyDescent="0.25">
      <c r="A53" t="s">
        <v>482</v>
      </c>
      <c r="B53" t="s">
        <v>483</v>
      </c>
      <c r="C53" t="s">
        <v>478</v>
      </c>
      <c r="D53">
        <v>2</v>
      </c>
      <c r="E53">
        <v>10</v>
      </c>
      <c r="F53">
        <v>1000</v>
      </c>
      <c r="G53">
        <v>13</v>
      </c>
      <c r="H53">
        <v>40</v>
      </c>
      <c r="I53">
        <v>10.8</v>
      </c>
      <c r="J53">
        <v>12</v>
      </c>
      <c r="K53">
        <v>33</v>
      </c>
      <c r="L53">
        <f t="shared" si="3"/>
        <v>993.5</v>
      </c>
    </row>
    <row r="54" spans="1:12" x14ac:dyDescent="0.25">
      <c r="A54" t="s">
        <v>482</v>
      </c>
      <c r="B54" t="s">
        <v>485</v>
      </c>
      <c r="C54" t="s">
        <v>479</v>
      </c>
      <c r="D54">
        <v>2</v>
      </c>
      <c r="E54">
        <v>5.2</v>
      </c>
      <c r="F54">
        <v>80</v>
      </c>
      <c r="G54">
        <v>6.4</v>
      </c>
      <c r="H54">
        <v>10</v>
      </c>
      <c r="I54">
        <v>15.5</v>
      </c>
      <c r="J54">
        <v>12</v>
      </c>
      <c r="K54">
        <v>13</v>
      </c>
      <c r="L54">
        <f>F54-5.5</f>
        <v>74.5</v>
      </c>
    </row>
    <row r="55" spans="1:12" x14ac:dyDescent="0.25">
      <c r="A55" t="s">
        <v>482</v>
      </c>
      <c r="B55" t="s">
        <v>485</v>
      </c>
      <c r="C55" t="s">
        <v>479</v>
      </c>
      <c r="D55">
        <v>2</v>
      </c>
      <c r="E55">
        <v>5.2</v>
      </c>
      <c r="F55">
        <v>100</v>
      </c>
      <c r="G55">
        <v>6.4</v>
      </c>
      <c r="H55">
        <v>10</v>
      </c>
      <c r="I55">
        <v>15.5</v>
      </c>
      <c r="J55">
        <v>12</v>
      </c>
      <c r="K55">
        <v>13</v>
      </c>
      <c r="L55">
        <f t="shared" ref="L55:L62" si="4">F55-5.5</f>
        <v>94.5</v>
      </c>
    </row>
    <row r="56" spans="1:12" x14ac:dyDescent="0.25">
      <c r="A56" t="s">
        <v>482</v>
      </c>
      <c r="B56" t="s">
        <v>485</v>
      </c>
      <c r="C56" t="s">
        <v>479</v>
      </c>
      <c r="D56">
        <v>2</v>
      </c>
      <c r="E56">
        <v>5.2</v>
      </c>
      <c r="F56">
        <v>120</v>
      </c>
      <c r="G56">
        <v>6.4</v>
      </c>
      <c r="H56">
        <v>10</v>
      </c>
      <c r="I56">
        <v>15.5</v>
      </c>
      <c r="J56">
        <v>12</v>
      </c>
      <c r="K56">
        <v>13</v>
      </c>
      <c r="L56">
        <f t="shared" si="4"/>
        <v>114.5</v>
      </c>
    </row>
    <row r="57" spans="1:12" x14ac:dyDescent="0.25">
      <c r="A57" t="s">
        <v>482</v>
      </c>
      <c r="B57" t="s">
        <v>485</v>
      </c>
      <c r="C57" t="s">
        <v>479</v>
      </c>
      <c r="D57">
        <v>2</v>
      </c>
      <c r="E57">
        <v>5.2</v>
      </c>
      <c r="F57">
        <v>140</v>
      </c>
      <c r="G57">
        <v>6.4</v>
      </c>
      <c r="H57">
        <v>10</v>
      </c>
      <c r="I57">
        <v>15.5</v>
      </c>
      <c r="J57">
        <v>12</v>
      </c>
      <c r="K57">
        <v>13</v>
      </c>
      <c r="L57">
        <f t="shared" si="4"/>
        <v>134.5</v>
      </c>
    </row>
    <row r="58" spans="1:12" x14ac:dyDescent="0.25">
      <c r="A58" t="s">
        <v>482</v>
      </c>
      <c r="B58" t="s">
        <v>485</v>
      </c>
      <c r="C58" t="s">
        <v>479</v>
      </c>
      <c r="D58">
        <v>2</v>
      </c>
      <c r="E58">
        <v>5.2</v>
      </c>
      <c r="F58">
        <v>160</v>
      </c>
      <c r="G58">
        <v>6.4</v>
      </c>
      <c r="H58">
        <v>10</v>
      </c>
      <c r="I58">
        <v>15.5</v>
      </c>
      <c r="J58">
        <v>12</v>
      </c>
      <c r="K58">
        <v>13</v>
      </c>
      <c r="L58">
        <f t="shared" si="4"/>
        <v>154.5</v>
      </c>
    </row>
    <row r="59" spans="1:12" x14ac:dyDescent="0.25">
      <c r="A59" t="s">
        <v>482</v>
      </c>
      <c r="B59" t="s">
        <v>485</v>
      </c>
      <c r="C59" t="s">
        <v>479</v>
      </c>
      <c r="D59">
        <v>2</v>
      </c>
      <c r="E59">
        <v>6.5</v>
      </c>
      <c r="F59">
        <v>80</v>
      </c>
      <c r="G59">
        <v>11.5</v>
      </c>
      <c r="H59">
        <v>15</v>
      </c>
      <c r="I59">
        <v>15.5</v>
      </c>
      <c r="J59">
        <v>12</v>
      </c>
      <c r="K59">
        <v>17</v>
      </c>
      <c r="L59">
        <f t="shared" si="4"/>
        <v>74.5</v>
      </c>
    </row>
    <row r="60" spans="1:12" x14ac:dyDescent="0.25">
      <c r="A60" t="s">
        <v>482</v>
      </c>
      <c r="B60" t="s">
        <v>485</v>
      </c>
      <c r="C60" t="s">
        <v>479</v>
      </c>
      <c r="D60">
        <v>2</v>
      </c>
      <c r="E60">
        <v>6.5</v>
      </c>
      <c r="F60">
        <v>100</v>
      </c>
      <c r="G60">
        <v>11.5</v>
      </c>
      <c r="H60">
        <v>15</v>
      </c>
      <c r="I60">
        <v>15.5</v>
      </c>
      <c r="J60">
        <v>12</v>
      </c>
      <c r="K60">
        <v>17</v>
      </c>
      <c r="L60">
        <f t="shared" si="4"/>
        <v>94.5</v>
      </c>
    </row>
    <row r="61" spans="1:12" x14ac:dyDescent="0.25">
      <c r="A61" t="s">
        <v>482</v>
      </c>
      <c r="B61" t="s">
        <v>485</v>
      </c>
      <c r="C61" t="s">
        <v>479</v>
      </c>
      <c r="D61">
        <v>2</v>
      </c>
      <c r="E61">
        <v>6.5</v>
      </c>
      <c r="F61">
        <v>120</v>
      </c>
      <c r="G61">
        <v>11.5</v>
      </c>
      <c r="H61">
        <v>15</v>
      </c>
      <c r="I61">
        <v>15.5</v>
      </c>
      <c r="J61">
        <v>12</v>
      </c>
      <c r="K61">
        <v>17</v>
      </c>
      <c r="L61">
        <f t="shared" si="4"/>
        <v>114.5</v>
      </c>
    </row>
    <row r="62" spans="1:12" x14ac:dyDescent="0.25">
      <c r="A62" t="s">
        <v>482</v>
      </c>
      <c r="B62" t="s">
        <v>485</v>
      </c>
      <c r="C62" t="s">
        <v>479</v>
      </c>
      <c r="D62">
        <v>2</v>
      </c>
      <c r="E62">
        <v>6.5</v>
      </c>
      <c r="F62">
        <v>140</v>
      </c>
      <c r="G62">
        <v>11.5</v>
      </c>
      <c r="H62">
        <v>15</v>
      </c>
      <c r="I62">
        <v>15.5</v>
      </c>
      <c r="J62">
        <v>12</v>
      </c>
      <c r="K62">
        <v>17</v>
      </c>
      <c r="L62">
        <f t="shared" si="4"/>
        <v>134.5</v>
      </c>
    </row>
    <row r="63" spans="1:12" x14ac:dyDescent="0.25">
      <c r="A63" t="s">
        <v>482</v>
      </c>
      <c r="B63" t="s">
        <v>485</v>
      </c>
      <c r="C63" t="s">
        <v>479</v>
      </c>
      <c r="D63">
        <v>2</v>
      </c>
      <c r="E63">
        <v>8</v>
      </c>
      <c r="F63">
        <v>95</v>
      </c>
      <c r="G63">
        <v>14.5</v>
      </c>
      <c r="H63">
        <v>25</v>
      </c>
      <c r="I63">
        <v>12.5</v>
      </c>
      <c r="J63">
        <v>12</v>
      </c>
      <c r="K63">
        <v>25</v>
      </c>
      <c r="L63">
        <f>F63-7.4</f>
        <v>87.6</v>
      </c>
    </row>
    <row r="64" spans="1:12" x14ac:dyDescent="0.25">
      <c r="A64" t="s">
        <v>482</v>
      </c>
      <c r="B64" t="s">
        <v>485</v>
      </c>
      <c r="C64" t="s">
        <v>479</v>
      </c>
      <c r="D64">
        <v>2</v>
      </c>
      <c r="E64">
        <v>8</v>
      </c>
      <c r="F64">
        <v>125</v>
      </c>
      <c r="G64">
        <v>14.5</v>
      </c>
      <c r="H64">
        <v>25</v>
      </c>
      <c r="I64">
        <v>12.5</v>
      </c>
      <c r="J64">
        <v>12</v>
      </c>
      <c r="K64">
        <v>25</v>
      </c>
      <c r="L64">
        <f t="shared" ref="L64:L76" si="5">F64-7.4</f>
        <v>117.6</v>
      </c>
    </row>
    <row r="65" spans="1:12" x14ac:dyDescent="0.25">
      <c r="A65" t="s">
        <v>482</v>
      </c>
      <c r="B65" t="s">
        <v>485</v>
      </c>
      <c r="C65" t="s">
        <v>479</v>
      </c>
      <c r="D65">
        <v>2</v>
      </c>
      <c r="E65">
        <v>8</v>
      </c>
      <c r="F65">
        <v>155</v>
      </c>
      <c r="G65">
        <v>14.5</v>
      </c>
      <c r="H65">
        <v>25</v>
      </c>
      <c r="I65">
        <v>12.5</v>
      </c>
      <c r="J65">
        <v>12</v>
      </c>
      <c r="K65">
        <v>25</v>
      </c>
      <c r="L65">
        <f t="shared" si="5"/>
        <v>147.6</v>
      </c>
    </row>
    <row r="66" spans="1:12" x14ac:dyDescent="0.25">
      <c r="A66" t="s">
        <v>482</v>
      </c>
      <c r="B66" t="s">
        <v>485</v>
      </c>
      <c r="C66" t="s">
        <v>479</v>
      </c>
      <c r="D66">
        <v>2</v>
      </c>
      <c r="E66">
        <v>8</v>
      </c>
      <c r="F66">
        <v>195</v>
      </c>
      <c r="G66">
        <v>14.5</v>
      </c>
      <c r="H66">
        <v>25</v>
      </c>
      <c r="I66">
        <v>12.5</v>
      </c>
      <c r="J66">
        <v>12</v>
      </c>
      <c r="K66">
        <v>25</v>
      </c>
      <c r="L66">
        <f t="shared" si="5"/>
        <v>187.6</v>
      </c>
    </row>
    <row r="67" spans="1:12" x14ac:dyDescent="0.25">
      <c r="A67" t="s">
        <v>482</v>
      </c>
      <c r="B67" t="s">
        <v>485</v>
      </c>
      <c r="C67" t="s">
        <v>479</v>
      </c>
      <c r="D67">
        <v>2</v>
      </c>
      <c r="E67">
        <v>8</v>
      </c>
      <c r="F67">
        <v>220</v>
      </c>
      <c r="G67">
        <v>14.5</v>
      </c>
      <c r="H67">
        <v>25</v>
      </c>
      <c r="I67">
        <v>12.5</v>
      </c>
      <c r="J67">
        <v>12</v>
      </c>
      <c r="K67">
        <v>25</v>
      </c>
      <c r="L67">
        <f t="shared" si="5"/>
        <v>212.6</v>
      </c>
    </row>
    <row r="68" spans="1:12" x14ac:dyDescent="0.25">
      <c r="A68" t="s">
        <v>482</v>
      </c>
      <c r="B68" t="s">
        <v>485</v>
      </c>
      <c r="C68" t="s">
        <v>479</v>
      </c>
      <c r="D68">
        <v>2</v>
      </c>
      <c r="E68">
        <v>8</v>
      </c>
      <c r="F68">
        <v>245</v>
      </c>
      <c r="G68">
        <v>14.5</v>
      </c>
      <c r="H68">
        <v>25</v>
      </c>
      <c r="I68">
        <v>12.5</v>
      </c>
      <c r="J68">
        <v>12</v>
      </c>
      <c r="K68">
        <v>25</v>
      </c>
      <c r="L68">
        <f t="shared" si="5"/>
        <v>237.6</v>
      </c>
    </row>
    <row r="69" spans="1:12" x14ac:dyDescent="0.25">
      <c r="A69" t="s">
        <v>482</v>
      </c>
      <c r="B69" t="s">
        <v>485</v>
      </c>
      <c r="C69" t="s">
        <v>479</v>
      </c>
      <c r="D69">
        <v>2</v>
      </c>
      <c r="E69">
        <v>8</v>
      </c>
      <c r="F69">
        <v>270</v>
      </c>
      <c r="G69">
        <v>14.5</v>
      </c>
      <c r="H69">
        <v>25</v>
      </c>
      <c r="I69">
        <v>12.5</v>
      </c>
      <c r="J69">
        <v>12</v>
      </c>
      <c r="K69">
        <v>25</v>
      </c>
      <c r="L69">
        <f t="shared" si="5"/>
        <v>262.60000000000002</v>
      </c>
    </row>
    <row r="70" spans="1:12" x14ac:dyDescent="0.25">
      <c r="A70" t="s">
        <v>482</v>
      </c>
      <c r="B70" t="s">
        <v>485</v>
      </c>
      <c r="C70" t="s">
        <v>479</v>
      </c>
      <c r="D70">
        <v>2</v>
      </c>
      <c r="E70">
        <v>8</v>
      </c>
      <c r="F70">
        <v>295</v>
      </c>
      <c r="G70">
        <v>14.5</v>
      </c>
      <c r="H70">
        <v>25</v>
      </c>
      <c r="I70">
        <v>12.5</v>
      </c>
      <c r="J70">
        <v>12</v>
      </c>
      <c r="K70">
        <v>25</v>
      </c>
      <c r="L70">
        <f t="shared" si="5"/>
        <v>287.60000000000002</v>
      </c>
    </row>
    <row r="71" spans="1:12" x14ac:dyDescent="0.25">
      <c r="A71" t="s">
        <v>482</v>
      </c>
      <c r="B71" t="s">
        <v>485</v>
      </c>
      <c r="C71" t="s">
        <v>479</v>
      </c>
      <c r="D71">
        <v>2</v>
      </c>
      <c r="E71">
        <v>8</v>
      </c>
      <c r="F71">
        <v>330</v>
      </c>
      <c r="G71">
        <v>14.5</v>
      </c>
      <c r="H71">
        <v>25</v>
      </c>
      <c r="I71">
        <v>12.5</v>
      </c>
      <c r="J71">
        <v>12</v>
      </c>
      <c r="K71">
        <v>25</v>
      </c>
      <c r="L71">
        <f t="shared" si="5"/>
        <v>322.60000000000002</v>
      </c>
    </row>
    <row r="72" spans="1:12" x14ac:dyDescent="0.25">
      <c r="A72" t="s">
        <v>482</v>
      </c>
      <c r="B72" t="s">
        <v>485</v>
      </c>
      <c r="C72" t="s">
        <v>479</v>
      </c>
      <c r="D72">
        <v>2</v>
      </c>
      <c r="E72">
        <v>8</v>
      </c>
      <c r="F72">
        <v>375</v>
      </c>
      <c r="G72">
        <v>14.5</v>
      </c>
      <c r="H72">
        <v>25</v>
      </c>
      <c r="I72">
        <v>12.5</v>
      </c>
      <c r="J72">
        <v>12</v>
      </c>
      <c r="K72">
        <v>25</v>
      </c>
      <c r="L72">
        <f t="shared" si="5"/>
        <v>367.6</v>
      </c>
    </row>
    <row r="73" spans="1:12" x14ac:dyDescent="0.25">
      <c r="A73" t="s">
        <v>482</v>
      </c>
      <c r="B73" t="s">
        <v>485</v>
      </c>
      <c r="C73" t="s">
        <v>479</v>
      </c>
      <c r="D73">
        <v>2</v>
      </c>
      <c r="E73">
        <v>8</v>
      </c>
      <c r="F73">
        <v>400</v>
      </c>
      <c r="G73">
        <v>14.5</v>
      </c>
      <c r="H73">
        <v>25</v>
      </c>
      <c r="I73">
        <v>12.5</v>
      </c>
      <c r="J73">
        <v>12</v>
      </c>
      <c r="K73">
        <v>25</v>
      </c>
      <c r="L73">
        <f t="shared" si="5"/>
        <v>392.6</v>
      </c>
    </row>
    <row r="74" spans="1:12" x14ac:dyDescent="0.25">
      <c r="A74" t="s">
        <v>482</v>
      </c>
      <c r="B74" t="s">
        <v>485</v>
      </c>
      <c r="C74" t="s">
        <v>479</v>
      </c>
      <c r="D74">
        <v>2</v>
      </c>
      <c r="E74">
        <v>8</v>
      </c>
      <c r="F74">
        <v>430</v>
      </c>
      <c r="G74">
        <v>14.5</v>
      </c>
      <c r="H74">
        <v>25</v>
      </c>
      <c r="I74">
        <v>12.5</v>
      </c>
      <c r="J74">
        <v>12</v>
      </c>
      <c r="K74">
        <v>25</v>
      </c>
      <c r="L74">
        <f t="shared" si="5"/>
        <v>422.6</v>
      </c>
    </row>
    <row r="75" spans="1:12" x14ac:dyDescent="0.25">
      <c r="A75" t="s">
        <v>482</v>
      </c>
      <c r="B75" t="s">
        <v>485</v>
      </c>
      <c r="C75" t="s">
        <v>479</v>
      </c>
      <c r="D75">
        <v>2</v>
      </c>
      <c r="E75">
        <v>8</v>
      </c>
      <c r="F75">
        <v>480</v>
      </c>
      <c r="G75">
        <v>14.5</v>
      </c>
      <c r="H75">
        <v>25</v>
      </c>
      <c r="I75">
        <v>12.5</v>
      </c>
      <c r="J75">
        <v>12</v>
      </c>
      <c r="K75">
        <v>25</v>
      </c>
      <c r="L75">
        <f t="shared" si="5"/>
        <v>472.6</v>
      </c>
    </row>
    <row r="76" spans="1:12" x14ac:dyDescent="0.25">
      <c r="A76" t="s">
        <v>482</v>
      </c>
      <c r="B76" t="s">
        <v>485</v>
      </c>
      <c r="C76" t="s">
        <v>479</v>
      </c>
      <c r="D76">
        <v>2</v>
      </c>
      <c r="E76">
        <v>8</v>
      </c>
      <c r="F76">
        <v>545</v>
      </c>
      <c r="G76">
        <v>14.5</v>
      </c>
      <c r="H76">
        <v>25</v>
      </c>
      <c r="I76">
        <v>12.5</v>
      </c>
      <c r="J76">
        <v>12</v>
      </c>
      <c r="K76">
        <v>25</v>
      </c>
      <c r="L76">
        <f t="shared" si="5"/>
        <v>537.6</v>
      </c>
    </row>
    <row r="77" spans="1:12" x14ac:dyDescent="0.25">
      <c r="A77" t="s">
        <v>482</v>
      </c>
      <c r="B77" t="s">
        <v>485</v>
      </c>
      <c r="C77" t="s">
        <v>479</v>
      </c>
      <c r="D77">
        <v>2</v>
      </c>
      <c r="E77">
        <v>10</v>
      </c>
      <c r="F77">
        <v>125</v>
      </c>
      <c r="G77">
        <v>17.8</v>
      </c>
      <c r="H77">
        <v>40</v>
      </c>
      <c r="I77">
        <v>11.5</v>
      </c>
      <c r="J77">
        <v>12</v>
      </c>
      <c r="K77">
        <v>33</v>
      </c>
      <c r="L77">
        <v>113</v>
      </c>
    </row>
    <row r="78" spans="1:12" x14ac:dyDescent="0.25">
      <c r="A78" t="s">
        <v>482</v>
      </c>
      <c r="B78" t="s">
        <v>485</v>
      </c>
      <c r="C78" t="s">
        <v>479</v>
      </c>
      <c r="D78">
        <v>2</v>
      </c>
      <c r="E78">
        <v>10</v>
      </c>
      <c r="F78">
        <v>155</v>
      </c>
      <c r="G78">
        <v>17.8</v>
      </c>
      <c r="H78">
        <v>40</v>
      </c>
      <c r="I78">
        <v>11.5</v>
      </c>
      <c r="J78">
        <v>12</v>
      </c>
      <c r="K78">
        <v>33</v>
      </c>
      <c r="L78">
        <v>143</v>
      </c>
    </row>
    <row r="79" spans="1:12" x14ac:dyDescent="0.25">
      <c r="A79" t="s">
        <v>482</v>
      </c>
      <c r="B79" t="s">
        <v>485</v>
      </c>
      <c r="C79" t="s">
        <v>479</v>
      </c>
      <c r="D79">
        <v>2</v>
      </c>
      <c r="E79">
        <v>10</v>
      </c>
      <c r="F79">
        <v>195</v>
      </c>
      <c r="G79">
        <v>17.8</v>
      </c>
      <c r="H79">
        <v>40</v>
      </c>
      <c r="I79">
        <v>11.5</v>
      </c>
      <c r="J79">
        <v>12</v>
      </c>
      <c r="K79">
        <v>33</v>
      </c>
      <c r="L79">
        <v>183</v>
      </c>
    </row>
    <row r="80" spans="1:12" x14ac:dyDescent="0.25">
      <c r="A80" t="s">
        <v>482</v>
      </c>
      <c r="B80" t="s">
        <v>485</v>
      </c>
      <c r="C80" t="s">
        <v>479</v>
      </c>
      <c r="D80">
        <v>2</v>
      </c>
      <c r="E80">
        <v>10</v>
      </c>
      <c r="F80">
        <v>220</v>
      </c>
      <c r="G80">
        <v>17.8</v>
      </c>
      <c r="H80">
        <v>40</v>
      </c>
      <c r="I80">
        <v>11.5</v>
      </c>
      <c r="J80">
        <v>12</v>
      </c>
      <c r="K80">
        <v>33</v>
      </c>
      <c r="L80">
        <v>208</v>
      </c>
    </row>
    <row r="81" spans="1:12" x14ac:dyDescent="0.25">
      <c r="A81" t="s">
        <v>482</v>
      </c>
      <c r="B81" t="s">
        <v>485</v>
      </c>
      <c r="C81" t="s">
        <v>479</v>
      </c>
      <c r="D81">
        <v>2</v>
      </c>
      <c r="E81">
        <v>10</v>
      </c>
      <c r="F81">
        <v>245</v>
      </c>
      <c r="G81">
        <v>17.8</v>
      </c>
      <c r="H81">
        <v>40</v>
      </c>
      <c r="I81">
        <v>11.5</v>
      </c>
      <c r="J81">
        <v>12</v>
      </c>
      <c r="K81">
        <v>33</v>
      </c>
      <c r="L81">
        <v>233</v>
      </c>
    </row>
    <row r="82" spans="1:12" x14ac:dyDescent="0.25">
      <c r="A82" t="s">
        <v>482</v>
      </c>
      <c r="B82" t="s">
        <v>485</v>
      </c>
      <c r="C82" t="s">
        <v>479</v>
      </c>
      <c r="D82">
        <v>2</v>
      </c>
      <c r="E82">
        <v>10</v>
      </c>
      <c r="F82">
        <v>270</v>
      </c>
      <c r="G82">
        <v>17.8</v>
      </c>
      <c r="H82">
        <v>40</v>
      </c>
      <c r="I82">
        <v>11.5</v>
      </c>
      <c r="J82">
        <v>12</v>
      </c>
      <c r="K82">
        <v>33</v>
      </c>
      <c r="L82">
        <v>258</v>
      </c>
    </row>
    <row r="83" spans="1:12" x14ac:dyDescent="0.25">
      <c r="A83" t="s">
        <v>482</v>
      </c>
      <c r="B83" t="s">
        <v>485</v>
      </c>
      <c r="C83" t="s">
        <v>479</v>
      </c>
      <c r="D83">
        <v>2</v>
      </c>
      <c r="E83">
        <v>10</v>
      </c>
      <c r="F83">
        <v>300</v>
      </c>
      <c r="G83">
        <v>17.8</v>
      </c>
      <c r="H83">
        <v>40</v>
      </c>
      <c r="I83">
        <v>11.5</v>
      </c>
      <c r="J83">
        <v>12</v>
      </c>
      <c r="K83">
        <v>33</v>
      </c>
      <c r="L83">
        <v>277</v>
      </c>
    </row>
    <row r="84" spans="1:12" x14ac:dyDescent="0.25">
      <c r="A84" t="s">
        <v>482</v>
      </c>
      <c r="B84" t="s">
        <v>485</v>
      </c>
      <c r="C84" t="s">
        <v>479</v>
      </c>
      <c r="D84">
        <v>2</v>
      </c>
      <c r="E84">
        <v>10</v>
      </c>
      <c r="F84">
        <v>330</v>
      </c>
      <c r="G84">
        <v>17.8</v>
      </c>
      <c r="H84">
        <v>40</v>
      </c>
      <c r="I84">
        <v>11.5</v>
      </c>
      <c r="J84">
        <v>12</v>
      </c>
      <c r="K84">
        <v>33</v>
      </c>
      <c r="L84">
        <v>307</v>
      </c>
    </row>
    <row r="85" spans="1:12" x14ac:dyDescent="0.25">
      <c r="A85" t="s">
        <v>482</v>
      </c>
      <c r="B85" t="s">
        <v>485</v>
      </c>
      <c r="C85" t="s">
        <v>479</v>
      </c>
      <c r="D85">
        <v>2</v>
      </c>
      <c r="E85">
        <v>10</v>
      </c>
      <c r="F85">
        <v>360</v>
      </c>
      <c r="G85">
        <v>17.8</v>
      </c>
      <c r="H85">
        <v>40</v>
      </c>
      <c r="I85">
        <v>11.5</v>
      </c>
      <c r="J85">
        <v>12</v>
      </c>
      <c r="K85">
        <v>33</v>
      </c>
      <c r="L85">
        <v>337</v>
      </c>
    </row>
    <row r="86" spans="1:12" x14ac:dyDescent="0.25">
      <c r="A86" t="s">
        <v>482</v>
      </c>
      <c r="B86" t="s">
        <v>485</v>
      </c>
      <c r="C86" t="s">
        <v>479</v>
      </c>
      <c r="D86">
        <v>2</v>
      </c>
      <c r="E86">
        <v>10</v>
      </c>
      <c r="F86">
        <v>400</v>
      </c>
      <c r="G86">
        <v>17.8</v>
      </c>
      <c r="H86">
        <v>40</v>
      </c>
      <c r="I86">
        <v>11.5</v>
      </c>
      <c r="J86">
        <v>12</v>
      </c>
      <c r="K86">
        <v>33</v>
      </c>
      <c r="L86">
        <v>377</v>
      </c>
    </row>
    <row r="87" spans="1:12" x14ac:dyDescent="0.25">
      <c r="A87" t="s">
        <v>482</v>
      </c>
      <c r="B87" t="s">
        <v>485</v>
      </c>
      <c r="C87" t="s">
        <v>479</v>
      </c>
      <c r="D87">
        <v>2</v>
      </c>
      <c r="E87">
        <v>10</v>
      </c>
      <c r="F87">
        <v>450</v>
      </c>
      <c r="G87">
        <v>17.8</v>
      </c>
      <c r="H87">
        <v>40</v>
      </c>
      <c r="I87">
        <v>11.5</v>
      </c>
      <c r="J87">
        <v>12</v>
      </c>
      <c r="K87">
        <v>33</v>
      </c>
      <c r="L87">
        <v>427</v>
      </c>
    </row>
    <row r="88" spans="1:12" x14ac:dyDescent="0.25">
      <c r="A88" t="s">
        <v>482</v>
      </c>
      <c r="B88" t="s">
        <v>485</v>
      </c>
      <c r="C88" t="s">
        <v>479</v>
      </c>
      <c r="D88">
        <v>2</v>
      </c>
      <c r="E88">
        <v>10</v>
      </c>
      <c r="F88">
        <v>500</v>
      </c>
      <c r="G88">
        <v>17.8</v>
      </c>
      <c r="H88">
        <v>40</v>
      </c>
      <c r="I88">
        <v>11.5</v>
      </c>
      <c r="J88">
        <v>12</v>
      </c>
      <c r="K88">
        <v>33</v>
      </c>
      <c r="L88">
        <v>477</v>
      </c>
    </row>
    <row r="89" spans="1:12" x14ac:dyDescent="0.25">
      <c r="A89" t="s">
        <v>482</v>
      </c>
      <c r="B89" t="s">
        <v>485</v>
      </c>
      <c r="C89" t="s">
        <v>479</v>
      </c>
      <c r="D89">
        <v>2</v>
      </c>
      <c r="E89">
        <v>10</v>
      </c>
      <c r="F89">
        <v>550</v>
      </c>
      <c r="G89">
        <v>17.8</v>
      </c>
      <c r="H89">
        <v>40</v>
      </c>
      <c r="I89">
        <v>11.5</v>
      </c>
      <c r="J89">
        <v>12</v>
      </c>
      <c r="K89">
        <v>33</v>
      </c>
      <c r="L89">
        <v>527</v>
      </c>
    </row>
    <row r="90" spans="1:12" x14ac:dyDescent="0.25">
      <c r="A90" t="s">
        <v>482</v>
      </c>
      <c r="B90" t="s">
        <v>485</v>
      </c>
      <c r="C90" t="s">
        <v>479</v>
      </c>
      <c r="D90">
        <v>2</v>
      </c>
      <c r="E90">
        <v>10</v>
      </c>
      <c r="F90">
        <v>600</v>
      </c>
      <c r="G90">
        <v>17.8</v>
      </c>
      <c r="H90">
        <v>40</v>
      </c>
      <c r="I90">
        <v>11.5</v>
      </c>
      <c r="J90">
        <v>12</v>
      </c>
      <c r="K90">
        <v>33</v>
      </c>
      <c r="L90">
        <v>577</v>
      </c>
    </row>
    <row r="91" spans="1:12" x14ac:dyDescent="0.25">
      <c r="A91" t="s">
        <v>482</v>
      </c>
      <c r="B91" t="s">
        <v>485</v>
      </c>
      <c r="C91" t="s">
        <v>479</v>
      </c>
      <c r="D91">
        <v>2</v>
      </c>
      <c r="E91">
        <v>10</v>
      </c>
      <c r="F91">
        <v>650</v>
      </c>
      <c r="G91">
        <v>17.8</v>
      </c>
      <c r="H91">
        <v>40</v>
      </c>
      <c r="I91">
        <v>11.5</v>
      </c>
      <c r="J91">
        <v>12</v>
      </c>
      <c r="K91">
        <v>33</v>
      </c>
      <c r="L91">
        <v>627</v>
      </c>
    </row>
    <row r="92" spans="1:12" x14ac:dyDescent="0.25">
      <c r="A92" t="s">
        <v>482</v>
      </c>
      <c r="B92" t="s">
        <v>485</v>
      </c>
      <c r="C92" t="s">
        <v>479</v>
      </c>
      <c r="D92">
        <v>2</v>
      </c>
      <c r="E92">
        <v>10</v>
      </c>
      <c r="F92">
        <v>700</v>
      </c>
      <c r="G92">
        <v>17.8</v>
      </c>
      <c r="H92">
        <v>40</v>
      </c>
      <c r="I92">
        <v>11.5</v>
      </c>
      <c r="J92">
        <v>12</v>
      </c>
      <c r="K92">
        <v>33</v>
      </c>
      <c r="L92">
        <v>677</v>
      </c>
    </row>
    <row r="93" spans="1:12" x14ac:dyDescent="0.25">
      <c r="A93" t="s">
        <v>482</v>
      </c>
      <c r="B93" t="s">
        <v>485</v>
      </c>
      <c r="C93" t="s">
        <v>479</v>
      </c>
      <c r="D93">
        <v>2</v>
      </c>
      <c r="E93">
        <v>10</v>
      </c>
      <c r="F93">
        <v>750</v>
      </c>
      <c r="G93">
        <v>17.8</v>
      </c>
      <c r="H93">
        <v>40</v>
      </c>
      <c r="I93">
        <v>11.5</v>
      </c>
      <c r="J93">
        <v>12</v>
      </c>
      <c r="K93">
        <v>33</v>
      </c>
      <c r="L93">
        <v>727</v>
      </c>
    </row>
    <row r="94" spans="1:12" x14ac:dyDescent="0.25">
      <c r="A94" t="s">
        <v>482</v>
      </c>
      <c r="B94" t="s">
        <v>485</v>
      </c>
      <c r="C94" t="s">
        <v>479</v>
      </c>
      <c r="D94">
        <v>2</v>
      </c>
      <c r="E94">
        <v>10</v>
      </c>
      <c r="F94">
        <v>800</v>
      </c>
      <c r="G94">
        <v>17.8</v>
      </c>
      <c r="H94">
        <v>40</v>
      </c>
      <c r="I94">
        <v>11.5</v>
      </c>
      <c r="J94">
        <v>12</v>
      </c>
      <c r="K94">
        <v>33</v>
      </c>
      <c r="L94">
        <v>777</v>
      </c>
    </row>
    <row r="95" spans="1:12" x14ac:dyDescent="0.25">
      <c r="A95" t="s">
        <v>482</v>
      </c>
      <c r="B95" t="s">
        <v>485</v>
      </c>
      <c r="C95" t="s">
        <v>479</v>
      </c>
      <c r="D95">
        <v>2</v>
      </c>
      <c r="E95">
        <v>10</v>
      </c>
      <c r="F95">
        <v>900</v>
      </c>
      <c r="G95">
        <v>17.8</v>
      </c>
      <c r="H95">
        <v>40</v>
      </c>
      <c r="I95">
        <v>11.5</v>
      </c>
      <c r="J95">
        <v>12</v>
      </c>
      <c r="K95">
        <v>33</v>
      </c>
      <c r="L95">
        <v>877</v>
      </c>
    </row>
    <row r="96" spans="1:12" x14ac:dyDescent="0.25">
      <c r="A96" t="s">
        <v>482</v>
      </c>
      <c r="B96" t="s">
        <v>485</v>
      </c>
      <c r="C96" t="s">
        <v>479</v>
      </c>
      <c r="D96">
        <v>2</v>
      </c>
      <c r="E96">
        <v>10</v>
      </c>
      <c r="F96">
        <v>1000</v>
      </c>
      <c r="G96">
        <v>17.8</v>
      </c>
      <c r="H96">
        <v>40</v>
      </c>
      <c r="I96">
        <v>11.5</v>
      </c>
      <c r="J96">
        <v>12</v>
      </c>
      <c r="K96">
        <v>33</v>
      </c>
      <c r="L96">
        <v>977</v>
      </c>
    </row>
    <row r="97" spans="1:12" x14ac:dyDescent="0.25">
      <c r="A97" t="s">
        <v>482</v>
      </c>
      <c r="B97" t="s">
        <v>486</v>
      </c>
      <c r="C97" t="s">
        <v>479</v>
      </c>
      <c r="D97">
        <v>2</v>
      </c>
      <c r="E97">
        <v>11.3</v>
      </c>
      <c r="F97">
        <v>175</v>
      </c>
      <c r="G97">
        <v>18</v>
      </c>
      <c r="H97">
        <v>70</v>
      </c>
      <c r="I97">
        <v>10.8</v>
      </c>
      <c r="J97">
        <v>12</v>
      </c>
      <c r="K97">
        <v>50</v>
      </c>
      <c r="L97">
        <f>F97-7</f>
        <v>168</v>
      </c>
    </row>
    <row r="98" spans="1:12" x14ac:dyDescent="0.25">
      <c r="A98" t="s">
        <v>482</v>
      </c>
      <c r="B98" t="s">
        <v>486</v>
      </c>
      <c r="C98" t="s">
        <v>479</v>
      </c>
      <c r="D98">
        <v>2</v>
      </c>
      <c r="E98">
        <v>11.3</v>
      </c>
      <c r="F98">
        <v>195</v>
      </c>
      <c r="G98">
        <v>18</v>
      </c>
      <c r="H98">
        <v>70</v>
      </c>
      <c r="I98">
        <v>10.8</v>
      </c>
      <c r="J98">
        <v>12</v>
      </c>
      <c r="K98">
        <v>50</v>
      </c>
      <c r="L98">
        <f t="shared" ref="L98:L101" si="6">F98-7</f>
        <v>188</v>
      </c>
    </row>
    <row r="99" spans="1:12" x14ac:dyDescent="0.25">
      <c r="A99" t="s">
        <v>482</v>
      </c>
      <c r="B99" t="s">
        <v>486</v>
      </c>
      <c r="C99" t="s">
        <v>479</v>
      </c>
      <c r="D99">
        <v>2</v>
      </c>
      <c r="E99">
        <v>11.3</v>
      </c>
      <c r="F99">
        <v>225</v>
      </c>
      <c r="G99">
        <v>18</v>
      </c>
      <c r="H99">
        <v>70</v>
      </c>
      <c r="I99">
        <v>10.8</v>
      </c>
      <c r="J99">
        <v>12</v>
      </c>
      <c r="K99">
        <v>50</v>
      </c>
      <c r="L99">
        <f t="shared" si="6"/>
        <v>218</v>
      </c>
    </row>
    <row r="100" spans="1:12" x14ac:dyDescent="0.25">
      <c r="A100" t="s">
        <v>482</v>
      </c>
      <c r="B100" t="s">
        <v>486</v>
      </c>
      <c r="C100" t="s">
        <v>479</v>
      </c>
      <c r="D100">
        <v>2</v>
      </c>
      <c r="E100">
        <v>11.3</v>
      </c>
      <c r="F100">
        <v>250</v>
      </c>
      <c r="G100">
        <v>18</v>
      </c>
      <c r="H100">
        <v>70</v>
      </c>
      <c r="I100">
        <v>10.8</v>
      </c>
      <c r="J100">
        <v>12</v>
      </c>
      <c r="K100">
        <v>50</v>
      </c>
      <c r="L100">
        <f t="shared" si="6"/>
        <v>243</v>
      </c>
    </row>
    <row r="101" spans="1:12" x14ac:dyDescent="0.25">
      <c r="A101" t="s">
        <v>482</v>
      </c>
      <c r="B101" t="s">
        <v>486</v>
      </c>
      <c r="C101" t="s">
        <v>479</v>
      </c>
      <c r="D101">
        <v>2</v>
      </c>
      <c r="E101">
        <v>11.3</v>
      </c>
      <c r="F101">
        <v>275</v>
      </c>
      <c r="G101">
        <v>18</v>
      </c>
      <c r="H101">
        <v>70</v>
      </c>
      <c r="I101">
        <v>10.8</v>
      </c>
      <c r="J101">
        <v>12</v>
      </c>
      <c r="K101">
        <v>50</v>
      </c>
      <c r="L101">
        <f t="shared" si="6"/>
        <v>268</v>
      </c>
    </row>
    <row r="102" spans="1:12" x14ac:dyDescent="0.25">
      <c r="A102" t="s">
        <v>482</v>
      </c>
      <c r="B102" t="s">
        <v>486</v>
      </c>
      <c r="C102" t="s">
        <v>479</v>
      </c>
      <c r="D102">
        <v>2</v>
      </c>
      <c r="E102">
        <v>11.3</v>
      </c>
      <c r="F102">
        <v>300</v>
      </c>
      <c r="G102">
        <v>18</v>
      </c>
      <c r="H102">
        <v>70</v>
      </c>
      <c r="I102">
        <v>10.8</v>
      </c>
      <c r="J102">
        <v>12</v>
      </c>
      <c r="K102">
        <v>50</v>
      </c>
      <c r="L102">
        <f>F102-7</f>
        <v>293</v>
      </c>
    </row>
    <row r="103" spans="1:12" x14ac:dyDescent="0.25">
      <c r="A103" t="s">
        <v>482</v>
      </c>
      <c r="B103" t="s">
        <v>486</v>
      </c>
      <c r="C103" t="s">
        <v>479</v>
      </c>
      <c r="D103">
        <v>2</v>
      </c>
      <c r="E103">
        <v>11.3</v>
      </c>
      <c r="F103">
        <v>340</v>
      </c>
      <c r="G103">
        <v>18</v>
      </c>
      <c r="H103">
        <v>70</v>
      </c>
      <c r="I103">
        <v>10.8</v>
      </c>
      <c r="J103">
        <v>12</v>
      </c>
      <c r="K103">
        <v>50</v>
      </c>
      <c r="L103">
        <f t="shared" ref="L103:L116" si="7">F103-7</f>
        <v>333</v>
      </c>
    </row>
    <row r="104" spans="1:12" x14ac:dyDescent="0.25">
      <c r="A104" t="s">
        <v>482</v>
      </c>
      <c r="B104" t="s">
        <v>486</v>
      </c>
      <c r="C104" t="s">
        <v>479</v>
      </c>
      <c r="D104">
        <v>2</v>
      </c>
      <c r="E104">
        <v>11.3</v>
      </c>
      <c r="F104">
        <v>380</v>
      </c>
      <c r="G104">
        <v>18</v>
      </c>
      <c r="H104">
        <v>70</v>
      </c>
      <c r="I104">
        <v>10.8</v>
      </c>
      <c r="J104">
        <v>12</v>
      </c>
      <c r="K104">
        <v>50</v>
      </c>
      <c r="L104">
        <f t="shared" si="7"/>
        <v>373</v>
      </c>
    </row>
    <row r="105" spans="1:12" x14ac:dyDescent="0.25">
      <c r="A105" t="s">
        <v>482</v>
      </c>
      <c r="B105" t="s">
        <v>486</v>
      </c>
      <c r="C105" t="s">
        <v>479</v>
      </c>
      <c r="D105">
        <v>2</v>
      </c>
      <c r="E105">
        <v>11.3</v>
      </c>
      <c r="F105">
        <v>420</v>
      </c>
      <c r="G105">
        <v>18</v>
      </c>
      <c r="H105">
        <v>70</v>
      </c>
      <c r="I105">
        <v>10.8</v>
      </c>
      <c r="J105">
        <v>12</v>
      </c>
      <c r="K105">
        <v>50</v>
      </c>
      <c r="L105">
        <f t="shared" si="7"/>
        <v>413</v>
      </c>
    </row>
    <row r="106" spans="1:12" x14ac:dyDescent="0.25">
      <c r="A106" t="s">
        <v>482</v>
      </c>
      <c r="B106" t="s">
        <v>486</v>
      </c>
      <c r="C106" t="s">
        <v>479</v>
      </c>
      <c r="D106">
        <v>2</v>
      </c>
      <c r="E106">
        <v>11.3</v>
      </c>
      <c r="F106">
        <v>460</v>
      </c>
      <c r="G106">
        <v>18</v>
      </c>
      <c r="H106">
        <v>70</v>
      </c>
      <c r="I106">
        <v>10.8</v>
      </c>
      <c r="J106">
        <v>12</v>
      </c>
      <c r="K106">
        <v>50</v>
      </c>
      <c r="L106">
        <f t="shared" si="7"/>
        <v>453</v>
      </c>
    </row>
    <row r="107" spans="1:12" x14ac:dyDescent="0.25">
      <c r="A107" t="s">
        <v>482</v>
      </c>
      <c r="B107" t="s">
        <v>486</v>
      </c>
      <c r="C107" t="s">
        <v>479</v>
      </c>
      <c r="D107">
        <v>2</v>
      </c>
      <c r="E107">
        <v>11.3</v>
      </c>
      <c r="F107">
        <v>500</v>
      </c>
      <c r="G107">
        <v>18</v>
      </c>
      <c r="H107">
        <v>70</v>
      </c>
      <c r="I107">
        <v>10.8</v>
      </c>
      <c r="J107">
        <v>12</v>
      </c>
      <c r="K107">
        <v>50</v>
      </c>
      <c r="L107">
        <f t="shared" si="7"/>
        <v>493</v>
      </c>
    </row>
    <row r="108" spans="1:12" x14ac:dyDescent="0.25">
      <c r="A108" t="s">
        <v>482</v>
      </c>
      <c r="B108" t="s">
        <v>486</v>
      </c>
      <c r="C108" t="s">
        <v>479</v>
      </c>
      <c r="D108">
        <v>2</v>
      </c>
      <c r="E108">
        <v>11.3</v>
      </c>
      <c r="F108">
        <v>540</v>
      </c>
      <c r="G108">
        <v>18</v>
      </c>
      <c r="H108">
        <v>70</v>
      </c>
      <c r="I108">
        <v>10.8</v>
      </c>
      <c r="J108">
        <v>12</v>
      </c>
      <c r="K108">
        <v>50</v>
      </c>
      <c r="L108">
        <f t="shared" si="7"/>
        <v>533</v>
      </c>
    </row>
    <row r="109" spans="1:12" x14ac:dyDescent="0.25">
      <c r="A109" t="s">
        <v>482</v>
      </c>
      <c r="B109" t="s">
        <v>486</v>
      </c>
      <c r="C109" t="s">
        <v>479</v>
      </c>
      <c r="D109">
        <v>2</v>
      </c>
      <c r="E109">
        <v>11.3</v>
      </c>
      <c r="F109">
        <v>580</v>
      </c>
      <c r="G109">
        <v>18</v>
      </c>
      <c r="H109">
        <v>70</v>
      </c>
      <c r="I109">
        <v>10.8</v>
      </c>
      <c r="J109">
        <v>12</v>
      </c>
      <c r="K109">
        <v>50</v>
      </c>
      <c r="L109">
        <f t="shared" si="7"/>
        <v>573</v>
      </c>
    </row>
    <row r="110" spans="1:12" x14ac:dyDescent="0.25">
      <c r="A110" t="s">
        <v>482</v>
      </c>
      <c r="B110" t="s">
        <v>486</v>
      </c>
      <c r="C110" t="s">
        <v>479</v>
      </c>
      <c r="D110">
        <v>2</v>
      </c>
      <c r="E110">
        <v>11.3</v>
      </c>
      <c r="F110">
        <v>620</v>
      </c>
      <c r="G110">
        <v>18</v>
      </c>
      <c r="H110">
        <v>70</v>
      </c>
      <c r="I110">
        <v>10.8</v>
      </c>
      <c r="J110">
        <v>12</v>
      </c>
      <c r="K110">
        <v>50</v>
      </c>
      <c r="L110">
        <f t="shared" si="7"/>
        <v>613</v>
      </c>
    </row>
    <row r="111" spans="1:12" x14ac:dyDescent="0.25">
      <c r="A111" t="s">
        <v>482</v>
      </c>
      <c r="B111" t="s">
        <v>486</v>
      </c>
      <c r="C111" t="s">
        <v>479</v>
      </c>
      <c r="D111">
        <v>2</v>
      </c>
      <c r="E111">
        <v>11.3</v>
      </c>
      <c r="F111">
        <v>660</v>
      </c>
      <c r="G111">
        <v>18</v>
      </c>
      <c r="H111">
        <v>70</v>
      </c>
      <c r="I111">
        <v>10.8</v>
      </c>
      <c r="J111">
        <v>12</v>
      </c>
      <c r="K111">
        <v>50</v>
      </c>
      <c r="L111">
        <f t="shared" si="7"/>
        <v>653</v>
      </c>
    </row>
    <row r="112" spans="1:12" x14ac:dyDescent="0.25">
      <c r="A112" t="s">
        <v>482</v>
      </c>
      <c r="B112" t="s">
        <v>486</v>
      </c>
      <c r="C112" t="s">
        <v>479</v>
      </c>
      <c r="D112">
        <v>2</v>
      </c>
      <c r="E112">
        <v>11.3</v>
      </c>
      <c r="F112">
        <v>700</v>
      </c>
      <c r="G112">
        <v>18</v>
      </c>
      <c r="H112">
        <v>70</v>
      </c>
      <c r="I112">
        <v>10.8</v>
      </c>
      <c r="J112">
        <v>12</v>
      </c>
      <c r="K112">
        <v>50</v>
      </c>
      <c r="L112">
        <f t="shared" si="7"/>
        <v>693</v>
      </c>
    </row>
    <row r="113" spans="1:12" x14ac:dyDescent="0.25">
      <c r="A113" t="s">
        <v>482</v>
      </c>
      <c r="B113" t="s">
        <v>486</v>
      </c>
      <c r="C113" t="s">
        <v>479</v>
      </c>
      <c r="D113">
        <v>2</v>
      </c>
      <c r="E113">
        <v>11.3</v>
      </c>
      <c r="F113">
        <v>750</v>
      </c>
      <c r="G113">
        <v>18</v>
      </c>
      <c r="H113">
        <v>70</v>
      </c>
      <c r="I113">
        <v>10.8</v>
      </c>
      <c r="J113">
        <v>12</v>
      </c>
      <c r="K113">
        <v>50</v>
      </c>
      <c r="L113">
        <f t="shared" si="7"/>
        <v>743</v>
      </c>
    </row>
    <row r="114" spans="1:12" x14ac:dyDescent="0.25">
      <c r="A114" t="s">
        <v>482</v>
      </c>
      <c r="B114" t="s">
        <v>486</v>
      </c>
      <c r="C114" t="s">
        <v>479</v>
      </c>
      <c r="D114">
        <v>2</v>
      </c>
      <c r="E114">
        <v>11.3</v>
      </c>
      <c r="F114">
        <v>800</v>
      </c>
      <c r="G114">
        <v>18</v>
      </c>
      <c r="H114">
        <v>70</v>
      </c>
      <c r="I114">
        <v>10.8</v>
      </c>
      <c r="J114">
        <v>12</v>
      </c>
      <c r="K114">
        <v>50</v>
      </c>
      <c r="L114">
        <f t="shared" si="7"/>
        <v>793</v>
      </c>
    </row>
    <row r="115" spans="1:12" x14ac:dyDescent="0.25">
      <c r="A115" t="s">
        <v>482</v>
      </c>
      <c r="B115" t="s">
        <v>486</v>
      </c>
      <c r="C115" t="s">
        <v>479</v>
      </c>
      <c r="D115">
        <v>2</v>
      </c>
      <c r="E115">
        <v>11.3</v>
      </c>
      <c r="F115">
        <v>900</v>
      </c>
      <c r="G115">
        <v>18</v>
      </c>
      <c r="H115">
        <v>70</v>
      </c>
      <c r="I115">
        <v>10.8</v>
      </c>
      <c r="J115">
        <v>12</v>
      </c>
      <c r="K115">
        <v>50</v>
      </c>
      <c r="L115">
        <f t="shared" si="7"/>
        <v>893</v>
      </c>
    </row>
    <row r="116" spans="1:12" x14ac:dyDescent="0.25">
      <c r="A116" t="s">
        <v>482</v>
      </c>
      <c r="B116" t="s">
        <v>486</v>
      </c>
      <c r="C116" t="s">
        <v>479</v>
      </c>
      <c r="D116">
        <v>2</v>
      </c>
      <c r="E116">
        <v>11.3</v>
      </c>
      <c r="F116">
        <v>1000</v>
      </c>
      <c r="G116">
        <v>18</v>
      </c>
      <c r="H116">
        <v>70</v>
      </c>
      <c r="I116">
        <v>10.8</v>
      </c>
      <c r="J116">
        <v>12</v>
      </c>
      <c r="K116">
        <v>50</v>
      </c>
      <c r="L116">
        <f t="shared" si="7"/>
        <v>993</v>
      </c>
    </row>
    <row r="117" spans="1:12" x14ac:dyDescent="0.25">
      <c r="A117" t="s">
        <v>482</v>
      </c>
      <c r="B117" t="s">
        <v>474</v>
      </c>
      <c r="C117" t="s">
        <v>472</v>
      </c>
      <c r="D117">
        <v>3</v>
      </c>
      <c r="E117">
        <v>8</v>
      </c>
      <c r="F117">
        <v>95</v>
      </c>
      <c r="G117">
        <v>14.5</v>
      </c>
      <c r="H117">
        <v>16</v>
      </c>
      <c r="I117">
        <v>11.1</v>
      </c>
      <c r="J117">
        <v>12</v>
      </c>
      <c r="K117">
        <v>14</v>
      </c>
      <c r="L117">
        <f>F117-7.4</f>
        <v>87.6</v>
      </c>
    </row>
    <row r="118" spans="1:12" x14ac:dyDescent="0.25">
      <c r="A118" t="s">
        <v>482</v>
      </c>
      <c r="B118" t="s">
        <v>474</v>
      </c>
      <c r="C118" t="s">
        <v>472</v>
      </c>
      <c r="D118">
        <v>3</v>
      </c>
      <c r="E118">
        <v>8</v>
      </c>
      <c r="F118">
        <v>125</v>
      </c>
      <c r="G118">
        <v>14.5</v>
      </c>
      <c r="H118">
        <v>16</v>
      </c>
      <c r="I118">
        <v>11.1</v>
      </c>
      <c r="J118">
        <v>12</v>
      </c>
      <c r="K118">
        <v>14</v>
      </c>
      <c r="L118">
        <f t="shared" ref="L118:L120" si="8">F118-7.4</f>
        <v>117.6</v>
      </c>
    </row>
    <row r="119" spans="1:12" x14ac:dyDescent="0.25">
      <c r="A119" t="s">
        <v>482</v>
      </c>
      <c r="B119" t="s">
        <v>474</v>
      </c>
      <c r="C119" t="s">
        <v>472</v>
      </c>
      <c r="D119">
        <v>3</v>
      </c>
      <c r="E119">
        <v>8</v>
      </c>
      <c r="F119">
        <v>155</v>
      </c>
      <c r="G119">
        <v>14.5</v>
      </c>
      <c r="H119">
        <v>16</v>
      </c>
      <c r="I119">
        <v>11.1</v>
      </c>
      <c r="J119">
        <v>12</v>
      </c>
      <c r="K119">
        <v>14</v>
      </c>
      <c r="L119">
        <f t="shared" si="8"/>
        <v>147.6</v>
      </c>
    </row>
    <row r="120" spans="1:12" x14ac:dyDescent="0.25">
      <c r="A120" t="s">
        <v>482</v>
      </c>
      <c r="B120" t="s">
        <v>474</v>
      </c>
      <c r="C120" t="s">
        <v>472</v>
      </c>
      <c r="D120">
        <v>3</v>
      </c>
      <c r="E120">
        <v>8</v>
      </c>
      <c r="F120">
        <v>195</v>
      </c>
      <c r="G120">
        <v>14.5</v>
      </c>
      <c r="H120">
        <v>16</v>
      </c>
      <c r="I120">
        <v>11.1</v>
      </c>
      <c r="J120">
        <v>12</v>
      </c>
      <c r="K120">
        <v>14</v>
      </c>
      <c r="L120">
        <f t="shared" si="8"/>
        <v>187.6</v>
      </c>
    </row>
    <row r="121" spans="1:12" x14ac:dyDescent="0.25">
      <c r="A121" t="s">
        <v>482</v>
      </c>
      <c r="B121" t="s">
        <v>475</v>
      </c>
      <c r="C121" t="s">
        <v>472</v>
      </c>
      <c r="D121">
        <v>3</v>
      </c>
      <c r="E121">
        <v>10</v>
      </c>
      <c r="F121">
        <v>160</v>
      </c>
      <c r="G121">
        <v>17.8</v>
      </c>
      <c r="H121">
        <v>26</v>
      </c>
      <c r="I121">
        <v>11.5</v>
      </c>
      <c r="J121">
        <v>12</v>
      </c>
      <c r="K121">
        <v>20</v>
      </c>
      <c r="L121">
        <f>F121-7.7</f>
        <v>152.30000000000001</v>
      </c>
    </row>
    <row r="122" spans="1:12" x14ac:dyDescent="0.25">
      <c r="A122" t="s">
        <v>482</v>
      </c>
      <c r="B122" t="s">
        <v>475</v>
      </c>
      <c r="C122" t="s">
        <v>472</v>
      </c>
      <c r="D122">
        <v>3</v>
      </c>
      <c r="E122">
        <v>10</v>
      </c>
      <c r="F122">
        <v>200</v>
      </c>
      <c r="G122">
        <v>17.8</v>
      </c>
      <c r="H122">
        <v>26</v>
      </c>
      <c r="I122">
        <v>11.5</v>
      </c>
      <c r="J122">
        <v>12</v>
      </c>
      <c r="K122">
        <v>20</v>
      </c>
      <c r="L122">
        <f t="shared" ref="L122:L131" si="9">F122-7.7</f>
        <v>192.3</v>
      </c>
    </row>
    <row r="123" spans="1:12" x14ac:dyDescent="0.25">
      <c r="A123" t="s">
        <v>482</v>
      </c>
      <c r="B123" t="s">
        <v>475</v>
      </c>
      <c r="C123" t="s">
        <v>472</v>
      </c>
      <c r="D123">
        <v>3</v>
      </c>
      <c r="E123">
        <v>10</v>
      </c>
      <c r="F123">
        <v>220</v>
      </c>
      <c r="G123">
        <v>17.8</v>
      </c>
      <c r="H123">
        <v>26</v>
      </c>
      <c r="I123">
        <v>11.5</v>
      </c>
      <c r="J123">
        <v>12</v>
      </c>
      <c r="K123">
        <v>20</v>
      </c>
      <c r="L123">
        <f t="shared" si="9"/>
        <v>212.3</v>
      </c>
    </row>
    <row r="124" spans="1:12" x14ac:dyDescent="0.25">
      <c r="A124" t="s">
        <v>482</v>
      </c>
      <c r="B124" t="s">
        <v>475</v>
      </c>
      <c r="C124" t="s">
        <v>472</v>
      </c>
      <c r="D124">
        <v>3</v>
      </c>
      <c r="E124">
        <v>10</v>
      </c>
      <c r="F124">
        <v>240</v>
      </c>
      <c r="G124">
        <v>17.8</v>
      </c>
      <c r="H124">
        <v>26</v>
      </c>
      <c r="I124">
        <v>11.5</v>
      </c>
      <c r="J124">
        <v>12</v>
      </c>
      <c r="K124">
        <v>20</v>
      </c>
      <c r="L124">
        <f t="shared" si="9"/>
        <v>232.3</v>
      </c>
    </row>
    <row r="125" spans="1:12" x14ac:dyDescent="0.25">
      <c r="A125" t="s">
        <v>482</v>
      </c>
      <c r="B125" t="s">
        <v>475</v>
      </c>
      <c r="C125" t="s">
        <v>472</v>
      </c>
      <c r="D125">
        <v>3</v>
      </c>
      <c r="E125">
        <v>10</v>
      </c>
      <c r="F125">
        <v>260</v>
      </c>
      <c r="G125">
        <v>17.8</v>
      </c>
      <c r="H125">
        <v>26</v>
      </c>
      <c r="I125">
        <v>11.5</v>
      </c>
      <c r="J125">
        <v>12</v>
      </c>
      <c r="K125">
        <v>20</v>
      </c>
      <c r="L125">
        <f t="shared" si="9"/>
        <v>252.3</v>
      </c>
    </row>
    <row r="126" spans="1:12" x14ac:dyDescent="0.25">
      <c r="A126" t="s">
        <v>482</v>
      </c>
      <c r="B126" t="s">
        <v>475</v>
      </c>
      <c r="C126" t="s">
        <v>472</v>
      </c>
      <c r="D126">
        <v>3</v>
      </c>
      <c r="E126">
        <v>10</v>
      </c>
      <c r="F126">
        <v>280</v>
      </c>
      <c r="G126">
        <v>17.8</v>
      </c>
      <c r="H126">
        <v>26</v>
      </c>
      <c r="I126">
        <v>11.5</v>
      </c>
      <c r="J126">
        <v>12</v>
      </c>
      <c r="K126">
        <v>20</v>
      </c>
      <c r="L126">
        <f t="shared" si="9"/>
        <v>272.3</v>
      </c>
    </row>
    <row r="127" spans="1:12" x14ac:dyDescent="0.25">
      <c r="A127" t="s">
        <v>482</v>
      </c>
      <c r="B127" t="s">
        <v>475</v>
      </c>
      <c r="C127" t="s">
        <v>472</v>
      </c>
      <c r="D127">
        <v>3</v>
      </c>
      <c r="E127">
        <v>10</v>
      </c>
      <c r="F127">
        <v>300</v>
      </c>
      <c r="G127">
        <v>17.8</v>
      </c>
      <c r="H127">
        <v>26</v>
      </c>
      <c r="I127">
        <v>11.5</v>
      </c>
      <c r="J127">
        <v>12</v>
      </c>
      <c r="K127">
        <v>20</v>
      </c>
      <c r="L127">
        <f t="shared" si="9"/>
        <v>292.3</v>
      </c>
    </row>
    <row r="128" spans="1:12" x14ac:dyDescent="0.25">
      <c r="A128" t="s">
        <v>482</v>
      </c>
      <c r="B128" t="s">
        <v>475</v>
      </c>
      <c r="C128" t="s">
        <v>472</v>
      </c>
      <c r="D128">
        <v>3</v>
      </c>
      <c r="E128">
        <v>10</v>
      </c>
      <c r="F128">
        <v>350</v>
      </c>
      <c r="G128">
        <v>17.8</v>
      </c>
      <c r="H128">
        <v>26</v>
      </c>
      <c r="I128">
        <v>11.5</v>
      </c>
      <c r="J128">
        <v>12</v>
      </c>
      <c r="K128">
        <v>20</v>
      </c>
      <c r="L128">
        <f t="shared" si="9"/>
        <v>342.3</v>
      </c>
    </row>
    <row r="129" spans="1:12" x14ac:dyDescent="0.25">
      <c r="A129" t="s">
        <v>482</v>
      </c>
      <c r="B129" t="s">
        <v>475</v>
      </c>
      <c r="C129" t="s">
        <v>472</v>
      </c>
      <c r="D129">
        <v>3</v>
      </c>
      <c r="E129">
        <v>10</v>
      </c>
      <c r="F129">
        <v>400</v>
      </c>
      <c r="G129">
        <v>17.8</v>
      </c>
      <c r="H129">
        <v>26</v>
      </c>
      <c r="I129">
        <v>11.5</v>
      </c>
      <c r="J129">
        <v>12</v>
      </c>
      <c r="K129">
        <v>20</v>
      </c>
      <c r="L129">
        <f t="shared" si="9"/>
        <v>392.3</v>
      </c>
    </row>
    <row r="130" spans="1:12" x14ac:dyDescent="0.25">
      <c r="A130" t="s">
        <v>482</v>
      </c>
      <c r="B130" t="s">
        <v>475</v>
      </c>
      <c r="C130" t="s">
        <v>472</v>
      </c>
      <c r="D130">
        <v>3</v>
      </c>
      <c r="E130">
        <v>10</v>
      </c>
      <c r="F130">
        <v>450</v>
      </c>
      <c r="G130">
        <v>17.8</v>
      </c>
      <c r="H130">
        <v>26</v>
      </c>
      <c r="I130">
        <v>11.5</v>
      </c>
      <c r="J130">
        <v>12</v>
      </c>
      <c r="K130">
        <v>20</v>
      </c>
      <c r="L130">
        <f t="shared" si="9"/>
        <v>442.3</v>
      </c>
    </row>
    <row r="131" spans="1:12" x14ac:dyDescent="0.25">
      <c r="A131" t="s">
        <v>482</v>
      </c>
      <c r="B131" t="s">
        <v>475</v>
      </c>
      <c r="C131" t="s">
        <v>472</v>
      </c>
      <c r="D131">
        <v>3</v>
      </c>
      <c r="E131">
        <v>10</v>
      </c>
      <c r="F131">
        <v>500</v>
      </c>
      <c r="G131">
        <v>17.8</v>
      </c>
      <c r="H131">
        <v>26</v>
      </c>
      <c r="I131">
        <v>11.5</v>
      </c>
      <c r="J131">
        <v>12</v>
      </c>
      <c r="K131">
        <v>20</v>
      </c>
      <c r="L131">
        <f t="shared" si="9"/>
        <v>492.3</v>
      </c>
    </row>
    <row r="132" spans="1:12" x14ac:dyDescent="0.25">
      <c r="A132" t="s">
        <v>482</v>
      </c>
      <c r="B132" t="s">
        <v>484</v>
      </c>
      <c r="C132" t="s">
        <v>473</v>
      </c>
      <c r="D132">
        <v>3</v>
      </c>
      <c r="E132">
        <v>6.5</v>
      </c>
      <c r="F132">
        <v>140</v>
      </c>
      <c r="G132">
        <v>8</v>
      </c>
      <c r="H132">
        <v>10</v>
      </c>
      <c r="I132">
        <v>11.4</v>
      </c>
      <c r="J132">
        <v>12</v>
      </c>
      <c r="K132">
        <v>10</v>
      </c>
      <c r="L132">
        <f>F132-5.5</f>
        <v>134.5</v>
      </c>
    </row>
    <row r="133" spans="1:12" x14ac:dyDescent="0.25">
      <c r="A133" t="s">
        <v>482</v>
      </c>
      <c r="B133" t="s">
        <v>484</v>
      </c>
      <c r="C133" t="s">
        <v>473</v>
      </c>
      <c r="D133">
        <v>3</v>
      </c>
      <c r="E133">
        <v>6.5</v>
      </c>
      <c r="F133">
        <v>160</v>
      </c>
      <c r="G133">
        <v>8</v>
      </c>
      <c r="H133">
        <v>10</v>
      </c>
      <c r="I133">
        <v>11.4</v>
      </c>
      <c r="J133">
        <v>12</v>
      </c>
      <c r="K133">
        <v>10</v>
      </c>
      <c r="L133">
        <f t="shared" ref="L133:L134" si="10">F133-5.5</f>
        <v>154.5</v>
      </c>
    </row>
    <row r="134" spans="1:12" x14ac:dyDescent="0.25">
      <c r="A134" t="s">
        <v>482</v>
      </c>
      <c r="B134" t="s">
        <v>484</v>
      </c>
      <c r="C134" t="s">
        <v>473</v>
      </c>
      <c r="D134">
        <v>3</v>
      </c>
      <c r="E134">
        <v>6.5</v>
      </c>
      <c r="F134">
        <v>195</v>
      </c>
      <c r="G134">
        <v>8</v>
      </c>
      <c r="H134">
        <v>10</v>
      </c>
      <c r="I134">
        <v>11.4</v>
      </c>
      <c r="J134">
        <v>12</v>
      </c>
      <c r="K134">
        <v>10</v>
      </c>
      <c r="L134">
        <f t="shared" si="10"/>
        <v>189.5</v>
      </c>
    </row>
    <row r="135" spans="1:12" x14ac:dyDescent="0.25">
      <c r="A135" t="s">
        <v>482</v>
      </c>
      <c r="B135" t="s">
        <v>484</v>
      </c>
      <c r="C135" t="s">
        <v>473</v>
      </c>
      <c r="D135">
        <v>3</v>
      </c>
      <c r="E135">
        <v>8</v>
      </c>
      <c r="F135">
        <v>155</v>
      </c>
      <c r="G135">
        <v>10</v>
      </c>
      <c r="H135">
        <v>16</v>
      </c>
      <c r="I135">
        <v>11.1</v>
      </c>
      <c r="J135">
        <v>12</v>
      </c>
      <c r="K135">
        <v>14</v>
      </c>
      <c r="L135">
        <f>F135-6.5</f>
        <v>148.5</v>
      </c>
    </row>
    <row r="136" spans="1:12" x14ac:dyDescent="0.25">
      <c r="A136" t="s">
        <v>482</v>
      </c>
      <c r="B136" t="s">
        <v>484</v>
      </c>
      <c r="C136" t="s">
        <v>473</v>
      </c>
      <c r="D136">
        <v>3</v>
      </c>
      <c r="E136">
        <v>8</v>
      </c>
      <c r="F136">
        <v>195</v>
      </c>
      <c r="G136">
        <v>10</v>
      </c>
      <c r="H136">
        <v>16</v>
      </c>
      <c r="I136">
        <v>11.1</v>
      </c>
      <c r="J136">
        <v>12</v>
      </c>
      <c r="K136">
        <v>14</v>
      </c>
      <c r="L136">
        <f t="shared" ref="L136:L143" si="11">F136-6.5</f>
        <v>188.5</v>
      </c>
    </row>
    <row r="137" spans="1:12" x14ac:dyDescent="0.25">
      <c r="A137" t="s">
        <v>482</v>
      </c>
      <c r="B137" t="s">
        <v>484</v>
      </c>
      <c r="C137" t="s">
        <v>473</v>
      </c>
      <c r="D137">
        <v>3</v>
      </c>
      <c r="E137">
        <v>8</v>
      </c>
      <c r="F137">
        <v>220</v>
      </c>
      <c r="G137">
        <v>10</v>
      </c>
      <c r="H137">
        <v>16</v>
      </c>
      <c r="I137">
        <v>11.1</v>
      </c>
      <c r="J137">
        <v>12</v>
      </c>
      <c r="K137">
        <v>14</v>
      </c>
      <c r="L137">
        <f t="shared" si="11"/>
        <v>213.5</v>
      </c>
    </row>
    <row r="138" spans="1:12" x14ac:dyDescent="0.25">
      <c r="A138" t="s">
        <v>482</v>
      </c>
      <c r="B138" t="s">
        <v>484</v>
      </c>
      <c r="C138" t="s">
        <v>473</v>
      </c>
      <c r="D138">
        <v>3</v>
      </c>
      <c r="E138">
        <v>8</v>
      </c>
      <c r="F138">
        <v>245</v>
      </c>
      <c r="G138">
        <v>10</v>
      </c>
      <c r="H138">
        <v>16</v>
      </c>
      <c r="I138">
        <v>11.1</v>
      </c>
      <c r="J138">
        <v>12</v>
      </c>
      <c r="K138">
        <v>14</v>
      </c>
      <c r="L138">
        <f t="shared" si="11"/>
        <v>238.5</v>
      </c>
    </row>
    <row r="139" spans="1:12" x14ac:dyDescent="0.25">
      <c r="A139" t="s">
        <v>482</v>
      </c>
      <c r="B139" t="s">
        <v>484</v>
      </c>
      <c r="C139" t="s">
        <v>473</v>
      </c>
      <c r="D139">
        <v>3</v>
      </c>
      <c r="E139">
        <v>8</v>
      </c>
      <c r="F139">
        <v>270</v>
      </c>
      <c r="G139">
        <v>10</v>
      </c>
      <c r="H139">
        <v>16</v>
      </c>
      <c r="I139">
        <v>11.1</v>
      </c>
      <c r="J139">
        <v>12</v>
      </c>
      <c r="K139">
        <v>14</v>
      </c>
      <c r="L139">
        <f t="shared" si="11"/>
        <v>263.5</v>
      </c>
    </row>
    <row r="140" spans="1:12" x14ac:dyDescent="0.25">
      <c r="A140" t="s">
        <v>482</v>
      </c>
      <c r="B140" t="s">
        <v>484</v>
      </c>
      <c r="C140" t="s">
        <v>473</v>
      </c>
      <c r="D140">
        <v>3</v>
      </c>
      <c r="E140">
        <v>8</v>
      </c>
      <c r="F140">
        <v>295</v>
      </c>
      <c r="G140">
        <v>10</v>
      </c>
      <c r="H140">
        <v>16</v>
      </c>
      <c r="I140">
        <v>11.1</v>
      </c>
      <c r="J140">
        <v>12</v>
      </c>
      <c r="K140">
        <v>14</v>
      </c>
      <c r="L140">
        <f t="shared" si="11"/>
        <v>288.5</v>
      </c>
    </row>
    <row r="141" spans="1:12" x14ac:dyDescent="0.25">
      <c r="A141" t="s">
        <v>482</v>
      </c>
      <c r="B141" t="s">
        <v>484</v>
      </c>
      <c r="C141" t="s">
        <v>473</v>
      </c>
      <c r="D141">
        <v>3</v>
      </c>
      <c r="E141">
        <v>8</v>
      </c>
      <c r="F141">
        <v>330</v>
      </c>
      <c r="G141">
        <v>10</v>
      </c>
      <c r="H141">
        <v>16</v>
      </c>
      <c r="I141">
        <v>11.1</v>
      </c>
      <c r="J141">
        <v>12</v>
      </c>
      <c r="K141">
        <v>14</v>
      </c>
      <c r="L141">
        <f t="shared" si="11"/>
        <v>323.5</v>
      </c>
    </row>
    <row r="142" spans="1:12" x14ac:dyDescent="0.25">
      <c r="A142" t="s">
        <v>482</v>
      </c>
      <c r="B142" t="s">
        <v>484</v>
      </c>
      <c r="C142" t="s">
        <v>473</v>
      </c>
      <c r="D142">
        <v>3</v>
      </c>
      <c r="E142">
        <v>8</v>
      </c>
      <c r="F142">
        <v>375</v>
      </c>
      <c r="G142">
        <v>10</v>
      </c>
      <c r="H142">
        <v>16</v>
      </c>
      <c r="I142">
        <v>11.1</v>
      </c>
      <c r="J142">
        <v>12</v>
      </c>
      <c r="K142">
        <v>14</v>
      </c>
      <c r="L142">
        <f t="shared" si="11"/>
        <v>368.5</v>
      </c>
    </row>
    <row r="143" spans="1:12" x14ac:dyDescent="0.25">
      <c r="A143" t="s">
        <v>482</v>
      </c>
      <c r="B143" t="s">
        <v>484</v>
      </c>
      <c r="C143" t="s">
        <v>473</v>
      </c>
      <c r="D143">
        <v>3</v>
      </c>
      <c r="E143">
        <v>8</v>
      </c>
      <c r="F143">
        <v>400</v>
      </c>
      <c r="G143">
        <v>10</v>
      </c>
      <c r="H143">
        <v>16</v>
      </c>
      <c r="I143">
        <v>11.1</v>
      </c>
      <c r="J143">
        <v>12</v>
      </c>
      <c r="K143">
        <v>14</v>
      </c>
      <c r="L143">
        <f t="shared" si="11"/>
        <v>393.5</v>
      </c>
    </row>
    <row r="144" spans="1:12" x14ac:dyDescent="0.25">
      <c r="A144" t="s">
        <v>482</v>
      </c>
      <c r="B144" t="s">
        <v>476</v>
      </c>
      <c r="C144" t="s">
        <v>477</v>
      </c>
      <c r="D144">
        <v>2</v>
      </c>
      <c r="E144">
        <v>13</v>
      </c>
      <c r="F144">
        <v>300</v>
      </c>
      <c r="G144">
        <v>18</v>
      </c>
      <c r="H144">
        <v>120</v>
      </c>
      <c r="I144">
        <v>10.8</v>
      </c>
      <c r="J144">
        <v>12</v>
      </c>
      <c r="K144">
        <v>75</v>
      </c>
      <c r="L144">
        <f>F144-10-3*5.6</f>
        <v>273.2</v>
      </c>
    </row>
    <row r="145" spans="1:12" x14ac:dyDescent="0.25">
      <c r="A145" t="s">
        <v>482</v>
      </c>
      <c r="B145" t="s">
        <v>476</v>
      </c>
      <c r="C145" t="s">
        <v>477</v>
      </c>
      <c r="D145">
        <v>2</v>
      </c>
      <c r="E145">
        <v>13</v>
      </c>
      <c r="F145">
        <v>320</v>
      </c>
      <c r="G145">
        <v>18</v>
      </c>
      <c r="H145">
        <v>120</v>
      </c>
      <c r="I145">
        <v>10.8</v>
      </c>
      <c r="J145">
        <v>12</v>
      </c>
      <c r="K145">
        <v>75</v>
      </c>
      <c r="L145">
        <f t="shared" ref="L145:L162" si="12">F145-10-3*5.6</f>
        <v>293.2</v>
      </c>
    </row>
    <row r="146" spans="1:12" x14ac:dyDescent="0.25">
      <c r="A146" t="s">
        <v>482</v>
      </c>
      <c r="B146" t="s">
        <v>476</v>
      </c>
      <c r="C146" t="s">
        <v>477</v>
      </c>
      <c r="D146">
        <v>2</v>
      </c>
      <c r="E146">
        <v>13</v>
      </c>
      <c r="F146">
        <v>340</v>
      </c>
      <c r="G146">
        <v>18</v>
      </c>
      <c r="H146">
        <v>120</v>
      </c>
      <c r="I146">
        <v>10.8</v>
      </c>
      <c r="J146">
        <v>12</v>
      </c>
      <c r="K146">
        <v>75</v>
      </c>
      <c r="L146">
        <f t="shared" si="12"/>
        <v>313.2</v>
      </c>
    </row>
    <row r="147" spans="1:12" x14ac:dyDescent="0.25">
      <c r="A147" t="s">
        <v>482</v>
      </c>
      <c r="B147" t="s">
        <v>476</v>
      </c>
      <c r="C147" t="s">
        <v>477</v>
      </c>
      <c r="D147">
        <v>2</v>
      </c>
      <c r="E147">
        <v>13</v>
      </c>
      <c r="F147">
        <v>360</v>
      </c>
      <c r="G147">
        <v>18</v>
      </c>
      <c r="H147">
        <v>120</v>
      </c>
      <c r="I147">
        <v>10.8</v>
      </c>
      <c r="J147">
        <v>12</v>
      </c>
      <c r="K147">
        <v>75</v>
      </c>
      <c r="L147">
        <f t="shared" si="12"/>
        <v>333.2</v>
      </c>
    </row>
    <row r="148" spans="1:12" x14ac:dyDescent="0.25">
      <c r="A148" t="s">
        <v>482</v>
      </c>
      <c r="B148" t="s">
        <v>476</v>
      </c>
      <c r="C148" t="s">
        <v>477</v>
      </c>
      <c r="D148">
        <v>2</v>
      </c>
      <c r="E148">
        <v>13</v>
      </c>
      <c r="F148">
        <v>380</v>
      </c>
      <c r="G148">
        <v>18</v>
      </c>
      <c r="H148">
        <v>120</v>
      </c>
      <c r="I148">
        <v>10.8</v>
      </c>
      <c r="J148">
        <v>12</v>
      </c>
      <c r="K148">
        <v>75</v>
      </c>
      <c r="L148">
        <f t="shared" si="12"/>
        <v>353.2</v>
      </c>
    </row>
    <row r="149" spans="1:12" x14ac:dyDescent="0.25">
      <c r="A149" t="s">
        <v>482</v>
      </c>
      <c r="B149" t="s">
        <v>476</v>
      </c>
      <c r="C149" t="s">
        <v>477</v>
      </c>
      <c r="D149">
        <v>2</v>
      </c>
      <c r="E149">
        <v>13</v>
      </c>
      <c r="F149">
        <v>420</v>
      </c>
      <c r="G149">
        <v>18</v>
      </c>
      <c r="H149">
        <v>120</v>
      </c>
      <c r="I149">
        <v>10.8</v>
      </c>
      <c r="J149">
        <v>12</v>
      </c>
      <c r="K149">
        <v>75</v>
      </c>
      <c r="L149">
        <f t="shared" si="12"/>
        <v>393.2</v>
      </c>
    </row>
    <row r="150" spans="1:12" x14ac:dyDescent="0.25">
      <c r="A150" t="s">
        <v>482</v>
      </c>
      <c r="B150" t="s">
        <v>476</v>
      </c>
      <c r="C150" t="s">
        <v>477</v>
      </c>
      <c r="D150">
        <v>2</v>
      </c>
      <c r="E150">
        <v>13</v>
      </c>
      <c r="F150">
        <v>460</v>
      </c>
      <c r="G150">
        <v>18</v>
      </c>
      <c r="H150">
        <v>120</v>
      </c>
      <c r="I150">
        <v>10.8</v>
      </c>
      <c r="J150">
        <v>12</v>
      </c>
      <c r="K150">
        <v>75</v>
      </c>
      <c r="L150">
        <f t="shared" si="12"/>
        <v>433.2</v>
      </c>
    </row>
    <row r="151" spans="1:12" x14ac:dyDescent="0.25">
      <c r="A151" t="s">
        <v>482</v>
      </c>
      <c r="B151" t="s">
        <v>476</v>
      </c>
      <c r="C151" t="s">
        <v>477</v>
      </c>
      <c r="D151">
        <v>2</v>
      </c>
      <c r="E151">
        <v>13</v>
      </c>
      <c r="F151">
        <v>500</v>
      </c>
      <c r="G151">
        <v>18</v>
      </c>
      <c r="H151">
        <v>120</v>
      </c>
      <c r="I151">
        <v>10.8</v>
      </c>
      <c r="J151">
        <v>12</v>
      </c>
      <c r="K151">
        <v>75</v>
      </c>
      <c r="L151">
        <f t="shared" si="12"/>
        <v>473.2</v>
      </c>
    </row>
    <row r="152" spans="1:12" x14ac:dyDescent="0.25">
      <c r="A152" t="s">
        <v>482</v>
      </c>
      <c r="B152" t="s">
        <v>476</v>
      </c>
      <c r="C152" t="s">
        <v>477</v>
      </c>
      <c r="D152">
        <v>2</v>
      </c>
      <c r="E152">
        <v>13</v>
      </c>
      <c r="F152">
        <v>540</v>
      </c>
      <c r="G152">
        <v>18</v>
      </c>
      <c r="H152">
        <v>120</v>
      </c>
      <c r="I152">
        <v>10.8</v>
      </c>
      <c r="J152">
        <v>12</v>
      </c>
      <c r="K152">
        <v>75</v>
      </c>
      <c r="L152">
        <f t="shared" si="12"/>
        <v>513.20000000000005</v>
      </c>
    </row>
    <row r="153" spans="1:12" x14ac:dyDescent="0.25">
      <c r="A153" t="s">
        <v>482</v>
      </c>
      <c r="B153" t="s">
        <v>476</v>
      </c>
      <c r="C153" t="s">
        <v>477</v>
      </c>
      <c r="D153">
        <v>2</v>
      </c>
      <c r="E153">
        <v>13</v>
      </c>
      <c r="F153">
        <v>580</v>
      </c>
      <c r="G153">
        <v>18</v>
      </c>
      <c r="H153">
        <v>120</v>
      </c>
      <c r="I153">
        <v>10.8</v>
      </c>
      <c r="J153">
        <v>12</v>
      </c>
      <c r="K153">
        <v>75</v>
      </c>
      <c r="L153">
        <f t="shared" si="12"/>
        <v>553.20000000000005</v>
      </c>
    </row>
    <row r="154" spans="1:12" x14ac:dyDescent="0.25">
      <c r="A154" t="s">
        <v>482</v>
      </c>
      <c r="B154" t="s">
        <v>476</v>
      </c>
      <c r="C154" t="s">
        <v>477</v>
      </c>
      <c r="D154">
        <v>2</v>
      </c>
      <c r="E154">
        <v>13</v>
      </c>
      <c r="F154">
        <v>620</v>
      </c>
      <c r="G154">
        <v>18</v>
      </c>
      <c r="H154">
        <v>120</v>
      </c>
      <c r="I154">
        <v>10.8</v>
      </c>
      <c r="J154">
        <v>12</v>
      </c>
      <c r="K154">
        <v>75</v>
      </c>
      <c r="L154">
        <f t="shared" si="12"/>
        <v>593.20000000000005</v>
      </c>
    </row>
    <row r="155" spans="1:12" x14ac:dyDescent="0.25">
      <c r="A155" t="s">
        <v>482</v>
      </c>
      <c r="B155" t="s">
        <v>476</v>
      </c>
      <c r="C155" t="s">
        <v>477</v>
      </c>
      <c r="D155">
        <v>2</v>
      </c>
      <c r="E155">
        <v>13</v>
      </c>
      <c r="F155">
        <v>660</v>
      </c>
      <c r="G155">
        <v>18</v>
      </c>
      <c r="H155">
        <v>120</v>
      </c>
      <c r="I155">
        <v>10.8</v>
      </c>
      <c r="J155">
        <v>12</v>
      </c>
      <c r="K155">
        <v>75</v>
      </c>
      <c r="L155">
        <f t="shared" si="12"/>
        <v>633.20000000000005</v>
      </c>
    </row>
    <row r="156" spans="1:12" x14ac:dyDescent="0.25">
      <c r="A156" t="s">
        <v>482</v>
      </c>
      <c r="B156" t="s">
        <v>476</v>
      </c>
      <c r="C156" t="s">
        <v>477</v>
      </c>
      <c r="D156">
        <v>2</v>
      </c>
      <c r="E156">
        <v>13</v>
      </c>
      <c r="F156">
        <v>700</v>
      </c>
      <c r="G156">
        <v>18</v>
      </c>
      <c r="H156">
        <v>120</v>
      </c>
      <c r="I156">
        <v>10.8</v>
      </c>
      <c r="J156">
        <v>12</v>
      </c>
      <c r="K156">
        <v>75</v>
      </c>
      <c r="L156">
        <f t="shared" si="12"/>
        <v>673.2</v>
      </c>
    </row>
    <row r="157" spans="1:12" x14ac:dyDescent="0.25">
      <c r="A157" t="s">
        <v>482</v>
      </c>
      <c r="B157" t="s">
        <v>476</v>
      </c>
      <c r="C157" t="s">
        <v>477</v>
      </c>
      <c r="D157">
        <v>2</v>
      </c>
      <c r="E157">
        <v>13</v>
      </c>
      <c r="F157">
        <v>750</v>
      </c>
      <c r="G157">
        <v>18</v>
      </c>
      <c r="H157">
        <v>120</v>
      </c>
      <c r="I157">
        <v>10.8</v>
      </c>
      <c r="J157">
        <v>12</v>
      </c>
      <c r="K157">
        <v>75</v>
      </c>
      <c r="L157">
        <f t="shared" si="12"/>
        <v>723.2</v>
      </c>
    </row>
    <row r="158" spans="1:12" x14ac:dyDescent="0.25">
      <c r="A158" t="s">
        <v>482</v>
      </c>
      <c r="B158" t="s">
        <v>476</v>
      </c>
      <c r="C158" t="s">
        <v>477</v>
      </c>
      <c r="D158">
        <v>2</v>
      </c>
      <c r="E158">
        <v>13</v>
      </c>
      <c r="F158">
        <v>800</v>
      </c>
      <c r="G158">
        <v>18</v>
      </c>
      <c r="H158">
        <v>120</v>
      </c>
      <c r="I158">
        <v>10.8</v>
      </c>
      <c r="J158">
        <v>12</v>
      </c>
      <c r="K158">
        <v>75</v>
      </c>
      <c r="L158">
        <f t="shared" si="12"/>
        <v>773.2</v>
      </c>
    </row>
    <row r="159" spans="1:12" x14ac:dyDescent="0.25">
      <c r="A159" t="s">
        <v>482</v>
      </c>
      <c r="B159" t="s">
        <v>476</v>
      </c>
      <c r="C159" t="s">
        <v>477</v>
      </c>
      <c r="D159">
        <v>2</v>
      </c>
      <c r="E159">
        <v>13</v>
      </c>
      <c r="F159">
        <v>900</v>
      </c>
      <c r="G159">
        <v>18</v>
      </c>
      <c r="H159">
        <v>120</v>
      </c>
      <c r="I159">
        <v>10.8</v>
      </c>
      <c r="J159">
        <v>12</v>
      </c>
      <c r="K159">
        <v>75</v>
      </c>
      <c r="L159">
        <f t="shared" si="12"/>
        <v>873.2</v>
      </c>
    </row>
    <row r="160" spans="1:12" x14ac:dyDescent="0.25">
      <c r="A160" t="s">
        <v>482</v>
      </c>
      <c r="B160" t="s">
        <v>476</v>
      </c>
      <c r="C160" t="s">
        <v>477</v>
      </c>
      <c r="D160">
        <v>2</v>
      </c>
      <c r="E160">
        <v>13</v>
      </c>
      <c r="F160">
        <v>1000</v>
      </c>
      <c r="G160">
        <v>18</v>
      </c>
      <c r="H160">
        <v>120</v>
      </c>
      <c r="I160">
        <v>10.8</v>
      </c>
      <c r="J160">
        <v>12</v>
      </c>
      <c r="K160">
        <v>75</v>
      </c>
      <c r="L160">
        <f t="shared" si="12"/>
        <v>973.2</v>
      </c>
    </row>
    <row r="161" spans="1:13" x14ac:dyDescent="0.25">
      <c r="A161" t="s">
        <v>482</v>
      </c>
      <c r="B161" t="s">
        <v>476</v>
      </c>
      <c r="C161" t="s">
        <v>477</v>
      </c>
      <c r="D161">
        <v>2</v>
      </c>
      <c r="E161">
        <v>13</v>
      </c>
      <c r="F161">
        <v>1200</v>
      </c>
      <c r="G161">
        <v>18</v>
      </c>
      <c r="H161">
        <v>120</v>
      </c>
      <c r="I161">
        <v>10.8</v>
      </c>
      <c r="J161">
        <v>12</v>
      </c>
      <c r="K161">
        <v>75</v>
      </c>
      <c r="L161">
        <f t="shared" si="12"/>
        <v>1173.2</v>
      </c>
    </row>
    <row r="162" spans="1:13" x14ac:dyDescent="0.25">
      <c r="A162" t="s">
        <v>482</v>
      </c>
      <c r="B162" t="s">
        <v>476</v>
      </c>
      <c r="C162" t="s">
        <v>477</v>
      </c>
      <c r="D162">
        <v>2</v>
      </c>
      <c r="E162">
        <v>13</v>
      </c>
      <c r="F162">
        <v>1400</v>
      </c>
      <c r="G162">
        <v>18</v>
      </c>
      <c r="H162">
        <v>120</v>
      </c>
      <c r="I162">
        <v>10.8</v>
      </c>
      <c r="J162">
        <v>12</v>
      </c>
      <c r="K162">
        <v>75</v>
      </c>
      <c r="L162">
        <f t="shared" si="12"/>
        <v>1373.2</v>
      </c>
    </row>
    <row r="163" spans="1:13" x14ac:dyDescent="0.25">
      <c r="A163" t="s">
        <v>482</v>
      </c>
      <c r="B163" t="s">
        <v>480</v>
      </c>
      <c r="C163" t="s">
        <v>481</v>
      </c>
      <c r="D163">
        <v>3</v>
      </c>
      <c r="E163">
        <v>6.5</v>
      </c>
      <c r="F163">
        <v>90</v>
      </c>
      <c r="G163">
        <v>8</v>
      </c>
      <c r="H163">
        <v>15</v>
      </c>
      <c r="I163">
        <v>4</v>
      </c>
      <c r="J163">
        <v>12</v>
      </c>
      <c r="K163">
        <v>17</v>
      </c>
      <c r="L163">
        <v>40</v>
      </c>
      <c r="M163">
        <v>40</v>
      </c>
    </row>
    <row r="164" spans="1:13" x14ac:dyDescent="0.25">
      <c r="A164" t="s">
        <v>482</v>
      </c>
      <c r="B164" t="s">
        <v>480</v>
      </c>
      <c r="C164" t="s">
        <v>481</v>
      </c>
      <c r="D164">
        <v>3</v>
      </c>
      <c r="E164">
        <v>6.5</v>
      </c>
      <c r="F164">
        <v>130</v>
      </c>
      <c r="G164">
        <v>8</v>
      </c>
      <c r="H164">
        <v>15</v>
      </c>
      <c r="I164">
        <v>4</v>
      </c>
      <c r="J164">
        <v>12</v>
      </c>
      <c r="K164">
        <v>17</v>
      </c>
      <c r="L164">
        <v>43</v>
      </c>
      <c r="M164">
        <v>43</v>
      </c>
    </row>
    <row r="165" spans="1:13" x14ac:dyDescent="0.25">
      <c r="A165" t="s">
        <v>482</v>
      </c>
      <c r="B165" t="s">
        <v>480</v>
      </c>
      <c r="C165" t="s">
        <v>481</v>
      </c>
      <c r="D165">
        <v>3</v>
      </c>
      <c r="E165">
        <v>6.5</v>
      </c>
      <c r="F165">
        <v>160</v>
      </c>
      <c r="G165">
        <v>8</v>
      </c>
      <c r="H165">
        <v>15</v>
      </c>
      <c r="I165">
        <v>4</v>
      </c>
      <c r="J165">
        <v>12</v>
      </c>
      <c r="K165">
        <v>17</v>
      </c>
      <c r="L165">
        <v>67</v>
      </c>
      <c r="M165">
        <v>67</v>
      </c>
    </row>
    <row r="166" spans="1:13" x14ac:dyDescent="0.25">
      <c r="A166" t="s">
        <v>482</v>
      </c>
      <c r="B166" t="s">
        <v>480</v>
      </c>
      <c r="C166" t="s">
        <v>481</v>
      </c>
      <c r="D166">
        <v>3</v>
      </c>
      <c r="E166">
        <v>6.5</v>
      </c>
      <c r="F166">
        <v>190</v>
      </c>
      <c r="G166">
        <v>8</v>
      </c>
      <c r="H166">
        <v>15</v>
      </c>
      <c r="I166">
        <v>4</v>
      </c>
      <c r="J166">
        <v>12</v>
      </c>
      <c r="K166">
        <v>17</v>
      </c>
      <c r="L166">
        <v>82</v>
      </c>
      <c r="M166">
        <v>82</v>
      </c>
    </row>
    <row r="167" spans="1:13" x14ac:dyDescent="0.25">
      <c r="A167" t="s">
        <v>482</v>
      </c>
      <c r="B167" t="s">
        <v>480</v>
      </c>
      <c r="C167" t="s">
        <v>481</v>
      </c>
      <c r="D167">
        <v>3</v>
      </c>
      <c r="E167">
        <v>6.5</v>
      </c>
      <c r="F167">
        <v>190</v>
      </c>
      <c r="G167">
        <v>8</v>
      </c>
      <c r="H167">
        <v>15</v>
      </c>
      <c r="I167">
        <v>4</v>
      </c>
      <c r="J167">
        <v>12</v>
      </c>
      <c r="K167">
        <v>17</v>
      </c>
      <c r="L167">
        <v>97</v>
      </c>
      <c r="M167">
        <v>97</v>
      </c>
    </row>
    <row r="168" spans="1:13" x14ac:dyDescent="0.25">
      <c r="A168" t="s">
        <v>482</v>
      </c>
      <c r="B168" t="s">
        <v>480</v>
      </c>
      <c r="C168" t="s">
        <v>481</v>
      </c>
      <c r="D168">
        <v>3</v>
      </c>
      <c r="E168">
        <v>8</v>
      </c>
      <c r="F168">
        <v>160</v>
      </c>
      <c r="G168">
        <v>11</v>
      </c>
      <c r="H168">
        <v>25</v>
      </c>
      <c r="I168">
        <v>12.5</v>
      </c>
      <c r="J168">
        <v>12</v>
      </c>
      <c r="K168">
        <v>25</v>
      </c>
      <c r="L168">
        <v>67</v>
      </c>
      <c r="M168">
        <v>67</v>
      </c>
    </row>
    <row r="169" spans="1:13" x14ac:dyDescent="0.25">
      <c r="A169" t="s">
        <v>482</v>
      </c>
      <c r="B169" t="s">
        <v>480</v>
      </c>
      <c r="C169" t="s">
        <v>481</v>
      </c>
      <c r="D169">
        <v>3</v>
      </c>
      <c r="E169">
        <v>8</v>
      </c>
      <c r="F169">
        <v>190</v>
      </c>
      <c r="G169">
        <v>11</v>
      </c>
      <c r="H169">
        <v>25</v>
      </c>
      <c r="I169">
        <v>12.5</v>
      </c>
      <c r="J169">
        <v>12</v>
      </c>
      <c r="K169">
        <v>25</v>
      </c>
      <c r="L169">
        <v>92</v>
      </c>
      <c r="M169">
        <v>92</v>
      </c>
    </row>
    <row r="170" spans="1:13" x14ac:dyDescent="0.25">
      <c r="A170" t="s">
        <v>482</v>
      </c>
      <c r="B170" t="s">
        <v>480</v>
      </c>
      <c r="C170" t="s">
        <v>481</v>
      </c>
      <c r="D170">
        <v>3</v>
      </c>
      <c r="E170">
        <v>8</v>
      </c>
      <c r="F170">
        <v>220</v>
      </c>
      <c r="G170">
        <v>11</v>
      </c>
      <c r="H170">
        <v>25</v>
      </c>
      <c r="I170">
        <v>12.5</v>
      </c>
      <c r="J170">
        <v>12</v>
      </c>
      <c r="K170">
        <v>25</v>
      </c>
      <c r="L170">
        <v>92</v>
      </c>
      <c r="M170">
        <v>92</v>
      </c>
    </row>
    <row r="171" spans="1:13" x14ac:dyDescent="0.25">
      <c r="A171" t="s">
        <v>482</v>
      </c>
      <c r="B171" t="s">
        <v>480</v>
      </c>
      <c r="C171" t="s">
        <v>481</v>
      </c>
      <c r="D171">
        <v>3</v>
      </c>
      <c r="E171">
        <v>8</v>
      </c>
      <c r="F171">
        <v>245</v>
      </c>
      <c r="G171">
        <v>11</v>
      </c>
      <c r="H171">
        <v>25</v>
      </c>
      <c r="I171">
        <v>12.5</v>
      </c>
      <c r="J171">
        <v>12</v>
      </c>
      <c r="K171">
        <v>25</v>
      </c>
      <c r="L171">
        <v>107</v>
      </c>
      <c r="M171">
        <v>107</v>
      </c>
    </row>
    <row r="172" spans="1:13" x14ac:dyDescent="0.25">
      <c r="A172" t="s">
        <v>482</v>
      </c>
      <c r="B172" t="s">
        <v>480</v>
      </c>
      <c r="C172" t="s">
        <v>481</v>
      </c>
      <c r="D172">
        <v>3</v>
      </c>
      <c r="E172">
        <v>8</v>
      </c>
      <c r="F172">
        <v>280</v>
      </c>
      <c r="G172">
        <v>11</v>
      </c>
      <c r="H172">
        <v>25</v>
      </c>
      <c r="I172">
        <v>12.5</v>
      </c>
      <c r="J172">
        <v>12</v>
      </c>
      <c r="K172">
        <v>25</v>
      </c>
      <c r="L172">
        <v>107</v>
      </c>
      <c r="M172">
        <v>107</v>
      </c>
    </row>
    <row r="173" spans="1:13" x14ac:dyDescent="0.25">
      <c r="A173" t="s">
        <v>482</v>
      </c>
      <c r="B173" t="s">
        <v>480</v>
      </c>
      <c r="C173" t="s">
        <v>481</v>
      </c>
      <c r="D173">
        <v>3</v>
      </c>
      <c r="E173">
        <v>8</v>
      </c>
      <c r="F173">
        <v>300</v>
      </c>
      <c r="G173">
        <v>11</v>
      </c>
      <c r="H173">
        <v>25</v>
      </c>
      <c r="I173">
        <v>12.5</v>
      </c>
      <c r="J173">
        <v>12</v>
      </c>
      <c r="K173">
        <v>25</v>
      </c>
      <c r="L173">
        <v>137</v>
      </c>
      <c r="M173">
        <v>137</v>
      </c>
    </row>
    <row r="174" spans="1:13" x14ac:dyDescent="0.25">
      <c r="A174" t="s">
        <v>482</v>
      </c>
      <c r="B174" t="s">
        <v>480</v>
      </c>
      <c r="C174" t="s">
        <v>481</v>
      </c>
      <c r="D174">
        <v>3</v>
      </c>
      <c r="E174">
        <v>8</v>
      </c>
      <c r="F174">
        <v>330</v>
      </c>
      <c r="G174">
        <v>11</v>
      </c>
      <c r="H174">
        <v>25</v>
      </c>
      <c r="I174">
        <v>12.5</v>
      </c>
      <c r="J174">
        <v>12</v>
      </c>
      <c r="K174">
        <v>25</v>
      </c>
      <c r="L174">
        <v>137</v>
      </c>
      <c r="M174">
        <v>137</v>
      </c>
    </row>
    <row r="175" spans="1:13" x14ac:dyDescent="0.25">
      <c r="A175" t="s">
        <v>482</v>
      </c>
      <c r="B175" t="s">
        <v>480</v>
      </c>
      <c r="C175" t="s">
        <v>481</v>
      </c>
      <c r="D175">
        <v>3</v>
      </c>
      <c r="E175">
        <v>8</v>
      </c>
      <c r="F175">
        <v>400</v>
      </c>
      <c r="G175">
        <v>11</v>
      </c>
      <c r="H175">
        <v>25</v>
      </c>
      <c r="I175">
        <v>12.5</v>
      </c>
      <c r="J175">
        <v>12</v>
      </c>
      <c r="K175">
        <v>25</v>
      </c>
      <c r="L175">
        <v>137</v>
      </c>
      <c r="M175">
        <v>137</v>
      </c>
    </row>
    <row r="176" spans="1:13" x14ac:dyDescent="0.25">
      <c r="A176" t="s">
        <v>482</v>
      </c>
      <c r="B176" t="s">
        <v>488</v>
      </c>
      <c r="C176" t="s">
        <v>487</v>
      </c>
      <c r="D176">
        <v>2</v>
      </c>
      <c r="E176">
        <v>3.5</v>
      </c>
      <c r="F176">
        <v>30</v>
      </c>
      <c r="G176">
        <v>7</v>
      </c>
      <c r="H176">
        <v>2.2999999999999998</v>
      </c>
      <c r="I176">
        <v>13.3</v>
      </c>
      <c r="J176">
        <v>12</v>
      </c>
      <c r="K176">
        <v>3.8</v>
      </c>
      <c r="L176">
        <v>18</v>
      </c>
    </row>
    <row r="177" spans="1:12" x14ac:dyDescent="0.25">
      <c r="A177" t="s">
        <v>482</v>
      </c>
      <c r="B177" t="s">
        <v>488</v>
      </c>
      <c r="C177" t="s">
        <v>487</v>
      </c>
      <c r="D177">
        <v>2</v>
      </c>
      <c r="E177">
        <v>3.5</v>
      </c>
      <c r="F177">
        <v>35</v>
      </c>
      <c r="G177">
        <v>7</v>
      </c>
      <c r="H177">
        <v>2.2999999999999998</v>
      </c>
      <c r="I177">
        <v>13.3</v>
      </c>
      <c r="J177">
        <v>12</v>
      </c>
      <c r="K177">
        <v>3.8</v>
      </c>
      <c r="L177">
        <v>21</v>
      </c>
    </row>
    <row r="178" spans="1:12" x14ac:dyDescent="0.25">
      <c r="A178" t="s">
        <v>482</v>
      </c>
      <c r="B178" t="s">
        <v>488</v>
      </c>
      <c r="C178" t="s">
        <v>487</v>
      </c>
      <c r="D178">
        <v>2</v>
      </c>
      <c r="E178">
        <v>3.5</v>
      </c>
      <c r="F178">
        <v>40</v>
      </c>
      <c r="G178">
        <v>7</v>
      </c>
      <c r="H178">
        <v>2.2999999999999998</v>
      </c>
      <c r="I178">
        <v>13.3</v>
      </c>
      <c r="J178">
        <v>12</v>
      </c>
      <c r="K178">
        <v>3.8</v>
      </c>
      <c r="L178">
        <v>24</v>
      </c>
    </row>
    <row r="179" spans="1:12" x14ac:dyDescent="0.25">
      <c r="A179" t="s">
        <v>482</v>
      </c>
      <c r="B179" t="s">
        <v>488</v>
      </c>
      <c r="C179" t="s">
        <v>487</v>
      </c>
      <c r="D179">
        <v>2</v>
      </c>
      <c r="E179">
        <v>3.5</v>
      </c>
      <c r="F179">
        <v>45</v>
      </c>
      <c r="G179">
        <v>7</v>
      </c>
      <c r="H179">
        <v>2.2999999999999998</v>
      </c>
      <c r="I179">
        <v>13.3</v>
      </c>
      <c r="J179">
        <v>12</v>
      </c>
      <c r="K179">
        <v>3.8</v>
      </c>
      <c r="L179">
        <v>27</v>
      </c>
    </row>
    <row r="180" spans="1:12" x14ac:dyDescent="0.25">
      <c r="A180" t="s">
        <v>482</v>
      </c>
      <c r="B180" t="s">
        <v>488</v>
      </c>
      <c r="C180" t="s">
        <v>487</v>
      </c>
      <c r="D180">
        <v>2</v>
      </c>
      <c r="E180">
        <v>3.5</v>
      </c>
      <c r="F180">
        <v>50</v>
      </c>
      <c r="G180">
        <v>7</v>
      </c>
      <c r="H180">
        <v>2.2999999999999998</v>
      </c>
      <c r="I180">
        <v>13.3</v>
      </c>
      <c r="J180">
        <v>12</v>
      </c>
      <c r="K180">
        <v>3.8</v>
      </c>
      <c r="L180">
        <v>30</v>
      </c>
    </row>
    <row r="181" spans="1:12" x14ac:dyDescent="0.25">
      <c r="A181" t="s">
        <v>482</v>
      </c>
      <c r="B181" t="s">
        <v>488</v>
      </c>
      <c r="C181" t="s">
        <v>487</v>
      </c>
      <c r="D181">
        <v>2</v>
      </c>
      <c r="E181">
        <v>4</v>
      </c>
      <c r="F181">
        <v>30</v>
      </c>
      <c r="G181">
        <v>8</v>
      </c>
      <c r="H181">
        <v>3.3</v>
      </c>
      <c r="I181">
        <v>12.9</v>
      </c>
      <c r="J181">
        <v>12</v>
      </c>
      <c r="K181">
        <v>5</v>
      </c>
      <c r="L181">
        <v>18</v>
      </c>
    </row>
    <row r="182" spans="1:12" x14ac:dyDescent="0.25">
      <c r="A182" t="s">
        <v>482</v>
      </c>
      <c r="B182" t="s">
        <v>488</v>
      </c>
      <c r="C182" t="s">
        <v>487</v>
      </c>
      <c r="D182">
        <v>2</v>
      </c>
      <c r="E182">
        <v>4</v>
      </c>
      <c r="F182">
        <v>35</v>
      </c>
      <c r="G182">
        <v>8</v>
      </c>
      <c r="H182">
        <v>3.3</v>
      </c>
      <c r="I182">
        <v>12.9</v>
      </c>
      <c r="J182">
        <v>12</v>
      </c>
      <c r="K182">
        <v>5</v>
      </c>
      <c r="L182">
        <v>21</v>
      </c>
    </row>
    <row r="183" spans="1:12" x14ac:dyDescent="0.25">
      <c r="A183" t="s">
        <v>482</v>
      </c>
      <c r="B183" t="s">
        <v>488</v>
      </c>
      <c r="C183" t="s">
        <v>487</v>
      </c>
      <c r="D183">
        <v>2</v>
      </c>
      <c r="E183">
        <v>4</v>
      </c>
      <c r="F183">
        <v>40</v>
      </c>
      <c r="G183">
        <v>8</v>
      </c>
      <c r="H183">
        <v>3.3</v>
      </c>
      <c r="I183">
        <v>12.9</v>
      </c>
      <c r="J183">
        <v>12</v>
      </c>
      <c r="K183">
        <v>5</v>
      </c>
      <c r="L183">
        <v>24</v>
      </c>
    </row>
    <row r="184" spans="1:12" x14ac:dyDescent="0.25">
      <c r="A184" t="s">
        <v>482</v>
      </c>
      <c r="B184" t="s">
        <v>488</v>
      </c>
      <c r="C184" t="s">
        <v>487</v>
      </c>
      <c r="D184">
        <v>2</v>
      </c>
      <c r="E184">
        <v>4</v>
      </c>
      <c r="F184">
        <v>45</v>
      </c>
      <c r="G184">
        <v>8</v>
      </c>
      <c r="H184">
        <v>3.3</v>
      </c>
      <c r="I184">
        <v>12.9</v>
      </c>
      <c r="J184">
        <v>12</v>
      </c>
      <c r="K184">
        <v>5</v>
      </c>
      <c r="L184">
        <v>27</v>
      </c>
    </row>
    <row r="185" spans="1:12" x14ac:dyDescent="0.25">
      <c r="A185" t="s">
        <v>482</v>
      </c>
      <c r="B185" t="s">
        <v>488</v>
      </c>
      <c r="C185" t="s">
        <v>487</v>
      </c>
      <c r="D185">
        <v>2</v>
      </c>
      <c r="E185">
        <v>4</v>
      </c>
      <c r="F185">
        <v>50</v>
      </c>
      <c r="G185">
        <v>8</v>
      </c>
      <c r="H185">
        <v>3.3</v>
      </c>
      <c r="I185">
        <v>12.9</v>
      </c>
      <c r="J185">
        <v>12</v>
      </c>
      <c r="K185">
        <v>5</v>
      </c>
      <c r="L185">
        <v>30</v>
      </c>
    </row>
    <row r="186" spans="1:12" x14ac:dyDescent="0.25">
      <c r="A186" t="s">
        <v>482</v>
      </c>
      <c r="B186" t="s">
        <v>488</v>
      </c>
      <c r="C186" t="s">
        <v>487</v>
      </c>
      <c r="D186">
        <v>2</v>
      </c>
      <c r="E186">
        <v>4</v>
      </c>
      <c r="F186">
        <v>60</v>
      </c>
      <c r="G186">
        <v>8</v>
      </c>
      <c r="H186">
        <v>3.3</v>
      </c>
      <c r="I186">
        <v>12.9</v>
      </c>
      <c r="J186">
        <v>12</v>
      </c>
      <c r="K186">
        <v>5</v>
      </c>
      <c r="L186">
        <v>36</v>
      </c>
    </row>
    <row r="187" spans="1:12" x14ac:dyDescent="0.25">
      <c r="A187" t="s">
        <v>482</v>
      </c>
      <c r="B187" t="s">
        <v>488</v>
      </c>
      <c r="C187" t="s">
        <v>487</v>
      </c>
      <c r="D187">
        <v>2</v>
      </c>
      <c r="E187">
        <v>4</v>
      </c>
      <c r="F187">
        <v>70</v>
      </c>
      <c r="G187">
        <v>8</v>
      </c>
      <c r="H187">
        <v>3.3</v>
      </c>
      <c r="I187">
        <v>12.9</v>
      </c>
      <c r="J187">
        <v>12</v>
      </c>
      <c r="K187">
        <v>5</v>
      </c>
      <c r="L187">
        <v>42</v>
      </c>
    </row>
    <row r="188" spans="1:12" x14ac:dyDescent="0.25">
      <c r="A188" t="s">
        <v>482</v>
      </c>
      <c r="B188" t="s">
        <v>488</v>
      </c>
      <c r="C188" t="s">
        <v>487</v>
      </c>
      <c r="D188">
        <v>2</v>
      </c>
      <c r="E188">
        <v>4</v>
      </c>
      <c r="F188">
        <v>80</v>
      </c>
      <c r="G188">
        <v>8</v>
      </c>
      <c r="H188">
        <v>3.3</v>
      </c>
      <c r="I188">
        <v>12.9</v>
      </c>
      <c r="J188">
        <v>12</v>
      </c>
      <c r="K188">
        <v>5</v>
      </c>
      <c r="L188">
        <v>48</v>
      </c>
    </row>
    <row r="189" spans="1:12" x14ac:dyDescent="0.25">
      <c r="A189" t="s">
        <v>482</v>
      </c>
      <c r="B189" t="s">
        <v>488</v>
      </c>
      <c r="C189" t="s">
        <v>487</v>
      </c>
      <c r="D189">
        <v>2</v>
      </c>
      <c r="E189">
        <v>4.5</v>
      </c>
      <c r="F189">
        <v>40</v>
      </c>
      <c r="G189">
        <v>9</v>
      </c>
      <c r="H189">
        <v>4.5</v>
      </c>
      <c r="I189">
        <v>12.5</v>
      </c>
      <c r="J189">
        <v>12</v>
      </c>
      <c r="K189">
        <v>6.4</v>
      </c>
      <c r="L189">
        <v>24</v>
      </c>
    </row>
    <row r="190" spans="1:12" x14ac:dyDescent="0.25">
      <c r="A190" t="s">
        <v>482</v>
      </c>
      <c r="B190" t="s">
        <v>488</v>
      </c>
      <c r="C190" t="s">
        <v>487</v>
      </c>
      <c r="D190">
        <v>2</v>
      </c>
      <c r="E190">
        <v>4.5</v>
      </c>
      <c r="F190">
        <v>45</v>
      </c>
      <c r="G190">
        <v>9</v>
      </c>
      <c r="H190">
        <v>4.5</v>
      </c>
      <c r="I190">
        <v>12.5</v>
      </c>
      <c r="J190">
        <v>12</v>
      </c>
      <c r="K190">
        <v>6.4</v>
      </c>
      <c r="L190">
        <v>27</v>
      </c>
    </row>
    <row r="191" spans="1:12" x14ac:dyDescent="0.25">
      <c r="A191" t="s">
        <v>482</v>
      </c>
      <c r="B191" t="s">
        <v>488</v>
      </c>
      <c r="C191" t="s">
        <v>487</v>
      </c>
      <c r="D191">
        <v>2</v>
      </c>
      <c r="E191">
        <v>4.5</v>
      </c>
      <c r="F191">
        <v>50</v>
      </c>
      <c r="G191">
        <v>9</v>
      </c>
      <c r="H191">
        <v>4.5</v>
      </c>
      <c r="I191">
        <v>12.5</v>
      </c>
      <c r="J191">
        <v>12</v>
      </c>
      <c r="K191">
        <v>6.4</v>
      </c>
      <c r="L191">
        <v>30</v>
      </c>
    </row>
    <row r="192" spans="1:12" x14ac:dyDescent="0.25">
      <c r="A192" t="s">
        <v>482</v>
      </c>
      <c r="B192" t="s">
        <v>488</v>
      </c>
      <c r="C192" t="s">
        <v>487</v>
      </c>
      <c r="D192">
        <v>2</v>
      </c>
      <c r="E192">
        <v>4.5</v>
      </c>
      <c r="F192">
        <v>60</v>
      </c>
      <c r="G192">
        <v>9</v>
      </c>
      <c r="H192">
        <v>4.5</v>
      </c>
      <c r="I192">
        <v>12.5</v>
      </c>
      <c r="J192">
        <v>12</v>
      </c>
      <c r="K192">
        <v>6.4</v>
      </c>
      <c r="L192">
        <v>36</v>
      </c>
    </row>
    <row r="193" spans="1:12" x14ac:dyDescent="0.25">
      <c r="A193" t="s">
        <v>482</v>
      </c>
      <c r="B193" t="s">
        <v>488</v>
      </c>
      <c r="C193" t="s">
        <v>487</v>
      </c>
      <c r="D193">
        <v>2</v>
      </c>
      <c r="E193">
        <v>4.5</v>
      </c>
      <c r="F193">
        <v>70</v>
      </c>
      <c r="G193">
        <v>9</v>
      </c>
      <c r="H193">
        <v>4.5</v>
      </c>
      <c r="I193">
        <v>12.5</v>
      </c>
      <c r="J193">
        <v>12</v>
      </c>
      <c r="K193">
        <v>6.4</v>
      </c>
      <c r="L193">
        <v>42</v>
      </c>
    </row>
    <row r="194" spans="1:12" x14ac:dyDescent="0.25">
      <c r="A194" t="s">
        <v>482</v>
      </c>
      <c r="B194" t="s">
        <v>488</v>
      </c>
      <c r="C194" t="s">
        <v>487</v>
      </c>
      <c r="D194">
        <v>2</v>
      </c>
      <c r="E194">
        <v>4.5</v>
      </c>
      <c r="F194">
        <v>80</v>
      </c>
      <c r="G194">
        <v>9</v>
      </c>
      <c r="H194">
        <v>4.5</v>
      </c>
      <c r="I194">
        <v>12.5</v>
      </c>
      <c r="J194">
        <v>12</v>
      </c>
      <c r="K194">
        <v>6.4</v>
      </c>
      <c r="L194">
        <v>48</v>
      </c>
    </row>
    <row r="195" spans="1:12" x14ac:dyDescent="0.25">
      <c r="A195" t="s">
        <v>482</v>
      </c>
      <c r="B195" t="s">
        <v>488</v>
      </c>
      <c r="C195" t="s">
        <v>487</v>
      </c>
      <c r="D195">
        <v>2</v>
      </c>
      <c r="E195">
        <v>5</v>
      </c>
      <c r="F195">
        <v>40</v>
      </c>
      <c r="G195">
        <v>10</v>
      </c>
      <c r="H195">
        <v>5.9</v>
      </c>
      <c r="I195">
        <v>12.1</v>
      </c>
      <c r="J195">
        <v>12</v>
      </c>
      <c r="K195">
        <v>7.9</v>
      </c>
      <c r="L195">
        <v>24</v>
      </c>
    </row>
    <row r="196" spans="1:12" x14ac:dyDescent="0.25">
      <c r="A196" t="s">
        <v>482</v>
      </c>
      <c r="B196" t="s">
        <v>488</v>
      </c>
      <c r="C196" t="s">
        <v>487</v>
      </c>
      <c r="D196">
        <v>2</v>
      </c>
      <c r="E196">
        <v>5</v>
      </c>
      <c r="F196">
        <v>45</v>
      </c>
      <c r="G196">
        <v>10</v>
      </c>
      <c r="H196">
        <v>5.9</v>
      </c>
      <c r="I196">
        <v>12.1</v>
      </c>
      <c r="J196">
        <v>12</v>
      </c>
      <c r="K196">
        <v>7.9</v>
      </c>
      <c r="L196">
        <v>27</v>
      </c>
    </row>
    <row r="197" spans="1:12" x14ac:dyDescent="0.25">
      <c r="A197" t="s">
        <v>482</v>
      </c>
      <c r="B197" t="s">
        <v>488</v>
      </c>
      <c r="C197" t="s">
        <v>487</v>
      </c>
      <c r="D197">
        <v>2</v>
      </c>
      <c r="E197">
        <v>5</v>
      </c>
      <c r="F197">
        <v>50</v>
      </c>
      <c r="G197">
        <v>10</v>
      </c>
      <c r="H197">
        <v>5.9</v>
      </c>
      <c r="I197">
        <v>12.1</v>
      </c>
      <c r="J197">
        <v>12</v>
      </c>
      <c r="K197">
        <v>7.9</v>
      </c>
      <c r="L197">
        <v>30</v>
      </c>
    </row>
    <row r="198" spans="1:12" x14ac:dyDescent="0.25">
      <c r="A198" t="s">
        <v>482</v>
      </c>
      <c r="B198" t="s">
        <v>488</v>
      </c>
      <c r="C198" t="s">
        <v>487</v>
      </c>
      <c r="D198">
        <v>2</v>
      </c>
      <c r="E198">
        <v>5</v>
      </c>
      <c r="F198">
        <v>60</v>
      </c>
      <c r="G198">
        <v>10</v>
      </c>
      <c r="H198">
        <v>5.9</v>
      </c>
      <c r="I198">
        <v>12.1</v>
      </c>
      <c r="J198">
        <v>12</v>
      </c>
      <c r="K198">
        <v>7.9</v>
      </c>
      <c r="L198">
        <v>36</v>
      </c>
    </row>
    <row r="199" spans="1:12" x14ac:dyDescent="0.25">
      <c r="A199" t="s">
        <v>482</v>
      </c>
      <c r="B199" t="s">
        <v>488</v>
      </c>
      <c r="C199" t="s">
        <v>487</v>
      </c>
      <c r="D199">
        <v>2</v>
      </c>
      <c r="E199">
        <v>5</v>
      </c>
      <c r="F199">
        <v>70</v>
      </c>
      <c r="G199">
        <v>10</v>
      </c>
      <c r="H199">
        <v>5.9</v>
      </c>
      <c r="I199">
        <v>12.1</v>
      </c>
      <c r="J199">
        <v>12</v>
      </c>
      <c r="K199">
        <v>7.9</v>
      </c>
      <c r="L199">
        <v>42</v>
      </c>
    </row>
    <row r="200" spans="1:12" x14ac:dyDescent="0.25">
      <c r="A200" t="s">
        <v>482</v>
      </c>
      <c r="B200" t="s">
        <v>488</v>
      </c>
      <c r="C200" t="s">
        <v>487</v>
      </c>
      <c r="D200">
        <v>2</v>
      </c>
      <c r="E200">
        <v>5</v>
      </c>
      <c r="F200">
        <v>80</v>
      </c>
      <c r="G200">
        <v>10</v>
      </c>
      <c r="H200">
        <v>5.9</v>
      </c>
      <c r="I200">
        <v>12.1</v>
      </c>
      <c r="J200">
        <v>12</v>
      </c>
      <c r="K200">
        <v>7.9</v>
      </c>
      <c r="L200">
        <v>48</v>
      </c>
    </row>
    <row r="201" spans="1:12" x14ac:dyDescent="0.25">
      <c r="A201" t="s">
        <v>482</v>
      </c>
      <c r="B201" t="s">
        <v>488</v>
      </c>
      <c r="C201" t="s">
        <v>487</v>
      </c>
      <c r="D201">
        <v>2</v>
      </c>
      <c r="E201">
        <v>5</v>
      </c>
      <c r="F201">
        <v>90</v>
      </c>
      <c r="G201">
        <v>10</v>
      </c>
      <c r="H201">
        <v>5.9</v>
      </c>
      <c r="I201">
        <v>12.1</v>
      </c>
      <c r="J201">
        <v>12</v>
      </c>
      <c r="K201">
        <v>7.9</v>
      </c>
      <c r="L201">
        <v>54</v>
      </c>
    </row>
    <row r="202" spans="1:12" x14ac:dyDescent="0.25">
      <c r="A202" t="s">
        <v>482</v>
      </c>
      <c r="B202" t="s">
        <v>488</v>
      </c>
      <c r="C202" t="s">
        <v>487</v>
      </c>
      <c r="D202">
        <v>2</v>
      </c>
      <c r="E202">
        <v>5</v>
      </c>
      <c r="F202">
        <v>100</v>
      </c>
      <c r="G202">
        <v>10</v>
      </c>
      <c r="H202">
        <v>5.9</v>
      </c>
      <c r="I202">
        <v>12.1</v>
      </c>
      <c r="J202">
        <v>12</v>
      </c>
      <c r="K202">
        <v>7.9</v>
      </c>
      <c r="L202">
        <v>60</v>
      </c>
    </row>
    <row r="203" spans="1:12" x14ac:dyDescent="0.25">
      <c r="A203" t="s">
        <v>482</v>
      </c>
      <c r="B203" t="s">
        <v>488</v>
      </c>
      <c r="C203" t="s">
        <v>487</v>
      </c>
      <c r="D203">
        <v>2</v>
      </c>
      <c r="E203">
        <v>5</v>
      </c>
      <c r="F203">
        <v>120</v>
      </c>
      <c r="G203">
        <v>10</v>
      </c>
      <c r="H203">
        <v>5.9</v>
      </c>
      <c r="I203">
        <v>12.1</v>
      </c>
      <c r="J203">
        <v>12</v>
      </c>
      <c r="K203">
        <v>7.9</v>
      </c>
      <c r="L203">
        <v>70</v>
      </c>
    </row>
    <row r="204" spans="1:12" x14ac:dyDescent="0.25">
      <c r="A204" t="s">
        <v>482</v>
      </c>
      <c r="B204" t="s">
        <v>488</v>
      </c>
      <c r="C204" t="s">
        <v>487</v>
      </c>
      <c r="D204">
        <v>2</v>
      </c>
      <c r="E204">
        <v>6</v>
      </c>
      <c r="F204">
        <v>60</v>
      </c>
      <c r="G204">
        <v>12</v>
      </c>
      <c r="H204">
        <v>9.5</v>
      </c>
      <c r="I204">
        <v>11.4</v>
      </c>
      <c r="J204">
        <v>12</v>
      </c>
      <c r="K204">
        <v>11</v>
      </c>
      <c r="L204">
        <v>36</v>
      </c>
    </row>
    <row r="205" spans="1:12" x14ac:dyDescent="0.25">
      <c r="A205" t="s">
        <v>482</v>
      </c>
      <c r="B205" t="s">
        <v>488</v>
      </c>
      <c r="C205" t="s">
        <v>487</v>
      </c>
      <c r="D205">
        <v>2</v>
      </c>
      <c r="E205">
        <v>6</v>
      </c>
      <c r="F205">
        <v>70</v>
      </c>
      <c r="G205">
        <v>12</v>
      </c>
      <c r="H205">
        <v>9.5</v>
      </c>
      <c r="I205">
        <v>11.4</v>
      </c>
      <c r="J205">
        <v>12</v>
      </c>
      <c r="K205">
        <v>11</v>
      </c>
      <c r="L205">
        <v>42</v>
      </c>
    </row>
    <row r="206" spans="1:12" x14ac:dyDescent="0.25">
      <c r="A206" t="s">
        <v>482</v>
      </c>
      <c r="B206" t="s">
        <v>488</v>
      </c>
      <c r="C206" t="s">
        <v>487</v>
      </c>
      <c r="D206">
        <v>2</v>
      </c>
      <c r="E206">
        <v>6</v>
      </c>
      <c r="F206">
        <v>80</v>
      </c>
      <c r="G206">
        <v>12</v>
      </c>
      <c r="H206">
        <v>9.5</v>
      </c>
      <c r="I206">
        <v>11.4</v>
      </c>
      <c r="J206">
        <v>12</v>
      </c>
      <c r="K206">
        <v>11</v>
      </c>
      <c r="L206">
        <v>48</v>
      </c>
    </row>
    <row r="207" spans="1:12" x14ac:dyDescent="0.25">
      <c r="A207" t="s">
        <v>482</v>
      </c>
      <c r="B207" t="s">
        <v>488</v>
      </c>
      <c r="C207" t="s">
        <v>487</v>
      </c>
      <c r="D207">
        <v>2</v>
      </c>
      <c r="E207">
        <v>6</v>
      </c>
      <c r="F207">
        <v>90</v>
      </c>
      <c r="G207">
        <v>12</v>
      </c>
      <c r="H207">
        <v>9.5</v>
      </c>
      <c r="I207">
        <v>11.4</v>
      </c>
      <c r="J207">
        <v>12</v>
      </c>
      <c r="K207">
        <v>11</v>
      </c>
      <c r="L207">
        <v>54</v>
      </c>
    </row>
    <row r="208" spans="1:12" x14ac:dyDescent="0.25">
      <c r="A208" t="s">
        <v>482</v>
      </c>
      <c r="B208" t="s">
        <v>488</v>
      </c>
      <c r="C208" t="s">
        <v>487</v>
      </c>
      <c r="D208">
        <v>2</v>
      </c>
      <c r="E208">
        <v>6</v>
      </c>
      <c r="F208">
        <v>100</v>
      </c>
      <c r="G208">
        <v>12</v>
      </c>
      <c r="H208">
        <v>9.5</v>
      </c>
      <c r="I208">
        <v>11.4</v>
      </c>
      <c r="J208">
        <v>12</v>
      </c>
      <c r="K208">
        <v>11</v>
      </c>
      <c r="L208">
        <v>60</v>
      </c>
    </row>
    <row r="209" spans="1:12" x14ac:dyDescent="0.25">
      <c r="A209" t="s">
        <v>482</v>
      </c>
      <c r="B209" t="s">
        <v>488</v>
      </c>
      <c r="C209" t="s">
        <v>487</v>
      </c>
      <c r="D209">
        <v>2</v>
      </c>
      <c r="E209">
        <v>6</v>
      </c>
      <c r="F209">
        <v>110</v>
      </c>
      <c r="G209">
        <v>12</v>
      </c>
      <c r="H209">
        <v>9.5</v>
      </c>
      <c r="I209">
        <v>11.4</v>
      </c>
      <c r="J209">
        <v>12</v>
      </c>
      <c r="K209">
        <v>11</v>
      </c>
      <c r="L209">
        <v>70</v>
      </c>
    </row>
    <row r="210" spans="1:12" x14ac:dyDescent="0.25">
      <c r="A210" t="s">
        <v>482</v>
      </c>
      <c r="B210" t="s">
        <v>488</v>
      </c>
      <c r="C210" t="s">
        <v>487</v>
      </c>
      <c r="D210">
        <v>2</v>
      </c>
      <c r="E210">
        <v>6</v>
      </c>
      <c r="F210">
        <v>120</v>
      </c>
      <c r="G210">
        <v>12</v>
      </c>
      <c r="H210">
        <v>9.5</v>
      </c>
      <c r="I210">
        <v>11.4</v>
      </c>
      <c r="J210">
        <v>12</v>
      </c>
      <c r="K210">
        <v>11</v>
      </c>
      <c r="L210">
        <v>70</v>
      </c>
    </row>
    <row r="211" spans="1:12" x14ac:dyDescent="0.25">
      <c r="A211" t="s">
        <v>482</v>
      </c>
      <c r="B211" t="s">
        <v>488</v>
      </c>
      <c r="C211" t="s">
        <v>487</v>
      </c>
      <c r="D211">
        <v>2</v>
      </c>
      <c r="E211">
        <v>6</v>
      </c>
      <c r="F211">
        <v>130</v>
      </c>
      <c r="G211">
        <v>12</v>
      </c>
      <c r="H211">
        <v>9.5</v>
      </c>
      <c r="I211">
        <v>11.4</v>
      </c>
      <c r="J211">
        <v>12</v>
      </c>
      <c r="K211">
        <v>11</v>
      </c>
      <c r="L211">
        <v>70</v>
      </c>
    </row>
    <row r="212" spans="1:12" x14ac:dyDescent="0.25">
      <c r="A212" t="s">
        <v>482</v>
      </c>
      <c r="B212" t="s">
        <v>488</v>
      </c>
      <c r="C212" t="s">
        <v>487</v>
      </c>
      <c r="D212">
        <v>2</v>
      </c>
      <c r="E212">
        <v>6</v>
      </c>
      <c r="F212">
        <v>140</v>
      </c>
      <c r="G212">
        <v>12</v>
      </c>
      <c r="H212">
        <v>9.5</v>
      </c>
      <c r="I212">
        <v>11.4</v>
      </c>
      <c r="J212">
        <v>12</v>
      </c>
      <c r="K212">
        <v>11</v>
      </c>
      <c r="L212">
        <v>70</v>
      </c>
    </row>
    <row r="213" spans="1:12" x14ac:dyDescent="0.25">
      <c r="A213" t="s">
        <v>482</v>
      </c>
      <c r="B213" t="s">
        <v>488</v>
      </c>
      <c r="C213" t="s">
        <v>487</v>
      </c>
      <c r="D213">
        <v>2</v>
      </c>
      <c r="E213">
        <v>6</v>
      </c>
      <c r="F213">
        <v>150</v>
      </c>
      <c r="G213">
        <v>12</v>
      </c>
      <c r="H213">
        <v>9.5</v>
      </c>
      <c r="I213">
        <v>11.4</v>
      </c>
      <c r="J213">
        <v>12</v>
      </c>
      <c r="K213">
        <v>11</v>
      </c>
      <c r="L213">
        <v>70</v>
      </c>
    </row>
    <row r="214" spans="1:12" x14ac:dyDescent="0.25">
      <c r="A214" t="s">
        <v>482</v>
      </c>
      <c r="B214" t="s">
        <v>488</v>
      </c>
      <c r="C214" t="s">
        <v>487</v>
      </c>
      <c r="D214">
        <v>2</v>
      </c>
      <c r="E214">
        <v>6</v>
      </c>
      <c r="F214">
        <v>160</v>
      </c>
      <c r="G214">
        <v>12</v>
      </c>
      <c r="H214">
        <v>9.5</v>
      </c>
      <c r="I214">
        <v>11.4</v>
      </c>
      <c r="J214">
        <v>12</v>
      </c>
      <c r="K214">
        <v>11</v>
      </c>
      <c r="L214">
        <v>70</v>
      </c>
    </row>
    <row r="215" spans="1:12" x14ac:dyDescent="0.25">
      <c r="A215" t="s">
        <v>482</v>
      </c>
      <c r="B215" t="s">
        <v>488</v>
      </c>
      <c r="C215" t="s">
        <v>487</v>
      </c>
      <c r="D215">
        <v>2</v>
      </c>
      <c r="E215">
        <v>6</v>
      </c>
      <c r="F215">
        <v>180</v>
      </c>
      <c r="G215">
        <v>12</v>
      </c>
      <c r="H215">
        <v>9.5</v>
      </c>
      <c r="I215">
        <v>11.4</v>
      </c>
      <c r="J215">
        <v>12</v>
      </c>
      <c r="K215">
        <v>11</v>
      </c>
      <c r="L215">
        <v>70</v>
      </c>
    </row>
    <row r="216" spans="1:12" x14ac:dyDescent="0.25">
      <c r="A216" t="s">
        <v>482</v>
      </c>
      <c r="B216" t="s">
        <v>488</v>
      </c>
      <c r="C216" t="s">
        <v>487</v>
      </c>
      <c r="D216">
        <v>2</v>
      </c>
      <c r="E216">
        <v>6</v>
      </c>
      <c r="F216">
        <v>200</v>
      </c>
      <c r="G216">
        <v>12</v>
      </c>
      <c r="H216">
        <v>9.5</v>
      </c>
      <c r="I216">
        <v>11.4</v>
      </c>
      <c r="J216">
        <v>12</v>
      </c>
      <c r="K216">
        <v>11</v>
      </c>
      <c r="L216">
        <v>70</v>
      </c>
    </row>
    <row r="217" spans="1:12" x14ac:dyDescent="0.25">
      <c r="A217" t="s">
        <v>482</v>
      </c>
      <c r="B217" t="s">
        <v>488</v>
      </c>
      <c r="C217" t="s">
        <v>487</v>
      </c>
      <c r="D217">
        <v>2</v>
      </c>
      <c r="E217">
        <v>6</v>
      </c>
      <c r="F217">
        <v>220</v>
      </c>
      <c r="G217">
        <v>12</v>
      </c>
      <c r="H217">
        <v>9.5</v>
      </c>
      <c r="I217">
        <v>11.4</v>
      </c>
      <c r="J217">
        <v>12</v>
      </c>
      <c r="K217">
        <v>11</v>
      </c>
      <c r="L217">
        <v>70</v>
      </c>
    </row>
    <row r="218" spans="1:12" x14ac:dyDescent="0.25">
      <c r="A218" t="s">
        <v>482</v>
      </c>
      <c r="B218" t="s">
        <v>488</v>
      </c>
      <c r="C218" t="s">
        <v>487</v>
      </c>
      <c r="D218">
        <v>2</v>
      </c>
      <c r="E218">
        <v>6</v>
      </c>
      <c r="F218">
        <v>240</v>
      </c>
      <c r="G218">
        <v>12</v>
      </c>
      <c r="H218">
        <v>9.5</v>
      </c>
      <c r="I218">
        <v>11.4</v>
      </c>
      <c r="J218">
        <v>12</v>
      </c>
      <c r="K218">
        <v>11</v>
      </c>
      <c r="L218">
        <v>70</v>
      </c>
    </row>
    <row r="219" spans="1:12" x14ac:dyDescent="0.25">
      <c r="A219" t="s">
        <v>482</v>
      </c>
      <c r="B219" t="s">
        <v>488</v>
      </c>
      <c r="C219" t="s">
        <v>487</v>
      </c>
      <c r="D219">
        <v>2</v>
      </c>
      <c r="E219">
        <v>6</v>
      </c>
      <c r="F219">
        <v>260</v>
      </c>
      <c r="G219">
        <v>12</v>
      </c>
      <c r="H219">
        <v>9.5</v>
      </c>
      <c r="I219">
        <v>11.4</v>
      </c>
      <c r="J219">
        <v>12</v>
      </c>
      <c r="K219">
        <v>11</v>
      </c>
      <c r="L219">
        <v>70</v>
      </c>
    </row>
    <row r="220" spans="1:12" x14ac:dyDescent="0.25">
      <c r="A220" t="s">
        <v>482</v>
      </c>
      <c r="B220" t="s">
        <v>488</v>
      </c>
      <c r="C220" t="s">
        <v>487</v>
      </c>
      <c r="D220">
        <v>2</v>
      </c>
      <c r="E220">
        <v>6</v>
      </c>
      <c r="F220">
        <v>280</v>
      </c>
      <c r="G220">
        <v>12</v>
      </c>
      <c r="H220">
        <v>9.5</v>
      </c>
      <c r="I220">
        <v>11.4</v>
      </c>
      <c r="J220">
        <v>12</v>
      </c>
      <c r="K220">
        <v>11</v>
      </c>
      <c r="L220">
        <v>70</v>
      </c>
    </row>
    <row r="221" spans="1:12" x14ac:dyDescent="0.25">
      <c r="A221" t="s">
        <v>482</v>
      </c>
      <c r="B221" t="s">
        <v>488</v>
      </c>
      <c r="C221" t="s">
        <v>487</v>
      </c>
      <c r="D221">
        <v>2</v>
      </c>
      <c r="E221">
        <v>6</v>
      </c>
      <c r="F221">
        <v>300</v>
      </c>
      <c r="G221">
        <v>12</v>
      </c>
      <c r="H221">
        <v>9.5</v>
      </c>
      <c r="I221">
        <v>11.4</v>
      </c>
      <c r="J221">
        <v>12</v>
      </c>
      <c r="K221">
        <v>11</v>
      </c>
      <c r="L221">
        <v>70</v>
      </c>
    </row>
    <row r="222" spans="1:12" x14ac:dyDescent="0.25">
      <c r="A222" t="s">
        <v>482</v>
      </c>
      <c r="B222" t="s">
        <v>488</v>
      </c>
      <c r="C222" t="s">
        <v>487</v>
      </c>
      <c r="D222">
        <v>2</v>
      </c>
      <c r="E222">
        <v>8</v>
      </c>
      <c r="F222">
        <v>80</v>
      </c>
      <c r="G222">
        <v>14.5</v>
      </c>
      <c r="H222">
        <v>20</v>
      </c>
      <c r="I222">
        <v>11.1</v>
      </c>
      <c r="J222">
        <v>12</v>
      </c>
      <c r="K222">
        <v>20</v>
      </c>
      <c r="L222">
        <v>48</v>
      </c>
    </row>
    <row r="223" spans="1:12" x14ac:dyDescent="0.25">
      <c r="A223" t="s">
        <v>482</v>
      </c>
      <c r="B223" t="s">
        <v>488</v>
      </c>
      <c r="C223" t="s">
        <v>487</v>
      </c>
      <c r="D223">
        <v>2</v>
      </c>
      <c r="E223">
        <v>8</v>
      </c>
      <c r="F223">
        <v>100</v>
      </c>
      <c r="G223">
        <v>14.5</v>
      </c>
      <c r="H223">
        <v>20</v>
      </c>
      <c r="I223">
        <v>11.1</v>
      </c>
      <c r="J223">
        <v>12</v>
      </c>
      <c r="K223">
        <v>20</v>
      </c>
      <c r="L223">
        <v>60</v>
      </c>
    </row>
    <row r="224" spans="1:12" x14ac:dyDescent="0.25">
      <c r="A224" t="s">
        <v>482</v>
      </c>
      <c r="B224" t="s">
        <v>488</v>
      </c>
      <c r="C224" t="s">
        <v>487</v>
      </c>
      <c r="D224">
        <v>2</v>
      </c>
      <c r="E224">
        <v>8</v>
      </c>
      <c r="F224">
        <v>120</v>
      </c>
      <c r="G224">
        <v>14.5</v>
      </c>
      <c r="H224">
        <v>20</v>
      </c>
      <c r="I224">
        <v>11.1</v>
      </c>
      <c r="J224">
        <v>12</v>
      </c>
      <c r="K224">
        <v>20</v>
      </c>
      <c r="L224">
        <v>66</v>
      </c>
    </row>
    <row r="225" spans="1:12" x14ac:dyDescent="0.25">
      <c r="A225" t="s">
        <v>482</v>
      </c>
      <c r="B225" t="s">
        <v>488</v>
      </c>
      <c r="C225" t="s">
        <v>487</v>
      </c>
      <c r="D225">
        <v>2</v>
      </c>
      <c r="E225">
        <v>8</v>
      </c>
      <c r="F225">
        <v>140</v>
      </c>
      <c r="G225">
        <v>14.5</v>
      </c>
      <c r="H225">
        <v>20</v>
      </c>
      <c r="I225">
        <v>11.1</v>
      </c>
      <c r="J225">
        <v>12</v>
      </c>
      <c r="K225">
        <v>20</v>
      </c>
      <c r="L225">
        <v>95</v>
      </c>
    </row>
    <row r="226" spans="1:12" x14ac:dyDescent="0.25">
      <c r="A226" t="s">
        <v>482</v>
      </c>
      <c r="B226" t="s">
        <v>488</v>
      </c>
      <c r="C226" t="s">
        <v>487</v>
      </c>
      <c r="D226">
        <v>2</v>
      </c>
      <c r="E226">
        <v>8</v>
      </c>
      <c r="F226">
        <v>160</v>
      </c>
      <c r="G226">
        <v>14.5</v>
      </c>
      <c r="H226">
        <v>20</v>
      </c>
      <c r="I226">
        <v>11.1</v>
      </c>
      <c r="J226">
        <v>12</v>
      </c>
      <c r="K226">
        <v>20</v>
      </c>
      <c r="L226">
        <v>95</v>
      </c>
    </row>
    <row r="227" spans="1:12" x14ac:dyDescent="0.25">
      <c r="A227" t="s">
        <v>482</v>
      </c>
      <c r="B227" t="s">
        <v>488</v>
      </c>
      <c r="C227" t="s">
        <v>487</v>
      </c>
      <c r="D227">
        <v>2</v>
      </c>
      <c r="E227">
        <v>8</v>
      </c>
      <c r="F227">
        <v>180</v>
      </c>
      <c r="G227">
        <v>14.5</v>
      </c>
      <c r="H227">
        <v>20</v>
      </c>
      <c r="I227">
        <v>11.1</v>
      </c>
      <c r="J227">
        <v>12</v>
      </c>
      <c r="K227">
        <v>20</v>
      </c>
      <c r="L227">
        <v>95</v>
      </c>
    </row>
    <row r="228" spans="1:12" x14ac:dyDescent="0.25">
      <c r="A228" t="s">
        <v>482</v>
      </c>
      <c r="B228" t="s">
        <v>488</v>
      </c>
      <c r="C228" t="s">
        <v>487</v>
      </c>
      <c r="D228">
        <v>2</v>
      </c>
      <c r="E228">
        <v>8</v>
      </c>
      <c r="F228">
        <v>200</v>
      </c>
      <c r="G228">
        <v>14.5</v>
      </c>
      <c r="H228">
        <v>20</v>
      </c>
      <c r="I228">
        <v>11.1</v>
      </c>
      <c r="J228">
        <v>12</v>
      </c>
      <c r="K228">
        <v>20</v>
      </c>
      <c r="L228">
        <v>95</v>
      </c>
    </row>
    <row r="229" spans="1:12" x14ac:dyDescent="0.25">
      <c r="A229" t="s">
        <v>482</v>
      </c>
      <c r="B229" t="s">
        <v>488</v>
      </c>
      <c r="C229" t="s">
        <v>487</v>
      </c>
      <c r="D229">
        <v>2</v>
      </c>
      <c r="E229">
        <v>8</v>
      </c>
      <c r="F229">
        <v>220</v>
      </c>
      <c r="G229">
        <v>14.5</v>
      </c>
      <c r="H229">
        <v>20</v>
      </c>
      <c r="I229">
        <v>11.1</v>
      </c>
      <c r="J229">
        <v>12</v>
      </c>
      <c r="K229">
        <v>20</v>
      </c>
      <c r="L229">
        <v>95</v>
      </c>
    </row>
    <row r="230" spans="1:12" x14ac:dyDescent="0.25">
      <c r="A230" t="s">
        <v>482</v>
      </c>
      <c r="B230" t="s">
        <v>488</v>
      </c>
      <c r="C230" t="s">
        <v>487</v>
      </c>
      <c r="D230">
        <v>2</v>
      </c>
      <c r="E230">
        <v>8</v>
      </c>
      <c r="F230">
        <v>240</v>
      </c>
      <c r="G230">
        <v>14.5</v>
      </c>
      <c r="H230">
        <v>20</v>
      </c>
      <c r="I230">
        <v>11.1</v>
      </c>
      <c r="J230">
        <v>12</v>
      </c>
      <c r="K230">
        <v>20</v>
      </c>
      <c r="L230">
        <v>95</v>
      </c>
    </row>
    <row r="231" spans="1:12" x14ac:dyDescent="0.25">
      <c r="A231" t="s">
        <v>482</v>
      </c>
      <c r="B231" t="s">
        <v>488</v>
      </c>
      <c r="C231" t="s">
        <v>487</v>
      </c>
      <c r="D231">
        <v>2</v>
      </c>
      <c r="E231">
        <v>8</v>
      </c>
      <c r="F231">
        <v>260</v>
      </c>
      <c r="G231">
        <v>14.5</v>
      </c>
      <c r="H231">
        <v>20</v>
      </c>
      <c r="I231">
        <v>11.1</v>
      </c>
      <c r="J231">
        <v>12</v>
      </c>
      <c r="K231">
        <v>20</v>
      </c>
      <c r="L231">
        <v>95</v>
      </c>
    </row>
    <row r="232" spans="1:12" x14ac:dyDescent="0.25">
      <c r="A232" t="s">
        <v>482</v>
      </c>
      <c r="B232" t="s">
        <v>488</v>
      </c>
      <c r="C232" t="s">
        <v>487</v>
      </c>
      <c r="D232">
        <v>2</v>
      </c>
      <c r="E232">
        <v>8</v>
      </c>
      <c r="F232">
        <v>280</v>
      </c>
      <c r="G232">
        <v>14.5</v>
      </c>
      <c r="H232">
        <v>20</v>
      </c>
      <c r="I232">
        <v>11.1</v>
      </c>
      <c r="J232">
        <v>12</v>
      </c>
      <c r="K232">
        <v>20</v>
      </c>
      <c r="L232">
        <v>95</v>
      </c>
    </row>
    <row r="233" spans="1:12" x14ac:dyDescent="0.25">
      <c r="A233" t="s">
        <v>482</v>
      </c>
      <c r="B233" t="s">
        <v>488</v>
      </c>
      <c r="C233" t="s">
        <v>487</v>
      </c>
      <c r="D233">
        <v>2</v>
      </c>
      <c r="E233">
        <v>8</v>
      </c>
      <c r="F233">
        <v>300</v>
      </c>
      <c r="G233">
        <v>14.5</v>
      </c>
      <c r="H233">
        <v>20</v>
      </c>
      <c r="I233">
        <v>11.1</v>
      </c>
      <c r="J233">
        <v>12</v>
      </c>
      <c r="K233">
        <v>20</v>
      </c>
      <c r="L233">
        <v>95</v>
      </c>
    </row>
    <row r="234" spans="1:12" x14ac:dyDescent="0.25">
      <c r="A234" t="s">
        <v>482</v>
      </c>
      <c r="B234" t="s">
        <v>488</v>
      </c>
      <c r="C234" t="s">
        <v>487</v>
      </c>
      <c r="D234">
        <v>2</v>
      </c>
      <c r="E234">
        <v>8</v>
      </c>
      <c r="F234">
        <v>320</v>
      </c>
      <c r="G234">
        <v>14.5</v>
      </c>
      <c r="H234">
        <v>20</v>
      </c>
      <c r="I234">
        <v>11.1</v>
      </c>
      <c r="J234">
        <v>12</v>
      </c>
      <c r="K234">
        <v>20</v>
      </c>
      <c r="L234">
        <v>95</v>
      </c>
    </row>
    <row r="235" spans="1:12" x14ac:dyDescent="0.25">
      <c r="A235" t="s">
        <v>482</v>
      </c>
      <c r="B235" t="s">
        <v>488</v>
      </c>
      <c r="C235" t="s">
        <v>487</v>
      </c>
      <c r="D235">
        <v>2</v>
      </c>
      <c r="E235">
        <v>8</v>
      </c>
      <c r="F235">
        <v>340</v>
      </c>
      <c r="G235">
        <v>14.5</v>
      </c>
      <c r="H235">
        <v>20</v>
      </c>
      <c r="I235">
        <v>11.1</v>
      </c>
      <c r="J235">
        <v>12</v>
      </c>
      <c r="K235">
        <v>20</v>
      </c>
      <c r="L235">
        <v>95</v>
      </c>
    </row>
    <row r="236" spans="1:12" x14ac:dyDescent="0.25">
      <c r="A236" t="s">
        <v>482</v>
      </c>
      <c r="B236" t="s">
        <v>488</v>
      </c>
      <c r="C236" t="s">
        <v>487</v>
      </c>
      <c r="D236">
        <v>2</v>
      </c>
      <c r="E236">
        <v>8</v>
      </c>
      <c r="F236">
        <v>360</v>
      </c>
      <c r="G236">
        <v>14.5</v>
      </c>
      <c r="H236">
        <v>20</v>
      </c>
      <c r="I236">
        <v>11.1</v>
      </c>
      <c r="J236">
        <v>12</v>
      </c>
      <c r="K236">
        <v>20</v>
      </c>
      <c r="L236">
        <v>95</v>
      </c>
    </row>
    <row r="237" spans="1:12" x14ac:dyDescent="0.25">
      <c r="A237" t="s">
        <v>482</v>
      </c>
      <c r="B237" t="s">
        <v>488</v>
      </c>
      <c r="C237" t="s">
        <v>487</v>
      </c>
      <c r="D237">
        <v>2</v>
      </c>
      <c r="E237">
        <v>8</v>
      </c>
      <c r="F237">
        <v>380</v>
      </c>
      <c r="G237">
        <v>14.5</v>
      </c>
      <c r="H237">
        <v>20</v>
      </c>
      <c r="I237">
        <v>11.1</v>
      </c>
      <c r="J237">
        <v>12</v>
      </c>
      <c r="K237">
        <v>20</v>
      </c>
      <c r="L237">
        <v>95</v>
      </c>
    </row>
    <row r="238" spans="1:12" x14ac:dyDescent="0.25">
      <c r="A238" t="s">
        <v>482</v>
      </c>
      <c r="B238" t="s">
        <v>488</v>
      </c>
      <c r="C238" t="s">
        <v>487</v>
      </c>
      <c r="D238">
        <v>2</v>
      </c>
      <c r="E238">
        <v>8</v>
      </c>
      <c r="F238">
        <v>400</v>
      </c>
      <c r="G238">
        <v>14.5</v>
      </c>
      <c r="H238">
        <v>20</v>
      </c>
      <c r="I238">
        <v>11.1</v>
      </c>
      <c r="J238">
        <v>12</v>
      </c>
      <c r="K238">
        <v>20</v>
      </c>
      <c r="L238">
        <v>95</v>
      </c>
    </row>
    <row r="239" spans="1:12" x14ac:dyDescent="0.25">
      <c r="A239" t="s">
        <v>482</v>
      </c>
      <c r="B239" t="s">
        <v>488</v>
      </c>
      <c r="C239" t="s">
        <v>487</v>
      </c>
      <c r="D239">
        <v>2</v>
      </c>
      <c r="E239">
        <v>8</v>
      </c>
      <c r="F239">
        <v>420</v>
      </c>
      <c r="G239">
        <v>14.5</v>
      </c>
      <c r="H239">
        <v>20</v>
      </c>
      <c r="I239">
        <v>11.1</v>
      </c>
      <c r="J239">
        <v>12</v>
      </c>
      <c r="K239">
        <v>20</v>
      </c>
      <c r="L239">
        <v>95</v>
      </c>
    </row>
    <row r="240" spans="1:12" x14ac:dyDescent="0.25">
      <c r="A240" t="s">
        <v>482</v>
      </c>
      <c r="B240" t="s">
        <v>488</v>
      </c>
      <c r="C240" t="s">
        <v>487</v>
      </c>
      <c r="D240">
        <v>2</v>
      </c>
      <c r="E240">
        <v>8</v>
      </c>
      <c r="F240">
        <v>440</v>
      </c>
      <c r="G240">
        <v>14.5</v>
      </c>
      <c r="H240">
        <v>20</v>
      </c>
      <c r="I240">
        <v>11.1</v>
      </c>
      <c r="J240">
        <v>12</v>
      </c>
      <c r="K240">
        <v>20</v>
      </c>
      <c r="L240">
        <v>95</v>
      </c>
    </row>
    <row r="241" spans="1:12" x14ac:dyDescent="0.25">
      <c r="A241" t="s">
        <v>482</v>
      </c>
      <c r="B241" t="s">
        <v>488</v>
      </c>
      <c r="C241" t="s">
        <v>487</v>
      </c>
      <c r="D241">
        <v>2</v>
      </c>
      <c r="E241">
        <v>8</v>
      </c>
      <c r="F241">
        <v>460</v>
      </c>
      <c r="G241">
        <v>14.5</v>
      </c>
      <c r="H241">
        <v>20</v>
      </c>
      <c r="I241">
        <v>11.1</v>
      </c>
      <c r="J241">
        <v>12</v>
      </c>
      <c r="K241">
        <v>20</v>
      </c>
      <c r="L241">
        <v>95</v>
      </c>
    </row>
    <row r="242" spans="1:12" x14ac:dyDescent="0.25">
      <c r="A242" t="s">
        <v>482</v>
      </c>
      <c r="B242" t="s">
        <v>488</v>
      </c>
      <c r="C242" t="s">
        <v>487</v>
      </c>
      <c r="D242">
        <v>2</v>
      </c>
      <c r="E242">
        <v>8</v>
      </c>
      <c r="F242">
        <v>480</v>
      </c>
      <c r="G242">
        <v>14.5</v>
      </c>
      <c r="H242">
        <v>20</v>
      </c>
      <c r="I242">
        <v>11.1</v>
      </c>
      <c r="J242">
        <v>12</v>
      </c>
      <c r="K242">
        <v>20</v>
      </c>
      <c r="L242">
        <v>95</v>
      </c>
    </row>
    <row r="243" spans="1:12" x14ac:dyDescent="0.25">
      <c r="A243" t="s">
        <v>482</v>
      </c>
      <c r="B243" t="s">
        <v>488</v>
      </c>
      <c r="C243" t="s">
        <v>487</v>
      </c>
      <c r="D243">
        <v>2</v>
      </c>
      <c r="E243">
        <v>8</v>
      </c>
      <c r="F243">
        <v>500</v>
      </c>
      <c r="G243">
        <v>14.5</v>
      </c>
      <c r="H243">
        <v>20</v>
      </c>
      <c r="I243">
        <v>11.1</v>
      </c>
      <c r="J243">
        <v>12</v>
      </c>
      <c r="K243">
        <v>20</v>
      </c>
      <c r="L243">
        <v>95</v>
      </c>
    </row>
    <row r="244" spans="1:12" x14ac:dyDescent="0.25">
      <c r="A244" t="s">
        <v>482</v>
      </c>
      <c r="B244" t="s">
        <v>488</v>
      </c>
      <c r="C244" t="s">
        <v>487</v>
      </c>
      <c r="D244">
        <v>2</v>
      </c>
      <c r="E244">
        <v>8</v>
      </c>
      <c r="F244">
        <v>550</v>
      </c>
      <c r="G244">
        <v>14.5</v>
      </c>
      <c r="H244">
        <v>20</v>
      </c>
      <c r="I244">
        <v>11.1</v>
      </c>
      <c r="J244">
        <v>12</v>
      </c>
      <c r="K244">
        <v>20</v>
      </c>
      <c r="L244">
        <v>95</v>
      </c>
    </row>
    <row r="245" spans="1:12" x14ac:dyDescent="0.25">
      <c r="A245" t="s">
        <v>482</v>
      </c>
      <c r="B245" t="s">
        <v>488</v>
      </c>
      <c r="C245" t="s">
        <v>487</v>
      </c>
      <c r="D245">
        <v>2</v>
      </c>
      <c r="E245">
        <v>8</v>
      </c>
      <c r="F245">
        <v>600</v>
      </c>
      <c r="G245">
        <v>14.5</v>
      </c>
      <c r="H245">
        <v>20</v>
      </c>
      <c r="I245">
        <v>11.1</v>
      </c>
      <c r="J245">
        <v>12</v>
      </c>
      <c r="K245">
        <v>20</v>
      </c>
      <c r="L245">
        <v>95</v>
      </c>
    </row>
    <row r="246" spans="1:12" x14ac:dyDescent="0.25">
      <c r="A246" t="s">
        <v>482</v>
      </c>
      <c r="B246" t="s">
        <v>488</v>
      </c>
      <c r="C246" t="s">
        <v>487</v>
      </c>
      <c r="D246">
        <v>2</v>
      </c>
      <c r="E246">
        <v>10</v>
      </c>
      <c r="F246">
        <v>100</v>
      </c>
      <c r="G246">
        <v>17.8</v>
      </c>
      <c r="H246">
        <v>35.799999999999997</v>
      </c>
      <c r="I246">
        <v>10.8</v>
      </c>
      <c r="J246">
        <v>12</v>
      </c>
      <c r="K246">
        <v>28</v>
      </c>
      <c r="L246">
        <v>60</v>
      </c>
    </row>
    <row r="247" spans="1:12" x14ac:dyDescent="0.25">
      <c r="A247" t="s">
        <v>482</v>
      </c>
      <c r="B247" t="s">
        <v>488</v>
      </c>
      <c r="C247" t="s">
        <v>487</v>
      </c>
      <c r="D247">
        <v>2</v>
      </c>
      <c r="E247">
        <v>10</v>
      </c>
      <c r="F247">
        <v>120</v>
      </c>
      <c r="G247">
        <v>17.8</v>
      </c>
      <c r="H247">
        <v>35.799999999999997</v>
      </c>
      <c r="I247">
        <v>10.8</v>
      </c>
      <c r="J247">
        <v>12</v>
      </c>
      <c r="K247">
        <v>28</v>
      </c>
      <c r="L247">
        <v>70</v>
      </c>
    </row>
    <row r="248" spans="1:12" x14ac:dyDescent="0.25">
      <c r="A248" t="s">
        <v>482</v>
      </c>
      <c r="B248" t="s">
        <v>488</v>
      </c>
      <c r="C248" t="s">
        <v>487</v>
      </c>
      <c r="D248">
        <v>2</v>
      </c>
      <c r="E248">
        <v>10</v>
      </c>
      <c r="F248">
        <v>140</v>
      </c>
      <c r="G248">
        <v>17.8</v>
      </c>
      <c r="H248">
        <v>35.799999999999997</v>
      </c>
      <c r="I248">
        <v>10.8</v>
      </c>
      <c r="J248">
        <v>12</v>
      </c>
      <c r="K248">
        <v>28</v>
      </c>
      <c r="L248">
        <v>100</v>
      </c>
    </row>
    <row r="249" spans="1:12" x14ac:dyDescent="0.25">
      <c r="A249" t="s">
        <v>482</v>
      </c>
      <c r="B249" t="s">
        <v>488</v>
      </c>
      <c r="C249" t="s">
        <v>487</v>
      </c>
      <c r="D249">
        <v>2</v>
      </c>
      <c r="E249">
        <v>10</v>
      </c>
      <c r="F249">
        <v>160</v>
      </c>
      <c r="G249">
        <v>17.8</v>
      </c>
      <c r="H249">
        <v>35.799999999999997</v>
      </c>
      <c r="I249">
        <v>10.8</v>
      </c>
      <c r="J249">
        <v>12</v>
      </c>
      <c r="K249">
        <v>28</v>
      </c>
      <c r="L249">
        <v>100</v>
      </c>
    </row>
    <row r="250" spans="1:12" x14ac:dyDescent="0.25">
      <c r="A250" t="s">
        <v>482</v>
      </c>
      <c r="B250" t="s">
        <v>488</v>
      </c>
      <c r="C250" t="s">
        <v>487</v>
      </c>
      <c r="D250">
        <v>2</v>
      </c>
      <c r="E250">
        <v>10</v>
      </c>
      <c r="F250">
        <v>180</v>
      </c>
      <c r="G250">
        <v>17.8</v>
      </c>
      <c r="H250">
        <v>35.799999999999997</v>
      </c>
      <c r="I250">
        <v>10.8</v>
      </c>
      <c r="J250">
        <v>12</v>
      </c>
      <c r="K250">
        <v>28</v>
      </c>
      <c r="L250">
        <v>100</v>
      </c>
    </row>
    <row r="251" spans="1:12" x14ac:dyDescent="0.25">
      <c r="A251" t="s">
        <v>482</v>
      </c>
      <c r="B251" t="s">
        <v>488</v>
      </c>
      <c r="C251" t="s">
        <v>487</v>
      </c>
      <c r="D251">
        <v>2</v>
      </c>
      <c r="E251">
        <v>10</v>
      </c>
      <c r="F251">
        <v>200</v>
      </c>
      <c r="G251">
        <v>17.8</v>
      </c>
      <c r="H251">
        <v>35.799999999999997</v>
      </c>
      <c r="I251">
        <v>10.8</v>
      </c>
      <c r="J251">
        <v>12</v>
      </c>
      <c r="K251">
        <v>28</v>
      </c>
      <c r="L251">
        <v>100</v>
      </c>
    </row>
    <row r="252" spans="1:12" x14ac:dyDescent="0.25">
      <c r="A252" t="s">
        <v>482</v>
      </c>
      <c r="B252" t="s">
        <v>488</v>
      </c>
      <c r="C252" t="s">
        <v>487</v>
      </c>
      <c r="D252">
        <v>2</v>
      </c>
      <c r="E252">
        <v>10</v>
      </c>
      <c r="F252">
        <v>220</v>
      </c>
      <c r="G252">
        <v>17.8</v>
      </c>
      <c r="H252">
        <v>35.799999999999997</v>
      </c>
      <c r="I252">
        <v>10.8</v>
      </c>
      <c r="J252">
        <v>12</v>
      </c>
      <c r="K252">
        <v>28</v>
      </c>
      <c r="L252">
        <v>100</v>
      </c>
    </row>
    <row r="253" spans="1:12" x14ac:dyDescent="0.25">
      <c r="A253" t="s">
        <v>482</v>
      </c>
      <c r="B253" t="s">
        <v>488</v>
      </c>
      <c r="C253" t="s">
        <v>487</v>
      </c>
      <c r="D253">
        <v>2</v>
      </c>
      <c r="E253">
        <v>10</v>
      </c>
      <c r="F253">
        <v>240</v>
      </c>
      <c r="G253">
        <v>17.8</v>
      </c>
      <c r="H253">
        <v>35.799999999999997</v>
      </c>
      <c r="I253">
        <v>10.8</v>
      </c>
      <c r="J253">
        <v>12</v>
      </c>
      <c r="K253">
        <v>28</v>
      </c>
      <c r="L253">
        <v>100</v>
      </c>
    </row>
    <row r="254" spans="1:12" x14ac:dyDescent="0.25">
      <c r="A254" t="s">
        <v>482</v>
      </c>
      <c r="B254" t="s">
        <v>488</v>
      </c>
      <c r="C254" t="s">
        <v>487</v>
      </c>
      <c r="D254">
        <v>2</v>
      </c>
      <c r="E254">
        <v>10</v>
      </c>
      <c r="F254">
        <v>260</v>
      </c>
      <c r="G254">
        <v>17.8</v>
      </c>
      <c r="H254">
        <v>35.799999999999997</v>
      </c>
      <c r="I254">
        <v>10.8</v>
      </c>
      <c r="J254">
        <v>12</v>
      </c>
      <c r="K254">
        <v>28</v>
      </c>
      <c r="L254">
        <v>100</v>
      </c>
    </row>
    <row r="255" spans="1:12" x14ac:dyDescent="0.25">
      <c r="A255" t="s">
        <v>482</v>
      </c>
      <c r="B255" t="s">
        <v>488</v>
      </c>
      <c r="C255" t="s">
        <v>487</v>
      </c>
      <c r="D255">
        <v>2</v>
      </c>
      <c r="E255">
        <v>10</v>
      </c>
      <c r="F255">
        <v>280</v>
      </c>
      <c r="G255">
        <v>17.8</v>
      </c>
      <c r="H255">
        <v>35.799999999999997</v>
      </c>
      <c r="I255">
        <v>10.8</v>
      </c>
      <c r="J255">
        <v>12</v>
      </c>
      <c r="K255">
        <v>28</v>
      </c>
      <c r="L255">
        <v>100</v>
      </c>
    </row>
    <row r="256" spans="1:12" x14ac:dyDescent="0.25">
      <c r="A256" t="s">
        <v>482</v>
      </c>
      <c r="B256" t="s">
        <v>488</v>
      </c>
      <c r="C256" t="s">
        <v>487</v>
      </c>
      <c r="D256">
        <v>2</v>
      </c>
      <c r="E256">
        <v>10</v>
      </c>
      <c r="F256">
        <v>300</v>
      </c>
      <c r="G256">
        <v>17.8</v>
      </c>
      <c r="H256">
        <v>35.799999999999997</v>
      </c>
      <c r="I256">
        <v>10.8</v>
      </c>
      <c r="J256">
        <v>12</v>
      </c>
      <c r="K256">
        <v>28</v>
      </c>
      <c r="L256">
        <v>100</v>
      </c>
    </row>
    <row r="257" spans="1:12" x14ac:dyDescent="0.25">
      <c r="A257" t="s">
        <v>482</v>
      </c>
      <c r="B257" t="s">
        <v>488</v>
      </c>
      <c r="C257" t="s">
        <v>487</v>
      </c>
      <c r="D257">
        <v>2</v>
      </c>
      <c r="E257">
        <v>10</v>
      </c>
      <c r="F257">
        <v>320</v>
      </c>
      <c r="G257">
        <v>17.8</v>
      </c>
      <c r="H257">
        <v>35.799999999999997</v>
      </c>
      <c r="I257">
        <v>10.8</v>
      </c>
      <c r="J257">
        <v>12</v>
      </c>
      <c r="K257">
        <v>28</v>
      </c>
      <c r="L257">
        <v>100</v>
      </c>
    </row>
    <row r="258" spans="1:12" x14ac:dyDescent="0.25">
      <c r="A258" t="s">
        <v>482</v>
      </c>
      <c r="B258" t="s">
        <v>488</v>
      </c>
      <c r="C258" t="s">
        <v>487</v>
      </c>
      <c r="D258">
        <v>2</v>
      </c>
      <c r="E258">
        <v>10</v>
      </c>
      <c r="F258">
        <v>340</v>
      </c>
      <c r="G258">
        <v>17.8</v>
      </c>
      <c r="H258">
        <v>35.799999999999997</v>
      </c>
      <c r="I258">
        <v>10.8</v>
      </c>
      <c r="J258">
        <v>12</v>
      </c>
      <c r="K258">
        <v>28</v>
      </c>
      <c r="L258">
        <v>100</v>
      </c>
    </row>
    <row r="259" spans="1:12" x14ac:dyDescent="0.25">
      <c r="A259" t="s">
        <v>482</v>
      </c>
      <c r="B259" t="s">
        <v>488</v>
      </c>
      <c r="C259" t="s">
        <v>487</v>
      </c>
      <c r="D259">
        <v>2</v>
      </c>
      <c r="E259">
        <v>10</v>
      </c>
      <c r="F259">
        <v>360</v>
      </c>
      <c r="G259">
        <v>17.8</v>
      </c>
      <c r="H259">
        <v>35.799999999999997</v>
      </c>
      <c r="I259">
        <v>10.8</v>
      </c>
      <c r="J259">
        <v>12</v>
      </c>
      <c r="K259">
        <v>28</v>
      </c>
      <c r="L259">
        <v>100</v>
      </c>
    </row>
    <row r="260" spans="1:12" x14ac:dyDescent="0.25">
      <c r="A260" t="s">
        <v>482</v>
      </c>
      <c r="B260" t="s">
        <v>488</v>
      </c>
      <c r="C260" t="s">
        <v>487</v>
      </c>
      <c r="D260">
        <v>2</v>
      </c>
      <c r="E260">
        <v>10</v>
      </c>
      <c r="F260">
        <v>380</v>
      </c>
      <c r="G260">
        <v>17.8</v>
      </c>
      <c r="H260">
        <v>35.799999999999997</v>
      </c>
      <c r="I260">
        <v>10.8</v>
      </c>
      <c r="J260">
        <v>12</v>
      </c>
      <c r="K260">
        <v>28</v>
      </c>
      <c r="L260">
        <v>100</v>
      </c>
    </row>
    <row r="261" spans="1:12" x14ac:dyDescent="0.25">
      <c r="A261" t="s">
        <v>482</v>
      </c>
      <c r="B261" t="s">
        <v>488</v>
      </c>
      <c r="C261" t="s">
        <v>487</v>
      </c>
      <c r="D261">
        <v>2</v>
      </c>
      <c r="E261">
        <v>10</v>
      </c>
      <c r="F261">
        <v>400</v>
      </c>
      <c r="G261">
        <v>17.8</v>
      </c>
      <c r="H261">
        <v>35.799999999999997</v>
      </c>
      <c r="I261">
        <v>10.8</v>
      </c>
      <c r="J261">
        <v>12</v>
      </c>
      <c r="K261">
        <v>28</v>
      </c>
      <c r="L261">
        <v>100</v>
      </c>
    </row>
    <row r="262" spans="1:12" x14ac:dyDescent="0.25">
      <c r="A262" t="s">
        <v>482</v>
      </c>
      <c r="B262" t="s">
        <v>489</v>
      </c>
      <c r="C262" t="s">
        <v>490</v>
      </c>
      <c r="D262">
        <v>2</v>
      </c>
      <c r="E262">
        <v>4</v>
      </c>
      <c r="F262">
        <v>40</v>
      </c>
      <c r="G262">
        <v>10</v>
      </c>
      <c r="H262">
        <v>3.3</v>
      </c>
      <c r="I262">
        <v>12.9</v>
      </c>
      <c r="J262">
        <v>12</v>
      </c>
      <c r="K262">
        <v>5</v>
      </c>
      <c r="L262">
        <v>24</v>
      </c>
    </row>
    <row r="263" spans="1:12" x14ac:dyDescent="0.25">
      <c r="A263" t="s">
        <v>482</v>
      </c>
      <c r="B263" t="s">
        <v>489</v>
      </c>
      <c r="C263" t="s">
        <v>490</v>
      </c>
      <c r="D263">
        <v>2</v>
      </c>
      <c r="E263">
        <v>4</v>
      </c>
      <c r="F263">
        <v>50</v>
      </c>
      <c r="G263">
        <v>10</v>
      </c>
      <c r="H263">
        <v>3.3</v>
      </c>
      <c r="I263">
        <v>12.9</v>
      </c>
      <c r="J263">
        <v>12</v>
      </c>
      <c r="K263">
        <v>5</v>
      </c>
      <c r="L263">
        <v>30</v>
      </c>
    </row>
    <row r="264" spans="1:12" x14ac:dyDescent="0.25">
      <c r="A264" t="s">
        <v>482</v>
      </c>
      <c r="B264" t="s">
        <v>489</v>
      </c>
      <c r="C264" t="s">
        <v>490</v>
      </c>
      <c r="D264">
        <v>2</v>
      </c>
      <c r="E264">
        <v>4</v>
      </c>
      <c r="F264">
        <v>60</v>
      </c>
      <c r="G264">
        <v>10</v>
      </c>
      <c r="H264">
        <v>3.3</v>
      </c>
      <c r="I264">
        <v>12.9</v>
      </c>
      <c r="J264">
        <v>12</v>
      </c>
      <c r="K264">
        <v>5</v>
      </c>
      <c r="L264">
        <v>36</v>
      </c>
    </row>
    <row r="265" spans="1:12" x14ac:dyDescent="0.25">
      <c r="A265" t="s">
        <v>482</v>
      </c>
      <c r="B265" t="s">
        <v>489</v>
      </c>
      <c r="C265" t="s">
        <v>490</v>
      </c>
      <c r="D265">
        <v>2</v>
      </c>
      <c r="E265">
        <v>4.5</v>
      </c>
      <c r="F265">
        <v>50</v>
      </c>
      <c r="G265">
        <v>11</v>
      </c>
      <c r="H265">
        <v>4.5</v>
      </c>
      <c r="I265">
        <v>12.5</v>
      </c>
      <c r="J265">
        <v>12</v>
      </c>
      <c r="K265">
        <v>6.4</v>
      </c>
      <c r="L265">
        <v>30</v>
      </c>
    </row>
    <row r="266" spans="1:12" x14ac:dyDescent="0.25">
      <c r="A266" t="s">
        <v>482</v>
      </c>
      <c r="B266" t="s">
        <v>489</v>
      </c>
      <c r="C266" t="s">
        <v>490</v>
      </c>
      <c r="D266">
        <v>2</v>
      </c>
      <c r="E266">
        <v>4.5</v>
      </c>
      <c r="F266">
        <v>60</v>
      </c>
      <c r="G266">
        <v>11</v>
      </c>
      <c r="H266">
        <v>4.5</v>
      </c>
      <c r="I266">
        <v>12.5</v>
      </c>
      <c r="J266">
        <v>12</v>
      </c>
      <c r="K266">
        <v>6.4</v>
      </c>
      <c r="L266">
        <v>36</v>
      </c>
    </row>
    <row r="267" spans="1:12" x14ac:dyDescent="0.25">
      <c r="A267" t="s">
        <v>482</v>
      </c>
      <c r="B267" t="s">
        <v>489</v>
      </c>
      <c r="C267" t="s">
        <v>490</v>
      </c>
      <c r="D267">
        <v>2</v>
      </c>
      <c r="E267">
        <v>4.5</v>
      </c>
      <c r="F267">
        <v>70</v>
      </c>
      <c r="G267">
        <v>11</v>
      </c>
      <c r="H267">
        <v>4.5</v>
      </c>
      <c r="I267">
        <v>12.5</v>
      </c>
      <c r="J267">
        <v>12</v>
      </c>
      <c r="K267">
        <v>6.4</v>
      </c>
      <c r="L267">
        <v>42</v>
      </c>
    </row>
    <row r="268" spans="1:12" x14ac:dyDescent="0.25">
      <c r="A268" t="s">
        <v>482</v>
      </c>
      <c r="B268" t="s">
        <v>489</v>
      </c>
      <c r="C268" t="s">
        <v>490</v>
      </c>
      <c r="D268">
        <v>2</v>
      </c>
      <c r="E268">
        <v>5</v>
      </c>
      <c r="F268">
        <v>50</v>
      </c>
      <c r="G268">
        <v>12</v>
      </c>
      <c r="H268">
        <v>5.9</v>
      </c>
      <c r="I268">
        <v>12.1</v>
      </c>
      <c r="J268">
        <v>12</v>
      </c>
      <c r="K268">
        <v>7.9</v>
      </c>
      <c r="L268">
        <v>30</v>
      </c>
    </row>
    <row r="269" spans="1:12" x14ac:dyDescent="0.25">
      <c r="A269" t="s">
        <v>482</v>
      </c>
      <c r="B269" t="s">
        <v>489</v>
      </c>
      <c r="C269" t="s">
        <v>490</v>
      </c>
      <c r="D269">
        <v>2</v>
      </c>
      <c r="E269">
        <v>5</v>
      </c>
      <c r="F269">
        <v>60</v>
      </c>
      <c r="G269">
        <v>12</v>
      </c>
      <c r="H269">
        <v>5.9</v>
      </c>
      <c r="I269">
        <v>12.1</v>
      </c>
      <c r="J269">
        <v>12</v>
      </c>
      <c r="K269">
        <v>7.9</v>
      </c>
      <c r="L269">
        <v>36</v>
      </c>
    </row>
    <row r="270" spans="1:12" x14ac:dyDescent="0.25">
      <c r="A270" t="s">
        <v>482</v>
      </c>
      <c r="B270" t="s">
        <v>489</v>
      </c>
      <c r="C270" t="s">
        <v>490</v>
      </c>
      <c r="D270">
        <v>2</v>
      </c>
      <c r="E270">
        <v>5</v>
      </c>
      <c r="F270">
        <v>70</v>
      </c>
      <c r="G270">
        <v>12</v>
      </c>
      <c r="H270">
        <v>5.9</v>
      </c>
      <c r="I270">
        <v>12.1</v>
      </c>
      <c r="J270">
        <v>12</v>
      </c>
      <c r="K270">
        <v>7.9</v>
      </c>
      <c r="L270">
        <v>42</v>
      </c>
    </row>
    <row r="271" spans="1:12" x14ac:dyDescent="0.25">
      <c r="A271" t="s">
        <v>482</v>
      </c>
      <c r="B271" t="s">
        <v>489</v>
      </c>
      <c r="C271" t="s">
        <v>490</v>
      </c>
      <c r="D271">
        <v>2</v>
      </c>
      <c r="E271">
        <v>5</v>
      </c>
      <c r="F271">
        <v>80</v>
      </c>
      <c r="G271">
        <v>12</v>
      </c>
      <c r="H271">
        <v>5.9</v>
      </c>
      <c r="I271">
        <v>12.1</v>
      </c>
      <c r="J271">
        <v>12</v>
      </c>
      <c r="K271">
        <v>7.9</v>
      </c>
      <c r="L271">
        <v>48</v>
      </c>
    </row>
    <row r="272" spans="1:12" x14ac:dyDescent="0.25">
      <c r="A272" t="s">
        <v>482</v>
      </c>
      <c r="B272" t="s">
        <v>489</v>
      </c>
      <c r="C272" t="s">
        <v>490</v>
      </c>
      <c r="D272">
        <v>2</v>
      </c>
      <c r="E272">
        <v>5</v>
      </c>
      <c r="F272">
        <v>100</v>
      </c>
      <c r="G272">
        <v>12</v>
      </c>
      <c r="H272">
        <v>5.9</v>
      </c>
      <c r="I272">
        <v>12.1</v>
      </c>
      <c r="J272">
        <v>12</v>
      </c>
      <c r="K272">
        <v>7.9</v>
      </c>
      <c r="L272">
        <v>60</v>
      </c>
    </row>
    <row r="273" spans="1:12" x14ac:dyDescent="0.25">
      <c r="A273" t="s">
        <v>482</v>
      </c>
      <c r="B273" t="s">
        <v>489</v>
      </c>
      <c r="C273" t="s">
        <v>490</v>
      </c>
      <c r="D273">
        <v>2</v>
      </c>
      <c r="E273">
        <v>6</v>
      </c>
      <c r="F273">
        <v>30</v>
      </c>
      <c r="G273">
        <v>14</v>
      </c>
      <c r="H273">
        <v>9.5</v>
      </c>
      <c r="I273">
        <v>11.4</v>
      </c>
      <c r="J273">
        <v>12</v>
      </c>
      <c r="K273">
        <v>11</v>
      </c>
      <c r="L273">
        <v>30</v>
      </c>
    </row>
    <row r="274" spans="1:12" x14ac:dyDescent="0.25">
      <c r="A274" t="s">
        <v>482</v>
      </c>
      <c r="B274" t="s">
        <v>489</v>
      </c>
      <c r="C274" t="s">
        <v>490</v>
      </c>
      <c r="D274">
        <v>2</v>
      </c>
      <c r="E274">
        <v>6</v>
      </c>
      <c r="F274">
        <v>40</v>
      </c>
      <c r="G274">
        <v>14</v>
      </c>
      <c r="H274">
        <v>9.5</v>
      </c>
      <c r="I274">
        <v>11.4</v>
      </c>
      <c r="J274">
        <v>12</v>
      </c>
      <c r="K274">
        <v>11</v>
      </c>
      <c r="L274">
        <v>40</v>
      </c>
    </row>
    <row r="275" spans="1:12" x14ac:dyDescent="0.25">
      <c r="A275" t="s">
        <v>482</v>
      </c>
      <c r="B275" t="s">
        <v>489</v>
      </c>
      <c r="C275" t="s">
        <v>490</v>
      </c>
      <c r="D275">
        <v>2</v>
      </c>
      <c r="E275">
        <v>6</v>
      </c>
      <c r="F275">
        <v>50</v>
      </c>
      <c r="G275">
        <v>14</v>
      </c>
      <c r="H275">
        <v>9.5</v>
      </c>
      <c r="I275">
        <v>11.4</v>
      </c>
      <c r="J275">
        <v>12</v>
      </c>
      <c r="K275">
        <v>11</v>
      </c>
      <c r="L275">
        <v>30</v>
      </c>
    </row>
    <row r="276" spans="1:12" x14ac:dyDescent="0.25">
      <c r="A276" t="s">
        <v>482</v>
      </c>
      <c r="B276" t="s">
        <v>489</v>
      </c>
      <c r="C276" t="s">
        <v>490</v>
      </c>
      <c r="D276">
        <v>2</v>
      </c>
      <c r="E276">
        <v>6</v>
      </c>
      <c r="F276">
        <v>60</v>
      </c>
      <c r="G276">
        <v>14</v>
      </c>
      <c r="H276">
        <v>9.5</v>
      </c>
      <c r="I276">
        <v>11.4</v>
      </c>
      <c r="J276">
        <v>12</v>
      </c>
      <c r="K276">
        <v>11</v>
      </c>
      <c r="L276">
        <v>36</v>
      </c>
    </row>
    <row r="277" spans="1:12" x14ac:dyDescent="0.25">
      <c r="A277" t="s">
        <v>482</v>
      </c>
      <c r="B277" t="s">
        <v>489</v>
      </c>
      <c r="C277" t="s">
        <v>490</v>
      </c>
      <c r="D277">
        <v>2</v>
      </c>
      <c r="E277">
        <v>6</v>
      </c>
      <c r="F277">
        <v>70</v>
      </c>
      <c r="G277">
        <v>14</v>
      </c>
      <c r="H277">
        <v>9.5</v>
      </c>
      <c r="I277">
        <v>11.4</v>
      </c>
      <c r="J277">
        <v>12</v>
      </c>
      <c r="K277">
        <v>11</v>
      </c>
      <c r="L277">
        <v>42</v>
      </c>
    </row>
    <row r="278" spans="1:12" x14ac:dyDescent="0.25">
      <c r="A278" t="s">
        <v>482</v>
      </c>
      <c r="B278" t="s">
        <v>489</v>
      </c>
      <c r="C278" t="s">
        <v>490</v>
      </c>
      <c r="D278">
        <v>2</v>
      </c>
      <c r="E278">
        <v>6</v>
      </c>
      <c r="F278">
        <v>80</v>
      </c>
      <c r="G278">
        <v>14</v>
      </c>
      <c r="H278">
        <v>9.5</v>
      </c>
      <c r="I278">
        <v>11.4</v>
      </c>
      <c r="J278">
        <v>12</v>
      </c>
      <c r="K278">
        <v>11</v>
      </c>
      <c r="L278">
        <v>48</v>
      </c>
    </row>
    <row r="279" spans="1:12" x14ac:dyDescent="0.25">
      <c r="A279" t="s">
        <v>482</v>
      </c>
      <c r="B279" t="s">
        <v>489</v>
      </c>
      <c r="C279" t="s">
        <v>490</v>
      </c>
      <c r="D279">
        <v>2</v>
      </c>
      <c r="E279">
        <v>6</v>
      </c>
      <c r="F279">
        <v>90</v>
      </c>
      <c r="G279">
        <v>14</v>
      </c>
      <c r="H279">
        <v>9.5</v>
      </c>
      <c r="I279">
        <v>11.4</v>
      </c>
      <c r="J279">
        <v>12</v>
      </c>
      <c r="K279">
        <v>11</v>
      </c>
      <c r="L279">
        <v>54</v>
      </c>
    </row>
    <row r="280" spans="1:12" x14ac:dyDescent="0.25">
      <c r="A280" t="s">
        <v>482</v>
      </c>
      <c r="B280" t="s">
        <v>489</v>
      </c>
      <c r="C280" t="s">
        <v>490</v>
      </c>
      <c r="D280">
        <v>2</v>
      </c>
      <c r="E280">
        <v>6</v>
      </c>
      <c r="F280">
        <v>100</v>
      </c>
      <c r="G280">
        <v>14</v>
      </c>
      <c r="H280">
        <v>9.5</v>
      </c>
      <c r="I280">
        <v>11.4</v>
      </c>
      <c r="J280">
        <v>12</v>
      </c>
      <c r="K280">
        <v>11</v>
      </c>
      <c r="L280">
        <v>60</v>
      </c>
    </row>
    <row r="281" spans="1:12" x14ac:dyDescent="0.25">
      <c r="A281" t="s">
        <v>482</v>
      </c>
      <c r="B281" t="s">
        <v>489</v>
      </c>
      <c r="C281" t="s">
        <v>490</v>
      </c>
      <c r="D281">
        <v>2</v>
      </c>
      <c r="E281">
        <v>6</v>
      </c>
      <c r="F281">
        <v>110</v>
      </c>
      <c r="G281">
        <v>14</v>
      </c>
      <c r="H281">
        <v>9.5</v>
      </c>
      <c r="I281">
        <v>11.4</v>
      </c>
      <c r="J281">
        <v>12</v>
      </c>
      <c r="K281">
        <v>11</v>
      </c>
      <c r="L281">
        <v>70</v>
      </c>
    </row>
    <row r="282" spans="1:12" x14ac:dyDescent="0.25">
      <c r="A282" t="s">
        <v>482</v>
      </c>
      <c r="B282" t="s">
        <v>489</v>
      </c>
      <c r="C282" t="s">
        <v>490</v>
      </c>
      <c r="D282">
        <v>2</v>
      </c>
      <c r="E282">
        <v>6</v>
      </c>
      <c r="F282">
        <v>120</v>
      </c>
      <c r="G282">
        <v>14</v>
      </c>
      <c r="H282">
        <v>9.5</v>
      </c>
      <c r="I282">
        <v>11.4</v>
      </c>
      <c r="J282">
        <v>12</v>
      </c>
      <c r="K282">
        <v>11</v>
      </c>
      <c r="L282">
        <v>70</v>
      </c>
    </row>
    <row r="283" spans="1:12" x14ac:dyDescent="0.25">
      <c r="A283" t="s">
        <v>482</v>
      </c>
      <c r="B283" t="s">
        <v>489</v>
      </c>
      <c r="C283" t="s">
        <v>490</v>
      </c>
      <c r="D283">
        <v>2</v>
      </c>
      <c r="E283">
        <v>6</v>
      </c>
      <c r="F283">
        <v>130</v>
      </c>
      <c r="G283">
        <v>14</v>
      </c>
      <c r="H283">
        <v>9.5</v>
      </c>
      <c r="I283">
        <v>11.4</v>
      </c>
      <c r="J283">
        <v>12</v>
      </c>
      <c r="K283">
        <v>11</v>
      </c>
      <c r="L283">
        <v>70</v>
      </c>
    </row>
    <row r="284" spans="1:12" x14ac:dyDescent="0.25">
      <c r="A284" t="s">
        <v>482</v>
      </c>
      <c r="B284" t="s">
        <v>489</v>
      </c>
      <c r="C284" t="s">
        <v>490</v>
      </c>
      <c r="D284">
        <v>2</v>
      </c>
      <c r="E284">
        <v>6</v>
      </c>
      <c r="F284">
        <v>140</v>
      </c>
      <c r="G284">
        <v>14</v>
      </c>
      <c r="H284">
        <v>9.5</v>
      </c>
      <c r="I284">
        <v>11.4</v>
      </c>
      <c r="J284">
        <v>12</v>
      </c>
      <c r="K284">
        <v>11</v>
      </c>
      <c r="L284">
        <v>70</v>
      </c>
    </row>
    <row r="285" spans="1:12" x14ac:dyDescent="0.25">
      <c r="A285" t="s">
        <v>482</v>
      </c>
      <c r="B285" t="s">
        <v>489</v>
      </c>
      <c r="C285" t="s">
        <v>490</v>
      </c>
      <c r="D285">
        <v>2</v>
      </c>
      <c r="E285">
        <v>6</v>
      </c>
      <c r="F285">
        <v>150</v>
      </c>
      <c r="G285">
        <v>14</v>
      </c>
      <c r="H285">
        <v>9.5</v>
      </c>
      <c r="I285">
        <v>11.4</v>
      </c>
      <c r="J285">
        <v>12</v>
      </c>
      <c r="K285">
        <v>11</v>
      </c>
      <c r="L285">
        <v>70</v>
      </c>
    </row>
    <row r="286" spans="1:12" x14ac:dyDescent="0.25">
      <c r="A286" t="s">
        <v>482</v>
      </c>
      <c r="B286" t="s">
        <v>489</v>
      </c>
      <c r="C286" t="s">
        <v>490</v>
      </c>
      <c r="D286">
        <v>2</v>
      </c>
      <c r="E286">
        <v>6</v>
      </c>
      <c r="F286">
        <v>160</v>
      </c>
      <c r="G286">
        <v>14</v>
      </c>
      <c r="H286">
        <v>9.5</v>
      </c>
      <c r="I286">
        <v>11.4</v>
      </c>
      <c r="J286">
        <v>12</v>
      </c>
      <c r="K286">
        <v>11</v>
      </c>
      <c r="L286">
        <v>70</v>
      </c>
    </row>
    <row r="287" spans="1:12" x14ac:dyDescent="0.25">
      <c r="A287" t="s">
        <v>482</v>
      </c>
      <c r="B287" t="s">
        <v>489</v>
      </c>
      <c r="C287" t="s">
        <v>490</v>
      </c>
      <c r="D287">
        <v>2</v>
      </c>
      <c r="E287">
        <v>6</v>
      </c>
      <c r="F287">
        <v>180</v>
      </c>
      <c r="G287">
        <v>14</v>
      </c>
      <c r="H287">
        <v>9.5</v>
      </c>
      <c r="I287">
        <v>11.4</v>
      </c>
      <c r="J287">
        <v>12</v>
      </c>
      <c r="K287">
        <v>11</v>
      </c>
      <c r="L287">
        <v>70</v>
      </c>
    </row>
    <row r="288" spans="1:12" x14ac:dyDescent="0.25">
      <c r="A288" t="s">
        <v>482</v>
      </c>
      <c r="B288" t="s">
        <v>489</v>
      </c>
      <c r="C288" t="s">
        <v>490</v>
      </c>
      <c r="D288">
        <v>2</v>
      </c>
      <c r="E288">
        <v>6</v>
      </c>
      <c r="F288">
        <v>200</v>
      </c>
      <c r="G288">
        <v>14</v>
      </c>
      <c r="H288">
        <v>9.5</v>
      </c>
      <c r="I288">
        <v>11.4</v>
      </c>
      <c r="J288">
        <v>12</v>
      </c>
      <c r="K288">
        <v>11</v>
      </c>
      <c r="L288">
        <v>70</v>
      </c>
    </row>
    <row r="289" spans="1:12" x14ac:dyDescent="0.25">
      <c r="A289" t="s">
        <v>482</v>
      </c>
      <c r="B289" t="s">
        <v>489</v>
      </c>
      <c r="C289" t="s">
        <v>490</v>
      </c>
      <c r="D289">
        <v>2</v>
      </c>
      <c r="E289">
        <v>6</v>
      </c>
      <c r="F289">
        <v>220</v>
      </c>
      <c r="G289">
        <v>14</v>
      </c>
      <c r="H289">
        <v>9.5</v>
      </c>
      <c r="I289">
        <v>11.4</v>
      </c>
      <c r="J289">
        <v>12</v>
      </c>
      <c r="K289">
        <v>11</v>
      </c>
      <c r="L289">
        <v>70</v>
      </c>
    </row>
    <row r="290" spans="1:12" x14ac:dyDescent="0.25">
      <c r="A290" t="s">
        <v>482</v>
      </c>
      <c r="B290" t="s">
        <v>489</v>
      </c>
      <c r="C290" t="s">
        <v>490</v>
      </c>
      <c r="D290">
        <v>2</v>
      </c>
      <c r="E290">
        <v>6</v>
      </c>
      <c r="F290">
        <v>240</v>
      </c>
      <c r="G290">
        <v>14</v>
      </c>
      <c r="H290">
        <v>9.5</v>
      </c>
      <c r="I290">
        <v>11.4</v>
      </c>
      <c r="J290">
        <v>12</v>
      </c>
      <c r="K290">
        <v>11</v>
      </c>
      <c r="L290">
        <v>70</v>
      </c>
    </row>
    <row r="291" spans="1:12" x14ac:dyDescent="0.25">
      <c r="A291" t="s">
        <v>482</v>
      </c>
      <c r="B291" t="s">
        <v>489</v>
      </c>
      <c r="C291" t="s">
        <v>490</v>
      </c>
      <c r="D291">
        <v>2</v>
      </c>
      <c r="E291">
        <v>6</v>
      </c>
      <c r="F291">
        <v>260</v>
      </c>
      <c r="G291">
        <v>14</v>
      </c>
      <c r="H291">
        <v>9.5</v>
      </c>
      <c r="I291">
        <v>11.4</v>
      </c>
      <c r="J291">
        <v>12</v>
      </c>
      <c r="K291">
        <v>11</v>
      </c>
      <c r="L291">
        <v>70</v>
      </c>
    </row>
    <row r="292" spans="1:12" x14ac:dyDescent="0.25">
      <c r="A292" t="s">
        <v>482</v>
      </c>
      <c r="B292" t="s">
        <v>489</v>
      </c>
      <c r="C292" t="s">
        <v>490</v>
      </c>
      <c r="D292">
        <v>2</v>
      </c>
      <c r="E292">
        <v>6</v>
      </c>
      <c r="F292">
        <v>280</v>
      </c>
      <c r="G292">
        <v>14</v>
      </c>
      <c r="H292">
        <v>9.5</v>
      </c>
      <c r="I292">
        <v>11.4</v>
      </c>
      <c r="J292">
        <v>12</v>
      </c>
      <c r="K292">
        <v>11</v>
      </c>
      <c r="L292">
        <v>70</v>
      </c>
    </row>
    <row r="293" spans="1:12" x14ac:dyDescent="0.25">
      <c r="A293" t="s">
        <v>482</v>
      </c>
      <c r="B293" t="s">
        <v>489</v>
      </c>
      <c r="C293" t="s">
        <v>490</v>
      </c>
      <c r="D293">
        <v>2</v>
      </c>
      <c r="E293">
        <v>6</v>
      </c>
      <c r="F293">
        <v>300</v>
      </c>
      <c r="G293">
        <v>14</v>
      </c>
      <c r="H293">
        <v>9.5</v>
      </c>
      <c r="I293">
        <v>11.4</v>
      </c>
      <c r="J293">
        <v>12</v>
      </c>
      <c r="K293">
        <v>11</v>
      </c>
      <c r="L293">
        <v>70</v>
      </c>
    </row>
    <row r="294" spans="1:12" x14ac:dyDescent="0.25">
      <c r="A294" t="s">
        <v>482</v>
      </c>
      <c r="B294" t="s">
        <v>489</v>
      </c>
      <c r="C294" t="s">
        <v>490</v>
      </c>
      <c r="D294">
        <v>2</v>
      </c>
      <c r="E294">
        <v>8</v>
      </c>
      <c r="F294">
        <v>60</v>
      </c>
      <c r="G294">
        <v>22</v>
      </c>
      <c r="H294">
        <v>20</v>
      </c>
      <c r="I294">
        <v>11.1</v>
      </c>
      <c r="J294">
        <v>12</v>
      </c>
      <c r="K294">
        <v>20</v>
      </c>
      <c r="L294">
        <v>48</v>
      </c>
    </row>
    <row r="295" spans="1:12" x14ac:dyDescent="0.25">
      <c r="A295" t="s">
        <v>482</v>
      </c>
      <c r="B295" t="s">
        <v>489</v>
      </c>
      <c r="C295" t="s">
        <v>490</v>
      </c>
      <c r="D295">
        <v>2</v>
      </c>
      <c r="E295">
        <v>8</v>
      </c>
      <c r="F295">
        <v>80</v>
      </c>
      <c r="G295">
        <v>22</v>
      </c>
      <c r="H295">
        <v>20</v>
      </c>
      <c r="I295">
        <v>11.1</v>
      </c>
      <c r="J295">
        <v>12</v>
      </c>
      <c r="K295">
        <v>20</v>
      </c>
      <c r="L295">
        <v>48</v>
      </c>
    </row>
    <row r="296" spans="1:12" x14ac:dyDescent="0.25">
      <c r="A296" t="s">
        <v>482</v>
      </c>
      <c r="B296" t="s">
        <v>489</v>
      </c>
      <c r="C296" t="s">
        <v>490</v>
      </c>
      <c r="D296">
        <v>2</v>
      </c>
      <c r="E296">
        <v>8</v>
      </c>
      <c r="F296">
        <v>100</v>
      </c>
      <c r="G296">
        <v>22</v>
      </c>
      <c r="H296">
        <v>20</v>
      </c>
      <c r="I296">
        <v>11.1</v>
      </c>
      <c r="J296">
        <v>12</v>
      </c>
      <c r="K296">
        <v>20</v>
      </c>
      <c r="L296">
        <v>60</v>
      </c>
    </row>
    <row r="297" spans="1:12" x14ac:dyDescent="0.25">
      <c r="A297" t="s">
        <v>482</v>
      </c>
      <c r="B297" t="s">
        <v>489</v>
      </c>
      <c r="C297" t="s">
        <v>490</v>
      </c>
      <c r="D297">
        <v>2</v>
      </c>
      <c r="E297">
        <v>8</v>
      </c>
      <c r="F297">
        <v>120</v>
      </c>
      <c r="G297">
        <v>22</v>
      </c>
      <c r="H297">
        <v>20</v>
      </c>
      <c r="I297">
        <v>11.1</v>
      </c>
      <c r="J297">
        <v>12</v>
      </c>
      <c r="K297">
        <v>20</v>
      </c>
      <c r="L297">
        <v>66</v>
      </c>
    </row>
    <row r="298" spans="1:12" x14ac:dyDescent="0.25">
      <c r="A298" t="s">
        <v>482</v>
      </c>
      <c r="B298" t="s">
        <v>489</v>
      </c>
      <c r="C298" t="s">
        <v>490</v>
      </c>
      <c r="D298">
        <v>2</v>
      </c>
      <c r="E298">
        <v>8</v>
      </c>
      <c r="F298">
        <v>140</v>
      </c>
      <c r="G298">
        <v>22</v>
      </c>
      <c r="H298">
        <v>20</v>
      </c>
      <c r="I298">
        <v>11.1</v>
      </c>
      <c r="J298">
        <v>12</v>
      </c>
      <c r="K298">
        <v>20</v>
      </c>
      <c r="L298">
        <v>95</v>
      </c>
    </row>
    <row r="299" spans="1:12" x14ac:dyDescent="0.25">
      <c r="A299" t="s">
        <v>482</v>
      </c>
      <c r="B299" t="s">
        <v>489</v>
      </c>
      <c r="C299" t="s">
        <v>490</v>
      </c>
      <c r="D299">
        <v>2</v>
      </c>
      <c r="E299">
        <v>8</v>
      </c>
      <c r="F299">
        <v>160</v>
      </c>
      <c r="G299">
        <v>22</v>
      </c>
      <c r="H299">
        <v>20</v>
      </c>
      <c r="I299">
        <v>11.1</v>
      </c>
      <c r="J299">
        <v>12</v>
      </c>
      <c r="K299">
        <v>20</v>
      </c>
      <c r="L299">
        <v>95</v>
      </c>
    </row>
    <row r="300" spans="1:12" x14ac:dyDescent="0.25">
      <c r="A300" t="s">
        <v>482</v>
      </c>
      <c r="B300" t="s">
        <v>489</v>
      </c>
      <c r="C300" t="s">
        <v>490</v>
      </c>
      <c r="D300">
        <v>2</v>
      </c>
      <c r="E300">
        <v>8</v>
      </c>
      <c r="F300">
        <v>180</v>
      </c>
      <c r="G300">
        <v>22</v>
      </c>
      <c r="H300">
        <v>20</v>
      </c>
      <c r="I300">
        <v>11.1</v>
      </c>
      <c r="J300">
        <v>12</v>
      </c>
      <c r="K300">
        <v>20</v>
      </c>
      <c r="L300">
        <v>95</v>
      </c>
    </row>
    <row r="301" spans="1:12" x14ac:dyDescent="0.25">
      <c r="A301" t="s">
        <v>482</v>
      </c>
      <c r="B301" t="s">
        <v>489</v>
      </c>
      <c r="C301" t="s">
        <v>490</v>
      </c>
      <c r="D301">
        <v>2</v>
      </c>
      <c r="E301">
        <v>8</v>
      </c>
      <c r="F301">
        <v>200</v>
      </c>
      <c r="G301">
        <v>22</v>
      </c>
      <c r="H301">
        <v>20</v>
      </c>
      <c r="I301">
        <v>11.1</v>
      </c>
      <c r="J301">
        <v>12</v>
      </c>
      <c r="K301">
        <v>20</v>
      </c>
      <c r="L301">
        <v>95</v>
      </c>
    </row>
    <row r="302" spans="1:12" x14ac:dyDescent="0.25">
      <c r="A302" t="s">
        <v>482</v>
      </c>
      <c r="B302" t="s">
        <v>489</v>
      </c>
      <c r="C302" t="s">
        <v>490</v>
      </c>
      <c r="D302">
        <v>2</v>
      </c>
      <c r="E302">
        <v>8</v>
      </c>
      <c r="F302">
        <v>220</v>
      </c>
      <c r="G302">
        <v>22</v>
      </c>
      <c r="H302">
        <v>20</v>
      </c>
      <c r="I302">
        <v>11.1</v>
      </c>
      <c r="J302">
        <v>12</v>
      </c>
      <c r="K302">
        <v>20</v>
      </c>
      <c r="L302">
        <v>95</v>
      </c>
    </row>
    <row r="303" spans="1:12" x14ac:dyDescent="0.25">
      <c r="A303" t="s">
        <v>482</v>
      </c>
      <c r="B303" t="s">
        <v>489</v>
      </c>
      <c r="C303" t="s">
        <v>490</v>
      </c>
      <c r="D303">
        <v>2</v>
      </c>
      <c r="E303">
        <v>8</v>
      </c>
      <c r="F303">
        <v>240</v>
      </c>
      <c r="G303">
        <v>22</v>
      </c>
      <c r="H303">
        <v>20</v>
      </c>
      <c r="I303">
        <v>11.1</v>
      </c>
      <c r="J303">
        <v>12</v>
      </c>
      <c r="K303">
        <v>20</v>
      </c>
      <c r="L303">
        <v>95</v>
      </c>
    </row>
    <row r="304" spans="1:12" x14ac:dyDescent="0.25">
      <c r="A304" t="s">
        <v>482</v>
      </c>
      <c r="B304" t="s">
        <v>489</v>
      </c>
      <c r="C304" t="s">
        <v>490</v>
      </c>
      <c r="D304">
        <v>2</v>
      </c>
      <c r="E304">
        <v>8</v>
      </c>
      <c r="F304">
        <v>260</v>
      </c>
      <c r="G304">
        <v>22</v>
      </c>
      <c r="H304">
        <v>20</v>
      </c>
      <c r="I304">
        <v>11.1</v>
      </c>
      <c r="J304">
        <v>12</v>
      </c>
      <c r="K304">
        <v>20</v>
      </c>
      <c r="L304">
        <v>95</v>
      </c>
    </row>
    <row r="305" spans="1:12" x14ac:dyDescent="0.25">
      <c r="A305" t="s">
        <v>482</v>
      </c>
      <c r="B305" t="s">
        <v>489</v>
      </c>
      <c r="C305" t="s">
        <v>490</v>
      </c>
      <c r="D305">
        <v>2</v>
      </c>
      <c r="E305">
        <v>8</v>
      </c>
      <c r="F305">
        <v>280</v>
      </c>
      <c r="G305">
        <v>22</v>
      </c>
      <c r="H305">
        <v>20</v>
      </c>
      <c r="I305">
        <v>11.1</v>
      </c>
      <c r="J305">
        <v>12</v>
      </c>
      <c r="K305">
        <v>20</v>
      </c>
      <c r="L305">
        <v>95</v>
      </c>
    </row>
    <row r="306" spans="1:12" x14ac:dyDescent="0.25">
      <c r="A306" t="s">
        <v>482</v>
      </c>
      <c r="B306" t="s">
        <v>489</v>
      </c>
      <c r="C306" t="s">
        <v>490</v>
      </c>
      <c r="D306">
        <v>2</v>
      </c>
      <c r="E306">
        <v>8</v>
      </c>
      <c r="F306">
        <v>300</v>
      </c>
      <c r="G306">
        <v>22</v>
      </c>
      <c r="H306">
        <v>20</v>
      </c>
      <c r="I306">
        <v>11.1</v>
      </c>
      <c r="J306">
        <v>12</v>
      </c>
      <c r="K306">
        <v>20</v>
      </c>
      <c r="L306">
        <v>95</v>
      </c>
    </row>
    <row r="307" spans="1:12" x14ac:dyDescent="0.25">
      <c r="A307" t="s">
        <v>482</v>
      </c>
      <c r="B307" t="s">
        <v>489</v>
      </c>
      <c r="C307" t="s">
        <v>490</v>
      </c>
      <c r="D307">
        <v>2</v>
      </c>
      <c r="E307">
        <v>8</v>
      </c>
      <c r="F307">
        <v>320</v>
      </c>
      <c r="G307">
        <v>22</v>
      </c>
      <c r="H307">
        <v>20</v>
      </c>
      <c r="I307">
        <v>11.1</v>
      </c>
      <c r="J307">
        <v>12</v>
      </c>
      <c r="K307">
        <v>20</v>
      </c>
      <c r="L307">
        <v>95</v>
      </c>
    </row>
    <row r="308" spans="1:12" x14ac:dyDescent="0.25">
      <c r="A308" t="s">
        <v>482</v>
      </c>
      <c r="B308" t="s">
        <v>489</v>
      </c>
      <c r="C308" t="s">
        <v>490</v>
      </c>
      <c r="D308">
        <v>2</v>
      </c>
      <c r="E308">
        <v>8</v>
      </c>
      <c r="F308">
        <v>340</v>
      </c>
      <c r="G308">
        <v>22</v>
      </c>
      <c r="H308">
        <v>20</v>
      </c>
      <c r="I308">
        <v>11.1</v>
      </c>
      <c r="J308">
        <v>12</v>
      </c>
      <c r="K308">
        <v>20</v>
      </c>
      <c r="L308">
        <v>95</v>
      </c>
    </row>
    <row r="309" spans="1:12" x14ac:dyDescent="0.25">
      <c r="A309" t="s">
        <v>482</v>
      </c>
      <c r="B309" t="s">
        <v>489</v>
      </c>
      <c r="C309" t="s">
        <v>490</v>
      </c>
      <c r="D309">
        <v>2</v>
      </c>
      <c r="E309">
        <v>8</v>
      </c>
      <c r="F309">
        <v>360</v>
      </c>
      <c r="G309">
        <v>22</v>
      </c>
      <c r="H309">
        <v>20</v>
      </c>
      <c r="I309">
        <v>11.1</v>
      </c>
      <c r="J309">
        <v>12</v>
      </c>
      <c r="K309">
        <v>20</v>
      </c>
      <c r="L309">
        <v>95</v>
      </c>
    </row>
    <row r="310" spans="1:12" x14ac:dyDescent="0.25">
      <c r="A310" t="s">
        <v>482</v>
      </c>
      <c r="B310" t="s">
        <v>489</v>
      </c>
      <c r="C310" t="s">
        <v>490</v>
      </c>
      <c r="D310">
        <v>2</v>
      </c>
      <c r="E310">
        <v>8</v>
      </c>
      <c r="F310">
        <v>380</v>
      </c>
      <c r="G310">
        <v>22</v>
      </c>
      <c r="H310">
        <v>20</v>
      </c>
      <c r="I310">
        <v>11.1</v>
      </c>
      <c r="J310">
        <v>12</v>
      </c>
      <c r="K310">
        <v>20</v>
      </c>
      <c r="L310">
        <v>95</v>
      </c>
    </row>
    <row r="311" spans="1:12" x14ac:dyDescent="0.25">
      <c r="A311" t="s">
        <v>482</v>
      </c>
      <c r="B311" t="s">
        <v>489</v>
      </c>
      <c r="C311" t="s">
        <v>490</v>
      </c>
      <c r="D311">
        <v>2</v>
      </c>
      <c r="E311">
        <v>8</v>
      </c>
      <c r="F311">
        <v>400</v>
      </c>
      <c r="G311">
        <v>22</v>
      </c>
      <c r="H311">
        <v>20</v>
      </c>
      <c r="I311">
        <v>11.1</v>
      </c>
      <c r="J311">
        <v>12</v>
      </c>
      <c r="K311">
        <v>20</v>
      </c>
      <c r="L311">
        <v>95</v>
      </c>
    </row>
    <row r="312" spans="1:12" x14ac:dyDescent="0.25">
      <c r="A312" t="s">
        <v>482</v>
      </c>
      <c r="B312" t="s">
        <v>489</v>
      </c>
      <c r="C312" t="s">
        <v>490</v>
      </c>
      <c r="D312">
        <v>2</v>
      </c>
      <c r="E312">
        <v>8</v>
      </c>
      <c r="F312">
        <v>420</v>
      </c>
      <c r="G312">
        <v>22</v>
      </c>
      <c r="H312">
        <v>20</v>
      </c>
      <c r="I312">
        <v>11.1</v>
      </c>
      <c r="J312">
        <v>12</v>
      </c>
      <c r="K312">
        <v>20</v>
      </c>
      <c r="L312">
        <v>95</v>
      </c>
    </row>
    <row r="313" spans="1:12" x14ac:dyDescent="0.25">
      <c r="A313" t="s">
        <v>482</v>
      </c>
      <c r="B313" t="s">
        <v>489</v>
      </c>
      <c r="C313" t="s">
        <v>490</v>
      </c>
      <c r="D313">
        <v>2</v>
      </c>
      <c r="E313">
        <v>8</v>
      </c>
      <c r="F313">
        <v>440</v>
      </c>
      <c r="G313">
        <v>22</v>
      </c>
      <c r="H313">
        <v>20</v>
      </c>
      <c r="I313">
        <v>11.1</v>
      </c>
      <c r="J313">
        <v>12</v>
      </c>
      <c r="K313">
        <v>20</v>
      </c>
      <c r="L313">
        <v>95</v>
      </c>
    </row>
    <row r="314" spans="1:12" x14ac:dyDescent="0.25">
      <c r="A314" t="s">
        <v>482</v>
      </c>
      <c r="B314" t="s">
        <v>489</v>
      </c>
      <c r="C314" t="s">
        <v>490</v>
      </c>
      <c r="D314">
        <v>2</v>
      </c>
      <c r="E314">
        <v>8</v>
      </c>
      <c r="F314">
        <v>460</v>
      </c>
      <c r="G314">
        <v>22</v>
      </c>
      <c r="H314">
        <v>20</v>
      </c>
      <c r="I314">
        <v>11.1</v>
      </c>
      <c r="J314">
        <v>12</v>
      </c>
      <c r="K314">
        <v>20</v>
      </c>
      <c r="L314">
        <v>95</v>
      </c>
    </row>
    <row r="315" spans="1:12" x14ac:dyDescent="0.25">
      <c r="A315" t="s">
        <v>482</v>
      </c>
      <c r="B315" t="s">
        <v>489</v>
      </c>
      <c r="C315" t="s">
        <v>490</v>
      </c>
      <c r="D315">
        <v>2</v>
      </c>
      <c r="E315">
        <v>8</v>
      </c>
      <c r="F315">
        <v>480</v>
      </c>
      <c r="G315">
        <v>22</v>
      </c>
      <c r="H315">
        <v>20</v>
      </c>
      <c r="I315">
        <v>11.1</v>
      </c>
      <c r="J315">
        <v>12</v>
      </c>
      <c r="K315">
        <v>20</v>
      </c>
      <c r="L315">
        <v>95</v>
      </c>
    </row>
    <row r="316" spans="1:12" x14ac:dyDescent="0.25">
      <c r="A316" t="s">
        <v>482</v>
      </c>
      <c r="B316" t="s">
        <v>489</v>
      </c>
      <c r="C316" t="s">
        <v>490</v>
      </c>
      <c r="D316">
        <v>2</v>
      </c>
      <c r="E316">
        <v>8</v>
      </c>
      <c r="F316">
        <v>500</v>
      </c>
      <c r="G316">
        <v>22</v>
      </c>
      <c r="H316">
        <v>20</v>
      </c>
      <c r="I316">
        <v>11.1</v>
      </c>
      <c r="J316">
        <v>12</v>
      </c>
      <c r="K316">
        <v>20</v>
      </c>
      <c r="L316">
        <v>95</v>
      </c>
    </row>
    <row r="317" spans="1:12" x14ac:dyDescent="0.25">
      <c r="A317" t="s">
        <v>482</v>
      </c>
      <c r="B317" t="s">
        <v>489</v>
      </c>
      <c r="C317" t="s">
        <v>490</v>
      </c>
      <c r="D317">
        <v>2</v>
      </c>
      <c r="E317">
        <v>8</v>
      </c>
      <c r="F317">
        <v>550</v>
      </c>
      <c r="G317">
        <v>22</v>
      </c>
      <c r="H317">
        <v>20</v>
      </c>
      <c r="I317">
        <v>11.1</v>
      </c>
      <c r="J317">
        <v>12</v>
      </c>
      <c r="K317">
        <v>20</v>
      </c>
      <c r="L317">
        <v>95</v>
      </c>
    </row>
    <row r="318" spans="1:12" x14ac:dyDescent="0.25">
      <c r="A318" t="s">
        <v>482</v>
      </c>
      <c r="B318" t="s">
        <v>489</v>
      </c>
      <c r="C318" t="s">
        <v>490</v>
      </c>
      <c r="D318">
        <v>2</v>
      </c>
      <c r="E318">
        <v>8</v>
      </c>
      <c r="F318">
        <v>600</v>
      </c>
      <c r="G318">
        <v>22</v>
      </c>
      <c r="H318">
        <v>20</v>
      </c>
      <c r="I318">
        <v>11.1</v>
      </c>
      <c r="J318">
        <v>12</v>
      </c>
      <c r="K318">
        <v>20</v>
      </c>
      <c r="L318">
        <v>95</v>
      </c>
    </row>
    <row r="319" spans="1:12" x14ac:dyDescent="0.25">
      <c r="A319" t="s">
        <v>482</v>
      </c>
      <c r="B319" t="s">
        <v>489</v>
      </c>
      <c r="C319" t="s">
        <v>490</v>
      </c>
      <c r="D319">
        <v>2</v>
      </c>
      <c r="E319">
        <v>10</v>
      </c>
      <c r="F319">
        <v>80</v>
      </c>
      <c r="G319">
        <v>25</v>
      </c>
      <c r="H319">
        <v>35.799999999999997</v>
      </c>
      <c r="I319">
        <v>10.8</v>
      </c>
      <c r="J319">
        <v>12</v>
      </c>
      <c r="K319">
        <v>20</v>
      </c>
      <c r="L319">
        <v>50</v>
      </c>
    </row>
    <row r="320" spans="1:12" x14ac:dyDescent="0.25">
      <c r="A320" t="s">
        <v>482</v>
      </c>
      <c r="B320" t="s">
        <v>489</v>
      </c>
      <c r="C320" t="s">
        <v>490</v>
      </c>
      <c r="D320">
        <v>2</v>
      </c>
      <c r="E320">
        <v>10</v>
      </c>
      <c r="F320">
        <v>100</v>
      </c>
      <c r="G320">
        <v>25</v>
      </c>
      <c r="H320">
        <v>35.799999999999997</v>
      </c>
      <c r="I320">
        <v>10.8</v>
      </c>
      <c r="J320">
        <v>12</v>
      </c>
      <c r="K320">
        <v>20</v>
      </c>
      <c r="L320">
        <v>60</v>
      </c>
    </row>
    <row r="321" spans="1:12" x14ac:dyDescent="0.25">
      <c r="A321" t="s">
        <v>482</v>
      </c>
      <c r="B321" t="s">
        <v>489</v>
      </c>
      <c r="C321" t="s">
        <v>490</v>
      </c>
      <c r="D321">
        <v>2</v>
      </c>
      <c r="E321">
        <v>10</v>
      </c>
      <c r="F321">
        <v>120</v>
      </c>
      <c r="G321">
        <v>25</v>
      </c>
      <c r="H321">
        <v>35.799999999999997</v>
      </c>
      <c r="I321">
        <v>10.8</v>
      </c>
      <c r="J321">
        <v>12</v>
      </c>
      <c r="K321">
        <v>20</v>
      </c>
      <c r="L321">
        <v>70</v>
      </c>
    </row>
    <row r="322" spans="1:12" x14ac:dyDescent="0.25">
      <c r="A322" t="s">
        <v>482</v>
      </c>
      <c r="B322" t="s">
        <v>489</v>
      </c>
      <c r="C322" t="s">
        <v>490</v>
      </c>
      <c r="D322">
        <v>2</v>
      </c>
      <c r="E322">
        <v>10</v>
      </c>
      <c r="F322">
        <v>140</v>
      </c>
      <c r="G322">
        <v>25</v>
      </c>
      <c r="H322">
        <v>35.799999999999997</v>
      </c>
      <c r="I322">
        <v>10.8</v>
      </c>
      <c r="J322">
        <v>12</v>
      </c>
      <c r="K322">
        <v>20</v>
      </c>
      <c r="L322">
        <v>100</v>
      </c>
    </row>
    <row r="323" spans="1:12" x14ac:dyDescent="0.25">
      <c r="A323" t="s">
        <v>482</v>
      </c>
      <c r="B323" t="s">
        <v>489</v>
      </c>
      <c r="C323" t="s">
        <v>490</v>
      </c>
      <c r="D323">
        <v>2</v>
      </c>
      <c r="E323">
        <v>10</v>
      </c>
      <c r="F323">
        <v>160</v>
      </c>
      <c r="G323">
        <v>25</v>
      </c>
      <c r="H323">
        <v>35.799999999999997</v>
      </c>
      <c r="I323">
        <v>10.8</v>
      </c>
      <c r="J323">
        <v>12</v>
      </c>
      <c r="K323">
        <v>20</v>
      </c>
      <c r="L323">
        <v>90</v>
      </c>
    </row>
    <row r="324" spans="1:12" x14ac:dyDescent="0.25">
      <c r="A324" t="s">
        <v>482</v>
      </c>
      <c r="B324" t="s">
        <v>489</v>
      </c>
      <c r="C324" t="s">
        <v>490</v>
      </c>
      <c r="D324">
        <v>2</v>
      </c>
      <c r="E324">
        <v>10</v>
      </c>
      <c r="F324">
        <v>180</v>
      </c>
      <c r="G324">
        <v>25</v>
      </c>
      <c r="H324">
        <v>35.799999999999997</v>
      </c>
      <c r="I324">
        <v>10.8</v>
      </c>
      <c r="J324">
        <v>12</v>
      </c>
      <c r="K324">
        <v>20</v>
      </c>
      <c r="L324">
        <v>100</v>
      </c>
    </row>
    <row r="325" spans="1:12" x14ac:dyDescent="0.25">
      <c r="A325" t="s">
        <v>482</v>
      </c>
      <c r="B325" t="s">
        <v>489</v>
      </c>
      <c r="C325" t="s">
        <v>490</v>
      </c>
      <c r="D325">
        <v>2</v>
      </c>
      <c r="E325">
        <v>10</v>
      </c>
      <c r="F325">
        <v>200</v>
      </c>
      <c r="G325">
        <v>25</v>
      </c>
      <c r="H325">
        <v>35.799999999999997</v>
      </c>
      <c r="I325">
        <v>10.8</v>
      </c>
      <c r="J325">
        <v>12</v>
      </c>
      <c r="K325">
        <v>20</v>
      </c>
      <c r="L325">
        <v>100</v>
      </c>
    </row>
    <row r="326" spans="1:12" x14ac:dyDescent="0.25">
      <c r="A326" t="s">
        <v>482</v>
      </c>
      <c r="B326" t="s">
        <v>489</v>
      </c>
      <c r="C326" t="s">
        <v>490</v>
      </c>
      <c r="D326">
        <v>2</v>
      </c>
      <c r="E326">
        <v>10</v>
      </c>
      <c r="F326">
        <v>220</v>
      </c>
      <c r="G326">
        <v>25</v>
      </c>
      <c r="H326">
        <v>35.799999999999997</v>
      </c>
      <c r="I326">
        <v>10.8</v>
      </c>
      <c r="J326">
        <v>12</v>
      </c>
      <c r="K326">
        <v>20</v>
      </c>
      <c r="L326">
        <v>100</v>
      </c>
    </row>
    <row r="327" spans="1:12" x14ac:dyDescent="0.25">
      <c r="A327" t="s">
        <v>482</v>
      </c>
      <c r="B327" t="s">
        <v>489</v>
      </c>
      <c r="C327" t="s">
        <v>490</v>
      </c>
      <c r="D327">
        <v>2</v>
      </c>
      <c r="E327">
        <v>10</v>
      </c>
      <c r="F327">
        <v>240</v>
      </c>
      <c r="G327">
        <v>25</v>
      </c>
      <c r="H327">
        <v>35.799999999999997</v>
      </c>
      <c r="I327">
        <v>10.8</v>
      </c>
      <c r="J327">
        <v>12</v>
      </c>
      <c r="K327">
        <v>20</v>
      </c>
      <c r="L327">
        <v>100</v>
      </c>
    </row>
    <row r="328" spans="1:12" x14ac:dyDescent="0.25">
      <c r="A328" t="s">
        <v>482</v>
      </c>
      <c r="B328" t="s">
        <v>489</v>
      </c>
      <c r="C328" t="s">
        <v>490</v>
      </c>
      <c r="D328">
        <v>2</v>
      </c>
      <c r="E328">
        <v>10</v>
      </c>
      <c r="F328">
        <v>260</v>
      </c>
      <c r="G328">
        <v>25</v>
      </c>
      <c r="H328">
        <v>35.799999999999997</v>
      </c>
      <c r="I328">
        <v>10.8</v>
      </c>
      <c r="J328">
        <v>12</v>
      </c>
      <c r="K328">
        <v>20</v>
      </c>
      <c r="L328">
        <v>100</v>
      </c>
    </row>
    <row r="329" spans="1:12" x14ac:dyDescent="0.25">
      <c r="A329" t="s">
        <v>482</v>
      </c>
      <c r="B329" t="s">
        <v>489</v>
      </c>
      <c r="C329" t="s">
        <v>490</v>
      </c>
      <c r="D329">
        <v>2</v>
      </c>
      <c r="E329">
        <v>10</v>
      </c>
      <c r="F329">
        <v>280</v>
      </c>
      <c r="G329">
        <v>25</v>
      </c>
      <c r="H329">
        <v>35.799999999999997</v>
      </c>
      <c r="I329">
        <v>10.8</v>
      </c>
      <c r="J329">
        <v>12</v>
      </c>
      <c r="K329">
        <v>20</v>
      </c>
      <c r="L329">
        <v>100</v>
      </c>
    </row>
    <row r="330" spans="1:12" x14ac:dyDescent="0.25">
      <c r="A330" t="s">
        <v>482</v>
      </c>
      <c r="B330" t="s">
        <v>489</v>
      </c>
      <c r="C330" t="s">
        <v>490</v>
      </c>
      <c r="D330">
        <v>2</v>
      </c>
      <c r="E330">
        <v>10</v>
      </c>
      <c r="F330">
        <v>300</v>
      </c>
      <c r="G330">
        <v>25</v>
      </c>
      <c r="H330">
        <v>35.799999999999997</v>
      </c>
      <c r="I330">
        <v>10.8</v>
      </c>
      <c r="J330">
        <v>12</v>
      </c>
      <c r="K330">
        <v>20</v>
      </c>
      <c r="L330">
        <v>100</v>
      </c>
    </row>
    <row r="331" spans="1:12" x14ac:dyDescent="0.25">
      <c r="A331" t="s">
        <v>482</v>
      </c>
      <c r="B331" t="s">
        <v>489</v>
      </c>
      <c r="C331" t="s">
        <v>490</v>
      </c>
      <c r="D331">
        <v>2</v>
      </c>
      <c r="E331">
        <v>10</v>
      </c>
      <c r="F331">
        <v>320</v>
      </c>
      <c r="G331">
        <v>25</v>
      </c>
      <c r="H331">
        <v>35.799999999999997</v>
      </c>
      <c r="I331">
        <v>10.8</v>
      </c>
      <c r="J331">
        <v>12</v>
      </c>
      <c r="K331">
        <v>20</v>
      </c>
      <c r="L331">
        <v>100</v>
      </c>
    </row>
    <row r="332" spans="1:12" x14ac:dyDescent="0.25">
      <c r="A332" t="s">
        <v>482</v>
      </c>
      <c r="B332" t="s">
        <v>489</v>
      </c>
      <c r="C332" t="s">
        <v>490</v>
      </c>
      <c r="D332">
        <v>2</v>
      </c>
      <c r="E332">
        <v>10</v>
      </c>
      <c r="F332">
        <v>340</v>
      </c>
      <c r="G332">
        <v>25</v>
      </c>
      <c r="H332">
        <v>35.799999999999997</v>
      </c>
      <c r="I332">
        <v>10.8</v>
      </c>
      <c r="J332">
        <v>12</v>
      </c>
      <c r="K332">
        <v>20</v>
      </c>
      <c r="L332">
        <v>100</v>
      </c>
    </row>
    <row r="333" spans="1:12" x14ac:dyDescent="0.25">
      <c r="A333" t="s">
        <v>482</v>
      </c>
      <c r="B333" t="s">
        <v>489</v>
      </c>
      <c r="C333" t="s">
        <v>490</v>
      </c>
      <c r="D333">
        <v>2</v>
      </c>
      <c r="E333">
        <v>10</v>
      </c>
      <c r="F333">
        <v>360</v>
      </c>
      <c r="G333">
        <v>25</v>
      </c>
      <c r="H333">
        <v>35.799999999999997</v>
      </c>
      <c r="I333">
        <v>10.8</v>
      </c>
      <c r="J333">
        <v>12</v>
      </c>
      <c r="K333">
        <v>20</v>
      </c>
      <c r="L333">
        <v>100</v>
      </c>
    </row>
    <row r="334" spans="1:12" x14ac:dyDescent="0.25">
      <c r="A334" t="s">
        <v>482</v>
      </c>
      <c r="B334" t="s">
        <v>489</v>
      </c>
      <c r="C334" t="s">
        <v>490</v>
      </c>
      <c r="D334">
        <v>2</v>
      </c>
      <c r="E334">
        <v>10</v>
      </c>
      <c r="F334">
        <v>380</v>
      </c>
      <c r="G334">
        <v>25</v>
      </c>
      <c r="H334">
        <v>35.799999999999997</v>
      </c>
      <c r="I334">
        <v>10.8</v>
      </c>
      <c r="J334">
        <v>12</v>
      </c>
      <c r="K334">
        <v>20</v>
      </c>
      <c r="L334">
        <v>100</v>
      </c>
    </row>
    <row r="335" spans="1:12" x14ac:dyDescent="0.25">
      <c r="A335" t="s">
        <v>482</v>
      </c>
      <c r="B335" t="s">
        <v>489</v>
      </c>
      <c r="C335" t="s">
        <v>490</v>
      </c>
      <c r="D335">
        <v>2</v>
      </c>
      <c r="E335">
        <v>10</v>
      </c>
      <c r="F335">
        <v>400</v>
      </c>
      <c r="G335">
        <v>25</v>
      </c>
      <c r="H335">
        <v>35.799999999999997</v>
      </c>
      <c r="I335">
        <v>10.8</v>
      </c>
      <c r="J335">
        <v>12</v>
      </c>
      <c r="K335">
        <v>20</v>
      </c>
      <c r="L335">
        <v>100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7F952-5A73-421B-B3BC-796A11596220}">
  <sheetPr>
    <tabColor theme="9" tint="-0.249977111117893"/>
  </sheetPr>
  <dimension ref="A1:Y665"/>
  <sheetViews>
    <sheetView workbookViewId="0">
      <pane ySplit="600" topLeftCell="A191" activePane="bottomLeft"/>
      <selection activeCell="M1" sqref="M1"/>
      <selection pane="bottomLeft" activeCell="P26" sqref="P26"/>
    </sheetView>
  </sheetViews>
  <sheetFormatPr baseColWidth="10" defaultRowHeight="15" x14ac:dyDescent="0.25"/>
  <cols>
    <col min="2" max="2" width="32" customWidth="1"/>
    <col min="3" max="3" width="30.85546875" bestFit="1" customWidth="1"/>
    <col min="4" max="4" width="18.85546875" customWidth="1"/>
    <col min="8" max="11" width="16.140625" customWidth="1"/>
  </cols>
  <sheetData>
    <row r="1" spans="1:13" x14ac:dyDescent="0.25">
      <c r="A1" t="s">
        <v>0</v>
      </c>
      <c r="B1" t="s">
        <v>1</v>
      </c>
      <c r="C1" t="s">
        <v>231</v>
      </c>
      <c r="D1" t="s">
        <v>232</v>
      </c>
      <c r="E1" t="s">
        <v>18</v>
      </c>
      <c r="F1" t="s">
        <v>20</v>
      </c>
      <c r="G1" t="s">
        <v>22</v>
      </c>
      <c r="H1" t="s">
        <v>215</v>
      </c>
      <c r="I1" t="s">
        <v>214</v>
      </c>
      <c r="J1" t="s">
        <v>171</v>
      </c>
      <c r="K1" t="s">
        <v>172</v>
      </c>
      <c r="L1" t="s">
        <v>325</v>
      </c>
      <c r="M1" t="s">
        <v>326</v>
      </c>
    </row>
    <row r="2" spans="1:13" x14ac:dyDescent="0.25">
      <c r="A2" t="s">
        <v>377</v>
      </c>
      <c r="B2" t="s">
        <v>379</v>
      </c>
      <c r="C2" t="s">
        <v>378</v>
      </c>
      <c r="D2">
        <v>3</v>
      </c>
      <c r="E2">
        <v>6</v>
      </c>
      <c r="F2">
        <v>30</v>
      </c>
      <c r="G2">
        <v>10</v>
      </c>
      <c r="L2">
        <v>18</v>
      </c>
    </row>
    <row r="3" spans="1:13" x14ac:dyDescent="0.25">
      <c r="A3" t="s">
        <v>377</v>
      </c>
      <c r="B3" t="s">
        <v>379</v>
      </c>
      <c r="C3" t="s">
        <v>378</v>
      </c>
      <c r="D3">
        <v>3</v>
      </c>
      <c r="E3">
        <v>6</v>
      </c>
      <c r="F3">
        <v>35</v>
      </c>
      <c r="G3">
        <v>10</v>
      </c>
      <c r="L3">
        <v>18</v>
      </c>
    </row>
    <row r="4" spans="1:13" x14ac:dyDescent="0.25">
      <c r="A4" t="s">
        <v>377</v>
      </c>
      <c r="B4" t="s">
        <v>379</v>
      </c>
      <c r="C4" t="s">
        <v>378</v>
      </c>
      <c r="D4">
        <v>3</v>
      </c>
      <c r="E4">
        <v>6</v>
      </c>
      <c r="F4">
        <v>40</v>
      </c>
      <c r="G4">
        <v>10</v>
      </c>
      <c r="L4">
        <v>18</v>
      </c>
    </row>
    <row r="5" spans="1:13" x14ac:dyDescent="0.25">
      <c r="A5" t="s">
        <v>377</v>
      </c>
      <c r="B5" t="s">
        <v>379</v>
      </c>
      <c r="C5" t="s">
        <v>378</v>
      </c>
      <c r="D5">
        <v>3</v>
      </c>
      <c r="E5">
        <v>6</v>
      </c>
      <c r="F5">
        <v>45</v>
      </c>
      <c r="G5">
        <v>10</v>
      </c>
      <c r="L5">
        <v>18</v>
      </c>
    </row>
    <row r="6" spans="1:13" x14ac:dyDescent="0.25">
      <c r="A6" t="s">
        <v>377</v>
      </c>
      <c r="B6" t="s">
        <v>379</v>
      </c>
      <c r="C6" t="s">
        <v>378</v>
      </c>
      <c r="D6">
        <v>3</v>
      </c>
      <c r="E6">
        <v>6</v>
      </c>
      <c r="F6">
        <v>50</v>
      </c>
      <c r="G6">
        <v>10</v>
      </c>
      <c r="L6">
        <v>18</v>
      </c>
    </row>
    <row r="7" spans="1:13" x14ac:dyDescent="0.25">
      <c r="A7" t="s">
        <v>377</v>
      </c>
      <c r="B7" t="s">
        <v>379</v>
      </c>
      <c r="C7" t="s">
        <v>378</v>
      </c>
      <c r="D7">
        <v>3</v>
      </c>
      <c r="E7">
        <v>6</v>
      </c>
      <c r="F7">
        <v>55</v>
      </c>
      <c r="G7">
        <v>10</v>
      </c>
      <c r="L7">
        <v>18</v>
      </c>
    </row>
    <row r="8" spans="1:13" x14ac:dyDescent="0.25">
      <c r="A8" t="s">
        <v>377</v>
      </c>
      <c r="B8" t="s">
        <v>379</v>
      </c>
      <c r="C8" t="s">
        <v>378</v>
      </c>
      <c r="D8">
        <v>3</v>
      </c>
      <c r="E8">
        <v>6</v>
      </c>
      <c r="F8">
        <v>60</v>
      </c>
      <c r="G8">
        <v>10</v>
      </c>
      <c r="L8">
        <v>18</v>
      </c>
    </row>
    <row r="9" spans="1:13" x14ac:dyDescent="0.25">
      <c r="A9" t="s">
        <v>377</v>
      </c>
      <c r="B9" t="s">
        <v>379</v>
      </c>
      <c r="C9" t="s">
        <v>378</v>
      </c>
      <c r="D9">
        <v>3</v>
      </c>
      <c r="E9">
        <v>6</v>
      </c>
      <c r="F9">
        <v>65</v>
      </c>
      <c r="G9">
        <v>10</v>
      </c>
      <c r="L9">
        <v>18</v>
      </c>
    </row>
    <row r="10" spans="1:13" x14ac:dyDescent="0.25">
      <c r="A10" t="s">
        <v>377</v>
      </c>
      <c r="B10" t="s">
        <v>379</v>
      </c>
      <c r="C10" t="s">
        <v>378</v>
      </c>
      <c r="D10">
        <v>3</v>
      </c>
      <c r="E10">
        <v>6</v>
      </c>
      <c r="F10">
        <v>70</v>
      </c>
      <c r="G10">
        <v>10</v>
      </c>
      <c r="L10">
        <v>18</v>
      </c>
    </row>
    <row r="11" spans="1:13" x14ac:dyDescent="0.25">
      <c r="A11" t="s">
        <v>377</v>
      </c>
      <c r="B11" t="s">
        <v>379</v>
      </c>
      <c r="C11" t="s">
        <v>378</v>
      </c>
      <c r="D11">
        <v>3</v>
      </c>
      <c r="E11">
        <v>6</v>
      </c>
      <c r="F11">
        <v>75</v>
      </c>
      <c r="G11">
        <v>10</v>
      </c>
      <c r="L11">
        <v>18</v>
      </c>
    </row>
    <row r="12" spans="1:13" x14ac:dyDescent="0.25">
      <c r="A12" t="s">
        <v>377</v>
      </c>
      <c r="B12" t="s">
        <v>379</v>
      </c>
      <c r="C12" t="s">
        <v>378</v>
      </c>
      <c r="D12">
        <v>3</v>
      </c>
      <c r="E12">
        <v>6</v>
      </c>
      <c r="F12">
        <v>80</v>
      </c>
      <c r="G12">
        <v>10</v>
      </c>
      <c r="L12">
        <v>18</v>
      </c>
    </row>
    <row r="13" spans="1:13" x14ac:dyDescent="0.25">
      <c r="A13" t="s">
        <v>377</v>
      </c>
      <c r="B13" t="s">
        <v>379</v>
      </c>
      <c r="C13" t="s">
        <v>378</v>
      </c>
      <c r="D13">
        <v>3</v>
      </c>
      <c r="E13">
        <v>6</v>
      </c>
      <c r="F13">
        <v>85</v>
      </c>
      <c r="G13">
        <v>10</v>
      </c>
      <c r="L13">
        <v>18</v>
      </c>
    </row>
    <row r="14" spans="1:13" x14ac:dyDescent="0.25">
      <c r="A14" t="s">
        <v>377</v>
      </c>
      <c r="B14" t="s">
        <v>379</v>
      </c>
      <c r="C14" t="s">
        <v>378</v>
      </c>
      <c r="D14">
        <v>3</v>
      </c>
      <c r="E14">
        <v>6</v>
      </c>
      <c r="F14">
        <v>90</v>
      </c>
      <c r="G14">
        <v>10</v>
      </c>
      <c r="L14">
        <v>18</v>
      </c>
    </row>
    <row r="15" spans="1:13" x14ac:dyDescent="0.25">
      <c r="A15" t="s">
        <v>377</v>
      </c>
      <c r="B15" t="s">
        <v>379</v>
      </c>
      <c r="C15" t="s">
        <v>378</v>
      </c>
      <c r="D15">
        <v>3</v>
      </c>
      <c r="E15">
        <v>6</v>
      </c>
      <c r="F15">
        <v>95</v>
      </c>
      <c r="G15">
        <v>10</v>
      </c>
      <c r="L15">
        <v>18</v>
      </c>
    </row>
    <row r="16" spans="1:13" x14ac:dyDescent="0.25">
      <c r="A16" t="s">
        <v>377</v>
      </c>
      <c r="B16" t="s">
        <v>379</v>
      </c>
      <c r="C16" t="s">
        <v>378</v>
      </c>
      <c r="D16">
        <v>3</v>
      </c>
      <c r="E16">
        <v>6</v>
      </c>
      <c r="F16">
        <v>100</v>
      </c>
      <c r="G16">
        <v>10</v>
      </c>
      <c r="L16">
        <v>18</v>
      </c>
    </row>
    <row r="17" spans="1:12" x14ac:dyDescent="0.25">
      <c r="A17" t="s">
        <v>377</v>
      </c>
      <c r="B17" t="s">
        <v>379</v>
      </c>
      <c r="C17" t="s">
        <v>378</v>
      </c>
      <c r="D17">
        <v>3</v>
      </c>
      <c r="E17">
        <v>6</v>
      </c>
      <c r="F17">
        <v>105</v>
      </c>
      <c r="G17">
        <v>10</v>
      </c>
      <c r="L17">
        <v>18</v>
      </c>
    </row>
    <row r="18" spans="1:12" x14ac:dyDescent="0.25">
      <c r="A18" t="s">
        <v>377</v>
      </c>
      <c r="B18" t="s">
        <v>379</v>
      </c>
      <c r="C18" t="s">
        <v>378</v>
      </c>
      <c r="D18">
        <v>3</v>
      </c>
      <c r="E18">
        <v>6</v>
      </c>
      <c r="F18">
        <v>110</v>
      </c>
      <c r="G18">
        <v>10</v>
      </c>
      <c r="L18">
        <v>18</v>
      </c>
    </row>
    <row r="19" spans="1:12" x14ac:dyDescent="0.25">
      <c r="A19" t="s">
        <v>377</v>
      </c>
      <c r="B19" t="s">
        <v>379</v>
      </c>
      <c r="C19" t="s">
        <v>378</v>
      </c>
      <c r="D19">
        <v>3</v>
      </c>
      <c r="E19">
        <v>6</v>
      </c>
      <c r="F19">
        <v>120</v>
      </c>
      <c r="G19">
        <v>10</v>
      </c>
      <c r="L19">
        <v>18</v>
      </c>
    </row>
    <row r="20" spans="1:12" x14ac:dyDescent="0.25">
      <c r="A20" t="s">
        <v>377</v>
      </c>
      <c r="B20" t="s">
        <v>379</v>
      </c>
      <c r="C20" t="s">
        <v>378</v>
      </c>
      <c r="D20">
        <v>3</v>
      </c>
      <c r="E20">
        <v>6</v>
      </c>
      <c r="F20">
        <v>130</v>
      </c>
      <c r="G20">
        <v>10</v>
      </c>
      <c r="L20">
        <v>24</v>
      </c>
    </row>
    <row r="21" spans="1:12" x14ac:dyDescent="0.25">
      <c r="A21" t="s">
        <v>377</v>
      </c>
      <c r="B21" t="s">
        <v>379</v>
      </c>
      <c r="C21" t="s">
        <v>378</v>
      </c>
      <c r="D21">
        <v>3</v>
      </c>
      <c r="E21">
        <v>6</v>
      </c>
      <c r="F21">
        <v>140</v>
      </c>
      <c r="G21">
        <v>10</v>
      </c>
      <c r="L21">
        <v>24</v>
      </c>
    </row>
    <row r="22" spans="1:12" x14ac:dyDescent="0.25">
      <c r="A22" t="s">
        <v>377</v>
      </c>
      <c r="B22" t="s">
        <v>379</v>
      </c>
      <c r="C22" t="s">
        <v>378</v>
      </c>
      <c r="D22">
        <v>3</v>
      </c>
      <c r="E22">
        <v>6</v>
      </c>
      <c r="F22">
        <v>150</v>
      </c>
      <c r="G22">
        <v>10</v>
      </c>
      <c r="L22">
        <v>24</v>
      </c>
    </row>
    <row r="23" spans="1:12" x14ac:dyDescent="0.25">
      <c r="A23" t="s">
        <v>377</v>
      </c>
      <c r="B23" t="s">
        <v>379</v>
      </c>
      <c r="C23" t="s">
        <v>378</v>
      </c>
      <c r="D23">
        <v>3</v>
      </c>
      <c r="E23">
        <v>6</v>
      </c>
      <c r="F23">
        <v>160</v>
      </c>
      <c r="G23">
        <v>10</v>
      </c>
      <c r="L23">
        <v>24</v>
      </c>
    </row>
    <row r="24" spans="1:12" x14ac:dyDescent="0.25">
      <c r="A24" t="s">
        <v>377</v>
      </c>
      <c r="B24" t="s">
        <v>379</v>
      </c>
      <c r="C24" t="s">
        <v>378</v>
      </c>
      <c r="D24">
        <v>3</v>
      </c>
      <c r="E24">
        <v>6</v>
      </c>
      <c r="F24">
        <v>170</v>
      </c>
      <c r="G24">
        <v>10</v>
      </c>
      <c r="L24">
        <v>24</v>
      </c>
    </row>
    <row r="25" spans="1:12" x14ac:dyDescent="0.25">
      <c r="A25" t="s">
        <v>377</v>
      </c>
      <c r="B25" t="s">
        <v>379</v>
      </c>
      <c r="C25" t="s">
        <v>378</v>
      </c>
      <c r="D25">
        <v>3</v>
      </c>
      <c r="E25">
        <v>6</v>
      </c>
      <c r="F25">
        <v>180</v>
      </c>
      <c r="G25">
        <v>10</v>
      </c>
      <c r="L25">
        <v>24</v>
      </c>
    </row>
    <row r="26" spans="1:12" x14ac:dyDescent="0.25">
      <c r="A26" t="s">
        <v>377</v>
      </c>
      <c r="B26" t="s">
        <v>379</v>
      </c>
      <c r="C26" t="s">
        <v>378</v>
      </c>
      <c r="D26">
        <v>3</v>
      </c>
      <c r="E26">
        <v>6</v>
      </c>
      <c r="F26">
        <v>200</v>
      </c>
      <c r="G26">
        <v>10</v>
      </c>
      <c r="L26">
        <v>24</v>
      </c>
    </row>
    <row r="27" spans="1:12" x14ac:dyDescent="0.25">
      <c r="A27" t="s">
        <v>377</v>
      </c>
      <c r="B27" t="s">
        <v>379</v>
      </c>
      <c r="C27" t="s">
        <v>378</v>
      </c>
      <c r="D27">
        <v>3</v>
      </c>
      <c r="E27">
        <v>8</v>
      </c>
      <c r="F27">
        <v>30</v>
      </c>
      <c r="G27">
        <v>10</v>
      </c>
      <c r="L27">
        <v>22</v>
      </c>
    </row>
    <row r="28" spans="1:12" x14ac:dyDescent="0.25">
      <c r="A28" t="s">
        <v>377</v>
      </c>
      <c r="B28" t="s">
        <v>379</v>
      </c>
      <c r="C28" t="s">
        <v>378</v>
      </c>
      <c r="D28">
        <v>3</v>
      </c>
      <c r="E28">
        <v>8</v>
      </c>
      <c r="F28">
        <v>35</v>
      </c>
      <c r="G28">
        <v>10</v>
      </c>
      <c r="L28">
        <v>22</v>
      </c>
    </row>
    <row r="29" spans="1:12" x14ac:dyDescent="0.25">
      <c r="A29" t="s">
        <v>377</v>
      </c>
      <c r="B29" t="s">
        <v>379</v>
      </c>
      <c r="C29" t="s">
        <v>378</v>
      </c>
      <c r="D29">
        <v>3</v>
      </c>
      <c r="E29">
        <v>8</v>
      </c>
      <c r="F29">
        <v>40</v>
      </c>
      <c r="G29">
        <v>10</v>
      </c>
      <c r="L29">
        <v>22</v>
      </c>
    </row>
    <row r="30" spans="1:12" x14ac:dyDescent="0.25">
      <c r="A30" t="s">
        <v>377</v>
      </c>
      <c r="B30" t="s">
        <v>379</v>
      </c>
      <c r="C30" t="s">
        <v>378</v>
      </c>
      <c r="D30">
        <v>3</v>
      </c>
      <c r="E30">
        <v>8</v>
      </c>
      <c r="F30">
        <v>45</v>
      </c>
      <c r="G30">
        <v>10</v>
      </c>
      <c r="L30">
        <v>22</v>
      </c>
    </row>
    <row r="31" spans="1:12" x14ac:dyDescent="0.25">
      <c r="A31" t="s">
        <v>377</v>
      </c>
      <c r="B31" t="s">
        <v>379</v>
      </c>
      <c r="C31" t="s">
        <v>378</v>
      </c>
      <c r="D31">
        <v>3</v>
      </c>
      <c r="E31">
        <v>8</v>
      </c>
      <c r="F31">
        <v>50</v>
      </c>
      <c r="G31">
        <v>10</v>
      </c>
      <c r="L31">
        <v>22</v>
      </c>
    </row>
    <row r="32" spans="1:12" x14ac:dyDescent="0.25">
      <c r="A32" t="s">
        <v>377</v>
      </c>
      <c r="B32" t="s">
        <v>379</v>
      </c>
      <c r="C32" t="s">
        <v>378</v>
      </c>
      <c r="D32">
        <v>3</v>
      </c>
      <c r="E32">
        <v>8</v>
      </c>
      <c r="F32">
        <v>55</v>
      </c>
      <c r="G32">
        <v>10</v>
      </c>
      <c r="L32">
        <v>22</v>
      </c>
    </row>
    <row r="33" spans="1:12" x14ac:dyDescent="0.25">
      <c r="A33" t="s">
        <v>377</v>
      </c>
      <c r="B33" t="s">
        <v>379</v>
      </c>
      <c r="C33" t="s">
        <v>378</v>
      </c>
      <c r="D33">
        <v>3</v>
      </c>
      <c r="E33">
        <v>8</v>
      </c>
      <c r="F33">
        <v>60</v>
      </c>
      <c r="G33">
        <v>10</v>
      </c>
      <c r="L33">
        <v>22</v>
      </c>
    </row>
    <row r="34" spans="1:12" x14ac:dyDescent="0.25">
      <c r="A34" t="s">
        <v>377</v>
      </c>
      <c r="B34" t="s">
        <v>379</v>
      </c>
      <c r="C34" t="s">
        <v>378</v>
      </c>
      <c r="D34">
        <v>3</v>
      </c>
      <c r="E34">
        <v>8</v>
      </c>
      <c r="F34">
        <v>65</v>
      </c>
      <c r="G34">
        <v>10</v>
      </c>
      <c r="L34">
        <v>22</v>
      </c>
    </row>
    <row r="35" spans="1:12" x14ac:dyDescent="0.25">
      <c r="A35" t="s">
        <v>377</v>
      </c>
      <c r="B35" t="s">
        <v>379</v>
      </c>
      <c r="C35" t="s">
        <v>378</v>
      </c>
      <c r="D35">
        <v>3</v>
      </c>
      <c r="E35">
        <v>8</v>
      </c>
      <c r="F35">
        <v>70</v>
      </c>
      <c r="G35">
        <v>10</v>
      </c>
      <c r="L35">
        <v>22</v>
      </c>
    </row>
    <row r="36" spans="1:12" x14ac:dyDescent="0.25">
      <c r="A36" t="s">
        <v>377</v>
      </c>
      <c r="B36" t="s">
        <v>379</v>
      </c>
      <c r="C36" t="s">
        <v>378</v>
      </c>
      <c r="D36">
        <v>3</v>
      </c>
      <c r="E36">
        <v>8</v>
      </c>
      <c r="F36">
        <v>75</v>
      </c>
      <c r="G36">
        <v>10</v>
      </c>
      <c r="L36">
        <v>22</v>
      </c>
    </row>
    <row r="37" spans="1:12" x14ac:dyDescent="0.25">
      <c r="A37" t="s">
        <v>377</v>
      </c>
      <c r="B37" t="s">
        <v>379</v>
      </c>
      <c r="C37" t="s">
        <v>378</v>
      </c>
      <c r="D37">
        <v>3</v>
      </c>
      <c r="E37">
        <v>8</v>
      </c>
      <c r="F37">
        <v>80</v>
      </c>
      <c r="G37">
        <v>10</v>
      </c>
      <c r="L37">
        <v>22</v>
      </c>
    </row>
    <row r="38" spans="1:12" x14ac:dyDescent="0.25">
      <c r="A38" t="s">
        <v>377</v>
      </c>
      <c r="B38" t="s">
        <v>379</v>
      </c>
      <c r="C38" t="s">
        <v>378</v>
      </c>
      <c r="D38">
        <v>3</v>
      </c>
      <c r="E38">
        <v>8</v>
      </c>
      <c r="F38">
        <v>85</v>
      </c>
      <c r="G38">
        <v>10</v>
      </c>
      <c r="L38">
        <v>22</v>
      </c>
    </row>
    <row r="39" spans="1:12" x14ac:dyDescent="0.25">
      <c r="A39" t="s">
        <v>377</v>
      </c>
      <c r="B39" t="s">
        <v>379</v>
      </c>
      <c r="C39" t="s">
        <v>378</v>
      </c>
      <c r="D39">
        <v>3</v>
      </c>
      <c r="E39">
        <v>8</v>
      </c>
      <c r="F39">
        <v>90</v>
      </c>
      <c r="G39">
        <v>10</v>
      </c>
      <c r="L39">
        <v>22</v>
      </c>
    </row>
    <row r="40" spans="1:12" x14ac:dyDescent="0.25">
      <c r="A40" t="s">
        <v>377</v>
      </c>
      <c r="B40" t="s">
        <v>379</v>
      </c>
      <c r="C40" t="s">
        <v>378</v>
      </c>
      <c r="D40">
        <v>3</v>
      </c>
      <c r="E40">
        <v>8</v>
      </c>
      <c r="F40">
        <v>95</v>
      </c>
      <c r="G40">
        <v>10</v>
      </c>
      <c r="L40">
        <v>22</v>
      </c>
    </row>
    <row r="41" spans="1:12" x14ac:dyDescent="0.25">
      <c r="A41" t="s">
        <v>377</v>
      </c>
      <c r="B41" t="s">
        <v>379</v>
      </c>
      <c r="C41" t="s">
        <v>378</v>
      </c>
      <c r="D41">
        <v>3</v>
      </c>
      <c r="E41">
        <v>8</v>
      </c>
      <c r="F41">
        <v>100</v>
      </c>
      <c r="G41">
        <v>13</v>
      </c>
      <c r="L41">
        <v>22</v>
      </c>
    </row>
    <row r="42" spans="1:12" x14ac:dyDescent="0.25">
      <c r="A42" t="s">
        <v>377</v>
      </c>
      <c r="B42" t="s">
        <v>379</v>
      </c>
      <c r="C42" t="s">
        <v>378</v>
      </c>
      <c r="D42">
        <v>3</v>
      </c>
      <c r="E42">
        <v>8</v>
      </c>
      <c r="F42">
        <v>110</v>
      </c>
      <c r="G42">
        <v>13</v>
      </c>
      <c r="L42">
        <v>22</v>
      </c>
    </row>
    <row r="43" spans="1:12" x14ac:dyDescent="0.25">
      <c r="A43" t="s">
        <v>377</v>
      </c>
      <c r="B43" t="s">
        <v>379</v>
      </c>
      <c r="C43" t="s">
        <v>378</v>
      </c>
      <c r="D43">
        <v>3</v>
      </c>
      <c r="E43">
        <v>8</v>
      </c>
      <c r="F43">
        <v>120</v>
      </c>
      <c r="G43">
        <v>13</v>
      </c>
      <c r="L43">
        <v>22</v>
      </c>
    </row>
    <row r="44" spans="1:12" x14ac:dyDescent="0.25">
      <c r="A44" t="s">
        <v>377</v>
      </c>
      <c r="B44" t="s">
        <v>379</v>
      </c>
      <c r="C44" t="s">
        <v>378</v>
      </c>
      <c r="D44">
        <v>3</v>
      </c>
      <c r="E44">
        <v>8</v>
      </c>
      <c r="F44">
        <v>130</v>
      </c>
      <c r="G44">
        <v>13</v>
      </c>
      <c r="L44">
        <v>28</v>
      </c>
    </row>
    <row r="45" spans="1:12" x14ac:dyDescent="0.25">
      <c r="A45" t="s">
        <v>377</v>
      </c>
      <c r="B45" t="s">
        <v>379</v>
      </c>
      <c r="C45" t="s">
        <v>378</v>
      </c>
      <c r="D45">
        <v>3</v>
      </c>
      <c r="E45">
        <v>8</v>
      </c>
      <c r="F45">
        <v>140</v>
      </c>
      <c r="G45">
        <v>13</v>
      </c>
      <c r="L45">
        <v>28</v>
      </c>
    </row>
    <row r="46" spans="1:12" x14ac:dyDescent="0.25">
      <c r="A46" t="s">
        <v>377</v>
      </c>
      <c r="B46" t="s">
        <v>379</v>
      </c>
      <c r="C46" t="s">
        <v>378</v>
      </c>
      <c r="D46">
        <v>3</v>
      </c>
      <c r="E46">
        <v>8</v>
      </c>
      <c r="F46">
        <v>150</v>
      </c>
      <c r="G46">
        <v>13</v>
      </c>
      <c r="L46">
        <v>28</v>
      </c>
    </row>
    <row r="47" spans="1:12" x14ac:dyDescent="0.25">
      <c r="A47" t="s">
        <v>377</v>
      </c>
      <c r="B47" t="s">
        <v>379</v>
      </c>
      <c r="C47" t="s">
        <v>378</v>
      </c>
      <c r="D47">
        <v>3</v>
      </c>
      <c r="E47">
        <v>8</v>
      </c>
      <c r="F47">
        <v>160</v>
      </c>
      <c r="G47">
        <v>13</v>
      </c>
      <c r="L47">
        <v>28</v>
      </c>
    </row>
    <row r="48" spans="1:12" x14ac:dyDescent="0.25">
      <c r="A48" t="s">
        <v>377</v>
      </c>
      <c r="B48" t="s">
        <v>379</v>
      </c>
      <c r="C48" t="s">
        <v>378</v>
      </c>
      <c r="D48">
        <v>3</v>
      </c>
      <c r="E48">
        <v>8</v>
      </c>
      <c r="F48">
        <v>170</v>
      </c>
      <c r="G48">
        <v>13</v>
      </c>
      <c r="L48">
        <v>28</v>
      </c>
    </row>
    <row r="49" spans="1:12" x14ac:dyDescent="0.25">
      <c r="A49" t="s">
        <v>377</v>
      </c>
      <c r="B49" t="s">
        <v>379</v>
      </c>
      <c r="C49" t="s">
        <v>378</v>
      </c>
      <c r="D49">
        <v>3</v>
      </c>
      <c r="E49">
        <v>8</v>
      </c>
      <c r="F49">
        <v>180</v>
      </c>
      <c r="G49">
        <v>13</v>
      </c>
      <c r="L49">
        <v>28</v>
      </c>
    </row>
    <row r="50" spans="1:12" x14ac:dyDescent="0.25">
      <c r="A50" t="s">
        <v>377</v>
      </c>
      <c r="B50" t="s">
        <v>379</v>
      </c>
      <c r="C50" t="s">
        <v>378</v>
      </c>
      <c r="D50">
        <v>3</v>
      </c>
      <c r="E50">
        <v>8</v>
      </c>
      <c r="F50">
        <v>190</v>
      </c>
      <c r="G50">
        <v>13</v>
      </c>
      <c r="L50">
        <v>28</v>
      </c>
    </row>
    <row r="51" spans="1:12" x14ac:dyDescent="0.25">
      <c r="A51" t="s">
        <v>377</v>
      </c>
      <c r="B51" t="s">
        <v>379</v>
      </c>
      <c r="C51" t="s">
        <v>378</v>
      </c>
      <c r="D51">
        <v>3</v>
      </c>
      <c r="E51">
        <v>8</v>
      </c>
      <c r="F51">
        <v>200</v>
      </c>
      <c r="G51">
        <v>13</v>
      </c>
      <c r="L51">
        <v>28</v>
      </c>
    </row>
    <row r="52" spans="1:12" x14ac:dyDescent="0.25">
      <c r="A52" t="s">
        <v>377</v>
      </c>
      <c r="B52" t="s">
        <v>379</v>
      </c>
      <c r="C52" t="s">
        <v>378</v>
      </c>
      <c r="D52">
        <v>3</v>
      </c>
      <c r="E52">
        <v>8</v>
      </c>
      <c r="F52">
        <v>210</v>
      </c>
      <c r="G52">
        <v>13</v>
      </c>
      <c r="L52">
        <v>28</v>
      </c>
    </row>
    <row r="53" spans="1:12" x14ac:dyDescent="0.25">
      <c r="A53" t="s">
        <v>377</v>
      </c>
      <c r="B53" t="s">
        <v>379</v>
      </c>
      <c r="C53" t="s">
        <v>378</v>
      </c>
      <c r="D53">
        <v>3</v>
      </c>
      <c r="E53">
        <v>8</v>
      </c>
      <c r="F53">
        <v>220</v>
      </c>
      <c r="G53">
        <v>13</v>
      </c>
      <c r="L53">
        <v>28</v>
      </c>
    </row>
    <row r="54" spans="1:12" x14ac:dyDescent="0.25">
      <c r="A54" t="s">
        <v>377</v>
      </c>
      <c r="B54" t="s">
        <v>379</v>
      </c>
      <c r="C54" t="s">
        <v>378</v>
      </c>
      <c r="D54">
        <v>3</v>
      </c>
      <c r="E54">
        <v>10</v>
      </c>
      <c r="F54">
        <v>40</v>
      </c>
      <c r="G54">
        <v>13</v>
      </c>
      <c r="L54">
        <v>26</v>
      </c>
    </row>
    <row r="55" spans="1:12" x14ac:dyDescent="0.25">
      <c r="A55" t="s">
        <v>377</v>
      </c>
      <c r="B55" t="s">
        <v>379</v>
      </c>
      <c r="C55" t="s">
        <v>378</v>
      </c>
      <c r="D55">
        <v>3</v>
      </c>
      <c r="E55">
        <v>10</v>
      </c>
      <c r="F55">
        <v>45</v>
      </c>
      <c r="G55">
        <v>13</v>
      </c>
      <c r="L55">
        <v>26</v>
      </c>
    </row>
    <row r="56" spans="1:12" x14ac:dyDescent="0.25">
      <c r="A56" t="s">
        <v>377</v>
      </c>
      <c r="B56" t="s">
        <v>379</v>
      </c>
      <c r="C56" t="s">
        <v>378</v>
      </c>
      <c r="D56">
        <v>3</v>
      </c>
      <c r="E56">
        <v>10</v>
      </c>
      <c r="F56">
        <v>50</v>
      </c>
      <c r="G56">
        <v>13</v>
      </c>
      <c r="L56">
        <v>26</v>
      </c>
    </row>
    <row r="57" spans="1:12" x14ac:dyDescent="0.25">
      <c r="A57" t="s">
        <v>377</v>
      </c>
      <c r="B57" t="s">
        <v>379</v>
      </c>
      <c r="C57" t="s">
        <v>378</v>
      </c>
      <c r="D57">
        <v>3</v>
      </c>
      <c r="E57">
        <v>10</v>
      </c>
      <c r="F57">
        <v>55</v>
      </c>
      <c r="G57">
        <v>13</v>
      </c>
      <c r="L57">
        <v>26</v>
      </c>
    </row>
    <row r="58" spans="1:12" x14ac:dyDescent="0.25">
      <c r="A58" t="s">
        <v>377</v>
      </c>
      <c r="B58" t="s">
        <v>379</v>
      </c>
      <c r="C58" t="s">
        <v>378</v>
      </c>
      <c r="D58">
        <v>3</v>
      </c>
      <c r="E58">
        <v>10</v>
      </c>
      <c r="F58">
        <v>60</v>
      </c>
      <c r="G58">
        <v>13</v>
      </c>
      <c r="L58">
        <v>26</v>
      </c>
    </row>
    <row r="59" spans="1:12" x14ac:dyDescent="0.25">
      <c r="A59" t="s">
        <v>377</v>
      </c>
      <c r="B59" t="s">
        <v>379</v>
      </c>
      <c r="C59" t="s">
        <v>378</v>
      </c>
      <c r="D59">
        <v>3</v>
      </c>
      <c r="E59">
        <v>10</v>
      </c>
      <c r="F59">
        <v>65</v>
      </c>
      <c r="G59">
        <v>13</v>
      </c>
      <c r="L59">
        <v>26</v>
      </c>
    </row>
    <row r="60" spans="1:12" x14ac:dyDescent="0.25">
      <c r="A60" t="s">
        <v>377</v>
      </c>
      <c r="B60" t="s">
        <v>379</v>
      </c>
      <c r="C60" t="s">
        <v>378</v>
      </c>
      <c r="D60">
        <v>3</v>
      </c>
      <c r="E60">
        <v>10</v>
      </c>
      <c r="F60">
        <v>70</v>
      </c>
      <c r="G60">
        <v>13</v>
      </c>
      <c r="L60">
        <v>26</v>
      </c>
    </row>
    <row r="61" spans="1:12" x14ac:dyDescent="0.25">
      <c r="A61" t="s">
        <v>377</v>
      </c>
      <c r="B61" t="s">
        <v>379</v>
      </c>
      <c r="C61" t="s">
        <v>378</v>
      </c>
      <c r="D61">
        <v>3</v>
      </c>
      <c r="E61">
        <v>10</v>
      </c>
      <c r="F61">
        <v>75</v>
      </c>
      <c r="G61">
        <v>13</v>
      </c>
      <c r="L61">
        <v>26</v>
      </c>
    </row>
    <row r="62" spans="1:12" x14ac:dyDescent="0.25">
      <c r="A62" t="s">
        <v>377</v>
      </c>
      <c r="B62" t="s">
        <v>379</v>
      </c>
      <c r="C62" t="s">
        <v>378</v>
      </c>
      <c r="D62">
        <v>3</v>
      </c>
      <c r="E62">
        <v>10</v>
      </c>
      <c r="F62">
        <v>80</v>
      </c>
      <c r="G62">
        <v>13</v>
      </c>
      <c r="L62">
        <v>26</v>
      </c>
    </row>
    <row r="63" spans="1:12" x14ac:dyDescent="0.25">
      <c r="A63" t="s">
        <v>377</v>
      </c>
      <c r="B63" t="s">
        <v>379</v>
      </c>
      <c r="C63" t="s">
        <v>378</v>
      </c>
      <c r="D63">
        <v>3</v>
      </c>
      <c r="E63">
        <v>10</v>
      </c>
      <c r="F63">
        <v>85</v>
      </c>
      <c r="G63">
        <v>13</v>
      </c>
      <c r="L63">
        <v>26</v>
      </c>
    </row>
    <row r="64" spans="1:12" x14ac:dyDescent="0.25">
      <c r="A64" t="s">
        <v>377</v>
      </c>
      <c r="B64" t="s">
        <v>379</v>
      </c>
      <c r="C64" t="s">
        <v>378</v>
      </c>
      <c r="D64">
        <v>3</v>
      </c>
      <c r="E64">
        <v>10</v>
      </c>
      <c r="F64">
        <v>90</v>
      </c>
      <c r="G64">
        <v>13</v>
      </c>
      <c r="L64">
        <v>26</v>
      </c>
    </row>
    <row r="65" spans="1:12" x14ac:dyDescent="0.25">
      <c r="A65" t="s">
        <v>377</v>
      </c>
      <c r="B65" t="s">
        <v>379</v>
      </c>
      <c r="C65" t="s">
        <v>378</v>
      </c>
      <c r="D65">
        <v>3</v>
      </c>
      <c r="E65">
        <v>10</v>
      </c>
      <c r="F65">
        <v>95</v>
      </c>
      <c r="G65">
        <v>13</v>
      </c>
      <c r="L65">
        <v>26</v>
      </c>
    </row>
    <row r="66" spans="1:12" x14ac:dyDescent="0.25">
      <c r="A66" t="s">
        <v>377</v>
      </c>
      <c r="B66" t="s">
        <v>379</v>
      </c>
      <c r="C66" t="s">
        <v>378</v>
      </c>
      <c r="D66">
        <v>3</v>
      </c>
      <c r="E66">
        <v>10</v>
      </c>
      <c r="F66">
        <v>100</v>
      </c>
      <c r="G66">
        <v>16</v>
      </c>
      <c r="L66">
        <v>26</v>
      </c>
    </row>
    <row r="67" spans="1:12" x14ac:dyDescent="0.25">
      <c r="A67" t="s">
        <v>377</v>
      </c>
      <c r="B67" t="s">
        <v>379</v>
      </c>
      <c r="C67" t="s">
        <v>378</v>
      </c>
      <c r="D67">
        <v>3</v>
      </c>
      <c r="E67">
        <v>10</v>
      </c>
      <c r="F67">
        <v>105</v>
      </c>
      <c r="G67">
        <v>16</v>
      </c>
      <c r="L67">
        <v>26</v>
      </c>
    </row>
    <row r="68" spans="1:12" x14ac:dyDescent="0.25">
      <c r="A68" t="s">
        <v>377</v>
      </c>
      <c r="B68" t="s">
        <v>379</v>
      </c>
      <c r="C68" t="s">
        <v>378</v>
      </c>
      <c r="D68">
        <v>3</v>
      </c>
      <c r="E68">
        <v>10</v>
      </c>
      <c r="F68">
        <v>110</v>
      </c>
      <c r="G68">
        <v>16</v>
      </c>
      <c r="L68">
        <v>26</v>
      </c>
    </row>
    <row r="69" spans="1:12" x14ac:dyDescent="0.25">
      <c r="A69" t="s">
        <v>377</v>
      </c>
      <c r="B69" t="s">
        <v>379</v>
      </c>
      <c r="C69" t="s">
        <v>378</v>
      </c>
      <c r="D69">
        <v>3</v>
      </c>
      <c r="E69">
        <v>10</v>
      </c>
      <c r="F69">
        <v>115</v>
      </c>
      <c r="G69">
        <v>16</v>
      </c>
      <c r="L69">
        <v>26</v>
      </c>
    </row>
    <row r="70" spans="1:12" x14ac:dyDescent="0.25">
      <c r="A70" t="s">
        <v>377</v>
      </c>
      <c r="B70" t="s">
        <v>379</v>
      </c>
      <c r="C70" t="s">
        <v>378</v>
      </c>
      <c r="D70">
        <v>3</v>
      </c>
      <c r="E70">
        <v>10</v>
      </c>
      <c r="F70">
        <v>120</v>
      </c>
      <c r="G70">
        <v>16</v>
      </c>
      <c r="L70">
        <v>26</v>
      </c>
    </row>
    <row r="71" spans="1:12" x14ac:dyDescent="0.25">
      <c r="A71" t="s">
        <v>377</v>
      </c>
      <c r="B71" t="s">
        <v>379</v>
      </c>
      <c r="C71" t="s">
        <v>378</v>
      </c>
      <c r="D71">
        <v>3</v>
      </c>
      <c r="E71">
        <v>10</v>
      </c>
      <c r="F71">
        <v>130</v>
      </c>
      <c r="G71">
        <v>16</v>
      </c>
      <c r="L71">
        <v>32</v>
      </c>
    </row>
    <row r="72" spans="1:12" x14ac:dyDescent="0.25">
      <c r="A72" t="s">
        <v>377</v>
      </c>
      <c r="B72" t="s">
        <v>379</v>
      </c>
      <c r="C72" t="s">
        <v>378</v>
      </c>
      <c r="D72">
        <v>3</v>
      </c>
      <c r="E72">
        <v>10</v>
      </c>
      <c r="F72">
        <v>140</v>
      </c>
      <c r="G72">
        <v>16</v>
      </c>
      <c r="L72">
        <v>32</v>
      </c>
    </row>
    <row r="73" spans="1:12" x14ac:dyDescent="0.25">
      <c r="A73" t="s">
        <v>377</v>
      </c>
      <c r="B73" t="s">
        <v>379</v>
      </c>
      <c r="C73" t="s">
        <v>378</v>
      </c>
      <c r="D73">
        <v>3</v>
      </c>
      <c r="E73">
        <v>10</v>
      </c>
      <c r="F73">
        <v>150</v>
      </c>
      <c r="G73">
        <v>16</v>
      </c>
      <c r="L73">
        <v>32</v>
      </c>
    </row>
    <row r="74" spans="1:12" x14ac:dyDescent="0.25">
      <c r="A74" t="s">
        <v>377</v>
      </c>
      <c r="B74" t="s">
        <v>379</v>
      </c>
      <c r="C74" t="s">
        <v>378</v>
      </c>
      <c r="D74">
        <v>3</v>
      </c>
      <c r="E74">
        <v>10</v>
      </c>
      <c r="F74">
        <v>160</v>
      </c>
      <c r="G74">
        <v>16</v>
      </c>
      <c r="L74">
        <v>32</v>
      </c>
    </row>
    <row r="75" spans="1:12" x14ac:dyDescent="0.25">
      <c r="A75" t="s">
        <v>377</v>
      </c>
      <c r="B75" t="s">
        <v>379</v>
      </c>
      <c r="C75" t="s">
        <v>378</v>
      </c>
      <c r="D75">
        <v>3</v>
      </c>
      <c r="E75">
        <v>10</v>
      </c>
      <c r="F75">
        <v>170</v>
      </c>
      <c r="G75">
        <v>16</v>
      </c>
      <c r="L75">
        <v>32</v>
      </c>
    </row>
    <row r="76" spans="1:12" x14ac:dyDescent="0.25">
      <c r="A76" t="s">
        <v>377</v>
      </c>
      <c r="B76" t="s">
        <v>379</v>
      </c>
      <c r="C76" t="s">
        <v>378</v>
      </c>
      <c r="D76">
        <v>3</v>
      </c>
      <c r="E76">
        <v>10</v>
      </c>
      <c r="F76">
        <v>180</v>
      </c>
      <c r="G76">
        <v>16</v>
      </c>
      <c r="L76">
        <v>32</v>
      </c>
    </row>
    <row r="77" spans="1:12" x14ac:dyDescent="0.25">
      <c r="A77" t="s">
        <v>377</v>
      </c>
      <c r="B77" t="s">
        <v>379</v>
      </c>
      <c r="C77" t="s">
        <v>378</v>
      </c>
      <c r="D77">
        <v>3</v>
      </c>
      <c r="E77">
        <v>10</v>
      </c>
      <c r="F77">
        <v>190</v>
      </c>
      <c r="G77">
        <v>16</v>
      </c>
      <c r="L77">
        <v>32</v>
      </c>
    </row>
    <row r="78" spans="1:12" x14ac:dyDescent="0.25">
      <c r="A78" t="s">
        <v>377</v>
      </c>
      <c r="B78" t="s">
        <v>379</v>
      </c>
      <c r="C78" t="s">
        <v>378</v>
      </c>
      <c r="D78">
        <v>3</v>
      </c>
      <c r="E78">
        <v>10</v>
      </c>
      <c r="F78">
        <v>200</v>
      </c>
      <c r="G78">
        <v>16</v>
      </c>
      <c r="L78">
        <v>32</v>
      </c>
    </row>
    <row r="79" spans="1:12" s="57" customFormat="1" x14ac:dyDescent="0.25">
      <c r="A79" t="s">
        <v>377</v>
      </c>
      <c r="B79" t="s">
        <v>379</v>
      </c>
      <c r="C79" t="s">
        <v>378</v>
      </c>
      <c r="D79">
        <v>3</v>
      </c>
      <c r="E79">
        <v>10</v>
      </c>
      <c r="F79">
        <v>210</v>
      </c>
      <c r="G79">
        <v>16</v>
      </c>
      <c r="L79">
        <v>45</v>
      </c>
    </row>
    <row r="80" spans="1:12" s="57" customFormat="1" x14ac:dyDescent="0.25">
      <c r="A80" t="s">
        <v>377</v>
      </c>
      <c r="B80" t="s">
        <v>379</v>
      </c>
      <c r="C80" t="s">
        <v>378</v>
      </c>
      <c r="D80">
        <v>3</v>
      </c>
      <c r="E80">
        <v>10</v>
      </c>
      <c r="F80">
        <v>220</v>
      </c>
      <c r="G80">
        <v>16</v>
      </c>
      <c r="L80">
        <v>45</v>
      </c>
    </row>
    <row r="81" spans="1:12" s="57" customFormat="1" x14ac:dyDescent="0.25">
      <c r="A81" t="s">
        <v>377</v>
      </c>
      <c r="B81" t="s">
        <v>379</v>
      </c>
      <c r="C81" t="s">
        <v>378</v>
      </c>
      <c r="D81">
        <v>3</v>
      </c>
      <c r="E81">
        <v>10</v>
      </c>
      <c r="F81">
        <v>230</v>
      </c>
      <c r="G81">
        <v>16</v>
      </c>
      <c r="L81">
        <v>45</v>
      </c>
    </row>
    <row r="82" spans="1:12" s="57" customFormat="1" x14ac:dyDescent="0.25">
      <c r="A82" t="s">
        <v>377</v>
      </c>
      <c r="B82" t="s">
        <v>379</v>
      </c>
      <c r="C82" t="s">
        <v>378</v>
      </c>
      <c r="D82">
        <v>3</v>
      </c>
      <c r="E82">
        <v>10</v>
      </c>
      <c r="F82">
        <v>240</v>
      </c>
      <c r="G82">
        <v>16</v>
      </c>
      <c r="L82">
        <v>45</v>
      </c>
    </row>
    <row r="83" spans="1:12" s="57" customFormat="1" x14ac:dyDescent="0.25">
      <c r="A83" t="s">
        <v>377</v>
      </c>
      <c r="B83" t="s">
        <v>379</v>
      </c>
      <c r="C83" t="s">
        <v>378</v>
      </c>
      <c r="D83">
        <v>3</v>
      </c>
      <c r="E83">
        <v>10</v>
      </c>
      <c r="F83">
        <v>250</v>
      </c>
      <c r="G83">
        <v>16</v>
      </c>
      <c r="L83">
        <v>45</v>
      </c>
    </row>
    <row r="84" spans="1:12" s="57" customFormat="1" x14ac:dyDescent="0.25">
      <c r="A84" t="s">
        <v>377</v>
      </c>
      <c r="B84" t="s">
        <v>379</v>
      </c>
      <c r="C84" t="s">
        <v>378</v>
      </c>
      <c r="D84">
        <v>3</v>
      </c>
      <c r="E84">
        <v>10</v>
      </c>
      <c r="F84">
        <v>260</v>
      </c>
      <c r="G84">
        <v>16</v>
      </c>
      <c r="L84">
        <v>45</v>
      </c>
    </row>
    <row r="85" spans="1:12" s="57" customFormat="1" x14ac:dyDescent="0.25">
      <c r="A85" t="s">
        <v>377</v>
      </c>
      <c r="B85" t="s">
        <v>379</v>
      </c>
      <c r="C85" t="s">
        <v>378</v>
      </c>
      <c r="D85">
        <v>3</v>
      </c>
      <c r="E85">
        <v>10</v>
      </c>
      <c r="F85">
        <v>270</v>
      </c>
      <c r="G85">
        <v>16</v>
      </c>
      <c r="L85">
        <v>45</v>
      </c>
    </row>
    <row r="86" spans="1:12" s="57" customFormat="1" x14ac:dyDescent="0.25">
      <c r="A86" t="s">
        <v>377</v>
      </c>
      <c r="B86" t="s">
        <v>379</v>
      </c>
      <c r="C86" t="s">
        <v>378</v>
      </c>
      <c r="D86">
        <v>3</v>
      </c>
      <c r="E86">
        <v>10</v>
      </c>
      <c r="F86">
        <v>280</v>
      </c>
      <c r="G86">
        <v>16</v>
      </c>
      <c r="L86">
        <v>45</v>
      </c>
    </row>
    <row r="87" spans="1:12" s="57" customFormat="1" x14ac:dyDescent="0.25">
      <c r="A87" t="s">
        <v>377</v>
      </c>
      <c r="B87" t="s">
        <v>379</v>
      </c>
      <c r="C87" t="s">
        <v>378</v>
      </c>
      <c r="D87">
        <v>3</v>
      </c>
      <c r="E87">
        <v>10</v>
      </c>
      <c r="F87">
        <v>300</v>
      </c>
      <c r="G87">
        <v>16</v>
      </c>
      <c r="L87">
        <v>45</v>
      </c>
    </row>
    <row r="88" spans="1:12" s="57" customFormat="1" x14ac:dyDescent="0.25">
      <c r="A88" t="s">
        <v>377</v>
      </c>
      <c r="B88" t="s">
        <v>379</v>
      </c>
      <c r="C88" t="s">
        <v>378</v>
      </c>
      <c r="D88">
        <v>3</v>
      </c>
      <c r="E88">
        <v>12</v>
      </c>
      <c r="F88">
        <v>45</v>
      </c>
      <c r="G88">
        <v>16</v>
      </c>
      <c r="L88">
        <v>30</v>
      </c>
    </row>
    <row r="89" spans="1:12" s="57" customFormat="1" x14ac:dyDescent="0.25">
      <c r="A89" t="s">
        <v>377</v>
      </c>
      <c r="B89" t="s">
        <v>379</v>
      </c>
      <c r="C89" t="s">
        <v>378</v>
      </c>
      <c r="D89">
        <v>3</v>
      </c>
      <c r="E89">
        <v>12</v>
      </c>
      <c r="F89">
        <v>50</v>
      </c>
      <c r="G89">
        <v>16</v>
      </c>
      <c r="L89">
        <v>30</v>
      </c>
    </row>
    <row r="90" spans="1:12" s="57" customFormat="1" x14ac:dyDescent="0.25">
      <c r="A90" t="s">
        <v>377</v>
      </c>
      <c r="B90" t="s">
        <v>379</v>
      </c>
      <c r="C90" t="s">
        <v>378</v>
      </c>
      <c r="D90">
        <v>3</v>
      </c>
      <c r="E90">
        <v>12</v>
      </c>
      <c r="F90">
        <v>55</v>
      </c>
      <c r="G90">
        <v>16</v>
      </c>
      <c r="L90">
        <v>30</v>
      </c>
    </row>
    <row r="91" spans="1:12" s="57" customFormat="1" x14ac:dyDescent="0.25">
      <c r="A91" t="s">
        <v>377</v>
      </c>
      <c r="B91" t="s">
        <v>379</v>
      </c>
      <c r="C91" t="s">
        <v>378</v>
      </c>
      <c r="D91">
        <v>3</v>
      </c>
      <c r="E91">
        <v>12</v>
      </c>
      <c r="F91">
        <v>60</v>
      </c>
      <c r="G91">
        <v>16</v>
      </c>
      <c r="L91">
        <v>30</v>
      </c>
    </row>
    <row r="92" spans="1:12" s="57" customFormat="1" x14ac:dyDescent="0.25">
      <c r="A92" t="s">
        <v>377</v>
      </c>
      <c r="B92" t="s">
        <v>379</v>
      </c>
      <c r="C92" t="s">
        <v>378</v>
      </c>
      <c r="D92">
        <v>3</v>
      </c>
      <c r="E92">
        <v>12</v>
      </c>
      <c r="F92">
        <v>65</v>
      </c>
      <c r="G92">
        <v>16</v>
      </c>
      <c r="L92">
        <v>30</v>
      </c>
    </row>
    <row r="93" spans="1:12" s="57" customFormat="1" x14ac:dyDescent="0.25">
      <c r="A93" t="s">
        <v>377</v>
      </c>
      <c r="B93" t="s">
        <v>379</v>
      </c>
      <c r="C93" t="s">
        <v>378</v>
      </c>
      <c r="D93">
        <v>3</v>
      </c>
      <c r="E93">
        <v>12</v>
      </c>
      <c r="F93">
        <v>70</v>
      </c>
      <c r="G93">
        <v>16</v>
      </c>
      <c r="L93">
        <v>30</v>
      </c>
    </row>
    <row r="94" spans="1:12" s="57" customFormat="1" x14ac:dyDescent="0.25">
      <c r="A94" t="s">
        <v>377</v>
      </c>
      <c r="B94" t="s">
        <v>379</v>
      </c>
      <c r="C94" t="s">
        <v>378</v>
      </c>
      <c r="D94">
        <v>3</v>
      </c>
      <c r="E94">
        <v>12</v>
      </c>
      <c r="F94">
        <v>75</v>
      </c>
      <c r="G94">
        <v>16</v>
      </c>
      <c r="L94">
        <v>30</v>
      </c>
    </row>
    <row r="95" spans="1:12" s="57" customFormat="1" x14ac:dyDescent="0.25">
      <c r="A95" t="s">
        <v>377</v>
      </c>
      <c r="B95" t="s">
        <v>379</v>
      </c>
      <c r="C95" t="s">
        <v>378</v>
      </c>
      <c r="D95">
        <v>3</v>
      </c>
      <c r="E95">
        <v>12</v>
      </c>
      <c r="F95">
        <v>80</v>
      </c>
      <c r="G95">
        <v>16</v>
      </c>
      <c r="L95">
        <v>30</v>
      </c>
    </row>
    <row r="96" spans="1:12" s="57" customFormat="1" x14ac:dyDescent="0.25">
      <c r="A96" t="s">
        <v>377</v>
      </c>
      <c r="B96" t="s">
        <v>379</v>
      </c>
      <c r="C96" t="s">
        <v>378</v>
      </c>
      <c r="D96">
        <v>3</v>
      </c>
      <c r="E96">
        <v>12</v>
      </c>
      <c r="F96">
        <v>85</v>
      </c>
      <c r="G96">
        <v>16</v>
      </c>
      <c r="L96">
        <v>30</v>
      </c>
    </row>
    <row r="97" spans="1:12" s="57" customFormat="1" x14ac:dyDescent="0.25">
      <c r="A97" t="s">
        <v>377</v>
      </c>
      <c r="B97" t="s">
        <v>379</v>
      </c>
      <c r="C97" t="s">
        <v>378</v>
      </c>
      <c r="D97">
        <v>3</v>
      </c>
      <c r="E97">
        <v>12</v>
      </c>
      <c r="F97">
        <v>90</v>
      </c>
      <c r="G97">
        <v>16</v>
      </c>
      <c r="L97">
        <v>30</v>
      </c>
    </row>
    <row r="98" spans="1:12" s="57" customFormat="1" x14ac:dyDescent="0.25">
      <c r="A98" t="s">
        <v>377</v>
      </c>
      <c r="B98" t="s">
        <v>379</v>
      </c>
      <c r="C98" t="s">
        <v>378</v>
      </c>
      <c r="D98">
        <v>3</v>
      </c>
      <c r="E98">
        <v>12</v>
      </c>
      <c r="F98">
        <v>95</v>
      </c>
      <c r="G98">
        <v>16</v>
      </c>
      <c r="L98">
        <v>30</v>
      </c>
    </row>
    <row r="99" spans="1:12" x14ac:dyDescent="0.25">
      <c r="A99" t="s">
        <v>377</v>
      </c>
      <c r="B99" t="s">
        <v>379</v>
      </c>
      <c r="C99" t="s">
        <v>378</v>
      </c>
      <c r="D99">
        <v>3</v>
      </c>
      <c r="E99">
        <v>12</v>
      </c>
      <c r="F99">
        <v>100</v>
      </c>
      <c r="G99">
        <v>18</v>
      </c>
      <c r="L99">
        <v>30</v>
      </c>
    </row>
    <row r="100" spans="1:12" x14ac:dyDescent="0.25">
      <c r="A100" t="s">
        <v>377</v>
      </c>
      <c r="B100" t="s">
        <v>379</v>
      </c>
      <c r="C100" t="s">
        <v>378</v>
      </c>
      <c r="D100">
        <v>3</v>
      </c>
      <c r="E100">
        <v>12</v>
      </c>
      <c r="F100">
        <v>110</v>
      </c>
      <c r="G100">
        <v>18</v>
      </c>
      <c r="L100">
        <v>30</v>
      </c>
    </row>
    <row r="101" spans="1:12" x14ac:dyDescent="0.25">
      <c r="A101" t="s">
        <v>377</v>
      </c>
      <c r="B101" t="s">
        <v>379</v>
      </c>
      <c r="C101" t="s">
        <v>378</v>
      </c>
      <c r="D101">
        <v>3</v>
      </c>
      <c r="E101">
        <v>12</v>
      </c>
      <c r="F101">
        <v>115</v>
      </c>
      <c r="G101">
        <v>18</v>
      </c>
      <c r="L101">
        <v>30</v>
      </c>
    </row>
    <row r="102" spans="1:12" x14ac:dyDescent="0.25">
      <c r="A102" t="s">
        <v>377</v>
      </c>
      <c r="B102" t="s">
        <v>379</v>
      </c>
      <c r="C102" t="s">
        <v>378</v>
      </c>
      <c r="D102">
        <v>3</v>
      </c>
      <c r="E102">
        <v>12</v>
      </c>
      <c r="F102">
        <v>120</v>
      </c>
      <c r="G102">
        <v>18</v>
      </c>
      <c r="L102">
        <v>30</v>
      </c>
    </row>
    <row r="103" spans="1:12" x14ac:dyDescent="0.25">
      <c r="A103" t="s">
        <v>377</v>
      </c>
      <c r="B103" t="s">
        <v>379</v>
      </c>
      <c r="C103" t="s">
        <v>378</v>
      </c>
      <c r="D103">
        <v>3</v>
      </c>
      <c r="E103">
        <v>12</v>
      </c>
      <c r="F103">
        <v>130</v>
      </c>
      <c r="G103">
        <v>18</v>
      </c>
      <c r="L103">
        <v>36</v>
      </c>
    </row>
    <row r="104" spans="1:12" x14ac:dyDescent="0.25">
      <c r="A104" t="s">
        <v>377</v>
      </c>
      <c r="B104" t="s">
        <v>379</v>
      </c>
      <c r="C104" t="s">
        <v>378</v>
      </c>
      <c r="D104">
        <v>3</v>
      </c>
      <c r="E104">
        <v>12</v>
      </c>
      <c r="F104">
        <v>140</v>
      </c>
      <c r="G104">
        <v>18</v>
      </c>
      <c r="L104">
        <v>36</v>
      </c>
    </row>
    <row r="105" spans="1:12" x14ac:dyDescent="0.25">
      <c r="A105" t="s">
        <v>377</v>
      </c>
      <c r="B105" t="s">
        <v>379</v>
      </c>
      <c r="C105" t="s">
        <v>378</v>
      </c>
      <c r="D105">
        <v>3</v>
      </c>
      <c r="E105">
        <v>12</v>
      </c>
      <c r="F105">
        <v>150</v>
      </c>
      <c r="G105">
        <v>18</v>
      </c>
      <c r="L105">
        <v>36</v>
      </c>
    </row>
    <row r="106" spans="1:12" x14ac:dyDescent="0.25">
      <c r="A106" t="s">
        <v>377</v>
      </c>
      <c r="B106" t="s">
        <v>379</v>
      </c>
      <c r="C106" t="s">
        <v>378</v>
      </c>
      <c r="D106">
        <v>3</v>
      </c>
      <c r="E106">
        <v>12</v>
      </c>
      <c r="F106">
        <v>160</v>
      </c>
      <c r="G106">
        <v>18</v>
      </c>
      <c r="L106">
        <v>36</v>
      </c>
    </row>
    <row r="107" spans="1:12" x14ac:dyDescent="0.25">
      <c r="A107" t="s">
        <v>377</v>
      </c>
      <c r="B107" t="s">
        <v>379</v>
      </c>
      <c r="C107" t="s">
        <v>378</v>
      </c>
      <c r="D107">
        <v>3</v>
      </c>
      <c r="E107">
        <v>12</v>
      </c>
      <c r="F107">
        <v>170</v>
      </c>
      <c r="G107">
        <v>18</v>
      </c>
      <c r="L107">
        <v>36</v>
      </c>
    </row>
    <row r="108" spans="1:12" x14ac:dyDescent="0.25">
      <c r="A108" t="s">
        <v>377</v>
      </c>
      <c r="B108" t="s">
        <v>379</v>
      </c>
      <c r="C108" t="s">
        <v>378</v>
      </c>
      <c r="D108">
        <v>3</v>
      </c>
      <c r="E108">
        <v>12</v>
      </c>
      <c r="F108">
        <v>180</v>
      </c>
      <c r="G108">
        <v>18</v>
      </c>
      <c r="L108">
        <v>36</v>
      </c>
    </row>
    <row r="109" spans="1:12" x14ac:dyDescent="0.25">
      <c r="A109" t="s">
        <v>377</v>
      </c>
      <c r="B109" t="s">
        <v>379</v>
      </c>
      <c r="C109" t="s">
        <v>378</v>
      </c>
      <c r="D109">
        <v>3</v>
      </c>
      <c r="E109">
        <v>12</v>
      </c>
      <c r="F109">
        <v>190</v>
      </c>
      <c r="G109">
        <v>18</v>
      </c>
      <c r="L109">
        <v>36</v>
      </c>
    </row>
    <row r="110" spans="1:12" x14ac:dyDescent="0.25">
      <c r="A110" t="s">
        <v>377</v>
      </c>
      <c r="B110" t="s">
        <v>379</v>
      </c>
      <c r="C110" t="s">
        <v>378</v>
      </c>
      <c r="D110">
        <v>3</v>
      </c>
      <c r="E110">
        <v>12</v>
      </c>
      <c r="F110">
        <v>200</v>
      </c>
      <c r="G110">
        <v>18</v>
      </c>
      <c r="L110">
        <v>36</v>
      </c>
    </row>
    <row r="111" spans="1:12" x14ac:dyDescent="0.25">
      <c r="A111" t="s">
        <v>377</v>
      </c>
      <c r="B111" t="s">
        <v>379</v>
      </c>
      <c r="C111" t="s">
        <v>378</v>
      </c>
      <c r="D111">
        <v>3</v>
      </c>
      <c r="E111">
        <v>12</v>
      </c>
      <c r="F111">
        <v>210</v>
      </c>
      <c r="G111">
        <v>18</v>
      </c>
      <c r="L111">
        <v>49</v>
      </c>
    </row>
    <row r="112" spans="1:12" x14ac:dyDescent="0.25">
      <c r="A112" t="s">
        <v>377</v>
      </c>
      <c r="B112" t="s">
        <v>379</v>
      </c>
      <c r="C112" t="s">
        <v>378</v>
      </c>
      <c r="D112">
        <v>3</v>
      </c>
      <c r="E112">
        <v>12</v>
      </c>
      <c r="F112">
        <v>220</v>
      </c>
      <c r="G112">
        <v>18</v>
      </c>
      <c r="L112">
        <v>49</v>
      </c>
    </row>
    <row r="113" spans="1:12" x14ac:dyDescent="0.25">
      <c r="A113" t="s">
        <v>377</v>
      </c>
      <c r="B113" t="s">
        <v>379</v>
      </c>
      <c r="C113" t="s">
        <v>378</v>
      </c>
      <c r="D113">
        <v>3</v>
      </c>
      <c r="E113">
        <v>12</v>
      </c>
      <c r="F113">
        <v>230</v>
      </c>
      <c r="G113">
        <v>18</v>
      </c>
      <c r="L113">
        <v>49</v>
      </c>
    </row>
    <row r="114" spans="1:12" x14ac:dyDescent="0.25">
      <c r="A114" t="s">
        <v>377</v>
      </c>
      <c r="B114" t="s">
        <v>379</v>
      </c>
      <c r="C114" t="s">
        <v>378</v>
      </c>
      <c r="D114">
        <v>3</v>
      </c>
      <c r="E114">
        <v>12</v>
      </c>
      <c r="F114">
        <v>240</v>
      </c>
      <c r="G114">
        <v>18</v>
      </c>
      <c r="L114">
        <v>49</v>
      </c>
    </row>
    <row r="115" spans="1:12" x14ac:dyDescent="0.25">
      <c r="A115" t="s">
        <v>377</v>
      </c>
      <c r="B115" t="s">
        <v>379</v>
      </c>
      <c r="C115" t="s">
        <v>378</v>
      </c>
      <c r="D115">
        <v>3</v>
      </c>
      <c r="E115">
        <v>12</v>
      </c>
      <c r="F115">
        <v>250</v>
      </c>
      <c r="G115">
        <v>18</v>
      </c>
      <c r="L115">
        <v>49</v>
      </c>
    </row>
    <row r="116" spans="1:12" x14ac:dyDescent="0.25">
      <c r="A116" t="s">
        <v>377</v>
      </c>
      <c r="B116" t="s">
        <v>379</v>
      </c>
      <c r="C116" t="s">
        <v>378</v>
      </c>
      <c r="D116">
        <v>3</v>
      </c>
      <c r="E116">
        <v>12</v>
      </c>
      <c r="F116">
        <v>260</v>
      </c>
      <c r="G116">
        <v>18</v>
      </c>
      <c r="L116">
        <v>49</v>
      </c>
    </row>
    <row r="117" spans="1:12" x14ac:dyDescent="0.25">
      <c r="A117" t="s">
        <v>377</v>
      </c>
      <c r="B117" t="s">
        <v>379</v>
      </c>
      <c r="C117" t="s">
        <v>378</v>
      </c>
      <c r="D117">
        <v>3</v>
      </c>
      <c r="E117">
        <v>12</v>
      </c>
      <c r="F117">
        <v>270</v>
      </c>
      <c r="G117">
        <v>18</v>
      </c>
      <c r="L117">
        <v>49</v>
      </c>
    </row>
    <row r="118" spans="1:12" x14ac:dyDescent="0.25">
      <c r="A118" t="s">
        <v>377</v>
      </c>
      <c r="B118" t="s">
        <v>379</v>
      </c>
      <c r="C118" t="s">
        <v>378</v>
      </c>
      <c r="D118">
        <v>3</v>
      </c>
      <c r="E118">
        <v>12</v>
      </c>
      <c r="F118">
        <v>280</v>
      </c>
      <c r="G118">
        <v>18</v>
      </c>
      <c r="L118">
        <v>49</v>
      </c>
    </row>
    <row r="119" spans="1:12" x14ac:dyDescent="0.25">
      <c r="A119" t="s">
        <v>377</v>
      </c>
      <c r="B119" t="s">
        <v>379</v>
      </c>
      <c r="C119" t="s">
        <v>378</v>
      </c>
      <c r="D119">
        <v>3</v>
      </c>
      <c r="E119">
        <v>12</v>
      </c>
      <c r="F119">
        <v>290</v>
      </c>
      <c r="G119">
        <v>18</v>
      </c>
      <c r="L119">
        <v>49</v>
      </c>
    </row>
    <row r="120" spans="1:12" x14ac:dyDescent="0.25">
      <c r="A120" t="s">
        <v>377</v>
      </c>
      <c r="B120" t="s">
        <v>379</v>
      </c>
      <c r="C120" t="s">
        <v>378</v>
      </c>
      <c r="D120">
        <v>3</v>
      </c>
      <c r="E120">
        <v>12</v>
      </c>
      <c r="F120">
        <v>300</v>
      </c>
      <c r="G120">
        <v>18</v>
      </c>
      <c r="L120">
        <v>49</v>
      </c>
    </row>
    <row r="121" spans="1:12" x14ac:dyDescent="0.25">
      <c r="A121" t="s">
        <v>377</v>
      </c>
      <c r="B121" t="s">
        <v>379</v>
      </c>
      <c r="C121" t="s">
        <v>378</v>
      </c>
      <c r="D121">
        <v>3</v>
      </c>
      <c r="E121">
        <v>12</v>
      </c>
      <c r="F121">
        <v>310</v>
      </c>
      <c r="G121">
        <v>18</v>
      </c>
      <c r="L121">
        <v>49</v>
      </c>
    </row>
    <row r="122" spans="1:12" x14ac:dyDescent="0.25">
      <c r="A122" t="s">
        <v>377</v>
      </c>
      <c r="B122" t="s">
        <v>379</v>
      </c>
      <c r="C122" t="s">
        <v>378</v>
      </c>
      <c r="D122">
        <v>3</v>
      </c>
      <c r="E122">
        <v>12</v>
      </c>
      <c r="F122">
        <v>320</v>
      </c>
      <c r="G122">
        <v>18</v>
      </c>
      <c r="L122">
        <v>49</v>
      </c>
    </row>
    <row r="123" spans="1:12" x14ac:dyDescent="0.25">
      <c r="A123" t="s">
        <v>377</v>
      </c>
      <c r="B123" t="s">
        <v>379</v>
      </c>
      <c r="C123" t="s">
        <v>378</v>
      </c>
      <c r="D123">
        <v>3</v>
      </c>
      <c r="E123">
        <v>12</v>
      </c>
      <c r="F123">
        <v>330</v>
      </c>
      <c r="G123">
        <v>18</v>
      </c>
      <c r="L123">
        <v>49</v>
      </c>
    </row>
    <row r="124" spans="1:12" x14ac:dyDescent="0.25">
      <c r="A124" t="s">
        <v>377</v>
      </c>
      <c r="B124" t="s">
        <v>379</v>
      </c>
      <c r="C124" t="s">
        <v>378</v>
      </c>
      <c r="D124">
        <v>3</v>
      </c>
      <c r="E124">
        <v>14</v>
      </c>
      <c r="F124">
        <v>50</v>
      </c>
      <c r="G124">
        <v>18</v>
      </c>
      <c r="L124">
        <v>34</v>
      </c>
    </row>
    <row r="125" spans="1:12" x14ac:dyDescent="0.25">
      <c r="A125" t="s">
        <v>377</v>
      </c>
      <c r="B125" t="s">
        <v>379</v>
      </c>
      <c r="C125" t="s">
        <v>378</v>
      </c>
      <c r="D125">
        <v>3</v>
      </c>
      <c r="E125">
        <v>14</v>
      </c>
      <c r="F125">
        <v>55</v>
      </c>
      <c r="G125">
        <v>18</v>
      </c>
      <c r="L125">
        <v>34</v>
      </c>
    </row>
    <row r="126" spans="1:12" x14ac:dyDescent="0.25">
      <c r="A126" t="s">
        <v>377</v>
      </c>
      <c r="B126" t="s">
        <v>379</v>
      </c>
      <c r="C126" t="s">
        <v>378</v>
      </c>
      <c r="D126">
        <v>3</v>
      </c>
      <c r="E126">
        <v>14</v>
      </c>
      <c r="F126">
        <v>60</v>
      </c>
      <c r="G126">
        <v>18</v>
      </c>
      <c r="L126">
        <v>34</v>
      </c>
    </row>
    <row r="127" spans="1:12" x14ac:dyDescent="0.25">
      <c r="A127" t="s">
        <v>377</v>
      </c>
      <c r="B127" t="s">
        <v>379</v>
      </c>
      <c r="C127" t="s">
        <v>378</v>
      </c>
      <c r="D127">
        <v>3</v>
      </c>
      <c r="E127">
        <v>14</v>
      </c>
      <c r="F127">
        <v>65</v>
      </c>
      <c r="G127">
        <v>18</v>
      </c>
      <c r="L127">
        <v>34</v>
      </c>
    </row>
    <row r="128" spans="1:12" x14ac:dyDescent="0.25">
      <c r="A128" t="s">
        <v>377</v>
      </c>
      <c r="B128" t="s">
        <v>379</v>
      </c>
      <c r="C128" t="s">
        <v>378</v>
      </c>
      <c r="D128">
        <v>3</v>
      </c>
      <c r="E128">
        <v>14</v>
      </c>
      <c r="F128">
        <v>70</v>
      </c>
      <c r="G128">
        <v>18</v>
      </c>
      <c r="L128">
        <v>34</v>
      </c>
    </row>
    <row r="129" spans="1:12" x14ac:dyDescent="0.25">
      <c r="A129" t="s">
        <v>377</v>
      </c>
      <c r="B129" t="s">
        <v>379</v>
      </c>
      <c r="C129" t="s">
        <v>378</v>
      </c>
      <c r="D129">
        <v>3</v>
      </c>
      <c r="E129">
        <v>14</v>
      </c>
      <c r="F129">
        <v>75</v>
      </c>
      <c r="G129">
        <v>18</v>
      </c>
      <c r="L129">
        <v>34</v>
      </c>
    </row>
    <row r="130" spans="1:12" x14ac:dyDescent="0.25">
      <c r="A130" t="s">
        <v>377</v>
      </c>
      <c r="B130" t="s">
        <v>379</v>
      </c>
      <c r="C130" t="s">
        <v>378</v>
      </c>
      <c r="D130">
        <v>3</v>
      </c>
      <c r="E130">
        <v>14</v>
      </c>
      <c r="F130">
        <v>80</v>
      </c>
      <c r="G130">
        <v>18</v>
      </c>
      <c r="L130">
        <v>34</v>
      </c>
    </row>
    <row r="131" spans="1:12" x14ac:dyDescent="0.25">
      <c r="A131" t="s">
        <v>377</v>
      </c>
      <c r="B131" t="s">
        <v>379</v>
      </c>
      <c r="C131" t="s">
        <v>378</v>
      </c>
      <c r="D131">
        <v>3</v>
      </c>
      <c r="E131">
        <v>14</v>
      </c>
      <c r="F131">
        <v>85</v>
      </c>
      <c r="G131">
        <v>18</v>
      </c>
      <c r="L131">
        <v>34</v>
      </c>
    </row>
    <row r="132" spans="1:12" x14ac:dyDescent="0.25">
      <c r="A132" t="s">
        <v>377</v>
      </c>
      <c r="B132" t="s">
        <v>379</v>
      </c>
      <c r="C132" t="s">
        <v>378</v>
      </c>
      <c r="D132">
        <v>3</v>
      </c>
      <c r="E132">
        <v>14</v>
      </c>
      <c r="F132">
        <v>90</v>
      </c>
      <c r="G132">
        <v>18</v>
      </c>
      <c r="L132">
        <v>34</v>
      </c>
    </row>
    <row r="133" spans="1:12" x14ac:dyDescent="0.25">
      <c r="A133" t="s">
        <v>377</v>
      </c>
      <c r="B133" t="s">
        <v>379</v>
      </c>
      <c r="C133" t="s">
        <v>378</v>
      </c>
      <c r="D133">
        <v>3</v>
      </c>
      <c r="E133">
        <v>14</v>
      </c>
      <c r="F133">
        <v>95</v>
      </c>
      <c r="G133">
        <v>18</v>
      </c>
      <c r="L133">
        <v>34</v>
      </c>
    </row>
    <row r="134" spans="1:12" x14ac:dyDescent="0.25">
      <c r="A134" t="s">
        <v>377</v>
      </c>
      <c r="B134" t="s">
        <v>379</v>
      </c>
      <c r="C134" t="s">
        <v>378</v>
      </c>
      <c r="D134">
        <v>3</v>
      </c>
      <c r="E134">
        <v>14</v>
      </c>
      <c r="F134">
        <v>100</v>
      </c>
      <c r="G134">
        <v>21</v>
      </c>
      <c r="L134">
        <v>34</v>
      </c>
    </row>
    <row r="135" spans="1:12" x14ac:dyDescent="0.25">
      <c r="A135" t="s">
        <v>377</v>
      </c>
      <c r="B135" t="s">
        <v>379</v>
      </c>
      <c r="C135" t="s">
        <v>378</v>
      </c>
      <c r="D135">
        <v>3</v>
      </c>
      <c r="E135">
        <v>14</v>
      </c>
      <c r="F135">
        <v>110</v>
      </c>
      <c r="G135">
        <v>21</v>
      </c>
      <c r="L135">
        <v>34</v>
      </c>
    </row>
    <row r="136" spans="1:12" x14ac:dyDescent="0.25">
      <c r="A136" t="s">
        <v>377</v>
      </c>
      <c r="B136" t="s">
        <v>379</v>
      </c>
      <c r="C136" t="s">
        <v>378</v>
      </c>
      <c r="D136">
        <v>3</v>
      </c>
      <c r="E136">
        <v>14</v>
      </c>
      <c r="F136">
        <v>120</v>
      </c>
      <c r="G136">
        <v>21</v>
      </c>
      <c r="L136">
        <v>34</v>
      </c>
    </row>
    <row r="137" spans="1:12" x14ac:dyDescent="0.25">
      <c r="A137" t="s">
        <v>377</v>
      </c>
      <c r="B137" t="s">
        <v>379</v>
      </c>
      <c r="C137" t="s">
        <v>378</v>
      </c>
      <c r="D137">
        <v>3</v>
      </c>
      <c r="E137">
        <v>14</v>
      </c>
      <c r="F137">
        <v>130</v>
      </c>
      <c r="G137">
        <v>21</v>
      </c>
      <c r="L137">
        <v>40</v>
      </c>
    </row>
    <row r="138" spans="1:12" x14ac:dyDescent="0.25">
      <c r="A138" t="s">
        <v>377</v>
      </c>
      <c r="B138" t="s">
        <v>379</v>
      </c>
      <c r="C138" t="s">
        <v>378</v>
      </c>
      <c r="D138">
        <v>3</v>
      </c>
      <c r="E138">
        <v>14</v>
      </c>
      <c r="F138">
        <v>140</v>
      </c>
      <c r="G138">
        <v>21</v>
      </c>
      <c r="L138">
        <v>40</v>
      </c>
    </row>
    <row r="139" spans="1:12" x14ac:dyDescent="0.25">
      <c r="A139" t="s">
        <v>377</v>
      </c>
      <c r="B139" t="s">
        <v>379</v>
      </c>
      <c r="C139" t="s">
        <v>378</v>
      </c>
      <c r="D139">
        <v>3</v>
      </c>
      <c r="E139">
        <v>14</v>
      </c>
      <c r="F139">
        <v>150</v>
      </c>
      <c r="G139">
        <v>21</v>
      </c>
      <c r="L139">
        <v>40</v>
      </c>
    </row>
    <row r="140" spans="1:12" x14ac:dyDescent="0.25">
      <c r="A140" t="s">
        <v>377</v>
      </c>
      <c r="B140" t="s">
        <v>379</v>
      </c>
      <c r="C140" t="s">
        <v>378</v>
      </c>
      <c r="D140">
        <v>3</v>
      </c>
      <c r="E140">
        <v>14</v>
      </c>
      <c r="F140">
        <v>160</v>
      </c>
      <c r="G140">
        <v>21</v>
      </c>
      <c r="L140">
        <v>40</v>
      </c>
    </row>
    <row r="141" spans="1:12" x14ac:dyDescent="0.25">
      <c r="A141" t="s">
        <v>377</v>
      </c>
      <c r="B141" t="s">
        <v>379</v>
      </c>
      <c r="C141" t="s">
        <v>378</v>
      </c>
      <c r="D141">
        <v>3</v>
      </c>
      <c r="E141">
        <v>14</v>
      </c>
      <c r="F141">
        <v>170</v>
      </c>
      <c r="G141">
        <v>21</v>
      </c>
      <c r="L141">
        <v>40</v>
      </c>
    </row>
    <row r="142" spans="1:12" x14ac:dyDescent="0.25">
      <c r="A142" t="s">
        <v>377</v>
      </c>
      <c r="B142" t="s">
        <v>379</v>
      </c>
      <c r="C142" t="s">
        <v>378</v>
      </c>
      <c r="D142">
        <v>3</v>
      </c>
      <c r="E142">
        <v>14</v>
      </c>
      <c r="F142">
        <v>180</v>
      </c>
      <c r="G142">
        <v>21</v>
      </c>
      <c r="L142">
        <v>40</v>
      </c>
    </row>
    <row r="143" spans="1:12" x14ac:dyDescent="0.25">
      <c r="A143" t="s">
        <v>377</v>
      </c>
      <c r="B143" t="s">
        <v>379</v>
      </c>
      <c r="C143" t="s">
        <v>378</v>
      </c>
      <c r="D143">
        <v>3</v>
      </c>
      <c r="E143">
        <v>14</v>
      </c>
      <c r="F143">
        <v>190</v>
      </c>
      <c r="G143">
        <v>21</v>
      </c>
      <c r="L143">
        <v>40</v>
      </c>
    </row>
    <row r="144" spans="1:12" x14ac:dyDescent="0.25">
      <c r="A144" t="s">
        <v>377</v>
      </c>
      <c r="B144" t="s">
        <v>379</v>
      </c>
      <c r="C144" t="s">
        <v>378</v>
      </c>
      <c r="D144">
        <v>3</v>
      </c>
      <c r="E144">
        <v>14</v>
      </c>
      <c r="F144">
        <v>200</v>
      </c>
      <c r="G144">
        <v>21</v>
      </c>
      <c r="L144">
        <v>40</v>
      </c>
    </row>
    <row r="145" spans="1:12" x14ac:dyDescent="0.25">
      <c r="A145" t="s">
        <v>377</v>
      </c>
      <c r="B145" t="s">
        <v>379</v>
      </c>
      <c r="C145" t="s">
        <v>378</v>
      </c>
      <c r="D145">
        <v>3</v>
      </c>
      <c r="E145">
        <v>14</v>
      </c>
      <c r="F145">
        <v>220</v>
      </c>
      <c r="G145">
        <v>21</v>
      </c>
      <c r="L145">
        <v>53</v>
      </c>
    </row>
    <row r="146" spans="1:12" x14ac:dyDescent="0.25">
      <c r="A146" t="s">
        <v>377</v>
      </c>
      <c r="B146" t="s">
        <v>379</v>
      </c>
      <c r="C146" t="s">
        <v>378</v>
      </c>
      <c r="D146">
        <v>3</v>
      </c>
      <c r="E146">
        <v>14</v>
      </c>
      <c r="F146">
        <v>240</v>
      </c>
      <c r="G146">
        <v>21</v>
      </c>
      <c r="L146">
        <v>53</v>
      </c>
    </row>
    <row r="147" spans="1:12" x14ac:dyDescent="0.25">
      <c r="A147" t="s">
        <v>377</v>
      </c>
      <c r="B147" t="s">
        <v>379</v>
      </c>
      <c r="C147" t="s">
        <v>378</v>
      </c>
      <c r="D147">
        <v>3</v>
      </c>
      <c r="E147">
        <v>16</v>
      </c>
      <c r="F147">
        <v>50</v>
      </c>
      <c r="G147">
        <v>21</v>
      </c>
      <c r="L147">
        <v>38</v>
      </c>
    </row>
    <row r="148" spans="1:12" x14ac:dyDescent="0.25">
      <c r="A148" t="s">
        <v>377</v>
      </c>
      <c r="B148" t="s">
        <v>379</v>
      </c>
      <c r="C148" t="s">
        <v>378</v>
      </c>
      <c r="D148">
        <v>3</v>
      </c>
      <c r="E148">
        <v>16</v>
      </c>
      <c r="F148">
        <v>55</v>
      </c>
      <c r="G148">
        <v>21</v>
      </c>
      <c r="L148">
        <v>38</v>
      </c>
    </row>
    <row r="149" spans="1:12" x14ac:dyDescent="0.25">
      <c r="A149" t="s">
        <v>377</v>
      </c>
      <c r="B149" t="s">
        <v>379</v>
      </c>
      <c r="C149" t="s">
        <v>378</v>
      </c>
      <c r="D149">
        <v>3</v>
      </c>
      <c r="E149">
        <v>16</v>
      </c>
      <c r="F149">
        <v>60</v>
      </c>
      <c r="G149">
        <v>21</v>
      </c>
      <c r="L149">
        <v>38</v>
      </c>
    </row>
    <row r="150" spans="1:12" x14ac:dyDescent="0.25">
      <c r="A150" t="s">
        <v>377</v>
      </c>
      <c r="B150" t="s">
        <v>379</v>
      </c>
      <c r="C150" t="s">
        <v>378</v>
      </c>
      <c r="D150">
        <v>3</v>
      </c>
      <c r="E150">
        <v>16</v>
      </c>
      <c r="F150">
        <v>65</v>
      </c>
      <c r="G150">
        <v>21</v>
      </c>
      <c r="L150">
        <v>38</v>
      </c>
    </row>
    <row r="151" spans="1:12" x14ac:dyDescent="0.25">
      <c r="A151" t="s">
        <v>377</v>
      </c>
      <c r="B151" t="s">
        <v>379</v>
      </c>
      <c r="C151" t="s">
        <v>378</v>
      </c>
      <c r="D151">
        <v>3</v>
      </c>
      <c r="E151">
        <v>16</v>
      </c>
      <c r="F151">
        <v>70</v>
      </c>
      <c r="G151">
        <v>21</v>
      </c>
      <c r="L151">
        <v>38</v>
      </c>
    </row>
    <row r="152" spans="1:12" x14ac:dyDescent="0.25">
      <c r="A152" t="s">
        <v>377</v>
      </c>
      <c r="B152" t="s">
        <v>379</v>
      </c>
      <c r="C152" t="s">
        <v>378</v>
      </c>
      <c r="D152">
        <v>3</v>
      </c>
      <c r="E152">
        <v>16</v>
      </c>
      <c r="F152">
        <v>75</v>
      </c>
      <c r="G152">
        <v>21</v>
      </c>
      <c r="L152">
        <v>38</v>
      </c>
    </row>
    <row r="153" spans="1:12" x14ac:dyDescent="0.25">
      <c r="A153" t="s">
        <v>377</v>
      </c>
      <c r="B153" t="s">
        <v>379</v>
      </c>
      <c r="C153" t="s">
        <v>378</v>
      </c>
      <c r="D153">
        <v>3</v>
      </c>
      <c r="E153">
        <v>16</v>
      </c>
      <c r="F153">
        <v>80</v>
      </c>
      <c r="G153">
        <v>21</v>
      </c>
      <c r="L153">
        <v>38</v>
      </c>
    </row>
    <row r="154" spans="1:12" x14ac:dyDescent="0.25">
      <c r="A154" t="s">
        <v>377</v>
      </c>
      <c r="B154" t="s">
        <v>379</v>
      </c>
      <c r="C154" t="s">
        <v>378</v>
      </c>
      <c r="D154">
        <v>3</v>
      </c>
      <c r="E154">
        <v>16</v>
      </c>
      <c r="F154">
        <v>85</v>
      </c>
      <c r="G154">
        <v>21</v>
      </c>
      <c r="L154">
        <v>38</v>
      </c>
    </row>
    <row r="155" spans="1:12" x14ac:dyDescent="0.25">
      <c r="A155" t="s">
        <v>377</v>
      </c>
      <c r="B155" t="s">
        <v>379</v>
      </c>
      <c r="C155" t="s">
        <v>378</v>
      </c>
      <c r="D155">
        <v>3</v>
      </c>
      <c r="E155">
        <v>16</v>
      </c>
      <c r="F155">
        <v>90</v>
      </c>
      <c r="G155">
        <v>21</v>
      </c>
      <c r="L155">
        <v>38</v>
      </c>
    </row>
    <row r="156" spans="1:12" x14ac:dyDescent="0.25">
      <c r="A156" t="s">
        <v>377</v>
      </c>
      <c r="B156" t="s">
        <v>379</v>
      </c>
      <c r="C156" t="s">
        <v>378</v>
      </c>
      <c r="D156">
        <v>3</v>
      </c>
      <c r="E156">
        <v>16</v>
      </c>
      <c r="F156">
        <v>95</v>
      </c>
      <c r="G156">
        <v>21</v>
      </c>
      <c r="L156">
        <v>38</v>
      </c>
    </row>
    <row r="157" spans="1:12" x14ac:dyDescent="0.25">
      <c r="A157" t="s">
        <v>377</v>
      </c>
      <c r="B157" t="s">
        <v>379</v>
      </c>
      <c r="C157" t="s">
        <v>378</v>
      </c>
      <c r="D157">
        <v>3</v>
      </c>
      <c r="E157">
        <v>16</v>
      </c>
      <c r="F157">
        <v>100</v>
      </c>
      <c r="G157">
        <v>24</v>
      </c>
      <c r="L157">
        <v>38</v>
      </c>
    </row>
    <row r="158" spans="1:12" x14ac:dyDescent="0.25">
      <c r="A158" t="s">
        <v>377</v>
      </c>
      <c r="B158" t="s">
        <v>379</v>
      </c>
      <c r="C158" t="s">
        <v>378</v>
      </c>
      <c r="D158">
        <v>3</v>
      </c>
      <c r="E158">
        <v>16</v>
      </c>
      <c r="F158">
        <v>110</v>
      </c>
      <c r="G158">
        <v>24</v>
      </c>
      <c r="L158">
        <v>38</v>
      </c>
    </row>
    <row r="159" spans="1:12" x14ac:dyDescent="0.25">
      <c r="A159" t="s">
        <v>377</v>
      </c>
      <c r="B159" t="s">
        <v>379</v>
      </c>
      <c r="C159" t="s">
        <v>378</v>
      </c>
      <c r="D159">
        <v>3</v>
      </c>
      <c r="E159">
        <v>16</v>
      </c>
      <c r="F159">
        <v>120</v>
      </c>
      <c r="G159">
        <v>24</v>
      </c>
      <c r="L159">
        <v>38</v>
      </c>
    </row>
    <row r="160" spans="1:12" x14ac:dyDescent="0.25">
      <c r="A160" t="s">
        <v>377</v>
      </c>
      <c r="B160" t="s">
        <v>379</v>
      </c>
      <c r="C160" t="s">
        <v>378</v>
      </c>
      <c r="D160">
        <v>3</v>
      </c>
      <c r="E160">
        <v>16</v>
      </c>
      <c r="F160">
        <v>130</v>
      </c>
      <c r="G160">
        <v>24</v>
      </c>
      <c r="L160">
        <v>44</v>
      </c>
    </row>
    <row r="161" spans="1:12" x14ac:dyDescent="0.25">
      <c r="A161" t="s">
        <v>377</v>
      </c>
      <c r="B161" t="s">
        <v>379</v>
      </c>
      <c r="C161" t="s">
        <v>378</v>
      </c>
      <c r="D161">
        <v>3</v>
      </c>
      <c r="E161">
        <v>16</v>
      </c>
      <c r="F161">
        <v>140</v>
      </c>
      <c r="G161">
        <v>24</v>
      </c>
      <c r="L161">
        <v>44</v>
      </c>
    </row>
    <row r="162" spans="1:12" x14ac:dyDescent="0.25">
      <c r="A162" t="s">
        <v>377</v>
      </c>
      <c r="B162" t="s">
        <v>379</v>
      </c>
      <c r="C162" t="s">
        <v>378</v>
      </c>
      <c r="D162">
        <v>3</v>
      </c>
      <c r="E162">
        <v>16</v>
      </c>
      <c r="F162">
        <v>150</v>
      </c>
      <c r="G162">
        <v>24</v>
      </c>
      <c r="L162">
        <v>44</v>
      </c>
    </row>
    <row r="163" spans="1:12" x14ac:dyDescent="0.25">
      <c r="A163" t="s">
        <v>377</v>
      </c>
      <c r="B163" t="s">
        <v>379</v>
      </c>
      <c r="C163" t="s">
        <v>378</v>
      </c>
      <c r="D163">
        <v>3</v>
      </c>
      <c r="E163">
        <v>16</v>
      </c>
      <c r="F163">
        <v>160</v>
      </c>
      <c r="G163">
        <v>24</v>
      </c>
      <c r="L163">
        <v>44</v>
      </c>
    </row>
    <row r="164" spans="1:12" x14ac:dyDescent="0.25">
      <c r="A164" t="s">
        <v>377</v>
      </c>
      <c r="B164" t="s">
        <v>379</v>
      </c>
      <c r="C164" t="s">
        <v>378</v>
      </c>
      <c r="D164">
        <v>3</v>
      </c>
      <c r="E164">
        <v>16</v>
      </c>
      <c r="F164">
        <v>180</v>
      </c>
      <c r="G164">
        <v>24</v>
      </c>
      <c r="L164">
        <v>44</v>
      </c>
    </row>
    <row r="165" spans="1:12" x14ac:dyDescent="0.25">
      <c r="A165" t="s">
        <v>377</v>
      </c>
      <c r="B165" t="s">
        <v>379</v>
      </c>
      <c r="C165" t="s">
        <v>378</v>
      </c>
      <c r="D165">
        <v>3</v>
      </c>
      <c r="E165">
        <v>16</v>
      </c>
      <c r="F165">
        <v>190</v>
      </c>
      <c r="G165">
        <v>24</v>
      </c>
      <c r="L165">
        <v>44</v>
      </c>
    </row>
    <row r="166" spans="1:12" x14ac:dyDescent="0.25">
      <c r="A166" t="s">
        <v>377</v>
      </c>
      <c r="B166" t="s">
        <v>379</v>
      </c>
      <c r="C166" t="s">
        <v>378</v>
      </c>
      <c r="D166">
        <v>3</v>
      </c>
      <c r="E166">
        <v>16</v>
      </c>
      <c r="F166">
        <v>200</v>
      </c>
      <c r="G166">
        <v>24</v>
      </c>
      <c r="L166">
        <v>44</v>
      </c>
    </row>
    <row r="167" spans="1:12" x14ac:dyDescent="0.25">
      <c r="A167" t="s">
        <v>377</v>
      </c>
      <c r="B167" t="s">
        <v>379</v>
      </c>
      <c r="C167" t="s">
        <v>378</v>
      </c>
      <c r="D167">
        <v>3</v>
      </c>
      <c r="E167">
        <v>16</v>
      </c>
      <c r="F167">
        <v>220</v>
      </c>
      <c r="G167">
        <v>24</v>
      </c>
      <c r="L167">
        <v>57</v>
      </c>
    </row>
    <row r="168" spans="1:12" x14ac:dyDescent="0.25">
      <c r="A168" t="s">
        <v>377</v>
      </c>
      <c r="B168" t="s">
        <v>379</v>
      </c>
      <c r="C168" t="s">
        <v>378</v>
      </c>
      <c r="D168">
        <v>3</v>
      </c>
      <c r="E168">
        <v>16</v>
      </c>
      <c r="F168">
        <v>230</v>
      </c>
      <c r="G168">
        <v>24</v>
      </c>
      <c r="L168">
        <v>57</v>
      </c>
    </row>
    <row r="169" spans="1:12" x14ac:dyDescent="0.25">
      <c r="A169" t="s">
        <v>377</v>
      </c>
      <c r="B169" t="s">
        <v>379</v>
      </c>
      <c r="C169" t="s">
        <v>378</v>
      </c>
      <c r="D169">
        <v>3</v>
      </c>
      <c r="E169">
        <v>16</v>
      </c>
      <c r="F169">
        <v>240</v>
      </c>
      <c r="G169">
        <v>24</v>
      </c>
      <c r="L169">
        <v>57</v>
      </c>
    </row>
    <row r="170" spans="1:12" x14ac:dyDescent="0.25">
      <c r="A170" t="s">
        <v>377</v>
      </c>
      <c r="B170" t="s">
        <v>379</v>
      </c>
      <c r="C170" t="s">
        <v>378</v>
      </c>
      <c r="D170">
        <v>3</v>
      </c>
      <c r="E170">
        <v>16</v>
      </c>
      <c r="F170">
        <v>250</v>
      </c>
      <c r="G170">
        <v>24</v>
      </c>
      <c r="L170">
        <v>57</v>
      </c>
    </row>
    <row r="171" spans="1:12" x14ac:dyDescent="0.25">
      <c r="A171" t="s">
        <v>377</v>
      </c>
      <c r="B171" t="s">
        <v>379</v>
      </c>
      <c r="C171" t="s">
        <v>378</v>
      </c>
      <c r="D171">
        <v>3</v>
      </c>
      <c r="E171">
        <v>16</v>
      </c>
      <c r="F171">
        <v>260</v>
      </c>
      <c r="G171">
        <v>24</v>
      </c>
      <c r="L171">
        <v>57</v>
      </c>
    </row>
    <row r="172" spans="1:12" x14ac:dyDescent="0.25">
      <c r="A172" t="s">
        <v>377</v>
      </c>
      <c r="B172" t="s">
        <v>379</v>
      </c>
      <c r="C172" t="s">
        <v>378</v>
      </c>
      <c r="D172">
        <v>3</v>
      </c>
      <c r="E172">
        <v>16</v>
      </c>
      <c r="F172">
        <v>270</v>
      </c>
      <c r="G172">
        <v>24</v>
      </c>
      <c r="L172">
        <v>57</v>
      </c>
    </row>
    <row r="173" spans="1:12" x14ac:dyDescent="0.25">
      <c r="A173" t="s">
        <v>377</v>
      </c>
      <c r="B173" t="s">
        <v>379</v>
      </c>
      <c r="C173" t="s">
        <v>378</v>
      </c>
      <c r="D173">
        <v>3</v>
      </c>
      <c r="E173">
        <v>16</v>
      </c>
      <c r="F173">
        <v>280</v>
      </c>
      <c r="G173">
        <v>24</v>
      </c>
      <c r="L173">
        <v>57</v>
      </c>
    </row>
    <row r="174" spans="1:12" x14ac:dyDescent="0.25">
      <c r="A174" t="s">
        <v>377</v>
      </c>
      <c r="B174" t="s">
        <v>379</v>
      </c>
      <c r="C174" t="s">
        <v>378</v>
      </c>
      <c r="D174">
        <v>3</v>
      </c>
      <c r="E174">
        <v>16</v>
      </c>
      <c r="F174">
        <v>290</v>
      </c>
      <c r="G174">
        <v>24</v>
      </c>
      <c r="L174">
        <v>57</v>
      </c>
    </row>
    <row r="175" spans="1:12" x14ac:dyDescent="0.25">
      <c r="A175" t="s">
        <v>377</v>
      </c>
      <c r="B175" t="s">
        <v>379</v>
      </c>
      <c r="C175" t="s">
        <v>378</v>
      </c>
      <c r="D175">
        <v>3</v>
      </c>
      <c r="E175">
        <v>16</v>
      </c>
      <c r="F175">
        <v>300</v>
      </c>
      <c r="G175">
        <v>24</v>
      </c>
      <c r="L175">
        <v>57</v>
      </c>
    </row>
    <row r="176" spans="1:12" x14ac:dyDescent="0.25">
      <c r="A176" t="s">
        <v>377</v>
      </c>
      <c r="B176" t="s">
        <v>379</v>
      </c>
      <c r="C176" t="s">
        <v>378</v>
      </c>
      <c r="D176">
        <v>3</v>
      </c>
      <c r="E176">
        <v>16</v>
      </c>
      <c r="F176">
        <v>310</v>
      </c>
      <c r="G176">
        <v>24</v>
      </c>
      <c r="L176">
        <v>57</v>
      </c>
    </row>
    <row r="177" spans="1:12" x14ac:dyDescent="0.25">
      <c r="A177" t="s">
        <v>377</v>
      </c>
      <c r="B177" t="s">
        <v>379</v>
      </c>
      <c r="C177" t="s">
        <v>378</v>
      </c>
      <c r="D177">
        <v>3</v>
      </c>
      <c r="E177">
        <v>16</v>
      </c>
      <c r="F177">
        <v>320</v>
      </c>
      <c r="G177">
        <v>24</v>
      </c>
      <c r="L177">
        <v>57</v>
      </c>
    </row>
    <row r="178" spans="1:12" x14ac:dyDescent="0.25">
      <c r="A178" t="s">
        <v>377</v>
      </c>
      <c r="B178" t="s">
        <v>379</v>
      </c>
      <c r="C178" t="s">
        <v>378</v>
      </c>
      <c r="D178">
        <v>3</v>
      </c>
      <c r="E178">
        <v>16</v>
      </c>
      <c r="F178">
        <v>330</v>
      </c>
      <c r="G178">
        <v>24</v>
      </c>
      <c r="L178">
        <v>57</v>
      </c>
    </row>
    <row r="179" spans="1:12" x14ac:dyDescent="0.25">
      <c r="A179" t="s">
        <v>377</v>
      </c>
      <c r="B179" t="s">
        <v>379</v>
      </c>
      <c r="C179" t="s">
        <v>378</v>
      </c>
      <c r="D179">
        <v>3</v>
      </c>
      <c r="E179">
        <v>16</v>
      </c>
      <c r="F179">
        <v>340</v>
      </c>
      <c r="G179">
        <v>24</v>
      </c>
      <c r="L179">
        <v>57</v>
      </c>
    </row>
    <row r="180" spans="1:12" x14ac:dyDescent="0.25">
      <c r="A180" t="s">
        <v>377</v>
      </c>
      <c r="B180" t="s">
        <v>379</v>
      </c>
      <c r="C180" t="s">
        <v>378</v>
      </c>
      <c r="D180">
        <v>3</v>
      </c>
      <c r="E180">
        <v>16</v>
      </c>
      <c r="F180">
        <v>350</v>
      </c>
      <c r="G180">
        <v>24</v>
      </c>
      <c r="L180">
        <v>57</v>
      </c>
    </row>
    <row r="181" spans="1:12" x14ac:dyDescent="0.25">
      <c r="A181" t="s">
        <v>377</v>
      </c>
      <c r="B181" t="s">
        <v>379</v>
      </c>
      <c r="C181" t="s">
        <v>378</v>
      </c>
      <c r="D181">
        <v>3</v>
      </c>
      <c r="E181">
        <v>16</v>
      </c>
      <c r="F181">
        <v>360</v>
      </c>
      <c r="G181">
        <v>24</v>
      </c>
      <c r="L181">
        <v>57</v>
      </c>
    </row>
    <row r="182" spans="1:12" x14ac:dyDescent="0.25">
      <c r="A182" t="s">
        <v>377</v>
      </c>
      <c r="B182" t="s">
        <v>379</v>
      </c>
      <c r="C182" t="s">
        <v>378</v>
      </c>
      <c r="D182">
        <v>3</v>
      </c>
      <c r="E182">
        <v>16</v>
      </c>
      <c r="F182">
        <v>370</v>
      </c>
      <c r="G182">
        <v>24</v>
      </c>
      <c r="L182">
        <v>57</v>
      </c>
    </row>
    <row r="183" spans="1:12" x14ac:dyDescent="0.25">
      <c r="A183" t="s">
        <v>377</v>
      </c>
      <c r="B183" t="s">
        <v>379</v>
      </c>
      <c r="C183" t="s">
        <v>378</v>
      </c>
      <c r="D183">
        <v>3</v>
      </c>
      <c r="E183">
        <v>16</v>
      </c>
      <c r="F183">
        <v>380</v>
      </c>
      <c r="G183">
        <v>24</v>
      </c>
      <c r="L183">
        <v>57</v>
      </c>
    </row>
    <row r="184" spans="1:12" x14ac:dyDescent="0.25">
      <c r="A184" t="s">
        <v>377</v>
      </c>
      <c r="B184" t="s">
        <v>379</v>
      </c>
      <c r="C184" t="s">
        <v>378</v>
      </c>
      <c r="D184">
        <v>3</v>
      </c>
      <c r="E184">
        <v>16</v>
      </c>
      <c r="F184">
        <v>390</v>
      </c>
      <c r="G184">
        <v>24</v>
      </c>
      <c r="L184">
        <v>57</v>
      </c>
    </row>
    <row r="185" spans="1:12" x14ac:dyDescent="0.25">
      <c r="A185" t="s">
        <v>377</v>
      </c>
      <c r="B185" t="s">
        <v>379</v>
      </c>
      <c r="C185" t="s">
        <v>378</v>
      </c>
      <c r="D185">
        <v>3</v>
      </c>
      <c r="E185">
        <v>16</v>
      </c>
      <c r="F185">
        <v>400</v>
      </c>
      <c r="G185">
        <v>24</v>
      </c>
      <c r="L185">
        <v>57</v>
      </c>
    </row>
    <row r="186" spans="1:12" x14ac:dyDescent="0.25">
      <c r="A186" t="s">
        <v>377</v>
      </c>
      <c r="B186" t="s">
        <v>379</v>
      </c>
      <c r="C186" t="s">
        <v>378</v>
      </c>
      <c r="D186">
        <v>3</v>
      </c>
      <c r="E186">
        <v>16</v>
      </c>
      <c r="F186">
        <v>420</v>
      </c>
      <c r="G186">
        <v>24</v>
      </c>
      <c r="L186">
        <v>57</v>
      </c>
    </row>
    <row r="187" spans="1:12" x14ac:dyDescent="0.25">
      <c r="A187" t="s">
        <v>377</v>
      </c>
      <c r="B187" t="s">
        <v>379</v>
      </c>
      <c r="C187" t="s">
        <v>378</v>
      </c>
      <c r="D187">
        <v>3</v>
      </c>
      <c r="E187">
        <v>16</v>
      </c>
      <c r="F187">
        <v>440</v>
      </c>
      <c r="G187">
        <v>24</v>
      </c>
      <c r="L187">
        <v>57</v>
      </c>
    </row>
    <row r="188" spans="1:12" x14ac:dyDescent="0.25">
      <c r="A188" t="s">
        <v>377</v>
      </c>
      <c r="B188" t="s">
        <v>379</v>
      </c>
      <c r="C188" t="s">
        <v>378</v>
      </c>
      <c r="D188">
        <v>3</v>
      </c>
      <c r="E188">
        <v>18</v>
      </c>
      <c r="F188">
        <v>60</v>
      </c>
      <c r="G188">
        <v>24</v>
      </c>
      <c r="L188">
        <v>42</v>
      </c>
    </row>
    <row r="189" spans="1:12" x14ac:dyDescent="0.25">
      <c r="A189" t="s">
        <v>377</v>
      </c>
      <c r="B189" t="s">
        <v>379</v>
      </c>
      <c r="C189" t="s">
        <v>378</v>
      </c>
      <c r="D189">
        <v>3</v>
      </c>
      <c r="E189">
        <v>18</v>
      </c>
      <c r="F189">
        <v>65</v>
      </c>
      <c r="G189">
        <v>24</v>
      </c>
      <c r="L189">
        <v>42</v>
      </c>
    </row>
    <row r="190" spans="1:12" x14ac:dyDescent="0.25">
      <c r="A190" t="s">
        <v>377</v>
      </c>
      <c r="B190" t="s">
        <v>379</v>
      </c>
      <c r="C190" t="s">
        <v>378</v>
      </c>
      <c r="D190">
        <v>3</v>
      </c>
      <c r="E190">
        <v>18</v>
      </c>
      <c r="F190">
        <v>70</v>
      </c>
      <c r="G190">
        <v>24</v>
      </c>
      <c r="L190">
        <v>42</v>
      </c>
    </row>
    <row r="191" spans="1:12" x14ac:dyDescent="0.25">
      <c r="A191" t="s">
        <v>377</v>
      </c>
      <c r="B191" t="s">
        <v>379</v>
      </c>
      <c r="C191" t="s">
        <v>378</v>
      </c>
      <c r="D191">
        <v>3</v>
      </c>
      <c r="E191">
        <v>18</v>
      </c>
      <c r="F191">
        <v>75</v>
      </c>
      <c r="G191">
        <v>24</v>
      </c>
      <c r="L191">
        <v>42</v>
      </c>
    </row>
    <row r="192" spans="1:12" x14ac:dyDescent="0.25">
      <c r="A192" t="s">
        <v>377</v>
      </c>
      <c r="B192" t="s">
        <v>379</v>
      </c>
      <c r="C192" t="s">
        <v>378</v>
      </c>
      <c r="D192">
        <v>3</v>
      </c>
      <c r="E192">
        <v>18</v>
      </c>
      <c r="F192">
        <v>80</v>
      </c>
      <c r="G192">
        <v>24</v>
      </c>
      <c r="L192">
        <v>42</v>
      </c>
    </row>
    <row r="193" spans="1:12" x14ac:dyDescent="0.25">
      <c r="A193" t="s">
        <v>377</v>
      </c>
      <c r="B193" t="s">
        <v>379</v>
      </c>
      <c r="C193" t="s">
        <v>378</v>
      </c>
      <c r="D193">
        <v>3</v>
      </c>
      <c r="E193">
        <v>18</v>
      </c>
      <c r="F193">
        <v>90</v>
      </c>
      <c r="G193">
        <v>24</v>
      </c>
      <c r="L193">
        <v>42</v>
      </c>
    </row>
    <row r="194" spans="1:12" x14ac:dyDescent="0.25">
      <c r="A194" t="s">
        <v>377</v>
      </c>
      <c r="B194" t="s">
        <v>379</v>
      </c>
      <c r="C194" t="s">
        <v>378</v>
      </c>
      <c r="D194">
        <v>3</v>
      </c>
      <c r="E194">
        <v>18</v>
      </c>
      <c r="F194">
        <v>95</v>
      </c>
      <c r="G194">
        <v>24</v>
      </c>
      <c r="L194">
        <v>42</v>
      </c>
    </row>
    <row r="195" spans="1:12" x14ac:dyDescent="0.25">
      <c r="A195" t="s">
        <v>377</v>
      </c>
      <c r="B195" t="s">
        <v>379</v>
      </c>
      <c r="C195" t="s">
        <v>378</v>
      </c>
      <c r="D195">
        <v>3</v>
      </c>
      <c r="E195">
        <v>18</v>
      </c>
      <c r="F195">
        <v>100</v>
      </c>
      <c r="G195">
        <v>27</v>
      </c>
      <c r="L195">
        <v>42</v>
      </c>
    </row>
    <row r="196" spans="1:12" x14ac:dyDescent="0.25">
      <c r="A196" t="s">
        <v>377</v>
      </c>
      <c r="B196" t="s">
        <v>379</v>
      </c>
      <c r="C196" t="s">
        <v>378</v>
      </c>
      <c r="D196">
        <v>3</v>
      </c>
      <c r="E196">
        <v>18</v>
      </c>
      <c r="F196">
        <v>110</v>
      </c>
      <c r="G196">
        <v>27</v>
      </c>
      <c r="L196">
        <v>42</v>
      </c>
    </row>
    <row r="197" spans="1:12" x14ac:dyDescent="0.25">
      <c r="A197" t="s">
        <v>377</v>
      </c>
      <c r="B197" t="s">
        <v>379</v>
      </c>
      <c r="C197" t="s">
        <v>378</v>
      </c>
      <c r="D197">
        <v>3</v>
      </c>
      <c r="E197">
        <v>18</v>
      </c>
      <c r="F197">
        <v>120</v>
      </c>
      <c r="G197">
        <v>27</v>
      </c>
      <c r="L197">
        <v>42</v>
      </c>
    </row>
    <row r="198" spans="1:12" x14ac:dyDescent="0.25">
      <c r="A198" t="s">
        <v>377</v>
      </c>
      <c r="B198" t="s">
        <v>379</v>
      </c>
      <c r="C198" t="s">
        <v>378</v>
      </c>
      <c r="D198">
        <v>3</v>
      </c>
      <c r="E198">
        <v>18</v>
      </c>
      <c r="F198">
        <v>130</v>
      </c>
      <c r="G198">
        <v>27</v>
      </c>
      <c r="L198">
        <v>48</v>
      </c>
    </row>
    <row r="199" spans="1:12" x14ac:dyDescent="0.25">
      <c r="A199" t="s">
        <v>377</v>
      </c>
      <c r="B199" t="s">
        <v>379</v>
      </c>
      <c r="C199" t="s">
        <v>378</v>
      </c>
      <c r="D199">
        <v>3</v>
      </c>
      <c r="E199">
        <v>18</v>
      </c>
      <c r="F199">
        <v>140</v>
      </c>
      <c r="G199">
        <v>27</v>
      </c>
      <c r="L199">
        <v>48</v>
      </c>
    </row>
    <row r="200" spans="1:12" x14ac:dyDescent="0.25">
      <c r="A200" t="s">
        <v>377</v>
      </c>
      <c r="B200" t="s">
        <v>379</v>
      </c>
      <c r="C200" t="s">
        <v>378</v>
      </c>
      <c r="D200">
        <v>3</v>
      </c>
      <c r="E200">
        <v>18</v>
      </c>
      <c r="F200">
        <v>150</v>
      </c>
      <c r="G200">
        <v>27</v>
      </c>
      <c r="L200">
        <v>48</v>
      </c>
    </row>
    <row r="201" spans="1:12" x14ac:dyDescent="0.25">
      <c r="A201" t="s">
        <v>377</v>
      </c>
      <c r="B201" t="s">
        <v>379</v>
      </c>
      <c r="C201" t="s">
        <v>378</v>
      </c>
      <c r="D201">
        <v>3</v>
      </c>
      <c r="E201">
        <v>18</v>
      </c>
      <c r="F201">
        <v>160</v>
      </c>
      <c r="G201">
        <v>27</v>
      </c>
      <c r="L201">
        <v>48</v>
      </c>
    </row>
    <row r="202" spans="1:12" x14ac:dyDescent="0.25">
      <c r="A202" t="s">
        <v>377</v>
      </c>
      <c r="B202" t="s">
        <v>379</v>
      </c>
      <c r="C202" t="s">
        <v>378</v>
      </c>
      <c r="D202">
        <v>3</v>
      </c>
      <c r="E202">
        <v>18</v>
      </c>
      <c r="F202">
        <v>170</v>
      </c>
      <c r="G202">
        <v>27</v>
      </c>
      <c r="L202">
        <v>48</v>
      </c>
    </row>
    <row r="203" spans="1:12" x14ac:dyDescent="0.25">
      <c r="A203" t="s">
        <v>377</v>
      </c>
      <c r="B203" t="s">
        <v>379</v>
      </c>
      <c r="C203" t="s">
        <v>378</v>
      </c>
      <c r="D203">
        <v>3</v>
      </c>
      <c r="E203">
        <v>18</v>
      </c>
      <c r="F203">
        <v>180</v>
      </c>
      <c r="G203">
        <v>27</v>
      </c>
      <c r="L203">
        <v>48</v>
      </c>
    </row>
    <row r="204" spans="1:12" x14ac:dyDescent="0.25">
      <c r="A204" t="s">
        <v>377</v>
      </c>
      <c r="B204" t="s">
        <v>379</v>
      </c>
      <c r="C204" t="s">
        <v>378</v>
      </c>
      <c r="D204">
        <v>3</v>
      </c>
      <c r="E204">
        <v>18</v>
      </c>
      <c r="F204">
        <v>190</v>
      </c>
      <c r="G204">
        <v>27</v>
      </c>
      <c r="L204">
        <v>48</v>
      </c>
    </row>
    <row r="205" spans="1:12" x14ac:dyDescent="0.25">
      <c r="A205" t="s">
        <v>377</v>
      </c>
      <c r="B205" t="s">
        <v>379</v>
      </c>
      <c r="C205" t="s">
        <v>378</v>
      </c>
      <c r="D205">
        <v>3</v>
      </c>
      <c r="E205">
        <v>18</v>
      </c>
      <c r="F205">
        <v>200</v>
      </c>
      <c r="G205">
        <v>27</v>
      </c>
      <c r="L205">
        <v>48</v>
      </c>
    </row>
    <row r="206" spans="1:12" x14ac:dyDescent="0.25">
      <c r="A206" t="s">
        <v>377</v>
      </c>
      <c r="B206" t="s">
        <v>379</v>
      </c>
      <c r="C206" t="s">
        <v>378</v>
      </c>
      <c r="D206">
        <v>3</v>
      </c>
      <c r="E206">
        <v>18</v>
      </c>
      <c r="F206">
        <v>220</v>
      </c>
      <c r="G206">
        <v>27</v>
      </c>
      <c r="L206">
        <v>61</v>
      </c>
    </row>
    <row r="207" spans="1:12" x14ac:dyDescent="0.25">
      <c r="A207" t="s">
        <v>377</v>
      </c>
      <c r="B207" t="s">
        <v>379</v>
      </c>
      <c r="C207" t="s">
        <v>378</v>
      </c>
      <c r="D207">
        <v>3</v>
      </c>
      <c r="E207">
        <v>18</v>
      </c>
      <c r="F207">
        <v>230</v>
      </c>
      <c r="G207">
        <v>27</v>
      </c>
      <c r="L207">
        <v>61</v>
      </c>
    </row>
    <row r="208" spans="1:12" x14ac:dyDescent="0.25">
      <c r="A208" t="s">
        <v>377</v>
      </c>
      <c r="B208" t="s">
        <v>379</v>
      </c>
      <c r="C208" t="s">
        <v>378</v>
      </c>
      <c r="D208">
        <v>3</v>
      </c>
      <c r="E208">
        <v>18</v>
      </c>
      <c r="F208">
        <v>240</v>
      </c>
      <c r="G208">
        <v>27</v>
      </c>
      <c r="L208">
        <v>61</v>
      </c>
    </row>
    <row r="209" spans="1:12" x14ac:dyDescent="0.25">
      <c r="A209" t="s">
        <v>377</v>
      </c>
      <c r="B209" t="s">
        <v>379</v>
      </c>
      <c r="C209" t="s">
        <v>378</v>
      </c>
      <c r="D209">
        <v>3</v>
      </c>
      <c r="E209">
        <v>20</v>
      </c>
      <c r="F209">
        <v>60</v>
      </c>
      <c r="G209">
        <v>27</v>
      </c>
      <c r="L209">
        <v>46</v>
      </c>
    </row>
    <row r="210" spans="1:12" x14ac:dyDescent="0.25">
      <c r="A210" t="s">
        <v>377</v>
      </c>
      <c r="B210" t="s">
        <v>379</v>
      </c>
      <c r="C210" t="s">
        <v>378</v>
      </c>
      <c r="D210">
        <v>3</v>
      </c>
      <c r="E210">
        <v>20</v>
      </c>
      <c r="F210">
        <v>65</v>
      </c>
      <c r="G210">
        <v>27</v>
      </c>
      <c r="L210">
        <v>46</v>
      </c>
    </row>
    <row r="211" spans="1:12" x14ac:dyDescent="0.25">
      <c r="A211" t="s">
        <v>377</v>
      </c>
      <c r="B211" t="s">
        <v>379</v>
      </c>
      <c r="C211" t="s">
        <v>378</v>
      </c>
      <c r="D211">
        <v>3</v>
      </c>
      <c r="E211">
        <v>20</v>
      </c>
      <c r="F211">
        <v>70</v>
      </c>
      <c r="G211">
        <v>27</v>
      </c>
      <c r="L211">
        <v>46</v>
      </c>
    </row>
    <row r="212" spans="1:12" x14ac:dyDescent="0.25">
      <c r="A212" t="s">
        <v>377</v>
      </c>
      <c r="B212" t="s">
        <v>379</v>
      </c>
      <c r="C212" t="s">
        <v>378</v>
      </c>
      <c r="D212">
        <v>3</v>
      </c>
      <c r="E212">
        <v>20</v>
      </c>
      <c r="F212">
        <v>75</v>
      </c>
      <c r="G212">
        <v>27</v>
      </c>
      <c r="L212">
        <v>46</v>
      </c>
    </row>
    <row r="213" spans="1:12" x14ac:dyDescent="0.25">
      <c r="A213" t="s">
        <v>377</v>
      </c>
      <c r="B213" t="s">
        <v>379</v>
      </c>
      <c r="C213" t="s">
        <v>378</v>
      </c>
      <c r="D213">
        <v>3</v>
      </c>
      <c r="E213">
        <v>20</v>
      </c>
      <c r="F213">
        <v>80</v>
      </c>
      <c r="G213">
        <v>27</v>
      </c>
      <c r="L213">
        <v>46</v>
      </c>
    </row>
    <row r="214" spans="1:12" x14ac:dyDescent="0.25">
      <c r="A214" t="s">
        <v>377</v>
      </c>
      <c r="B214" t="s">
        <v>379</v>
      </c>
      <c r="C214" t="s">
        <v>378</v>
      </c>
      <c r="D214">
        <v>3</v>
      </c>
      <c r="E214">
        <v>20</v>
      </c>
      <c r="F214">
        <v>85</v>
      </c>
      <c r="G214">
        <v>27</v>
      </c>
      <c r="L214">
        <v>46</v>
      </c>
    </row>
    <row r="215" spans="1:12" x14ac:dyDescent="0.25">
      <c r="A215" t="s">
        <v>377</v>
      </c>
      <c r="B215" t="s">
        <v>379</v>
      </c>
      <c r="C215" t="s">
        <v>378</v>
      </c>
      <c r="D215">
        <v>3</v>
      </c>
      <c r="E215">
        <v>20</v>
      </c>
      <c r="F215">
        <v>90</v>
      </c>
      <c r="G215">
        <v>27</v>
      </c>
      <c r="L215">
        <v>46</v>
      </c>
    </row>
    <row r="216" spans="1:12" x14ac:dyDescent="0.25">
      <c r="A216" t="s">
        <v>377</v>
      </c>
      <c r="B216" t="s">
        <v>379</v>
      </c>
      <c r="C216" t="s">
        <v>378</v>
      </c>
      <c r="D216">
        <v>3</v>
      </c>
      <c r="E216">
        <v>20</v>
      </c>
      <c r="F216">
        <v>95</v>
      </c>
      <c r="G216">
        <v>27</v>
      </c>
      <c r="L216">
        <v>46</v>
      </c>
    </row>
    <row r="217" spans="1:12" x14ac:dyDescent="0.25">
      <c r="A217" t="s">
        <v>377</v>
      </c>
      <c r="B217" t="s">
        <v>379</v>
      </c>
      <c r="C217" t="s">
        <v>378</v>
      </c>
      <c r="D217">
        <v>3</v>
      </c>
      <c r="E217">
        <v>20</v>
      </c>
      <c r="F217">
        <v>100</v>
      </c>
      <c r="G217">
        <v>30</v>
      </c>
      <c r="L217">
        <v>46</v>
      </c>
    </row>
    <row r="218" spans="1:12" x14ac:dyDescent="0.25">
      <c r="A218" t="s">
        <v>377</v>
      </c>
      <c r="B218" t="s">
        <v>379</v>
      </c>
      <c r="C218" t="s">
        <v>378</v>
      </c>
      <c r="D218">
        <v>3</v>
      </c>
      <c r="E218">
        <v>20</v>
      </c>
      <c r="F218">
        <v>110</v>
      </c>
      <c r="G218">
        <v>30</v>
      </c>
      <c r="L218">
        <v>46</v>
      </c>
    </row>
    <row r="219" spans="1:12" x14ac:dyDescent="0.25">
      <c r="A219" t="s">
        <v>377</v>
      </c>
      <c r="B219" t="s">
        <v>379</v>
      </c>
      <c r="C219" t="s">
        <v>378</v>
      </c>
      <c r="D219">
        <v>3</v>
      </c>
      <c r="E219">
        <v>20</v>
      </c>
      <c r="F219">
        <v>120</v>
      </c>
      <c r="G219">
        <v>30</v>
      </c>
      <c r="L219">
        <v>46</v>
      </c>
    </row>
    <row r="220" spans="1:12" x14ac:dyDescent="0.25">
      <c r="A220" t="s">
        <v>377</v>
      </c>
      <c r="B220" t="s">
        <v>379</v>
      </c>
      <c r="C220" t="s">
        <v>378</v>
      </c>
      <c r="D220">
        <v>3</v>
      </c>
      <c r="E220">
        <v>20</v>
      </c>
      <c r="F220">
        <v>130</v>
      </c>
      <c r="G220">
        <v>30</v>
      </c>
      <c r="L220">
        <v>52</v>
      </c>
    </row>
    <row r="221" spans="1:12" x14ac:dyDescent="0.25">
      <c r="A221" t="s">
        <v>377</v>
      </c>
      <c r="B221" t="s">
        <v>379</v>
      </c>
      <c r="C221" t="s">
        <v>378</v>
      </c>
      <c r="D221">
        <v>3</v>
      </c>
      <c r="E221">
        <v>20</v>
      </c>
      <c r="F221">
        <v>140</v>
      </c>
      <c r="G221">
        <v>30</v>
      </c>
      <c r="L221">
        <v>52</v>
      </c>
    </row>
    <row r="222" spans="1:12" x14ac:dyDescent="0.25">
      <c r="A222" t="s">
        <v>377</v>
      </c>
      <c r="B222" t="s">
        <v>379</v>
      </c>
      <c r="C222" t="s">
        <v>378</v>
      </c>
      <c r="D222">
        <v>3</v>
      </c>
      <c r="E222">
        <v>20</v>
      </c>
      <c r="F222">
        <v>150</v>
      </c>
      <c r="G222">
        <v>30</v>
      </c>
      <c r="L222">
        <v>52</v>
      </c>
    </row>
    <row r="223" spans="1:12" x14ac:dyDescent="0.25">
      <c r="A223" t="s">
        <v>377</v>
      </c>
      <c r="B223" t="s">
        <v>379</v>
      </c>
      <c r="C223" t="s">
        <v>378</v>
      </c>
      <c r="D223">
        <v>3</v>
      </c>
      <c r="E223">
        <v>20</v>
      </c>
      <c r="F223">
        <v>160</v>
      </c>
      <c r="G223">
        <v>30</v>
      </c>
      <c r="L223">
        <v>52</v>
      </c>
    </row>
    <row r="224" spans="1:12" x14ac:dyDescent="0.25">
      <c r="A224" t="s">
        <v>377</v>
      </c>
      <c r="B224" t="s">
        <v>379</v>
      </c>
      <c r="C224" t="s">
        <v>378</v>
      </c>
      <c r="D224">
        <v>3</v>
      </c>
      <c r="E224">
        <v>20</v>
      </c>
      <c r="F224">
        <v>170</v>
      </c>
      <c r="G224">
        <v>30</v>
      </c>
      <c r="L224">
        <v>52</v>
      </c>
    </row>
    <row r="225" spans="1:12" x14ac:dyDescent="0.25">
      <c r="A225" t="s">
        <v>377</v>
      </c>
      <c r="B225" t="s">
        <v>379</v>
      </c>
      <c r="C225" t="s">
        <v>378</v>
      </c>
      <c r="D225">
        <v>3</v>
      </c>
      <c r="E225">
        <v>20</v>
      </c>
      <c r="F225">
        <v>180</v>
      </c>
      <c r="G225">
        <v>30</v>
      </c>
      <c r="L225">
        <v>52</v>
      </c>
    </row>
    <row r="226" spans="1:12" x14ac:dyDescent="0.25">
      <c r="A226" t="s">
        <v>377</v>
      </c>
      <c r="B226" t="s">
        <v>379</v>
      </c>
      <c r="C226" t="s">
        <v>378</v>
      </c>
      <c r="D226">
        <v>3</v>
      </c>
      <c r="E226">
        <v>20</v>
      </c>
      <c r="F226">
        <v>190</v>
      </c>
      <c r="G226">
        <v>30</v>
      </c>
      <c r="L226">
        <v>52</v>
      </c>
    </row>
    <row r="227" spans="1:12" x14ac:dyDescent="0.25">
      <c r="A227" t="s">
        <v>377</v>
      </c>
      <c r="B227" t="s">
        <v>379</v>
      </c>
      <c r="C227" t="s">
        <v>378</v>
      </c>
      <c r="D227">
        <v>3</v>
      </c>
      <c r="E227">
        <v>20</v>
      </c>
      <c r="F227">
        <v>200</v>
      </c>
      <c r="G227">
        <v>30</v>
      </c>
      <c r="L227">
        <v>52</v>
      </c>
    </row>
    <row r="228" spans="1:12" x14ac:dyDescent="0.25">
      <c r="A228" t="s">
        <v>377</v>
      </c>
      <c r="B228" t="s">
        <v>379</v>
      </c>
      <c r="C228" t="s">
        <v>378</v>
      </c>
      <c r="D228">
        <v>3</v>
      </c>
      <c r="E228">
        <v>20</v>
      </c>
      <c r="F228">
        <v>210</v>
      </c>
      <c r="G228">
        <v>30</v>
      </c>
      <c r="L228">
        <v>65</v>
      </c>
    </row>
    <row r="229" spans="1:12" x14ac:dyDescent="0.25">
      <c r="A229" t="s">
        <v>377</v>
      </c>
      <c r="B229" t="s">
        <v>379</v>
      </c>
      <c r="C229" t="s">
        <v>378</v>
      </c>
      <c r="D229">
        <v>3</v>
      </c>
      <c r="E229">
        <v>20</v>
      </c>
      <c r="F229">
        <v>220</v>
      </c>
      <c r="G229">
        <v>30</v>
      </c>
      <c r="L229">
        <v>65</v>
      </c>
    </row>
    <row r="230" spans="1:12" x14ac:dyDescent="0.25">
      <c r="A230" t="s">
        <v>377</v>
      </c>
      <c r="B230" t="s">
        <v>379</v>
      </c>
      <c r="C230" t="s">
        <v>378</v>
      </c>
      <c r="D230">
        <v>3</v>
      </c>
      <c r="E230">
        <v>20</v>
      </c>
      <c r="F230">
        <v>230</v>
      </c>
      <c r="G230">
        <v>30</v>
      </c>
      <c r="L230">
        <v>65</v>
      </c>
    </row>
    <row r="231" spans="1:12" x14ac:dyDescent="0.25">
      <c r="A231" t="s">
        <v>377</v>
      </c>
      <c r="B231" t="s">
        <v>379</v>
      </c>
      <c r="C231" t="s">
        <v>378</v>
      </c>
      <c r="D231">
        <v>3</v>
      </c>
      <c r="E231">
        <v>20</v>
      </c>
      <c r="F231">
        <v>240</v>
      </c>
      <c r="G231">
        <v>30</v>
      </c>
      <c r="L231">
        <v>65</v>
      </c>
    </row>
    <row r="232" spans="1:12" x14ac:dyDescent="0.25">
      <c r="A232" t="s">
        <v>377</v>
      </c>
      <c r="B232" t="s">
        <v>379</v>
      </c>
      <c r="C232" t="s">
        <v>378</v>
      </c>
      <c r="D232">
        <v>3</v>
      </c>
      <c r="E232">
        <v>20</v>
      </c>
      <c r="F232">
        <v>250</v>
      </c>
      <c r="G232">
        <v>30</v>
      </c>
      <c r="L232">
        <v>65</v>
      </c>
    </row>
    <row r="233" spans="1:12" x14ac:dyDescent="0.25">
      <c r="A233" t="s">
        <v>377</v>
      </c>
      <c r="B233" t="s">
        <v>379</v>
      </c>
      <c r="C233" t="s">
        <v>378</v>
      </c>
      <c r="D233">
        <v>3</v>
      </c>
      <c r="E233">
        <v>20</v>
      </c>
      <c r="F233">
        <v>260</v>
      </c>
      <c r="G233">
        <v>30</v>
      </c>
      <c r="L233">
        <v>65</v>
      </c>
    </row>
    <row r="234" spans="1:12" x14ac:dyDescent="0.25">
      <c r="A234" t="s">
        <v>377</v>
      </c>
      <c r="B234" t="s">
        <v>379</v>
      </c>
      <c r="C234" t="s">
        <v>378</v>
      </c>
      <c r="D234">
        <v>3</v>
      </c>
      <c r="E234">
        <v>20</v>
      </c>
      <c r="F234">
        <v>270</v>
      </c>
      <c r="G234">
        <v>30</v>
      </c>
      <c r="L234">
        <v>65</v>
      </c>
    </row>
    <row r="235" spans="1:12" x14ac:dyDescent="0.25">
      <c r="A235" t="s">
        <v>377</v>
      </c>
      <c r="B235" t="s">
        <v>379</v>
      </c>
      <c r="C235" t="s">
        <v>378</v>
      </c>
      <c r="D235">
        <v>3</v>
      </c>
      <c r="E235">
        <v>20</v>
      </c>
      <c r="F235">
        <v>280</v>
      </c>
      <c r="G235">
        <v>30</v>
      </c>
      <c r="L235">
        <v>65</v>
      </c>
    </row>
    <row r="236" spans="1:12" x14ac:dyDescent="0.25">
      <c r="A236" t="s">
        <v>377</v>
      </c>
      <c r="B236" t="s">
        <v>379</v>
      </c>
      <c r="C236" t="s">
        <v>378</v>
      </c>
      <c r="D236">
        <v>3</v>
      </c>
      <c r="E236">
        <v>20</v>
      </c>
      <c r="F236">
        <v>290</v>
      </c>
      <c r="G236">
        <v>30</v>
      </c>
      <c r="L236">
        <v>65</v>
      </c>
    </row>
    <row r="237" spans="1:12" x14ac:dyDescent="0.25">
      <c r="A237" t="s">
        <v>377</v>
      </c>
      <c r="B237" t="s">
        <v>379</v>
      </c>
      <c r="C237" t="s">
        <v>378</v>
      </c>
      <c r="D237">
        <v>3</v>
      </c>
      <c r="E237">
        <v>20</v>
      </c>
      <c r="F237">
        <v>300</v>
      </c>
      <c r="G237">
        <v>30</v>
      </c>
      <c r="L237">
        <v>65</v>
      </c>
    </row>
    <row r="238" spans="1:12" x14ac:dyDescent="0.25">
      <c r="A238" t="s">
        <v>377</v>
      </c>
      <c r="B238" t="s">
        <v>379</v>
      </c>
      <c r="C238" t="s">
        <v>378</v>
      </c>
      <c r="D238">
        <v>3</v>
      </c>
      <c r="E238">
        <v>20</v>
      </c>
      <c r="F238">
        <v>310</v>
      </c>
      <c r="G238">
        <v>30</v>
      </c>
      <c r="L238">
        <v>65</v>
      </c>
    </row>
    <row r="239" spans="1:12" x14ac:dyDescent="0.25">
      <c r="A239" t="s">
        <v>377</v>
      </c>
      <c r="B239" t="s">
        <v>379</v>
      </c>
      <c r="C239" t="s">
        <v>378</v>
      </c>
      <c r="D239">
        <v>3</v>
      </c>
      <c r="E239">
        <v>20</v>
      </c>
      <c r="F239">
        <v>320</v>
      </c>
      <c r="G239">
        <v>30</v>
      </c>
      <c r="L239">
        <v>65</v>
      </c>
    </row>
    <row r="240" spans="1:12" x14ac:dyDescent="0.25">
      <c r="A240" t="s">
        <v>377</v>
      </c>
      <c r="B240" t="s">
        <v>379</v>
      </c>
      <c r="C240" t="s">
        <v>378</v>
      </c>
      <c r="D240">
        <v>3</v>
      </c>
      <c r="E240">
        <v>20</v>
      </c>
      <c r="F240">
        <v>330</v>
      </c>
      <c r="G240">
        <v>30</v>
      </c>
      <c r="L240">
        <v>65</v>
      </c>
    </row>
    <row r="241" spans="1:12" x14ac:dyDescent="0.25">
      <c r="A241" t="s">
        <v>377</v>
      </c>
      <c r="B241" t="s">
        <v>379</v>
      </c>
      <c r="C241" t="s">
        <v>378</v>
      </c>
      <c r="D241">
        <v>3</v>
      </c>
      <c r="E241">
        <v>20</v>
      </c>
      <c r="F241">
        <v>340</v>
      </c>
      <c r="G241">
        <v>30</v>
      </c>
      <c r="L241">
        <v>65</v>
      </c>
    </row>
    <row r="242" spans="1:12" x14ac:dyDescent="0.25">
      <c r="A242" t="s">
        <v>377</v>
      </c>
      <c r="B242" t="s">
        <v>379</v>
      </c>
      <c r="C242" t="s">
        <v>378</v>
      </c>
      <c r="D242">
        <v>3</v>
      </c>
      <c r="E242">
        <v>20</v>
      </c>
      <c r="F242">
        <v>350</v>
      </c>
      <c r="G242">
        <v>30</v>
      </c>
      <c r="L242">
        <v>65</v>
      </c>
    </row>
    <row r="243" spans="1:12" x14ac:dyDescent="0.25">
      <c r="A243" t="s">
        <v>377</v>
      </c>
      <c r="B243" t="s">
        <v>379</v>
      </c>
      <c r="C243" t="s">
        <v>378</v>
      </c>
      <c r="D243">
        <v>3</v>
      </c>
      <c r="E243">
        <v>20</v>
      </c>
      <c r="F243">
        <v>360</v>
      </c>
      <c r="G243">
        <v>30</v>
      </c>
      <c r="L243">
        <v>65</v>
      </c>
    </row>
    <row r="244" spans="1:12" x14ac:dyDescent="0.25">
      <c r="A244" t="s">
        <v>377</v>
      </c>
      <c r="B244" t="s">
        <v>379</v>
      </c>
      <c r="C244" t="s">
        <v>378</v>
      </c>
      <c r="D244">
        <v>3</v>
      </c>
      <c r="E244">
        <v>20</v>
      </c>
      <c r="F244">
        <v>380</v>
      </c>
      <c r="G244">
        <v>30</v>
      </c>
      <c r="L244">
        <v>65</v>
      </c>
    </row>
    <row r="245" spans="1:12" x14ac:dyDescent="0.25">
      <c r="A245" t="s">
        <v>377</v>
      </c>
      <c r="B245" t="s">
        <v>379</v>
      </c>
      <c r="C245" t="s">
        <v>378</v>
      </c>
      <c r="D245">
        <v>3</v>
      </c>
      <c r="E245">
        <v>20</v>
      </c>
      <c r="F245">
        <v>400</v>
      </c>
      <c r="G245">
        <v>30</v>
      </c>
      <c r="L245">
        <v>65</v>
      </c>
    </row>
    <row r="246" spans="1:12" x14ac:dyDescent="0.25">
      <c r="A246" t="s">
        <v>377</v>
      </c>
      <c r="B246" t="s">
        <v>379</v>
      </c>
      <c r="C246" t="s">
        <v>378</v>
      </c>
      <c r="D246">
        <v>3</v>
      </c>
      <c r="E246">
        <v>20</v>
      </c>
      <c r="F246">
        <v>420</v>
      </c>
      <c r="G246">
        <v>30</v>
      </c>
      <c r="L246">
        <v>65</v>
      </c>
    </row>
    <row r="247" spans="1:12" x14ac:dyDescent="0.25">
      <c r="A247" t="s">
        <v>377</v>
      </c>
      <c r="B247" t="s">
        <v>379</v>
      </c>
      <c r="C247" t="s">
        <v>378</v>
      </c>
      <c r="D247">
        <v>3</v>
      </c>
      <c r="E247">
        <v>20</v>
      </c>
      <c r="F247">
        <v>430</v>
      </c>
      <c r="G247">
        <v>30</v>
      </c>
      <c r="L247">
        <v>65</v>
      </c>
    </row>
    <row r="248" spans="1:12" x14ac:dyDescent="0.25">
      <c r="A248" t="s">
        <v>377</v>
      </c>
      <c r="B248" t="s">
        <v>379</v>
      </c>
      <c r="C248" t="s">
        <v>378</v>
      </c>
      <c r="D248">
        <v>3</v>
      </c>
      <c r="E248">
        <v>20</v>
      </c>
      <c r="F248">
        <v>440</v>
      </c>
      <c r="G248">
        <v>30</v>
      </c>
      <c r="L248">
        <v>65</v>
      </c>
    </row>
    <row r="249" spans="1:12" x14ac:dyDescent="0.25">
      <c r="A249" t="s">
        <v>377</v>
      </c>
      <c r="B249" t="s">
        <v>379</v>
      </c>
      <c r="C249" t="s">
        <v>378</v>
      </c>
      <c r="D249">
        <v>3</v>
      </c>
      <c r="E249">
        <v>20</v>
      </c>
      <c r="F249">
        <v>450</v>
      </c>
      <c r="G249">
        <v>30</v>
      </c>
      <c r="L249">
        <v>65</v>
      </c>
    </row>
    <row r="250" spans="1:12" x14ac:dyDescent="0.25">
      <c r="A250" t="s">
        <v>377</v>
      </c>
      <c r="B250" t="s">
        <v>379</v>
      </c>
      <c r="C250" t="s">
        <v>378</v>
      </c>
      <c r="D250">
        <v>3</v>
      </c>
      <c r="E250">
        <v>20</v>
      </c>
      <c r="F250">
        <v>460</v>
      </c>
      <c r="G250">
        <v>30</v>
      </c>
      <c r="L250">
        <v>65</v>
      </c>
    </row>
    <row r="251" spans="1:12" x14ac:dyDescent="0.25">
      <c r="A251" t="s">
        <v>377</v>
      </c>
      <c r="B251" t="s">
        <v>379</v>
      </c>
      <c r="C251" t="s">
        <v>378</v>
      </c>
      <c r="D251">
        <v>3</v>
      </c>
      <c r="E251">
        <v>20</v>
      </c>
      <c r="F251">
        <v>480</v>
      </c>
      <c r="G251">
        <v>30</v>
      </c>
      <c r="L251">
        <v>65</v>
      </c>
    </row>
    <row r="252" spans="1:12" x14ac:dyDescent="0.25">
      <c r="A252" t="s">
        <v>377</v>
      </c>
      <c r="B252" t="s">
        <v>379</v>
      </c>
      <c r="C252" t="s">
        <v>378</v>
      </c>
      <c r="D252">
        <v>3</v>
      </c>
      <c r="E252">
        <v>20</v>
      </c>
      <c r="F252">
        <v>500</v>
      </c>
      <c r="G252">
        <v>30</v>
      </c>
      <c r="L252">
        <v>65</v>
      </c>
    </row>
    <row r="253" spans="1:12" x14ac:dyDescent="0.25">
      <c r="A253" t="s">
        <v>377</v>
      </c>
      <c r="B253" t="s">
        <v>379</v>
      </c>
      <c r="C253" t="s">
        <v>378</v>
      </c>
      <c r="D253">
        <v>3</v>
      </c>
      <c r="E253">
        <v>22</v>
      </c>
      <c r="F253">
        <v>70</v>
      </c>
      <c r="G253">
        <v>30</v>
      </c>
      <c r="L253">
        <v>50</v>
      </c>
    </row>
    <row r="254" spans="1:12" x14ac:dyDescent="0.25">
      <c r="A254" t="s">
        <v>377</v>
      </c>
      <c r="B254" t="s">
        <v>379</v>
      </c>
      <c r="C254" t="s">
        <v>378</v>
      </c>
      <c r="D254">
        <v>3</v>
      </c>
      <c r="E254">
        <v>22</v>
      </c>
      <c r="F254">
        <v>75</v>
      </c>
      <c r="G254">
        <v>30</v>
      </c>
      <c r="L254">
        <v>50</v>
      </c>
    </row>
    <row r="255" spans="1:12" x14ac:dyDescent="0.25">
      <c r="A255" t="s">
        <v>377</v>
      </c>
      <c r="B255" t="s">
        <v>379</v>
      </c>
      <c r="C255" t="s">
        <v>378</v>
      </c>
      <c r="D255">
        <v>3</v>
      </c>
      <c r="E255">
        <v>22</v>
      </c>
      <c r="F255">
        <v>80</v>
      </c>
      <c r="G255">
        <v>30</v>
      </c>
      <c r="L255">
        <v>50</v>
      </c>
    </row>
    <row r="256" spans="1:12" x14ac:dyDescent="0.25">
      <c r="A256" t="s">
        <v>377</v>
      </c>
      <c r="B256" t="s">
        <v>379</v>
      </c>
      <c r="C256" t="s">
        <v>378</v>
      </c>
      <c r="D256">
        <v>3</v>
      </c>
      <c r="E256">
        <v>22</v>
      </c>
      <c r="F256">
        <v>90</v>
      </c>
      <c r="G256">
        <v>30</v>
      </c>
      <c r="L256">
        <v>50</v>
      </c>
    </row>
    <row r="257" spans="1:12" x14ac:dyDescent="0.25">
      <c r="A257" t="s">
        <v>377</v>
      </c>
      <c r="B257" t="s">
        <v>379</v>
      </c>
      <c r="C257" t="s">
        <v>378</v>
      </c>
      <c r="D257">
        <v>3</v>
      </c>
      <c r="E257">
        <v>22</v>
      </c>
      <c r="F257">
        <v>100</v>
      </c>
      <c r="G257">
        <v>30</v>
      </c>
      <c r="L257">
        <v>50</v>
      </c>
    </row>
    <row r="258" spans="1:12" x14ac:dyDescent="0.25">
      <c r="A258" t="s">
        <v>377</v>
      </c>
      <c r="B258" t="s">
        <v>379</v>
      </c>
      <c r="C258" t="s">
        <v>378</v>
      </c>
      <c r="D258">
        <v>3</v>
      </c>
      <c r="E258">
        <v>22</v>
      </c>
      <c r="F258">
        <v>110</v>
      </c>
      <c r="G258">
        <v>30</v>
      </c>
      <c r="L258">
        <v>50</v>
      </c>
    </row>
    <row r="259" spans="1:12" x14ac:dyDescent="0.25">
      <c r="A259" t="s">
        <v>377</v>
      </c>
      <c r="B259" t="s">
        <v>379</v>
      </c>
      <c r="C259" t="s">
        <v>378</v>
      </c>
      <c r="D259">
        <v>3</v>
      </c>
      <c r="E259">
        <v>22</v>
      </c>
      <c r="F259">
        <v>120</v>
      </c>
      <c r="G259">
        <v>30</v>
      </c>
      <c r="L259">
        <v>50</v>
      </c>
    </row>
    <row r="260" spans="1:12" x14ac:dyDescent="0.25">
      <c r="A260" t="s">
        <v>377</v>
      </c>
      <c r="B260" t="s">
        <v>379</v>
      </c>
      <c r="C260" t="s">
        <v>378</v>
      </c>
      <c r="D260">
        <v>3</v>
      </c>
      <c r="E260">
        <v>22</v>
      </c>
      <c r="F260">
        <v>130</v>
      </c>
      <c r="G260">
        <v>30</v>
      </c>
      <c r="L260">
        <v>56</v>
      </c>
    </row>
    <row r="261" spans="1:12" x14ac:dyDescent="0.25">
      <c r="A261" t="s">
        <v>377</v>
      </c>
      <c r="B261" t="s">
        <v>379</v>
      </c>
      <c r="C261" t="s">
        <v>378</v>
      </c>
      <c r="D261">
        <v>3</v>
      </c>
      <c r="E261">
        <v>22</v>
      </c>
      <c r="F261">
        <v>140</v>
      </c>
      <c r="G261">
        <v>30</v>
      </c>
      <c r="L261">
        <v>56</v>
      </c>
    </row>
    <row r="262" spans="1:12" x14ac:dyDescent="0.25">
      <c r="A262" t="s">
        <v>377</v>
      </c>
      <c r="B262" t="s">
        <v>379</v>
      </c>
      <c r="C262" t="s">
        <v>378</v>
      </c>
      <c r="D262">
        <v>3</v>
      </c>
      <c r="E262">
        <v>22</v>
      </c>
      <c r="F262">
        <v>150</v>
      </c>
      <c r="G262">
        <v>30</v>
      </c>
      <c r="L262">
        <v>56</v>
      </c>
    </row>
    <row r="263" spans="1:12" x14ac:dyDescent="0.25">
      <c r="A263" t="s">
        <v>377</v>
      </c>
      <c r="B263" t="s">
        <v>379</v>
      </c>
      <c r="C263" t="s">
        <v>378</v>
      </c>
      <c r="D263">
        <v>3</v>
      </c>
      <c r="E263">
        <v>22</v>
      </c>
      <c r="F263">
        <v>160</v>
      </c>
      <c r="G263">
        <v>30</v>
      </c>
      <c r="L263">
        <v>56</v>
      </c>
    </row>
    <row r="264" spans="1:12" x14ac:dyDescent="0.25">
      <c r="A264" t="s">
        <v>377</v>
      </c>
      <c r="B264" t="s">
        <v>379</v>
      </c>
      <c r="C264" t="s">
        <v>378</v>
      </c>
      <c r="D264">
        <v>3</v>
      </c>
      <c r="E264">
        <v>22</v>
      </c>
      <c r="F264">
        <v>180</v>
      </c>
      <c r="G264">
        <v>30</v>
      </c>
      <c r="L264">
        <v>56</v>
      </c>
    </row>
    <row r="265" spans="1:12" x14ac:dyDescent="0.25">
      <c r="A265" t="s">
        <v>377</v>
      </c>
      <c r="B265" t="s">
        <v>379</v>
      </c>
      <c r="C265" t="s">
        <v>378</v>
      </c>
      <c r="D265">
        <v>3</v>
      </c>
      <c r="E265">
        <v>22</v>
      </c>
      <c r="F265">
        <v>200</v>
      </c>
      <c r="G265">
        <v>30</v>
      </c>
      <c r="L265">
        <v>56</v>
      </c>
    </row>
    <row r="266" spans="1:12" x14ac:dyDescent="0.25">
      <c r="A266" t="s">
        <v>377</v>
      </c>
      <c r="B266" t="s">
        <v>379</v>
      </c>
      <c r="C266" t="s">
        <v>378</v>
      </c>
      <c r="D266">
        <v>3</v>
      </c>
      <c r="E266">
        <v>22</v>
      </c>
      <c r="F266">
        <v>240</v>
      </c>
      <c r="G266">
        <v>30</v>
      </c>
      <c r="L266">
        <v>69</v>
      </c>
    </row>
    <row r="267" spans="1:12" x14ac:dyDescent="0.25">
      <c r="A267" t="s">
        <v>377</v>
      </c>
      <c r="B267" t="s">
        <v>379</v>
      </c>
      <c r="C267" t="s">
        <v>378</v>
      </c>
      <c r="D267">
        <v>3</v>
      </c>
      <c r="E267">
        <v>22</v>
      </c>
      <c r="F267">
        <v>260</v>
      </c>
      <c r="G267">
        <v>30</v>
      </c>
      <c r="L267">
        <v>69</v>
      </c>
    </row>
    <row r="268" spans="1:12" x14ac:dyDescent="0.25">
      <c r="A268" t="s">
        <v>377</v>
      </c>
      <c r="B268" t="s">
        <v>379</v>
      </c>
      <c r="C268" t="s">
        <v>378</v>
      </c>
      <c r="D268">
        <v>3</v>
      </c>
      <c r="E268">
        <v>22</v>
      </c>
      <c r="F268">
        <v>280</v>
      </c>
      <c r="G268">
        <v>30</v>
      </c>
      <c r="L268">
        <v>69</v>
      </c>
    </row>
    <row r="269" spans="1:12" x14ac:dyDescent="0.25">
      <c r="A269" t="s">
        <v>377</v>
      </c>
      <c r="B269" t="s">
        <v>379</v>
      </c>
      <c r="C269" t="s">
        <v>378</v>
      </c>
      <c r="D269">
        <v>3</v>
      </c>
      <c r="E269">
        <v>22</v>
      </c>
      <c r="F269">
        <v>300</v>
      </c>
      <c r="G269">
        <v>30</v>
      </c>
      <c r="L269">
        <v>69</v>
      </c>
    </row>
    <row r="270" spans="1:12" x14ac:dyDescent="0.25">
      <c r="A270" t="s">
        <v>377</v>
      </c>
      <c r="B270" t="s">
        <v>379</v>
      </c>
      <c r="C270" t="s">
        <v>378</v>
      </c>
      <c r="D270">
        <v>3</v>
      </c>
      <c r="E270">
        <v>24</v>
      </c>
      <c r="F270">
        <v>70</v>
      </c>
      <c r="G270">
        <v>30</v>
      </c>
      <c r="L270">
        <v>54</v>
      </c>
    </row>
    <row r="271" spans="1:12" x14ac:dyDescent="0.25">
      <c r="A271" t="s">
        <v>377</v>
      </c>
      <c r="B271" t="s">
        <v>379</v>
      </c>
      <c r="C271" t="s">
        <v>378</v>
      </c>
      <c r="D271">
        <v>3</v>
      </c>
      <c r="E271">
        <v>24</v>
      </c>
      <c r="F271">
        <v>75</v>
      </c>
      <c r="G271">
        <v>30</v>
      </c>
      <c r="L271">
        <v>54</v>
      </c>
    </row>
    <row r="272" spans="1:12" x14ac:dyDescent="0.25">
      <c r="A272" t="s">
        <v>377</v>
      </c>
      <c r="B272" t="s">
        <v>379</v>
      </c>
      <c r="C272" t="s">
        <v>378</v>
      </c>
      <c r="D272">
        <v>3</v>
      </c>
      <c r="E272">
        <v>24</v>
      </c>
      <c r="F272">
        <v>80</v>
      </c>
      <c r="G272">
        <v>30</v>
      </c>
      <c r="L272">
        <v>54</v>
      </c>
    </row>
    <row r="273" spans="1:12" x14ac:dyDescent="0.25">
      <c r="A273" t="s">
        <v>377</v>
      </c>
      <c r="B273" t="s">
        <v>379</v>
      </c>
      <c r="C273" t="s">
        <v>378</v>
      </c>
      <c r="D273">
        <v>3</v>
      </c>
      <c r="E273">
        <v>24</v>
      </c>
      <c r="F273">
        <v>85</v>
      </c>
      <c r="G273">
        <v>30</v>
      </c>
      <c r="L273">
        <v>54</v>
      </c>
    </row>
    <row r="274" spans="1:12" x14ac:dyDescent="0.25">
      <c r="A274" t="s">
        <v>377</v>
      </c>
      <c r="B274" t="s">
        <v>379</v>
      </c>
      <c r="C274" t="s">
        <v>378</v>
      </c>
      <c r="D274">
        <v>3</v>
      </c>
      <c r="E274">
        <v>24</v>
      </c>
      <c r="F274">
        <v>90</v>
      </c>
      <c r="G274">
        <v>30</v>
      </c>
      <c r="L274">
        <v>54</v>
      </c>
    </row>
    <row r="275" spans="1:12" x14ac:dyDescent="0.25">
      <c r="A275" t="s">
        <v>377</v>
      </c>
      <c r="B275" t="s">
        <v>379</v>
      </c>
      <c r="C275" t="s">
        <v>378</v>
      </c>
      <c r="D275">
        <v>3</v>
      </c>
      <c r="E275">
        <v>24</v>
      </c>
      <c r="F275">
        <v>95</v>
      </c>
      <c r="G275">
        <v>30</v>
      </c>
      <c r="L275">
        <v>54</v>
      </c>
    </row>
    <row r="276" spans="1:12" x14ac:dyDescent="0.25">
      <c r="A276" t="s">
        <v>377</v>
      </c>
      <c r="B276" t="s">
        <v>379</v>
      </c>
      <c r="C276" t="s">
        <v>378</v>
      </c>
      <c r="D276">
        <v>3</v>
      </c>
      <c r="E276">
        <v>24</v>
      </c>
      <c r="F276">
        <v>100</v>
      </c>
      <c r="G276">
        <v>36</v>
      </c>
      <c r="L276">
        <v>54</v>
      </c>
    </row>
    <row r="277" spans="1:12" x14ac:dyDescent="0.25">
      <c r="A277" t="s">
        <v>377</v>
      </c>
      <c r="B277" t="s">
        <v>379</v>
      </c>
      <c r="C277" t="s">
        <v>378</v>
      </c>
      <c r="D277">
        <v>3</v>
      </c>
      <c r="E277">
        <v>24</v>
      </c>
      <c r="F277">
        <v>110</v>
      </c>
      <c r="G277">
        <v>36</v>
      </c>
      <c r="L277">
        <v>54</v>
      </c>
    </row>
    <row r="278" spans="1:12" x14ac:dyDescent="0.25">
      <c r="A278" t="s">
        <v>377</v>
      </c>
      <c r="B278" t="s">
        <v>379</v>
      </c>
      <c r="C278" t="s">
        <v>378</v>
      </c>
      <c r="D278">
        <v>3</v>
      </c>
      <c r="E278">
        <v>24</v>
      </c>
      <c r="F278">
        <v>120</v>
      </c>
      <c r="G278">
        <v>36</v>
      </c>
      <c r="L278">
        <v>54</v>
      </c>
    </row>
    <row r="279" spans="1:12" x14ac:dyDescent="0.25">
      <c r="A279" t="s">
        <v>377</v>
      </c>
      <c r="B279" t="s">
        <v>379</v>
      </c>
      <c r="C279" t="s">
        <v>378</v>
      </c>
      <c r="D279">
        <v>3</v>
      </c>
      <c r="E279">
        <v>24</v>
      </c>
      <c r="F279">
        <v>130</v>
      </c>
      <c r="G279">
        <v>36</v>
      </c>
      <c r="L279">
        <v>60</v>
      </c>
    </row>
    <row r="280" spans="1:12" x14ac:dyDescent="0.25">
      <c r="A280" t="s">
        <v>377</v>
      </c>
      <c r="B280" t="s">
        <v>379</v>
      </c>
      <c r="C280" t="s">
        <v>378</v>
      </c>
      <c r="D280">
        <v>3</v>
      </c>
      <c r="E280">
        <v>24</v>
      </c>
      <c r="F280">
        <v>140</v>
      </c>
      <c r="G280">
        <v>36</v>
      </c>
      <c r="L280">
        <v>60</v>
      </c>
    </row>
    <row r="281" spans="1:12" x14ac:dyDescent="0.25">
      <c r="A281" t="s">
        <v>377</v>
      </c>
      <c r="B281" t="s">
        <v>379</v>
      </c>
      <c r="C281" t="s">
        <v>378</v>
      </c>
      <c r="D281">
        <v>3</v>
      </c>
      <c r="E281">
        <v>24</v>
      </c>
      <c r="F281">
        <v>150</v>
      </c>
      <c r="G281">
        <v>36</v>
      </c>
      <c r="L281">
        <v>60</v>
      </c>
    </row>
    <row r="282" spans="1:12" x14ac:dyDescent="0.25">
      <c r="A282" t="s">
        <v>377</v>
      </c>
      <c r="B282" t="s">
        <v>379</v>
      </c>
      <c r="C282" t="s">
        <v>378</v>
      </c>
      <c r="D282">
        <v>3</v>
      </c>
      <c r="E282">
        <v>24</v>
      </c>
      <c r="F282">
        <v>160</v>
      </c>
      <c r="G282">
        <v>36</v>
      </c>
      <c r="L282">
        <v>60</v>
      </c>
    </row>
    <row r="283" spans="1:12" x14ac:dyDescent="0.25">
      <c r="A283" t="s">
        <v>377</v>
      </c>
      <c r="B283" t="s">
        <v>379</v>
      </c>
      <c r="C283" t="s">
        <v>378</v>
      </c>
      <c r="D283">
        <v>3</v>
      </c>
      <c r="E283">
        <v>24</v>
      </c>
      <c r="F283">
        <v>170</v>
      </c>
      <c r="G283">
        <v>36</v>
      </c>
      <c r="L283">
        <v>60</v>
      </c>
    </row>
    <row r="284" spans="1:12" x14ac:dyDescent="0.25">
      <c r="A284" t="s">
        <v>377</v>
      </c>
      <c r="B284" t="s">
        <v>379</v>
      </c>
      <c r="C284" t="s">
        <v>378</v>
      </c>
      <c r="D284">
        <v>3</v>
      </c>
      <c r="E284">
        <v>24</v>
      </c>
      <c r="F284">
        <v>180</v>
      </c>
      <c r="G284">
        <v>36</v>
      </c>
      <c r="L284">
        <v>60</v>
      </c>
    </row>
    <row r="285" spans="1:12" x14ac:dyDescent="0.25">
      <c r="A285" t="s">
        <v>377</v>
      </c>
      <c r="B285" t="s">
        <v>379</v>
      </c>
      <c r="C285" t="s">
        <v>378</v>
      </c>
      <c r="D285">
        <v>3</v>
      </c>
      <c r="E285">
        <v>24</v>
      </c>
      <c r="F285">
        <v>190</v>
      </c>
      <c r="G285">
        <v>36</v>
      </c>
      <c r="L285">
        <v>60</v>
      </c>
    </row>
    <row r="286" spans="1:12" x14ac:dyDescent="0.25">
      <c r="A286" t="s">
        <v>377</v>
      </c>
      <c r="B286" t="s">
        <v>379</v>
      </c>
      <c r="C286" t="s">
        <v>378</v>
      </c>
      <c r="D286">
        <v>3</v>
      </c>
      <c r="E286">
        <v>24</v>
      </c>
      <c r="F286">
        <v>200</v>
      </c>
      <c r="G286">
        <v>36</v>
      </c>
      <c r="L286">
        <v>60</v>
      </c>
    </row>
    <row r="287" spans="1:12" x14ac:dyDescent="0.25">
      <c r="A287" t="s">
        <v>377</v>
      </c>
      <c r="B287" t="s">
        <v>379</v>
      </c>
      <c r="C287" t="s">
        <v>378</v>
      </c>
      <c r="D287">
        <v>3</v>
      </c>
      <c r="E287">
        <v>24</v>
      </c>
      <c r="F287">
        <v>210</v>
      </c>
      <c r="G287">
        <v>36</v>
      </c>
      <c r="L287">
        <v>73</v>
      </c>
    </row>
    <row r="288" spans="1:12" x14ac:dyDescent="0.25">
      <c r="A288" t="s">
        <v>377</v>
      </c>
      <c r="B288" t="s">
        <v>379</v>
      </c>
      <c r="C288" t="s">
        <v>378</v>
      </c>
      <c r="D288">
        <v>3</v>
      </c>
      <c r="E288">
        <v>24</v>
      </c>
      <c r="F288">
        <v>220</v>
      </c>
      <c r="G288">
        <v>36</v>
      </c>
      <c r="L288">
        <v>73</v>
      </c>
    </row>
    <row r="289" spans="1:12" x14ac:dyDescent="0.25">
      <c r="A289" t="s">
        <v>377</v>
      </c>
      <c r="B289" t="s">
        <v>379</v>
      </c>
      <c r="C289" t="s">
        <v>378</v>
      </c>
      <c r="D289">
        <v>3</v>
      </c>
      <c r="E289">
        <v>24</v>
      </c>
      <c r="F289">
        <v>230</v>
      </c>
      <c r="G289">
        <v>36</v>
      </c>
      <c r="L289">
        <v>73</v>
      </c>
    </row>
    <row r="290" spans="1:12" x14ac:dyDescent="0.25">
      <c r="A290" t="s">
        <v>377</v>
      </c>
      <c r="B290" t="s">
        <v>379</v>
      </c>
      <c r="C290" t="s">
        <v>378</v>
      </c>
      <c r="D290">
        <v>3</v>
      </c>
      <c r="E290">
        <v>24</v>
      </c>
      <c r="F290">
        <v>240</v>
      </c>
      <c r="G290">
        <v>36</v>
      </c>
      <c r="L290">
        <v>73</v>
      </c>
    </row>
    <row r="291" spans="1:12" x14ac:dyDescent="0.25">
      <c r="A291" t="s">
        <v>377</v>
      </c>
      <c r="B291" t="s">
        <v>379</v>
      </c>
      <c r="C291" t="s">
        <v>378</v>
      </c>
      <c r="D291">
        <v>3</v>
      </c>
      <c r="E291">
        <v>24</v>
      </c>
      <c r="F291">
        <v>250</v>
      </c>
      <c r="G291">
        <v>36</v>
      </c>
      <c r="L291">
        <v>73</v>
      </c>
    </row>
    <row r="292" spans="1:12" x14ac:dyDescent="0.25">
      <c r="A292" t="s">
        <v>377</v>
      </c>
      <c r="B292" t="s">
        <v>379</v>
      </c>
      <c r="C292" t="s">
        <v>378</v>
      </c>
      <c r="D292">
        <v>3</v>
      </c>
      <c r="E292">
        <v>24</v>
      </c>
      <c r="F292">
        <v>260</v>
      </c>
      <c r="G292">
        <v>36</v>
      </c>
      <c r="L292">
        <v>73</v>
      </c>
    </row>
    <row r="293" spans="1:12" x14ac:dyDescent="0.25">
      <c r="A293" t="s">
        <v>377</v>
      </c>
      <c r="B293" t="s">
        <v>379</v>
      </c>
      <c r="C293" t="s">
        <v>378</v>
      </c>
      <c r="D293">
        <v>3</v>
      </c>
      <c r="E293">
        <v>24</v>
      </c>
      <c r="F293">
        <v>270</v>
      </c>
      <c r="G293">
        <v>36</v>
      </c>
      <c r="L293">
        <v>73</v>
      </c>
    </row>
    <row r="294" spans="1:12" x14ac:dyDescent="0.25">
      <c r="A294" t="s">
        <v>377</v>
      </c>
      <c r="B294" t="s">
        <v>379</v>
      </c>
      <c r="C294" t="s">
        <v>378</v>
      </c>
      <c r="D294">
        <v>3</v>
      </c>
      <c r="E294">
        <v>24</v>
      </c>
      <c r="F294">
        <v>280</v>
      </c>
      <c r="G294">
        <v>36</v>
      </c>
      <c r="L294">
        <v>73</v>
      </c>
    </row>
    <row r="295" spans="1:12" x14ac:dyDescent="0.25">
      <c r="A295" t="s">
        <v>377</v>
      </c>
      <c r="B295" t="s">
        <v>379</v>
      </c>
      <c r="C295" t="s">
        <v>378</v>
      </c>
      <c r="D295">
        <v>3</v>
      </c>
      <c r="E295">
        <v>24</v>
      </c>
      <c r="F295">
        <v>300</v>
      </c>
      <c r="G295">
        <v>36</v>
      </c>
      <c r="L295">
        <v>73</v>
      </c>
    </row>
    <row r="296" spans="1:12" x14ac:dyDescent="0.25">
      <c r="A296" t="s">
        <v>377</v>
      </c>
      <c r="B296" t="s">
        <v>379</v>
      </c>
      <c r="C296" t="s">
        <v>378</v>
      </c>
      <c r="D296">
        <v>3</v>
      </c>
      <c r="E296">
        <v>24</v>
      </c>
      <c r="F296">
        <v>310</v>
      </c>
      <c r="G296">
        <v>36</v>
      </c>
      <c r="L296">
        <v>73</v>
      </c>
    </row>
    <row r="297" spans="1:12" x14ac:dyDescent="0.25">
      <c r="A297" t="s">
        <v>377</v>
      </c>
      <c r="B297" t="s">
        <v>379</v>
      </c>
      <c r="C297" t="s">
        <v>378</v>
      </c>
      <c r="D297">
        <v>3</v>
      </c>
      <c r="E297">
        <v>24</v>
      </c>
      <c r="F297">
        <v>320</v>
      </c>
      <c r="G297">
        <v>36</v>
      </c>
      <c r="L297">
        <v>73</v>
      </c>
    </row>
    <row r="298" spans="1:12" x14ac:dyDescent="0.25">
      <c r="A298" t="s">
        <v>377</v>
      </c>
      <c r="B298" t="s">
        <v>379</v>
      </c>
      <c r="C298" t="s">
        <v>378</v>
      </c>
      <c r="D298">
        <v>3</v>
      </c>
      <c r="E298">
        <v>24</v>
      </c>
      <c r="F298">
        <v>330</v>
      </c>
      <c r="G298">
        <v>36</v>
      </c>
      <c r="L298">
        <v>73</v>
      </c>
    </row>
    <row r="299" spans="1:12" x14ac:dyDescent="0.25">
      <c r="A299" t="s">
        <v>377</v>
      </c>
      <c r="B299" t="s">
        <v>379</v>
      </c>
      <c r="C299" t="s">
        <v>378</v>
      </c>
      <c r="D299">
        <v>3</v>
      </c>
      <c r="E299">
        <v>24</v>
      </c>
      <c r="F299">
        <v>340</v>
      </c>
      <c r="G299">
        <v>36</v>
      </c>
      <c r="L299">
        <v>73</v>
      </c>
    </row>
    <row r="300" spans="1:12" x14ac:dyDescent="0.25">
      <c r="A300" t="s">
        <v>377</v>
      </c>
      <c r="B300" t="s">
        <v>379</v>
      </c>
      <c r="C300" t="s">
        <v>378</v>
      </c>
      <c r="D300">
        <v>3</v>
      </c>
      <c r="E300">
        <v>24</v>
      </c>
      <c r="F300">
        <v>350</v>
      </c>
      <c r="G300">
        <v>36</v>
      </c>
      <c r="L300">
        <v>73</v>
      </c>
    </row>
    <row r="301" spans="1:12" x14ac:dyDescent="0.25">
      <c r="A301" t="s">
        <v>377</v>
      </c>
      <c r="B301" t="s">
        <v>379</v>
      </c>
      <c r="C301" t="s">
        <v>378</v>
      </c>
      <c r="D301">
        <v>3</v>
      </c>
      <c r="E301">
        <v>24</v>
      </c>
      <c r="F301">
        <v>360</v>
      </c>
      <c r="G301">
        <v>36</v>
      </c>
      <c r="L301">
        <v>73</v>
      </c>
    </row>
    <row r="302" spans="1:12" x14ac:dyDescent="0.25">
      <c r="A302" t="s">
        <v>377</v>
      </c>
      <c r="B302" t="s">
        <v>379</v>
      </c>
      <c r="C302" t="s">
        <v>378</v>
      </c>
      <c r="D302">
        <v>3</v>
      </c>
      <c r="E302">
        <v>24</v>
      </c>
      <c r="F302">
        <v>380</v>
      </c>
      <c r="G302">
        <v>36</v>
      </c>
      <c r="L302">
        <v>73</v>
      </c>
    </row>
    <row r="303" spans="1:12" x14ac:dyDescent="0.25">
      <c r="A303" t="s">
        <v>377</v>
      </c>
      <c r="B303" t="s">
        <v>379</v>
      </c>
      <c r="C303" t="s">
        <v>378</v>
      </c>
      <c r="D303">
        <v>3</v>
      </c>
      <c r="E303">
        <v>24</v>
      </c>
      <c r="F303">
        <v>390</v>
      </c>
      <c r="G303">
        <v>36</v>
      </c>
      <c r="L303">
        <v>73</v>
      </c>
    </row>
    <row r="304" spans="1:12" x14ac:dyDescent="0.25">
      <c r="A304" t="s">
        <v>377</v>
      </c>
      <c r="B304" t="s">
        <v>379</v>
      </c>
      <c r="C304" t="s">
        <v>378</v>
      </c>
      <c r="D304">
        <v>3</v>
      </c>
      <c r="E304">
        <v>24</v>
      </c>
      <c r="F304">
        <v>400</v>
      </c>
      <c r="G304">
        <v>36</v>
      </c>
      <c r="L304">
        <v>73</v>
      </c>
    </row>
    <row r="305" spans="1:12" x14ac:dyDescent="0.25">
      <c r="A305" t="s">
        <v>377</v>
      </c>
      <c r="B305" t="s">
        <v>379</v>
      </c>
      <c r="C305" t="s">
        <v>378</v>
      </c>
      <c r="D305">
        <v>3</v>
      </c>
      <c r="E305">
        <v>24</v>
      </c>
      <c r="F305">
        <v>410</v>
      </c>
      <c r="G305">
        <v>36</v>
      </c>
      <c r="L305">
        <v>73</v>
      </c>
    </row>
    <row r="306" spans="1:12" x14ac:dyDescent="0.25">
      <c r="A306" t="s">
        <v>377</v>
      </c>
      <c r="B306" t="s">
        <v>379</v>
      </c>
      <c r="C306" t="s">
        <v>378</v>
      </c>
      <c r="D306">
        <v>3</v>
      </c>
      <c r="E306">
        <v>24</v>
      </c>
      <c r="F306">
        <v>420</v>
      </c>
      <c r="G306">
        <v>36</v>
      </c>
      <c r="L306">
        <v>73</v>
      </c>
    </row>
    <row r="307" spans="1:12" x14ac:dyDescent="0.25">
      <c r="A307" t="s">
        <v>377</v>
      </c>
      <c r="B307" t="s">
        <v>379</v>
      </c>
      <c r="C307" t="s">
        <v>378</v>
      </c>
      <c r="D307">
        <v>3</v>
      </c>
      <c r="E307">
        <v>24</v>
      </c>
      <c r="F307">
        <v>430</v>
      </c>
      <c r="G307">
        <v>36</v>
      </c>
      <c r="L307">
        <v>73</v>
      </c>
    </row>
    <row r="308" spans="1:12" x14ac:dyDescent="0.25">
      <c r="A308" t="s">
        <v>377</v>
      </c>
      <c r="B308" t="s">
        <v>379</v>
      </c>
      <c r="C308" t="s">
        <v>378</v>
      </c>
      <c r="D308">
        <v>3</v>
      </c>
      <c r="E308">
        <v>24</v>
      </c>
      <c r="F308">
        <v>440</v>
      </c>
      <c r="G308">
        <v>36</v>
      </c>
      <c r="L308">
        <v>73</v>
      </c>
    </row>
    <row r="309" spans="1:12" x14ac:dyDescent="0.25">
      <c r="A309" t="s">
        <v>377</v>
      </c>
      <c r="B309" t="s">
        <v>379</v>
      </c>
      <c r="C309" t="s">
        <v>378</v>
      </c>
      <c r="D309">
        <v>3</v>
      </c>
      <c r="E309">
        <v>24</v>
      </c>
      <c r="F309">
        <v>450</v>
      </c>
      <c r="G309">
        <v>36</v>
      </c>
      <c r="L309">
        <v>73</v>
      </c>
    </row>
    <row r="310" spans="1:12" x14ac:dyDescent="0.25">
      <c r="A310" t="s">
        <v>377</v>
      </c>
      <c r="B310" t="s">
        <v>379</v>
      </c>
      <c r="C310" t="s">
        <v>378</v>
      </c>
      <c r="D310">
        <v>3</v>
      </c>
      <c r="E310">
        <v>27</v>
      </c>
      <c r="F310">
        <v>80</v>
      </c>
      <c r="G310">
        <v>36</v>
      </c>
      <c r="L310">
        <v>60</v>
      </c>
    </row>
    <row r="311" spans="1:12" x14ac:dyDescent="0.25">
      <c r="A311" t="s">
        <v>377</v>
      </c>
      <c r="B311" t="s">
        <v>379</v>
      </c>
      <c r="C311" t="s">
        <v>378</v>
      </c>
      <c r="D311">
        <v>3</v>
      </c>
      <c r="E311">
        <v>27</v>
      </c>
      <c r="F311">
        <v>90</v>
      </c>
      <c r="G311">
        <v>36</v>
      </c>
      <c r="L311">
        <v>60</v>
      </c>
    </row>
    <row r="312" spans="1:12" x14ac:dyDescent="0.25">
      <c r="A312" t="s">
        <v>377</v>
      </c>
      <c r="B312" t="s">
        <v>379</v>
      </c>
      <c r="C312" t="s">
        <v>378</v>
      </c>
      <c r="D312">
        <v>3</v>
      </c>
      <c r="E312">
        <v>27</v>
      </c>
      <c r="F312">
        <v>100</v>
      </c>
      <c r="G312">
        <v>41</v>
      </c>
      <c r="L312">
        <v>60</v>
      </c>
    </row>
    <row r="313" spans="1:12" x14ac:dyDescent="0.25">
      <c r="A313" t="s">
        <v>377</v>
      </c>
      <c r="B313" t="s">
        <v>379</v>
      </c>
      <c r="C313" t="s">
        <v>378</v>
      </c>
      <c r="D313">
        <v>3</v>
      </c>
      <c r="E313">
        <v>27</v>
      </c>
      <c r="F313">
        <v>110</v>
      </c>
      <c r="G313">
        <v>41</v>
      </c>
      <c r="L313">
        <v>60</v>
      </c>
    </row>
    <row r="314" spans="1:12" x14ac:dyDescent="0.25">
      <c r="A314" t="s">
        <v>377</v>
      </c>
      <c r="B314" t="s">
        <v>379</v>
      </c>
      <c r="C314" t="s">
        <v>378</v>
      </c>
      <c r="D314">
        <v>3</v>
      </c>
      <c r="E314">
        <v>27</v>
      </c>
      <c r="F314">
        <v>120</v>
      </c>
      <c r="G314">
        <v>41</v>
      </c>
      <c r="L314">
        <v>60</v>
      </c>
    </row>
    <row r="315" spans="1:12" x14ac:dyDescent="0.25">
      <c r="A315" t="s">
        <v>377</v>
      </c>
      <c r="B315" t="s">
        <v>379</v>
      </c>
      <c r="C315" t="s">
        <v>378</v>
      </c>
      <c r="D315">
        <v>3</v>
      </c>
      <c r="E315">
        <v>27</v>
      </c>
      <c r="F315">
        <v>130</v>
      </c>
      <c r="G315">
        <v>41</v>
      </c>
      <c r="L315">
        <v>66</v>
      </c>
    </row>
    <row r="316" spans="1:12" x14ac:dyDescent="0.25">
      <c r="A316" t="s">
        <v>377</v>
      </c>
      <c r="B316" t="s">
        <v>379</v>
      </c>
      <c r="C316" t="s">
        <v>378</v>
      </c>
      <c r="D316">
        <v>3</v>
      </c>
      <c r="E316">
        <v>27</v>
      </c>
      <c r="F316">
        <v>140</v>
      </c>
      <c r="G316">
        <v>41</v>
      </c>
      <c r="L316">
        <v>66</v>
      </c>
    </row>
    <row r="317" spans="1:12" x14ac:dyDescent="0.25">
      <c r="A317" t="s">
        <v>377</v>
      </c>
      <c r="B317" t="s">
        <v>379</v>
      </c>
      <c r="C317" t="s">
        <v>378</v>
      </c>
      <c r="D317">
        <v>3</v>
      </c>
      <c r="E317">
        <v>27</v>
      </c>
      <c r="F317">
        <v>150</v>
      </c>
      <c r="G317">
        <v>41</v>
      </c>
      <c r="L317">
        <v>66</v>
      </c>
    </row>
    <row r="318" spans="1:12" x14ac:dyDescent="0.25">
      <c r="A318" t="s">
        <v>377</v>
      </c>
      <c r="B318" t="s">
        <v>379</v>
      </c>
      <c r="C318" t="s">
        <v>378</v>
      </c>
      <c r="D318">
        <v>3</v>
      </c>
      <c r="E318">
        <v>27</v>
      </c>
      <c r="F318">
        <v>160</v>
      </c>
      <c r="G318">
        <v>41</v>
      </c>
      <c r="L318">
        <v>66</v>
      </c>
    </row>
    <row r="319" spans="1:12" x14ac:dyDescent="0.25">
      <c r="A319" t="s">
        <v>377</v>
      </c>
      <c r="B319" t="s">
        <v>379</v>
      </c>
      <c r="C319" t="s">
        <v>378</v>
      </c>
      <c r="D319">
        <v>3</v>
      </c>
      <c r="E319">
        <v>27</v>
      </c>
      <c r="F319">
        <v>170</v>
      </c>
      <c r="G319">
        <v>41</v>
      </c>
      <c r="L319">
        <v>66</v>
      </c>
    </row>
    <row r="320" spans="1:12" x14ac:dyDescent="0.25">
      <c r="A320" t="s">
        <v>377</v>
      </c>
      <c r="B320" t="s">
        <v>379</v>
      </c>
      <c r="C320" t="s">
        <v>378</v>
      </c>
      <c r="D320">
        <v>3</v>
      </c>
      <c r="E320">
        <v>27</v>
      </c>
      <c r="F320">
        <v>180</v>
      </c>
      <c r="G320">
        <v>41</v>
      </c>
      <c r="L320">
        <v>66</v>
      </c>
    </row>
    <row r="321" spans="1:12" x14ac:dyDescent="0.25">
      <c r="A321" t="s">
        <v>377</v>
      </c>
      <c r="B321" t="s">
        <v>379</v>
      </c>
      <c r="C321" t="s">
        <v>378</v>
      </c>
      <c r="D321">
        <v>3</v>
      </c>
      <c r="E321">
        <v>27</v>
      </c>
      <c r="F321">
        <v>190</v>
      </c>
      <c r="G321">
        <v>41</v>
      </c>
      <c r="L321">
        <v>66</v>
      </c>
    </row>
    <row r="322" spans="1:12" x14ac:dyDescent="0.25">
      <c r="A322" t="s">
        <v>377</v>
      </c>
      <c r="B322" t="s">
        <v>379</v>
      </c>
      <c r="C322" t="s">
        <v>378</v>
      </c>
      <c r="D322">
        <v>3</v>
      </c>
      <c r="E322">
        <v>27</v>
      </c>
      <c r="F322">
        <v>200</v>
      </c>
      <c r="G322">
        <v>41</v>
      </c>
      <c r="L322">
        <v>66</v>
      </c>
    </row>
    <row r="323" spans="1:12" x14ac:dyDescent="0.25">
      <c r="A323" t="s">
        <v>377</v>
      </c>
      <c r="B323" t="s">
        <v>379</v>
      </c>
      <c r="C323" t="s">
        <v>378</v>
      </c>
      <c r="D323">
        <v>3</v>
      </c>
      <c r="E323">
        <v>27</v>
      </c>
      <c r="F323">
        <v>220</v>
      </c>
      <c r="G323">
        <v>41</v>
      </c>
      <c r="L323">
        <v>79</v>
      </c>
    </row>
    <row r="324" spans="1:12" x14ac:dyDescent="0.25">
      <c r="A324" t="s">
        <v>377</v>
      </c>
      <c r="B324" t="s">
        <v>379</v>
      </c>
      <c r="C324" t="s">
        <v>378</v>
      </c>
      <c r="D324">
        <v>3</v>
      </c>
      <c r="E324">
        <v>27</v>
      </c>
      <c r="F324">
        <v>230</v>
      </c>
      <c r="G324">
        <v>41</v>
      </c>
      <c r="L324">
        <v>79</v>
      </c>
    </row>
    <row r="325" spans="1:12" x14ac:dyDescent="0.25">
      <c r="A325" t="s">
        <v>377</v>
      </c>
      <c r="B325" t="s">
        <v>379</v>
      </c>
      <c r="C325" t="s">
        <v>378</v>
      </c>
      <c r="D325">
        <v>3</v>
      </c>
      <c r="E325">
        <v>27</v>
      </c>
      <c r="F325">
        <v>240</v>
      </c>
      <c r="G325">
        <v>41</v>
      </c>
      <c r="L325">
        <v>79</v>
      </c>
    </row>
    <row r="326" spans="1:12" x14ac:dyDescent="0.25">
      <c r="A326" t="s">
        <v>377</v>
      </c>
      <c r="B326" t="s">
        <v>379</v>
      </c>
      <c r="C326" t="s">
        <v>378</v>
      </c>
      <c r="D326">
        <v>3</v>
      </c>
      <c r="E326">
        <v>27</v>
      </c>
      <c r="F326">
        <v>260</v>
      </c>
      <c r="G326">
        <v>41</v>
      </c>
      <c r="L326">
        <v>79</v>
      </c>
    </row>
    <row r="327" spans="1:12" x14ac:dyDescent="0.25">
      <c r="A327" t="s">
        <v>377</v>
      </c>
      <c r="B327" t="s">
        <v>379</v>
      </c>
      <c r="C327" t="s">
        <v>378</v>
      </c>
      <c r="D327">
        <v>3</v>
      </c>
      <c r="E327">
        <v>27</v>
      </c>
      <c r="F327">
        <v>270</v>
      </c>
      <c r="G327">
        <v>41</v>
      </c>
      <c r="L327">
        <v>79</v>
      </c>
    </row>
    <row r="328" spans="1:12" x14ac:dyDescent="0.25">
      <c r="A328" t="s">
        <v>377</v>
      </c>
      <c r="B328" t="s">
        <v>379</v>
      </c>
      <c r="C328" t="s">
        <v>378</v>
      </c>
      <c r="D328">
        <v>3</v>
      </c>
      <c r="E328">
        <v>27</v>
      </c>
      <c r="F328">
        <v>280</v>
      </c>
      <c r="G328">
        <v>41</v>
      </c>
      <c r="L328">
        <v>79</v>
      </c>
    </row>
    <row r="329" spans="1:12" x14ac:dyDescent="0.25">
      <c r="A329" t="s">
        <v>377</v>
      </c>
      <c r="B329" t="s">
        <v>379</v>
      </c>
      <c r="C329" t="s">
        <v>378</v>
      </c>
      <c r="D329">
        <v>3</v>
      </c>
      <c r="E329">
        <v>27</v>
      </c>
      <c r="F329">
        <v>300</v>
      </c>
      <c r="G329">
        <v>41</v>
      </c>
      <c r="L329">
        <v>79</v>
      </c>
    </row>
    <row r="330" spans="1:12" x14ac:dyDescent="0.25">
      <c r="A330" t="s">
        <v>377</v>
      </c>
      <c r="B330" t="s">
        <v>379</v>
      </c>
      <c r="C330" t="s">
        <v>378</v>
      </c>
      <c r="D330">
        <v>3</v>
      </c>
      <c r="E330">
        <v>27</v>
      </c>
      <c r="F330">
        <v>320</v>
      </c>
      <c r="G330">
        <v>41</v>
      </c>
      <c r="L330">
        <v>79</v>
      </c>
    </row>
    <row r="331" spans="1:12" x14ac:dyDescent="0.25">
      <c r="A331" t="s">
        <v>377</v>
      </c>
      <c r="B331" t="s">
        <v>379</v>
      </c>
      <c r="C331" t="s">
        <v>378</v>
      </c>
      <c r="D331">
        <v>3</v>
      </c>
      <c r="E331">
        <v>30</v>
      </c>
      <c r="F331">
        <v>80</v>
      </c>
      <c r="G331">
        <v>41</v>
      </c>
      <c r="L331">
        <v>66</v>
      </c>
    </row>
    <row r="332" spans="1:12" x14ac:dyDescent="0.25">
      <c r="A332" t="s">
        <v>377</v>
      </c>
      <c r="B332" t="s">
        <v>379</v>
      </c>
      <c r="C332" t="s">
        <v>378</v>
      </c>
      <c r="D332">
        <v>3</v>
      </c>
      <c r="E332">
        <v>30</v>
      </c>
      <c r="F332">
        <v>90</v>
      </c>
      <c r="G332">
        <v>41</v>
      </c>
      <c r="L332">
        <v>66</v>
      </c>
    </row>
    <row r="333" spans="1:12" x14ac:dyDescent="0.25">
      <c r="A333" t="s">
        <v>377</v>
      </c>
      <c r="B333" t="s">
        <v>379</v>
      </c>
      <c r="C333" t="s">
        <v>378</v>
      </c>
      <c r="D333">
        <v>3</v>
      </c>
      <c r="E333">
        <v>30</v>
      </c>
      <c r="F333">
        <v>100</v>
      </c>
      <c r="G333">
        <v>46</v>
      </c>
      <c r="L333">
        <v>66</v>
      </c>
    </row>
    <row r="334" spans="1:12" x14ac:dyDescent="0.25">
      <c r="A334" t="s">
        <v>377</v>
      </c>
      <c r="B334" t="s">
        <v>379</v>
      </c>
      <c r="C334" t="s">
        <v>378</v>
      </c>
      <c r="D334">
        <v>3</v>
      </c>
      <c r="E334">
        <v>30</v>
      </c>
      <c r="F334">
        <v>110</v>
      </c>
      <c r="G334">
        <v>46</v>
      </c>
      <c r="L334">
        <v>66</v>
      </c>
    </row>
    <row r="335" spans="1:12" x14ac:dyDescent="0.25">
      <c r="A335" t="s">
        <v>377</v>
      </c>
      <c r="B335" t="s">
        <v>379</v>
      </c>
      <c r="C335" t="s">
        <v>378</v>
      </c>
      <c r="D335">
        <v>3</v>
      </c>
      <c r="E335">
        <v>30</v>
      </c>
      <c r="F335">
        <v>120</v>
      </c>
      <c r="G335">
        <v>46</v>
      </c>
      <c r="L335">
        <v>66</v>
      </c>
    </row>
    <row r="336" spans="1:12" x14ac:dyDescent="0.25">
      <c r="A336" t="s">
        <v>377</v>
      </c>
      <c r="B336" t="s">
        <v>379</v>
      </c>
      <c r="C336" t="s">
        <v>378</v>
      </c>
      <c r="D336">
        <v>3</v>
      </c>
      <c r="E336">
        <v>30</v>
      </c>
      <c r="F336">
        <v>130</v>
      </c>
      <c r="G336">
        <v>46</v>
      </c>
      <c r="L336">
        <v>72</v>
      </c>
    </row>
    <row r="337" spans="1:12" x14ac:dyDescent="0.25">
      <c r="A337" t="s">
        <v>377</v>
      </c>
      <c r="B337" t="s">
        <v>379</v>
      </c>
      <c r="C337" t="s">
        <v>378</v>
      </c>
      <c r="D337">
        <v>3</v>
      </c>
      <c r="E337">
        <v>30</v>
      </c>
      <c r="F337">
        <v>140</v>
      </c>
      <c r="G337">
        <v>46</v>
      </c>
      <c r="L337">
        <v>72</v>
      </c>
    </row>
    <row r="338" spans="1:12" x14ac:dyDescent="0.25">
      <c r="A338" t="s">
        <v>377</v>
      </c>
      <c r="B338" t="s">
        <v>379</v>
      </c>
      <c r="C338" t="s">
        <v>378</v>
      </c>
      <c r="D338">
        <v>3</v>
      </c>
      <c r="E338">
        <v>30</v>
      </c>
      <c r="F338">
        <v>150</v>
      </c>
      <c r="G338">
        <v>46</v>
      </c>
      <c r="L338">
        <v>72</v>
      </c>
    </row>
    <row r="339" spans="1:12" x14ac:dyDescent="0.25">
      <c r="A339" t="s">
        <v>377</v>
      </c>
      <c r="B339" t="s">
        <v>379</v>
      </c>
      <c r="C339" t="s">
        <v>378</v>
      </c>
      <c r="D339">
        <v>3</v>
      </c>
      <c r="E339">
        <v>30</v>
      </c>
      <c r="F339">
        <v>160</v>
      </c>
      <c r="G339">
        <v>46</v>
      </c>
      <c r="L339">
        <v>72</v>
      </c>
    </row>
    <row r="340" spans="1:12" x14ac:dyDescent="0.25">
      <c r="A340" t="s">
        <v>377</v>
      </c>
      <c r="B340" t="s">
        <v>379</v>
      </c>
      <c r="C340" t="s">
        <v>378</v>
      </c>
      <c r="D340">
        <v>3</v>
      </c>
      <c r="E340">
        <v>30</v>
      </c>
      <c r="F340">
        <v>170</v>
      </c>
      <c r="G340">
        <v>46</v>
      </c>
      <c r="L340">
        <v>72</v>
      </c>
    </row>
    <row r="341" spans="1:12" x14ac:dyDescent="0.25">
      <c r="A341" t="s">
        <v>377</v>
      </c>
      <c r="B341" t="s">
        <v>379</v>
      </c>
      <c r="C341" t="s">
        <v>378</v>
      </c>
      <c r="D341">
        <v>3</v>
      </c>
      <c r="E341">
        <v>30</v>
      </c>
      <c r="F341">
        <v>180</v>
      </c>
      <c r="G341">
        <v>46</v>
      </c>
      <c r="L341">
        <v>72</v>
      </c>
    </row>
    <row r="342" spans="1:12" x14ac:dyDescent="0.25">
      <c r="A342" t="s">
        <v>377</v>
      </c>
      <c r="B342" t="s">
        <v>379</v>
      </c>
      <c r="C342" t="s">
        <v>378</v>
      </c>
      <c r="D342">
        <v>3</v>
      </c>
      <c r="E342">
        <v>30</v>
      </c>
      <c r="F342">
        <v>190</v>
      </c>
      <c r="G342">
        <v>46</v>
      </c>
      <c r="L342">
        <v>72</v>
      </c>
    </row>
    <row r="343" spans="1:12" x14ac:dyDescent="0.25">
      <c r="A343" t="s">
        <v>377</v>
      </c>
      <c r="B343" t="s">
        <v>379</v>
      </c>
      <c r="C343" t="s">
        <v>378</v>
      </c>
      <c r="D343">
        <v>3</v>
      </c>
      <c r="E343">
        <v>30</v>
      </c>
      <c r="F343">
        <v>200</v>
      </c>
      <c r="G343">
        <v>46</v>
      </c>
      <c r="L343">
        <v>72</v>
      </c>
    </row>
    <row r="344" spans="1:12" x14ac:dyDescent="0.25">
      <c r="A344" t="s">
        <v>377</v>
      </c>
      <c r="B344" t="s">
        <v>379</v>
      </c>
      <c r="C344" t="s">
        <v>378</v>
      </c>
      <c r="D344">
        <v>3</v>
      </c>
      <c r="E344">
        <v>30</v>
      </c>
      <c r="F344">
        <v>210</v>
      </c>
      <c r="G344">
        <v>46</v>
      </c>
      <c r="L344">
        <v>85</v>
      </c>
    </row>
    <row r="345" spans="1:12" x14ac:dyDescent="0.25">
      <c r="A345" t="s">
        <v>377</v>
      </c>
      <c r="B345" t="s">
        <v>379</v>
      </c>
      <c r="C345" t="s">
        <v>378</v>
      </c>
      <c r="D345">
        <v>3</v>
      </c>
      <c r="E345">
        <v>30</v>
      </c>
      <c r="F345">
        <v>220</v>
      </c>
      <c r="G345">
        <v>46</v>
      </c>
      <c r="L345">
        <v>85</v>
      </c>
    </row>
    <row r="346" spans="1:12" x14ac:dyDescent="0.25">
      <c r="A346" t="s">
        <v>377</v>
      </c>
      <c r="B346" t="s">
        <v>379</v>
      </c>
      <c r="C346" t="s">
        <v>378</v>
      </c>
      <c r="D346">
        <v>3</v>
      </c>
      <c r="E346">
        <v>30</v>
      </c>
      <c r="F346">
        <v>230</v>
      </c>
      <c r="G346">
        <v>46</v>
      </c>
      <c r="L346">
        <v>85</v>
      </c>
    </row>
    <row r="347" spans="1:12" x14ac:dyDescent="0.25">
      <c r="A347" t="s">
        <v>377</v>
      </c>
      <c r="B347" t="s">
        <v>379</v>
      </c>
      <c r="C347" t="s">
        <v>378</v>
      </c>
      <c r="D347">
        <v>3</v>
      </c>
      <c r="E347">
        <v>30</v>
      </c>
      <c r="F347">
        <v>240</v>
      </c>
      <c r="G347">
        <v>46</v>
      </c>
      <c r="L347">
        <v>85</v>
      </c>
    </row>
    <row r="348" spans="1:12" x14ac:dyDescent="0.25">
      <c r="A348" t="s">
        <v>377</v>
      </c>
      <c r="B348" t="s">
        <v>379</v>
      </c>
      <c r="C348" t="s">
        <v>378</v>
      </c>
      <c r="D348">
        <v>3</v>
      </c>
      <c r="E348">
        <v>30</v>
      </c>
      <c r="F348">
        <v>250</v>
      </c>
      <c r="G348">
        <v>46</v>
      </c>
      <c r="L348">
        <v>85</v>
      </c>
    </row>
    <row r="349" spans="1:12" x14ac:dyDescent="0.25">
      <c r="A349" t="s">
        <v>377</v>
      </c>
      <c r="B349" t="s">
        <v>379</v>
      </c>
      <c r="C349" t="s">
        <v>378</v>
      </c>
      <c r="D349">
        <v>3</v>
      </c>
      <c r="E349">
        <v>30</v>
      </c>
      <c r="F349">
        <v>260</v>
      </c>
      <c r="G349">
        <v>46</v>
      </c>
      <c r="L349">
        <v>85</v>
      </c>
    </row>
    <row r="350" spans="1:12" x14ac:dyDescent="0.25">
      <c r="A350" t="s">
        <v>377</v>
      </c>
      <c r="B350" t="s">
        <v>379</v>
      </c>
      <c r="C350" t="s">
        <v>378</v>
      </c>
      <c r="D350">
        <v>3</v>
      </c>
      <c r="E350">
        <v>30</v>
      </c>
      <c r="F350">
        <v>280</v>
      </c>
      <c r="G350">
        <v>46</v>
      </c>
      <c r="L350">
        <v>85</v>
      </c>
    </row>
    <row r="351" spans="1:12" x14ac:dyDescent="0.25">
      <c r="A351" t="s">
        <v>377</v>
      </c>
      <c r="B351" t="s">
        <v>379</v>
      </c>
      <c r="C351" t="s">
        <v>378</v>
      </c>
      <c r="D351">
        <v>3</v>
      </c>
      <c r="E351">
        <v>30</v>
      </c>
      <c r="F351">
        <v>290</v>
      </c>
      <c r="G351">
        <v>46</v>
      </c>
      <c r="L351">
        <v>85</v>
      </c>
    </row>
    <row r="352" spans="1:12" x14ac:dyDescent="0.25">
      <c r="A352" t="s">
        <v>377</v>
      </c>
      <c r="B352" t="s">
        <v>379</v>
      </c>
      <c r="C352" t="s">
        <v>378</v>
      </c>
      <c r="D352">
        <v>3</v>
      </c>
      <c r="E352">
        <v>30</v>
      </c>
      <c r="F352">
        <v>300</v>
      </c>
      <c r="G352">
        <v>46</v>
      </c>
      <c r="L352">
        <v>85</v>
      </c>
    </row>
    <row r="353" spans="1:12" x14ac:dyDescent="0.25">
      <c r="A353" t="s">
        <v>377</v>
      </c>
      <c r="B353" t="s">
        <v>379</v>
      </c>
      <c r="C353" t="s">
        <v>378</v>
      </c>
      <c r="D353">
        <v>3</v>
      </c>
      <c r="E353">
        <v>30</v>
      </c>
      <c r="F353">
        <v>310</v>
      </c>
      <c r="G353">
        <v>46</v>
      </c>
      <c r="L353">
        <v>85</v>
      </c>
    </row>
    <row r="354" spans="1:12" x14ac:dyDescent="0.25">
      <c r="A354" t="s">
        <v>377</v>
      </c>
      <c r="B354" t="s">
        <v>379</v>
      </c>
      <c r="C354" t="s">
        <v>378</v>
      </c>
      <c r="D354">
        <v>3</v>
      </c>
      <c r="E354">
        <v>30</v>
      </c>
      <c r="F354">
        <v>320</v>
      </c>
      <c r="G354">
        <v>46</v>
      </c>
      <c r="L354">
        <v>85</v>
      </c>
    </row>
    <row r="355" spans="1:12" x14ac:dyDescent="0.25">
      <c r="A355" t="s">
        <v>377</v>
      </c>
      <c r="B355" t="s">
        <v>379</v>
      </c>
      <c r="C355" t="s">
        <v>378</v>
      </c>
      <c r="D355">
        <v>3</v>
      </c>
      <c r="E355">
        <v>30</v>
      </c>
      <c r="F355">
        <v>330</v>
      </c>
      <c r="G355">
        <v>46</v>
      </c>
      <c r="L355">
        <v>85</v>
      </c>
    </row>
    <row r="356" spans="1:12" x14ac:dyDescent="0.25">
      <c r="A356" t="s">
        <v>377</v>
      </c>
      <c r="B356" t="s">
        <v>379</v>
      </c>
      <c r="C356" t="s">
        <v>378</v>
      </c>
      <c r="D356">
        <v>3</v>
      </c>
      <c r="E356">
        <v>30</v>
      </c>
      <c r="F356">
        <v>340</v>
      </c>
      <c r="G356">
        <v>46</v>
      </c>
      <c r="L356">
        <v>85</v>
      </c>
    </row>
    <row r="357" spans="1:12" x14ac:dyDescent="0.25">
      <c r="A357" t="s">
        <v>377</v>
      </c>
      <c r="B357" t="s">
        <v>379</v>
      </c>
      <c r="C357" t="s">
        <v>378</v>
      </c>
      <c r="D357">
        <v>3</v>
      </c>
      <c r="E357">
        <v>30</v>
      </c>
      <c r="F357">
        <v>350</v>
      </c>
      <c r="G357">
        <v>46</v>
      </c>
      <c r="L357">
        <v>85</v>
      </c>
    </row>
    <row r="358" spans="1:12" x14ac:dyDescent="0.25">
      <c r="A358" t="s">
        <v>377</v>
      </c>
      <c r="B358" t="s">
        <v>379</v>
      </c>
      <c r="C358" t="s">
        <v>378</v>
      </c>
      <c r="D358">
        <v>3</v>
      </c>
      <c r="E358">
        <v>30</v>
      </c>
      <c r="F358">
        <v>360</v>
      </c>
      <c r="G358">
        <v>46</v>
      </c>
      <c r="L358">
        <v>85</v>
      </c>
    </row>
    <row r="359" spans="1:12" x14ac:dyDescent="0.25">
      <c r="A359" t="s">
        <v>377</v>
      </c>
      <c r="B359" t="s">
        <v>379</v>
      </c>
      <c r="C359" t="s">
        <v>378</v>
      </c>
      <c r="D359">
        <v>3</v>
      </c>
      <c r="E359">
        <v>30</v>
      </c>
      <c r="F359">
        <v>380</v>
      </c>
      <c r="G359">
        <v>46</v>
      </c>
      <c r="L359">
        <v>85</v>
      </c>
    </row>
    <row r="360" spans="1:12" x14ac:dyDescent="0.25">
      <c r="A360" t="s">
        <v>377</v>
      </c>
      <c r="B360" t="s">
        <v>379</v>
      </c>
      <c r="C360" t="s">
        <v>378</v>
      </c>
      <c r="D360">
        <v>3</v>
      </c>
      <c r="E360">
        <v>33</v>
      </c>
      <c r="F360">
        <v>100</v>
      </c>
      <c r="G360">
        <v>46</v>
      </c>
      <c r="L360">
        <v>72</v>
      </c>
    </row>
    <row r="361" spans="1:12" x14ac:dyDescent="0.25">
      <c r="A361" t="s">
        <v>377</v>
      </c>
      <c r="B361" t="s">
        <v>379</v>
      </c>
      <c r="C361" t="s">
        <v>378</v>
      </c>
      <c r="D361">
        <v>3</v>
      </c>
      <c r="E361">
        <v>33</v>
      </c>
      <c r="F361">
        <v>110</v>
      </c>
      <c r="G361">
        <v>46</v>
      </c>
      <c r="L361">
        <v>72</v>
      </c>
    </row>
    <row r="362" spans="1:12" x14ac:dyDescent="0.25">
      <c r="A362" t="s">
        <v>377</v>
      </c>
      <c r="B362" t="s">
        <v>379</v>
      </c>
      <c r="C362" t="s">
        <v>378</v>
      </c>
      <c r="D362">
        <v>3</v>
      </c>
      <c r="E362">
        <v>33</v>
      </c>
      <c r="F362">
        <v>120</v>
      </c>
      <c r="G362">
        <v>46</v>
      </c>
      <c r="L362">
        <v>72</v>
      </c>
    </row>
    <row r="363" spans="1:12" x14ac:dyDescent="0.25">
      <c r="A363" t="s">
        <v>377</v>
      </c>
      <c r="B363" t="s">
        <v>379</v>
      </c>
      <c r="C363" t="s">
        <v>378</v>
      </c>
      <c r="D363">
        <v>3</v>
      </c>
      <c r="E363">
        <v>33</v>
      </c>
      <c r="F363">
        <v>130</v>
      </c>
      <c r="G363">
        <v>46</v>
      </c>
      <c r="L363">
        <v>78</v>
      </c>
    </row>
    <row r="364" spans="1:12" x14ac:dyDescent="0.25">
      <c r="A364" t="s">
        <v>377</v>
      </c>
      <c r="B364" t="s">
        <v>379</v>
      </c>
      <c r="C364" t="s">
        <v>378</v>
      </c>
      <c r="D364">
        <v>3</v>
      </c>
      <c r="E364">
        <v>33</v>
      </c>
      <c r="F364">
        <v>140</v>
      </c>
      <c r="G364">
        <v>46</v>
      </c>
      <c r="L364">
        <v>78</v>
      </c>
    </row>
    <row r="365" spans="1:12" x14ac:dyDescent="0.25">
      <c r="A365" t="s">
        <v>377</v>
      </c>
      <c r="B365" t="s">
        <v>379</v>
      </c>
      <c r="C365" t="s">
        <v>378</v>
      </c>
      <c r="D365">
        <v>3</v>
      </c>
      <c r="E365">
        <v>33</v>
      </c>
      <c r="F365">
        <v>150</v>
      </c>
      <c r="G365">
        <v>46</v>
      </c>
      <c r="L365">
        <v>78</v>
      </c>
    </row>
    <row r="366" spans="1:12" x14ac:dyDescent="0.25">
      <c r="A366" t="s">
        <v>377</v>
      </c>
      <c r="B366" t="s">
        <v>379</v>
      </c>
      <c r="C366" t="s">
        <v>378</v>
      </c>
      <c r="D366">
        <v>3</v>
      </c>
      <c r="E366">
        <v>33</v>
      </c>
      <c r="F366">
        <v>160</v>
      </c>
      <c r="G366">
        <v>46</v>
      </c>
      <c r="L366">
        <v>78</v>
      </c>
    </row>
    <row r="367" spans="1:12" x14ac:dyDescent="0.25">
      <c r="A367" t="s">
        <v>377</v>
      </c>
      <c r="B367" t="s">
        <v>379</v>
      </c>
      <c r="C367" t="s">
        <v>378</v>
      </c>
      <c r="D367">
        <v>3</v>
      </c>
      <c r="E367">
        <v>33</v>
      </c>
      <c r="F367">
        <v>170</v>
      </c>
      <c r="G367">
        <v>46</v>
      </c>
      <c r="L367">
        <v>78</v>
      </c>
    </row>
    <row r="368" spans="1:12" x14ac:dyDescent="0.25">
      <c r="A368" t="s">
        <v>377</v>
      </c>
      <c r="B368" t="s">
        <v>379</v>
      </c>
      <c r="C368" t="s">
        <v>378</v>
      </c>
      <c r="D368">
        <v>3</v>
      </c>
      <c r="E368">
        <v>33</v>
      </c>
      <c r="F368">
        <v>180</v>
      </c>
      <c r="G368">
        <v>46</v>
      </c>
      <c r="L368">
        <v>78</v>
      </c>
    </row>
    <row r="369" spans="1:12" x14ac:dyDescent="0.25">
      <c r="A369" t="s">
        <v>377</v>
      </c>
      <c r="B369" t="s">
        <v>379</v>
      </c>
      <c r="C369" t="s">
        <v>378</v>
      </c>
      <c r="D369">
        <v>3</v>
      </c>
      <c r="E369">
        <v>33</v>
      </c>
      <c r="F369">
        <v>190</v>
      </c>
      <c r="G369">
        <v>46</v>
      </c>
      <c r="L369">
        <v>78</v>
      </c>
    </row>
    <row r="370" spans="1:12" x14ac:dyDescent="0.25">
      <c r="A370" t="s">
        <v>377</v>
      </c>
      <c r="B370" t="s">
        <v>379</v>
      </c>
      <c r="C370" t="s">
        <v>378</v>
      </c>
      <c r="D370">
        <v>3</v>
      </c>
      <c r="E370">
        <v>33</v>
      </c>
      <c r="F370">
        <v>200</v>
      </c>
      <c r="G370">
        <v>46</v>
      </c>
      <c r="L370">
        <v>78</v>
      </c>
    </row>
    <row r="371" spans="1:12" x14ac:dyDescent="0.25">
      <c r="A371" t="s">
        <v>377</v>
      </c>
      <c r="B371" t="s">
        <v>379</v>
      </c>
      <c r="C371" t="s">
        <v>378</v>
      </c>
      <c r="D371">
        <v>3</v>
      </c>
      <c r="E371">
        <v>33</v>
      </c>
      <c r="F371">
        <v>210</v>
      </c>
      <c r="G371">
        <v>46</v>
      </c>
      <c r="L371">
        <v>91</v>
      </c>
    </row>
    <row r="372" spans="1:12" x14ac:dyDescent="0.25">
      <c r="A372" t="s">
        <v>377</v>
      </c>
      <c r="B372" t="s">
        <v>379</v>
      </c>
      <c r="C372" t="s">
        <v>378</v>
      </c>
      <c r="D372">
        <v>3</v>
      </c>
      <c r="E372">
        <v>33</v>
      </c>
      <c r="F372">
        <v>220</v>
      </c>
      <c r="G372">
        <v>46</v>
      </c>
      <c r="L372">
        <v>91</v>
      </c>
    </row>
    <row r="373" spans="1:12" x14ac:dyDescent="0.25">
      <c r="A373" t="s">
        <v>377</v>
      </c>
      <c r="B373" t="s">
        <v>379</v>
      </c>
      <c r="C373" t="s">
        <v>378</v>
      </c>
      <c r="D373">
        <v>3</v>
      </c>
      <c r="E373">
        <v>33</v>
      </c>
      <c r="F373">
        <v>240</v>
      </c>
      <c r="G373">
        <v>46</v>
      </c>
      <c r="L373">
        <v>91</v>
      </c>
    </row>
    <row r="374" spans="1:12" x14ac:dyDescent="0.25">
      <c r="A374" t="s">
        <v>377</v>
      </c>
      <c r="B374" t="s">
        <v>379</v>
      </c>
      <c r="C374" t="s">
        <v>378</v>
      </c>
      <c r="D374">
        <v>3</v>
      </c>
      <c r="E374">
        <v>33</v>
      </c>
      <c r="F374">
        <v>260</v>
      </c>
      <c r="G374">
        <v>46</v>
      </c>
      <c r="L374">
        <v>91</v>
      </c>
    </row>
    <row r="375" spans="1:12" x14ac:dyDescent="0.25">
      <c r="A375" t="s">
        <v>377</v>
      </c>
      <c r="B375" t="s">
        <v>379</v>
      </c>
      <c r="C375" t="s">
        <v>378</v>
      </c>
      <c r="D375">
        <v>3</v>
      </c>
      <c r="E375">
        <v>33</v>
      </c>
      <c r="F375">
        <v>280</v>
      </c>
      <c r="G375">
        <v>46</v>
      </c>
      <c r="L375">
        <v>91</v>
      </c>
    </row>
    <row r="376" spans="1:12" x14ac:dyDescent="0.25">
      <c r="A376" t="s">
        <v>377</v>
      </c>
      <c r="B376" t="s">
        <v>379</v>
      </c>
      <c r="C376" t="s">
        <v>378</v>
      </c>
      <c r="D376">
        <v>3</v>
      </c>
      <c r="E376">
        <v>33</v>
      </c>
      <c r="F376">
        <v>300</v>
      </c>
      <c r="G376">
        <v>46</v>
      </c>
      <c r="L376">
        <v>91</v>
      </c>
    </row>
    <row r="377" spans="1:12" x14ac:dyDescent="0.25">
      <c r="A377" t="s">
        <v>377</v>
      </c>
      <c r="B377" t="s">
        <v>379</v>
      </c>
      <c r="C377" t="s">
        <v>378</v>
      </c>
      <c r="D377">
        <v>3</v>
      </c>
      <c r="E377">
        <v>36</v>
      </c>
      <c r="F377">
        <v>110</v>
      </c>
      <c r="G377">
        <v>46</v>
      </c>
      <c r="L377">
        <v>78</v>
      </c>
    </row>
    <row r="378" spans="1:12" x14ac:dyDescent="0.25">
      <c r="A378" t="s">
        <v>377</v>
      </c>
      <c r="B378" t="s">
        <v>379</v>
      </c>
      <c r="C378" t="s">
        <v>378</v>
      </c>
      <c r="D378">
        <v>3</v>
      </c>
      <c r="E378">
        <v>36</v>
      </c>
      <c r="F378">
        <v>120</v>
      </c>
      <c r="G378">
        <v>55</v>
      </c>
      <c r="L378">
        <v>78</v>
      </c>
    </row>
    <row r="379" spans="1:12" x14ac:dyDescent="0.25">
      <c r="A379" t="s">
        <v>377</v>
      </c>
      <c r="B379" t="s">
        <v>379</v>
      </c>
      <c r="C379" t="s">
        <v>378</v>
      </c>
      <c r="D379">
        <v>3</v>
      </c>
      <c r="E379">
        <v>36</v>
      </c>
      <c r="F379">
        <v>130</v>
      </c>
      <c r="G379">
        <v>55</v>
      </c>
      <c r="L379">
        <v>84</v>
      </c>
    </row>
    <row r="380" spans="1:12" x14ac:dyDescent="0.25">
      <c r="A380" t="s">
        <v>377</v>
      </c>
      <c r="B380" t="s">
        <v>379</v>
      </c>
      <c r="C380" t="s">
        <v>378</v>
      </c>
      <c r="D380">
        <v>3</v>
      </c>
      <c r="E380">
        <v>36</v>
      </c>
      <c r="F380">
        <v>140</v>
      </c>
      <c r="G380">
        <v>55</v>
      </c>
      <c r="L380">
        <v>84</v>
      </c>
    </row>
    <row r="381" spans="1:12" x14ac:dyDescent="0.25">
      <c r="A381" t="s">
        <v>377</v>
      </c>
      <c r="B381" t="s">
        <v>379</v>
      </c>
      <c r="C381" t="s">
        <v>378</v>
      </c>
      <c r="D381">
        <v>3</v>
      </c>
      <c r="E381">
        <v>36</v>
      </c>
      <c r="F381">
        <v>150</v>
      </c>
      <c r="G381">
        <v>55</v>
      </c>
      <c r="L381">
        <v>84</v>
      </c>
    </row>
    <row r="382" spans="1:12" x14ac:dyDescent="0.25">
      <c r="A382" t="s">
        <v>377</v>
      </c>
      <c r="B382" t="s">
        <v>379</v>
      </c>
      <c r="C382" t="s">
        <v>378</v>
      </c>
      <c r="D382">
        <v>3</v>
      </c>
      <c r="E382">
        <v>36</v>
      </c>
      <c r="F382">
        <v>160</v>
      </c>
      <c r="G382">
        <v>55</v>
      </c>
      <c r="L382">
        <v>84</v>
      </c>
    </row>
    <row r="383" spans="1:12" x14ac:dyDescent="0.25">
      <c r="A383" t="s">
        <v>377</v>
      </c>
      <c r="B383" t="s">
        <v>379</v>
      </c>
      <c r="C383" t="s">
        <v>378</v>
      </c>
      <c r="D383">
        <v>3</v>
      </c>
      <c r="E383">
        <v>36</v>
      </c>
      <c r="F383">
        <v>170</v>
      </c>
      <c r="G383">
        <v>55</v>
      </c>
      <c r="L383">
        <v>84</v>
      </c>
    </row>
    <row r="384" spans="1:12" x14ac:dyDescent="0.25">
      <c r="A384" t="s">
        <v>377</v>
      </c>
      <c r="B384" t="s">
        <v>379</v>
      </c>
      <c r="C384" t="s">
        <v>378</v>
      </c>
      <c r="D384">
        <v>3</v>
      </c>
      <c r="E384">
        <v>36</v>
      </c>
      <c r="F384">
        <v>180</v>
      </c>
      <c r="G384">
        <v>55</v>
      </c>
      <c r="L384">
        <v>84</v>
      </c>
    </row>
    <row r="385" spans="1:12" x14ac:dyDescent="0.25">
      <c r="A385" t="s">
        <v>377</v>
      </c>
      <c r="B385" t="s">
        <v>379</v>
      </c>
      <c r="C385" t="s">
        <v>378</v>
      </c>
      <c r="D385">
        <v>3</v>
      </c>
      <c r="E385">
        <v>36</v>
      </c>
      <c r="F385">
        <v>190</v>
      </c>
      <c r="G385">
        <v>55</v>
      </c>
      <c r="L385">
        <v>84</v>
      </c>
    </row>
    <row r="386" spans="1:12" x14ac:dyDescent="0.25">
      <c r="A386" t="s">
        <v>377</v>
      </c>
      <c r="B386" t="s">
        <v>379</v>
      </c>
      <c r="C386" t="s">
        <v>378</v>
      </c>
      <c r="D386">
        <v>3</v>
      </c>
      <c r="E386">
        <v>36</v>
      </c>
      <c r="F386">
        <v>200</v>
      </c>
      <c r="G386">
        <v>55</v>
      </c>
      <c r="L386">
        <v>84</v>
      </c>
    </row>
    <row r="387" spans="1:12" x14ac:dyDescent="0.25">
      <c r="A387" t="s">
        <v>377</v>
      </c>
      <c r="B387" t="s">
        <v>379</v>
      </c>
      <c r="C387" t="s">
        <v>378</v>
      </c>
      <c r="D387">
        <v>3</v>
      </c>
      <c r="E387">
        <v>36</v>
      </c>
      <c r="F387">
        <v>210</v>
      </c>
      <c r="G387">
        <v>55</v>
      </c>
      <c r="L387">
        <v>97</v>
      </c>
    </row>
    <row r="388" spans="1:12" x14ac:dyDescent="0.25">
      <c r="A388" t="s">
        <v>377</v>
      </c>
      <c r="B388" t="s">
        <v>379</v>
      </c>
      <c r="C388" t="s">
        <v>378</v>
      </c>
      <c r="D388">
        <v>3</v>
      </c>
      <c r="E388">
        <v>36</v>
      </c>
      <c r="F388">
        <v>220</v>
      </c>
      <c r="G388">
        <v>55</v>
      </c>
      <c r="L388">
        <v>97</v>
      </c>
    </row>
    <row r="389" spans="1:12" x14ac:dyDescent="0.25">
      <c r="A389" t="s">
        <v>377</v>
      </c>
      <c r="B389" t="s">
        <v>379</v>
      </c>
      <c r="C389" t="s">
        <v>378</v>
      </c>
      <c r="D389">
        <v>3</v>
      </c>
      <c r="E389">
        <v>36</v>
      </c>
      <c r="F389">
        <v>230</v>
      </c>
      <c r="G389">
        <v>55</v>
      </c>
      <c r="L389">
        <v>97</v>
      </c>
    </row>
    <row r="390" spans="1:12" x14ac:dyDescent="0.25">
      <c r="A390" t="s">
        <v>377</v>
      </c>
      <c r="B390" t="s">
        <v>379</v>
      </c>
      <c r="C390" t="s">
        <v>378</v>
      </c>
      <c r="D390">
        <v>3</v>
      </c>
      <c r="E390">
        <v>36</v>
      </c>
      <c r="F390">
        <v>240</v>
      </c>
      <c r="G390">
        <v>55</v>
      </c>
      <c r="L390">
        <v>97</v>
      </c>
    </row>
    <row r="391" spans="1:12" x14ac:dyDescent="0.25">
      <c r="A391" t="s">
        <v>377</v>
      </c>
      <c r="B391" t="s">
        <v>379</v>
      </c>
      <c r="C391" t="s">
        <v>378</v>
      </c>
      <c r="D391">
        <v>3</v>
      </c>
      <c r="E391">
        <v>36</v>
      </c>
      <c r="F391">
        <v>250</v>
      </c>
      <c r="G391">
        <v>55</v>
      </c>
      <c r="L391">
        <v>97</v>
      </c>
    </row>
    <row r="392" spans="1:12" x14ac:dyDescent="0.25">
      <c r="A392" t="s">
        <v>377</v>
      </c>
      <c r="B392" t="s">
        <v>379</v>
      </c>
      <c r="C392" t="s">
        <v>378</v>
      </c>
      <c r="D392">
        <v>3</v>
      </c>
      <c r="E392">
        <v>36</v>
      </c>
      <c r="F392">
        <v>260</v>
      </c>
      <c r="G392">
        <v>55</v>
      </c>
      <c r="L392">
        <v>97</v>
      </c>
    </row>
    <row r="393" spans="1:12" x14ac:dyDescent="0.25">
      <c r="A393" t="s">
        <v>377</v>
      </c>
      <c r="B393" t="s">
        <v>379</v>
      </c>
      <c r="C393" t="s">
        <v>378</v>
      </c>
      <c r="D393">
        <v>3</v>
      </c>
      <c r="E393">
        <v>36</v>
      </c>
      <c r="F393">
        <v>270</v>
      </c>
      <c r="G393">
        <v>55</v>
      </c>
      <c r="L393">
        <v>97</v>
      </c>
    </row>
    <row r="394" spans="1:12" x14ac:dyDescent="0.25">
      <c r="A394" t="s">
        <v>377</v>
      </c>
      <c r="B394" t="s">
        <v>379</v>
      </c>
      <c r="C394" t="s">
        <v>378</v>
      </c>
      <c r="D394">
        <v>3</v>
      </c>
      <c r="E394">
        <v>36</v>
      </c>
      <c r="F394">
        <v>280</v>
      </c>
      <c r="G394">
        <v>55</v>
      </c>
      <c r="L394">
        <v>97</v>
      </c>
    </row>
    <row r="395" spans="1:12" x14ac:dyDescent="0.25">
      <c r="A395" t="s">
        <v>377</v>
      </c>
      <c r="B395" t="s">
        <v>379</v>
      </c>
      <c r="C395" t="s">
        <v>378</v>
      </c>
      <c r="D395">
        <v>3</v>
      </c>
      <c r="E395">
        <v>36</v>
      </c>
      <c r="F395">
        <v>300</v>
      </c>
      <c r="G395">
        <v>55</v>
      </c>
      <c r="L395">
        <v>97</v>
      </c>
    </row>
    <row r="396" spans="1:12" x14ac:dyDescent="0.25">
      <c r="A396" t="s">
        <v>377</v>
      </c>
      <c r="B396" t="s">
        <v>379</v>
      </c>
      <c r="C396" t="s">
        <v>378</v>
      </c>
      <c r="D396">
        <v>3</v>
      </c>
      <c r="E396">
        <v>36</v>
      </c>
      <c r="F396">
        <v>320</v>
      </c>
      <c r="G396">
        <v>55</v>
      </c>
      <c r="L396">
        <v>97</v>
      </c>
    </row>
    <row r="397" spans="1:12" x14ac:dyDescent="0.25">
      <c r="A397" t="s">
        <v>377</v>
      </c>
      <c r="B397" t="s">
        <v>379</v>
      </c>
      <c r="C397" t="s">
        <v>378</v>
      </c>
      <c r="D397">
        <v>3</v>
      </c>
      <c r="E397">
        <v>36</v>
      </c>
      <c r="F397">
        <v>360</v>
      </c>
      <c r="G397">
        <v>55</v>
      </c>
      <c r="L397">
        <v>97</v>
      </c>
    </row>
    <row r="398" spans="1:12" x14ac:dyDescent="0.25">
      <c r="A398" t="s">
        <v>377</v>
      </c>
      <c r="B398" t="s">
        <v>379</v>
      </c>
      <c r="C398" t="s">
        <v>378</v>
      </c>
      <c r="D398">
        <v>3</v>
      </c>
      <c r="E398">
        <v>36</v>
      </c>
      <c r="F398">
        <v>400</v>
      </c>
      <c r="G398">
        <v>55</v>
      </c>
      <c r="L398">
        <v>97</v>
      </c>
    </row>
    <row r="399" spans="1:12" x14ac:dyDescent="0.25">
      <c r="A399" t="s">
        <v>377</v>
      </c>
      <c r="B399" t="s">
        <v>379</v>
      </c>
      <c r="C399" t="s">
        <v>378</v>
      </c>
      <c r="D399">
        <v>3</v>
      </c>
      <c r="E399">
        <v>39</v>
      </c>
      <c r="F399">
        <v>120</v>
      </c>
      <c r="G399">
        <v>60</v>
      </c>
      <c r="L399">
        <v>84</v>
      </c>
    </row>
    <row r="400" spans="1:12" x14ac:dyDescent="0.25">
      <c r="A400" t="s">
        <v>377</v>
      </c>
      <c r="B400" t="s">
        <v>379</v>
      </c>
      <c r="C400" t="s">
        <v>378</v>
      </c>
      <c r="D400">
        <v>3</v>
      </c>
      <c r="E400">
        <v>39</v>
      </c>
      <c r="F400">
        <v>130</v>
      </c>
      <c r="G400">
        <v>60</v>
      </c>
      <c r="L400">
        <v>84</v>
      </c>
    </row>
    <row r="401" spans="1:12" x14ac:dyDescent="0.25">
      <c r="A401" t="s">
        <v>377</v>
      </c>
      <c r="B401" t="s">
        <v>379</v>
      </c>
      <c r="C401" t="s">
        <v>378</v>
      </c>
      <c r="D401">
        <v>3</v>
      </c>
      <c r="E401">
        <v>39</v>
      </c>
      <c r="F401">
        <v>140</v>
      </c>
      <c r="G401">
        <v>60</v>
      </c>
      <c r="L401">
        <v>90</v>
      </c>
    </row>
    <row r="402" spans="1:12" x14ac:dyDescent="0.25">
      <c r="A402" t="s">
        <v>377</v>
      </c>
      <c r="B402" t="s">
        <v>379</v>
      </c>
      <c r="C402" t="s">
        <v>378</v>
      </c>
      <c r="D402">
        <v>3</v>
      </c>
      <c r="E402">
        <v>39</v>
      </c>
      <c r="F402">
        <v>150</v>
      </c>
      <c r="G402">
        <v>60</v>
      </c>
      <c r="L402">
        <v>90</v>
      </c>
    </row>
    <row r="403" spans="1:12" x14ac:dyDescent="0.25">
      <c r="A403" t="s">
        <v>377</v>
      </c>
      <c r="B403" t="s">
        <v>379</v>
      </c>
      <c r="C403" t="s">
        <v>378</v>
      </c>
      <c r="D403">
        <v>3</v>
      </c>
      <c r="E403">
        <v>39</v>
      </c>
      <c r="F403">
        <v>160</v>
      </c>
      <c r="G403">
        <v>60</v>
      </c>
      <c r="L403">
        <v>90</v>
      </c>
    </row>
    <row r="404" spans="1:12" x14ac:dyDescent="0.25">
      <c r="A404" t="s">
        <v>377</v>
      </c>
      <c r="B404" t="s">
        <v>379</v>
      </c>
      <c r="C404" t="s">
        <v>378</v>
      </c>
      <c r="D404">
        <v>3</v>
      </c>
      <c r="E404">
        <v>39</v>
      </c>
      <c r="F404">
        <v>170</v>
      </c>
      <c r="G404">
        <v>60</v>
      </c>
      <c r="L404">
        <v>90</v>
      </c>
    </row>
    <row r="405" spans="1:12" x14ac:dyDescent="0.25">
      <c r="A405" t="s">
        <v>377</v>
      </c>
      <c r="B405" t="s">
        <v>379</v>
      </c>
      <c r="C405" t="s">
        <v>378</v>
      </c>
      <c r="D405">
        <v>3</v>
      </c>
      <c r="E405">
        <v>39</v>
      </c>
      <c r="F405">
        <v>180</v>
      </c>
      <c r="G405">
        <v>60</v>
      </c>
      <c r="L405">
        <v>90</v>
      </c>
    </row>
    <row r="406" spans="1:12" x14ac:dyDescent="0.25">
      <c r="A406" t="s">
        <v>377</v>
      </c>
      <c r="B406" t="s">
        <v>379</v>
      </c>
      <c r="C406" t="s">
        <v>378</v>
      </c>
      <c r="D406">
        <v>3</v>
      </c>
      <c r="E406">
        <v>39</v>
      </c>
      <c r="F406">
        <v>190</v>
      </c>
      <c r="G406">
        <v>60</v>
      </c>
      <c r="L406">
        <v>90</v>
      </c>
    </row>
    <row r="407" spans="1:12" x14ac:dyDescent="0.25">
      <c r="A407" t="s">
        <v>377</v>
      </c>
      <c r="B407" t="s">
        <v>379</v>
      </c>
      <c r="C407" t="s">
        <v>378</v>
      </c>
      <c r="D407">
        <v>3</v>
      </c>
      <c r="E407">
        <v>39</v>
      </c>
      <c r="F407">
        <v>200</v>
      </c>
      <c r="G407">
        <v>60</v>
      </c>
      <c r="L407">
        <v>90</v>
      </c>
    </row>
    <row r="408" spans="1:12" x14ac:dyDescent="0.25">
      <c r="A408" t="s">
        <v>377</v>
      </c>
      <c r="B408" t="s">
        <v>379</v>
      </c>
      <c r="C408" t="s">
        <v>378</v>
      </c>
      <c r="D408">
        <v>3</v>
      </c>
      <c r="E408">
        <v>39</v>
      </c>
      <c r="F408">
        <v>210</v>
      </c>
      <c r="G408">
        <v>60</v>
      </c>
      <c r="L408">
        <v>103</v>
      </c>
    </row>
    <row r="409" spans="1:12" x14ac:dyDescent="0.25">
      <c r="A409" t="s">
        <v>377</v>
      </c>
      <c r="B409" t="s">
        <v>379</v>
      </c>
      <c r="C409" t="s">
        <v>378</v>
      </c>
      <c r="D409">
        <v>3</v>
      </c>
      <c r="E409">
        <v>39</v>
      </c>
      <c r="F409">
        <v>220</v>
      </c>
      <c r="G409">
        <v>60</v>
      </c>
      <c r="L409">
        <v>103</v>
      </c>
    </row>
    <row r="410" spans="1:12" x14ac:dyDescent="0.25">
      <c r="A410" t="s">
        <v>377</v>
      </c>
      <c r="B410" t="s">
        <v>379</v>
      </c>
      <c r="C410" t="s">
        <v>378</v>
      </c>
      <c r="D410">
        <v>3</v>
      </c>
      <c r="E410">
        <v>39</v>
      </c>
      <c r="F410">
        <v>230</v>
      </c>
      <c r="G410">
        <v>60</v>
      </c>
      <c r="L410">
        <v>103</v>
      </c>
    </row>
    <row r="411" spans="1:12" x14ac:dyDescent="0.25">
      <c r="A411" t="s">
        <v>377</v>
      </c>
      <c r="B411" t="s">
        <v>379</v>
      </c>
      <c r="C411" t="s">
        <v>378</v>
      </c>
      <c r="D411">
        <v>3</v>
      </c>
      <c r="E411">
        <v>39</v>
      </c>
      <c r="F411">
        <v>240</v>
      </c>
      <c r="G411">
        <v>60</v>
      </c>
      <c r="L411">
        <v>103</v>
      </c>
    </row>
    <row r="412" spans="1:12" x14ac:dyDescent="0.25">
      <c r="A412" t="s">
        <v>377</v>
      </c>
      <c r="B412" t="s">
        <v>379</v>
      </c>
      <c r="C412" t="s">
        <v>378</v>
      </c>
      <c r="D412">
        <v>3</v>
      </c>
      <c r="E412">
        <v>39</v>
      </c>
      <c r="F412">
        <v>250</v>
      </c>
      <c r="G412">
        <v>60</v>
      </c>
      <c r="L412">
        <v>103</v>
      </c>
    </row>
    <row r="413" spans="1:12" x14ac:dyDescent="0.25">
      <c r="A413" t="s">
        <v>377</v>
      </c>
      <c r="B413" t="s">
        <v>379</v>
      </c>
      <c r="C413" t="s">
        <v>378</v>
      </c>
      <c r="D413">
        <v>3</v>
      </c>
      <c r="E413">
        <v>39</v>
      </c>
      <c r="F413">
        <v>260</v>
      </c>
      <c r="G413">
        <v>60</v>
      </c>
      <c r="L413">
        <v>103</v>
      </c>
    </row>
    <row r="414" spans="1:12" x14ac:dyDescent="0.25">
      <c r="A414" t="s">
        <v>377</v>
      </c>
      <c r="B414" t="s">
        <v>379</v>
      </c>
      <c r="C414" t="s">
        <v>378</v>
      </c>
      <c r="D414">
        <v>3</v>
      </c>
      <c r="E414">
        <v>39</v>
      </c>
      <c r="F414">
        <v>280</v>
      </c>
      <c r="G414">
        <v>60</v>
      </c>
      <c r="L414">
        <v>103</v>
      </c>
    </row>
    <row r="633" spans="25:25" x14ac:dyDescent="0.25">
      <c r="Y633">
        <v>100</v>
      </c>
    </row>
    <row r="634" spans="25:25" x14ac:dyDescent="0.25">
      <c r="Y634">
        <v>100</v>
      </c>
    </row>
    <row r="635" spans="25:25" x14ac:dyDescent="0.25">
      <c r="Y635">
        <v>100</v>
      </c>
    </row>
    <row r="636" spans="25:25" x14ac:dyDescent="0.25">
      <c r="Y636">
        <v>100</v>
      </c>
    </row>
    <row r="637" spans="25:25" x14ac:dyDescent="0.25">
      <c r="Y637">
        <v>100</v>
      </c>
    </row>
    <row r="638" spans="25:25" x14ac:dyDescent="0.25">
      <c r="Y638">
        <v>100</v>
      </c>
    </row>
    <row r="639" spans="25:25" x14ac:dyDescent="0.25">
      <c r="Y639">
        <v>50</v>
      </c>
    </row>
    <row r="640" spans="25:25" x14ac:dyDescent="0.25">
      <c r="Y640">
        <v>50</v>
      </c>
    </row>
    <row r="641" spans="25:25" x14ac:dyDescent="0.25">
      <c r="Y641">
        <v>50</v>
      </c>
    </row>
    <row r="642" spans="25:25" x14ac:dyDescent="0.25">
      <c r="Y642">
        <v>50</v>
      </c>
    </row>
    <row r="643" spans="25:25" x14ac:dyDescent="0.25">
      <c r="Y643">
        <v>50</v>
      </c>
    </row>
    <row r="644" spans="25:25" x14ac:dyDescent="0.25">
      <c r="Y644">
        <v>50</v>
      </c>
    </row>
    <row r="645" spans="25:25" x14ac:dyDescent="0.25">
      <c r="Y645">
        <v>50</v>
      </c>
    </row>
    <row r="646" spans="25:25" x14ac:dyDescent="0.25">
      <c r="Y646">
        <v>50</v>
      </c>
    </row>
    <row r="647" spans="25:25" x14ac:dyDescent="0.25">
      <c r="Y647">
        <v>50</v>
      </c>
    </row>
    <row r="648" spans="25:25" x14ac:dyDescent="0.25">
      <c r="Y648">
        <v>50</v>
      </c>
    </row>
    <row r="649" spans="25:25" x14ac:dyDescent="0.25">
      <c r="Y649">
        <v>50</v>
      </c>
    </row>
    <row r="650" spans="25:25" x14ac:dyDescent="0.25">
      <c r="Y650">
        <v>50</v>
      </c>
    </row>
    <row r="651" spans="25:25" x14ac:dyDescent="0.25">
      <c r="Y651">
        <v>50</v>
      </c>
    </row>
    <row r="652" spans="25:25" x14ac:dyDescent="0.25">
      <c r="Y652">
        <v>50</v>
      </c>
    </row>
    <row r="653" spans="25:25" x14ac:dyDescent="0.25">
      <c r="Y653">
        <v>50</v>
      </c>
    </row>
    <row r="654" spans="25:25" x14ac:dyDescent="0.25">
      <c r="Y654">
        <v>50</v>
      </c>
    </row>
    <row r="655" spans="25:25" x14ac:dyDescent="0.25">
      <c r="Y655">
        <v>50</v>
      </c>
    </row>
    <row r="656" spans="25:25" x14ac:dyDescent="0.25">
      <c r="Y656">
        <v>50</v>
      </c>
    </row>
    <row r="657" spans="25:25" x14ac:dyDescent="0.25">
      <c r="Y657">
        <v>25</v>
      </c>
    </row>
    <row r="658" spans="25:25" x14ac:dyDescent="0.25">
      <c r="Y658">
        <v>25</v>
      </c>
    </row>
    <row r="659" spans="25:25" x14ac:dyDescent="0.25">
      <c r="Y659">
        <v>25</v>
      </c>
    </row>
    <row r="660" spans="25:25" x14ac:dyDescent="0.25">
      <c r="Y660">
        <v>25</v>
      </c>
    </row>
    <row r="661" spans="25:25" x14ac:dyDescent="0.25">
      <c r="Y661">
        <v>25</v>
      </c>
    </row>
    <row r="662" spans="25:25" x14ac:dyDescent="0.25">
      <c r="Y662">
        <v>25</v>
      </c>
    </row>
    <row r="663" spans="25:25" x14ac:dyDescent="0.25">
      <c r="Y663">
        <v>25</v>
      </c>
    </row>
    <row r="664" spans="25:25" x14ac:dyDescent="0.25">
      <c r="Y664">
        <v>25</v>
      </c>
    </row>
    <row r="665" spans="25:25" x14ac:dyDescent="0.25">
      <c r="Y665">
        <v>25</v>
      </c>
    </row>
  </sheetData>
  <autoFilter ref="A1:Y924" xr:uid="{00000000-0009-0000-0000-00000B000000}"/>
  <phoneticPr fontId="4" type="noConversion"/>
  <pageMargins left="0.7" right="0.7" top="0.75" bottom="0.75" header="0.3" footer="0.3"/>
  <pageSetup paperSize="9" orientation="portrait" horizontalDpi="30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A2ADC-DFF1-46F3-8F8B-A9E140AB16D3}">
  <sheetPr>
    <tabColor theme="5" tint="0.59999389629810485"/>
  </sheetPr>
  <dimension ref="A1:Y275"/>
  <sheetViews>
    <sheetView workbookViewId="0">
      <pane ySplit="600" activePane="bottomLeft"/>
      <selection activeCell="M1" sqref="M1"/>
      <selection pane="bottomLeft" activeCell="D42" sqref="D42"/>
    </sheetView>
  </sheetViews>
  <sheetFormatPr baseColWidth="10" defaultRowHeight="15" x14ac:dyDescent="0.25"/>
  <cols>
    <col min="2" max="2" width="32" customWidth="1"/>
    <col min="3" max="3" width="30.85546875" bestFit="1" customWidth="1"/>
    <col min="4" max="4" width="18.85546875" customWidth="1"/>
    <col min="8" max="11" width="16.140625" customWidth="1"/>
  </cols>
  <sheetData>
    <row r="1" spans="1:13" x14ac:dyDescent="0.25">
      <c r="A1" t="s">
        <v>0</v>
      </c>
      <c r="B1" t="s">
        <v>1</v>
      </c>
      <c r="C1" t="s">
        <v>231</v>
      </c>
      <c r="D1" t="s">
        <v>232</v>
      </c>
      <c r="E1" t="s">
        <v>18</v>
      </c>
      <c r="F1" t="s">
        <v>20</v>
      </c>
      <c r="G1" t="s">
        <v>22</v>
      </c>
      <c r="H1" t="s">
        <v>215</v>
      </c>
      <c r="I1" t="s">
        <v>214</v>
      </c>
      <c r="J1" t="s">
        <v>171</v>
      </c>
      <c r="K1" t="s">
        <v>172</v>
      </c>
      <c r="L1" t="s">
        <v>325</v>
      </c>
      <c r="M1" t="s">
        <v>326</v>
      </c>
    </row>
    <row r="2" spans="1:13" x14ac:dyDescent="0.25">
      <c r="A2" t="s">
        <v>376</v>
      </c>
      <c r="B2" t="s">
        <v>374</v>
      </c>
      <c r="C2" t="s">
        <v>375</v>
      </c>
      <c r="D2">
        <v>3</v>
      </c>
      <c r="E2">
        <v>6</v>
      </c>
      <c r="F2">
        <v>40</v>
      </c>
      <c r="G2">
        <v>14.2</v>
      </c>
      <c r="H2">
        <v>11.956</v>
      </c>
      <c r="I2">
        <v>16.559999999999999</v>
      </c>
      <c r="J2">
        <v>28.76</v>
      </c>
      <c r="K2">
        <v>10.71</v>
      </c>
      <c r="L2">
        <v>40</v>
      </c>
    </row>
    <row r="3" spans="1:13" x14ac:dyDescent="0.25">
      <c r="A3" t="s">
        <v>376</v>
      </c>
      <c r="B3" t="s">
        <v>374</v>
      </c>
      <c r="C3" t="s">
        <v>375</v>
      </c>
      <c r="D3">
        <v>3</v>
      </c>
      <c r="E3">
        <v>6</v>
      </c>
      <c r="F3">
        <v>45</v>
      </c>
      <c r="G3">
        <v>14.2</v>
      </c>
      <c r="H3">
        <v>11.956</v>
      </c>
      <c r="I3">
        <v>16.559999999999999</v>
      </c>
      <c r="J3">
        <v>28.76</v>
      </c>
      <c r="K3">
        <v>10.71</v>
      </c>
      <c r="L3">
        <v>45</v>
      </c>
    </row>
    <row r="4" spans="1:13" x14ac:dyDescent="0.25">
      <c r="A4" t="s">
        <v>376</v>
      </c>
      <c r="B4" t="s">
        <v>374</v>
      </c>
      <c r="C4" t="s">
        <v>375</v>
      </c>
      <c r="D4">
        <v>3</v>
      </c>
      <c r="E4">
        <v>6</v>
      </c>
      <c r="F4">
        <v>50</v>
      </c>
      <c r="G4">
        <v>14.2</v>
      </c>
      <c r="H4">
        <v>11.956</v>
      </c>
      <c r="I4">
        <v>16.559999999999999</v>
      </c>
      <c r="J4">
        <v>28.76</v>
      </c>
      <c r="K4">
        <v>10.71</v>
      </c>
      <c r="L4">
        <v>50</v>
      </c>
    </row>
    <row r="5" spans="1:13" x14ac:dyDescent="0.25">
      <c r="A5" t="s">
        <v>376</v>
      </c>
      <c r="B5" t="s">
        <v>374</v>
      </c>
      <c r="C5" t="s">
        <v>375</v>
      </c>
      <c r="D5">
        <v>3</v>
      </c>
      <c r="E5">
        <v>6</v>
      </c>
      <c r="F5">
        <v>60</v>
      </c>
      <c r="G5">
        <v>14.2</v>
      </c>
      <c r="H5">
        <v>11.956</v>
      </c>
      <c r="I5">
        <v>16.559999999999999</v>
      </c>
      <c r="J5">
        <v>28.76</v>
      </c>
      <c r="K5">
        <v>10.71</v>
      </c>
      <c r="L5">
        <v>60</v>
      </c>
    </row>
    <row r="6" spans="1:13" x14ac:dyDescent="0.25">
      <c r="A6" t="s">
        <v>376</v>
      </c>
      <c r="B6" t="s">
        <v>374</v>
      </c>
      <c r="C6" t="s">
        <v>375</v>
      </c>
      <c r="D6">
        <v>3</v>
      </c>
      <c r="E6">
        <v>6</v>
      </c>
      <c r="F6">
        <v>70</v>
      </c>
      <c r="G6">
        <v>14.2</v>
      </c>
      <c r="H6">
        <v>11.956</v>
      </c>
      <c r="I6">
        <v>16.559999999999999</v>
      </c>
      <c r="J6">
        <v>28.76</v>
      </c>
      <c r="K6">
        <v>10.71</v>
      </c>
      <c r="L6">
        <v>70</v>
      </c>
    </row>
    <row r="7" spans="1:13" x14ac:dyDescent="0.25">
      <c r="A7" t="s">
        <v>376</v>
      </c>
      <c r="B7" t="s">
        <v>374</v>
      </c>
      <c r="C7" t="s">
        <v>375</v>
      </c>
      <c r="D7">
        <v>3</v>
      </c>
      <c r="E7">
        <v>6</v>
      </c>
      <c r="F7">
        <v>80</v>
      </c>
      <c r="G7">
        <v>14.2</v>
      </c>
      <c r="H7">
        <v>11.956</v>
      </c>
      <c r="I7">
        <v>16.559999999999999</v>
      </c>
      <c r="J7">
        <v>28.76</v>
      </c>
      <c r="K7">
        <v>10.71</v>
      </c>
      <c r="L7">
        <v>80</v>
      </c>
    </row>
    <row r="8" spans="1:13" x14ac:dyDescent="0.25">
      <c r="A8" t="s">
        <v>376</v>
      </c>
      <c r="B8" t="s">
        <v>374</v>
      </c>
      <c r="C8" t="s">
        <v>375</v>
      </c>
      <c r="D8">
        <v>3</v>
      </c>
      <c r="E8">
        <v>6</v>
      </c>
      <c r="F8">
        <v>90</v>
      </c>
      <c r="G8">
        <v>14.2</v>
      </c>
      <c r="H8">
        <v>11.956</v>
      </c>
      <c r="I8">
        <v>16.559999999999999</v>
      </c>
      <c r="J8">
        <v>28.76</v>
      </c>
      <c r="K8">
        <v>10.71</v>
      </c>
      <c r="L8">
        <v>90</v>
      </c>
    </row>
    <row r="9" spans="1:13" x14ac:dyDescent="0.25">
      <c r="A9" t="s">
        <v>376</v>
      </c>
      <c r="B9" t="s">
        <v>374</v>
      </c>
      <c r="C9" t="s">
        <v>375</v>
      </c>
      <c r="D9">
        <v>3</v>
      </c>
      <c r="E9">
        <v>6</v>
      </c>
      <c r="F9">
        <v>100</v>
      </c>
      <c r="G9">
        <v>14.2</v>
      </c>
      <c r="H9">
        <v>11.956</v>
      </c>
      <c r="I9">
        <v>16.559999999999999</v>
      </c>
      <c r="J9">
        <v>28.76</v>
      </c>
      <c r="K9">
        <v>10.71</v>
      </c>
      <c r="L9">
        <v>100</v>
      </c>
    </row>
    <row r="10" spans="1:13" x14ac:dyDescent="0.25">
      <c r="A10" t="s">
        <v>376</v>
      </c>
      <c r="B10" t="s">
        <v>374</v>
      </c>
      <c r="C10" t="s">
        <v>375</v>
      </c>
      <c r="D10">
        <v>3</v>
      </c>
      <c r="E10">
        <v>8</v>
      </c>
      <c r="F10">
        <v>40</v>
      </c>
      <c r="G10">
        <v>18</v>
      </c>
      <c r="H10">
        <v>28.808</v>
      </c>
      <c r="I10">
        <v>15.14</v>
      </c>
      <c r="J10">
        <v>24.13</v>
      </c>
      <c r="K10">
        <v>19.579999999999998</v>
      </c>
      <c r="L10">
        <v>40</v>
      </c>
    </row>
    <row r="11" spans="1:13" x14ac:dyDescent="0.25">
      <c r="A11" t="s">
        <v>376</v>
      </c>
      <c r="B11" t="s">
        <v>374</v>
      </c>
      <c r="C11" t="s">
        <v>375</v>
      </c>
      <c r="D11">
        <v>3</v>
      </c>
      <c r="E11">
        <v>8</v>
      </c>
      <c r="F11">
        <v>50</v>
      </c>
      <c r="G11">
        <v>18</v>
      </c>
      <c r="H11">
        <v>28.808</v>
      </c>
      <c r="I11">
        <v>15.14</v>
      </c>
      <c r="J11">
        <v>24.13</v>
      </c>
      <c r="K11">
        <v>19.579999999999998</v>
      </c>
      <c r="L11">
        <v>50</v>
      </c>
    </row>
    <row r="12" spans="1:13" x14ac:dyDescent="0.25">
      <c r="A12" t="s">
        <v>376</v>
      </c>
      <c r="B12" t="s">
        <v>374</v>
      </c>
      <c r="C12" t="s">
        <v>375</v>
      </c>
      <c r="D12">
        <v>3</v>
      </c>
      <c r="E12">
        <v>8</v>
      </c>
      <c r="F12">
        <v>60</v>
      </c>
      <c r="G12">
        <v>18</v>
      </c>
      <c r="H12">
        <v>28.808</v>
      </c>
      <c r="I12">
        <v>15.14</v>
      </c>
      <c r="J12">
        <v>24.13</v>
      </c>
      <c r="K12">
        <v>19.579999999999998</v>
      </c>
      <c r="L12">
        <v>60</v>
      </c>
    </row>
    <row r="13" spans="1:13" x14ac:dyDescent="0.25">
      <c r="A13" t="s">
        <v>376</v>
      </c>
      <c r="B13" t="s">
        <v>374</v>
      </c>
      <c r="C13" t="s">
        <v>375</v>
      </c>
      <c r="D13">
        <v>3</v>
      </c>
      <c r="E13">
        <v>8</v>
      </c>
      <c r="F13">
        <v>70</v>
      </c>
      <c r="G13">
        <v>18</v>
      </c>
      <c r="H13">
        <v>28.808</v>
      </c>
      <c r="I13">
        <v>15.14</v>
      </c>
      <c r="J13">
        <v>24.13</v>
      </c>
      <c r="K13">
        <v>19.579999999999998</v>
      </c>
      <c r="L13">
        <v>70</v>
      </c>
    </row>
    <row r="14" spans="1:13" x14ac:dyDescent="0.25">
      <c r="A14" t="s">
        <v>376</v>
      </c>
      <c r="B14" t="s">
        <v>374</v>
      </c>
      <c r="C14" t="s">
        <v>375</v>
      </c>
      <c r="D14">
        <v>3</v>
      </c>
      <c r="E14">
        <v>8</v>
      </c>
      <c r="F14">
        <v>80</v>
      </c>
      <c r="G14">
        <v>18</v>
      </c>
      <c r="H14">
        <v>28.808</v>
      </c>
      <c r="I14">
        <v>15.14</v>
      </c>
      <c r="J14">
        <v>24.13</v>
      </c>
      <c r="K14">
        <v>19.579999999999998</v>
      </c>
      <c r="L14">
        <v>80</v>
      </c>
    </row>
    <row r="15" spans="1:13" x14ac:dyDescent="0.25">
      <c r="A15" t="s">
        <v>376</v>
      </c>
      <c r="B15" t="s">
        <v>374</v>
      </c>
      <c r="C15" t="s">
        <v>375</v>
      </c>
      <c r="D15">
        <v>3</v>
      </c>
      <c r="E15">
        <v>8</v>
      </c>
      <c r="F15">
        <v>90</v>
      </c>
      <c r="G15">
        <v>18</v>
      </c>
      <c r="H15">
        <v>28.808</v>
      </c>
      <c r="I15">
        <v>15.14</v>
      </c>
      <c r="J15">
        <v>24.13</v>
      </c>
      <c r="K15">
        <v>19.579999999999998</v>
      </c>
      <c r="L15">
        <v>90</v>
      </c>
    </row>
    <row r="16" spans="1:13" x14ac:dyDescent="0.25">
      <c r="A16" t="s">
        <v>376</v>
      </c>
      <c r="B16" t="s">
        <v>374</v>
      </c>
      <c r="C16" t="s">
        <v>375</v>
      </c>
      <c r="D16">
        <v>3</v>
      </c>
      <c r="E16">
        <v>8</v>
      </c>
      <c r="F16">
        <v>100</v>
      </c>
      <c r="G16">
        <v>18</v>
      </c>
      <c r="H16">
        <v>28.808</v>
      </c>
      <c r="I16">
        <v>15.14</v>
      </c>
      <c r="J16">
        <v>24.13</v>
      </c>
      <c r="K16">
        <v>19.579999999999998</v>
      </c>
      <c r="L16">
        <v>100</v>
      </c>
    </row>
    <row r="17" spans="1:12" x14ac:dyDescent="0.25">
      <c r="A17" t="s">
        <v>376</v>
      </c>
      <c r="B17" t="s">
        <v>374</v>
      </c>
      <c r="C17" t="s">
        <v>375</v>
      </c>
      <c r="D17">
        <v>3</v>
      </c>
      <c r="E17">
        <v>8</v>
      </c>
      <c r="F17">
        <v>120</v>
      </c>
      <c r="G17">
        <v>18</v>
      </c>
      <c r="H17">
        <v>28.808</v>
      </c>
      <c r="I17">
        <v>15.14</v>
      </c>
      <c r="J17">
        <v>24.13</v>
      </c>
      <c r="K17">
        <v>19.579999999999998</v>
      </c>
      <c r="L17">
        <v>100</v>
      </c>
    </row>
    <row r="18" spans="1:12" x14ac:dyDescent="0.25">
      <c r="A18" t="s">
        <v>376</v>
      </c>
      <c r="B18" t="s">
        <v>374</v>
      </c>
      <c r="C18" t="s">
        <v>375</v>
      </c>
      <c r="D18">
        <v>3</v>
      </c>
      <c r="E18">
        <v>10</v>
      </c>
      <c r="F18">
        <v>40</v>
      </c>
      <c r="G18">
        <v>22.3</v>
      </c>
      <c r="H18">
        <v>53.284999999999997</v>
      </c>
      <c r="I18">
        <v>13.57</v>
      </c>
      <c r="J18">
        <v>23.44</v>
      </c>
      <c r="K18">
        <v>30.54</v>
      </c>
      <c r="L18">
        <v>40</v>
      </c>
    </row>
    <row r="19" spans="1:12" x14ac:dyDescent="0.25">
      <c r="A19" t="s">
        <v>376</v>
      </c>
      <c r="B19" t="s">
        <v>374</v>
      </c>
      <c r="C19" t="s">
        <v>375</v>
      </c>
      <c r="D19">
        <v>3</v>
      </c>
      <c r="E19">
        <v>10</v>
      </c>
      <c r="F19">
        <v>50</v>
      </c>
      <c r="G19">
        <v>22.3</v>
      </c>
      <c r="H19">
        <v>53.284999999999997</v>
      </c>
      <c r="I19">
        <v>13.57</v>
      </c>
      <c r="J19">
        <v>23.44</v>
      </c>
      <c r="K19">
        <v>30.54</v>
      </c>
      <c r="L19">
        <v>50</v>
      </c>
    </row>
    <row r="20" spans="1:12" x14ac:dyDescent="0.25">
      <c r="A20" t="s">
        <v>376</v>
      </c>
      <c r="B20" t="s">
        <v>374</v>
      </c>
      <c r="C20" t="s">
        <v>375</v>
      </c>
      <c r="D20">
        <v>3</v>
      </c>
      <c r="E20">
        <v>10</v>
      </c>
      <c r="F20">
        <v>60</v>
      </c>
      <c r="G20">
        <v>22.3</v>
      </c>
      <c r="H20">
        <v>53.284999999999997</v>
      </c>
      <c r="I20">
        <v>13.57</v>
      </c>
      <c r="J20">
        <v>23.44</v>
      </c>
      <c r="K20">
        <v>30.54</v>
      </c>
      <c r="L20">
        <v>60</v>
      </c>
    </row>
    <row r="21" spans="1:12" x14ac:dyDescent="0.25">
      <c r="A21" t="s">
        <v>376</v>
      </c>
      <c r="B21" t="s">
        <v>374</v>
      </c>
      <c r="C21" t="s">
        <v>375</v>
      </c>
      <c r="D21">
        <v>3</v>
      </c>
      <c r="E21">
        <v>10</v>
      </c>
      <c r="F21">
        <v>70</v>
      </c>
      <c r="G21">
        <v>22.3</v>
      </c>
      <c r="H21">
        <v>53.284999999999997</v>
      </c>
      <c r="I21">
        <v>13.57</v>
      </c>
      <c r="J21">
        <v>23.44</v>
      </c>
      <c r="K21">
        <v>30.54</v>
      </c>
      <c r="L21">
        <v>70</v>
      </c>
    </row>
    <row r="22" spans="1:12" x14ac:dyDescent="0.25">
      <c r="A22" t="s">
        <v>376</v>
      </c>
      <c r="B22" t="s">
        <v>374</v>
      </c>
      <c r="C22" t="s">
        <v>375</v>
      </c>
      <c r="D22">
        <v>3</v>
      </c>
      <c r="E22">
        <v>10</v>
      </c>
      <c r="F22">
        <v>80</v>
      </c>
      <c r="G22">
        <v>22.3</v>
      </c>
      <c r="H22">
        <v>53.284999999999997</v>
      </c>
      <c r="I22">
        <v>13.57</v>
      </c>
      <c r="J22">
        <v>23.44</v>
      </c>
      <c r="K22">
        <v>30.54</v>
      </c>
      <c r="L22">
        <v>80</v>
      </c>
    </row>
    <row r="23" spans="1:12" x14ac:dyDescent="0.25">
      <c r="A23" t="s">
        <v>376</v>
      </c>
      <c r="B23" t="s">
        <v>374</v>
      </c>
      <c r="C23" t="s">
        <v>375</v>
      </c>
      <c r="D23">
        <v>3</v>
      </c>
      <c r="E23">
        <v>10</v>
      </c>
      <c r="F23">
        <v>90</v>
      </c>
      <c r="G23">
        <v>22.3</v>
      </c>
      <c r="H23">
        <v>53.284999999999997</v>
      </c>
      <c r="I23">
        <v>13.57</v>
      </c>
      <c r="J23">
        <v>23.44</v>
      </c>
      <c r="K23">
        <v>30.54</v>
      </c>
      <c r="L23">
        <v>90</v>
      </c>
    </row>
    <row r="24" spans="1:12" x14ac:dyDescent="0.25">
      <c r="A24" t="s">
        <v>376</v>
      </c>
      <c r="B24" t="s">
        <v>374</v>
      </c>
      <c r="C24" t="s">
        <v>375</v>
      </c>
      <c r="D24">
        <v>3</v>
      </c>
      <c r="E24">
        <v>10</v>
      </c>
      <c r="F24">
        <v>100</v>
      </c>
      <c r="G24">
        <v>22.3</v>
      </c>
      <c r="H24">
        <v>53.284999999999997</v>
      </c>
      <c r="I24">
        <v>13.57</v>
      </c>
      <c r="J24">
        <v>23.44</v>
      </c>
      <c r="K24">
        <v>30.54</v>
      </c>
      <c r="L24">
        <v>100</v>
      </c>
    </row>
    <row r="25" spans="1:12" x14ac:dyDescent="0.25">
      <c r="A25" t="s">
        <v>376</v>
      </c>
      <c r="B25" t="s">
        <v>374</v>
      </c>
      <c r="C25" t="s">
        <v>375</v>
      </c>
      <c r="D25">
        <v>3</v>
      </c>
      <c r="E25">
        <v>10</v>
      </c>
      <c r="F25">
        <v>120</v>
      </c>
      <c r="G25">
        <v>22.3</v>
      </c>
      <c r="H25">
        <v>53.284999999999997</v>
      </c>
      <c r="I25">
        <v>13.57</v>
      </c>
      <c r="J25">
        <v>23.44</v>
      </c>
      <c r="K25">
        <v>30.54</v>
      </c>
      <c r="L25">
        <v>100</v>
      </c>
    </row>
    <row r="26" spans="1:12" x14ac:dyDescent="0.25">
      <c r="A26" t="s">
        <v>376</v>
      </c>
      <c r="B26" t="s">
        <v>374</v>
      </c>
      <c r="C26" t="s">
        <v>375</v>
      </c>
      <c r="D26">
        <v>3</v>
      </c>
      <c r="E26">
        <v>10</v>
      </c>
      <c r="F26">
        <v>150</v>
      </c>
      <c r="G26">
        <v>22.3</v>
      </c>
      <c r="H26">
        <v>53.284999999999997</v>
      </c>
      <c r="I26">
        <v>13.57</v>
      </c>
      <c r="J26">
        <v>23.44</v>
      </c>
      <c r="K26">
        <v>30.54</v>
      </c>
      <c r="L26">
        <v>100</v>
      </c>
    </row>
    <row r="27" spans="1:12" x14ac:dyDescent="0.25">
      <c r="A27" t="s">
        <v>376</v>
      </c>
      <c r="B27" t="s">
        <v>374</v>
      </c>
      <c r="C27" t="s">
        <v>375</v>
      </c>
      <c r="D27">
        <v>3</v>
      </c>
      <c r="E27">
        <v>12</v>
      </c>
      <c r="F27">
        <v>60</v>
      </c>
      <c r="G27">
        <v>26.6</v>
      </c>
      <c r="H27">
        <v>93.188999999999993</v>
      </c>
      <c r="I27">
        <v>12.89</v>
      </c>
      <c r="J27">
        <v>24.52</v>
      </c>
      <c r="K27">
        <v>44.83</v>
      </c>
      <c r="L27">
        <v>60</v>
      </c>
    </row>
    <row r="28" spans="1:12" x14ac:dyDescent="0.25">
      <c r="A28" t="s">
        <v>376</v>
      </c>
      <c r="B28" t="s">
        <v>374</v>
      </c>
      <c r="C28" t="s">
        <v>375</v>
      </c>
      <c r="D28">
        <v>3</v>
      </c>
      <c r="E28">
        <v>12</v>
      </c>
      <c r="F28">
        <v>70</v>
      </c>
      <c r="G28">
        <v>26.6</v>
      </c>
      <c r="H28">
        <v>93.188999999999993</v>
      </c>
      <c r="I28">
        <v>12.89</v>
      </c>
      <c r="J28">
        <v>24.52</v>
      </c>
      <c r="K28">
        <v>44.83</v>
      </c>
      <c r="L28">
        <v>70</v>
      </c>
    </row>
    <row r="29" spans="1:12" x14ac:dyDescent="0.25">
      <c r="A29" t="s">
        <v>376</v>
      </c>
      <c r="B29" t="s">
        <v>374</v>
      </c>
      <c r="C29" t="s">
        <v>375</v>
      </c>
      <c r="D29">
        <v>3</v>
      </c>
      <c r="E29">
        <v>12</v>
      </c>
      <c r="F29">
        <v>80</v>
      </c>
      <c r="G29">
        <v>26.6</v>
      </c>
      <c r="H29">
        <v>93.188999999999993</v>
      </c>
      <c r="I29">
        <v>12.89</v>
      </c>
      <c r="J29">
        <v>24.52</v>
      </c>
      <c r="K29">
        <v>44.83</v>
      </c>
      <c r="L29">
        <v>80</v>
      </c>
    </row>
    <row r="30" spans="1:12" x14ac:dyDescent="0.25">
      <c r="A30" t="s">
        <v>376</v>
      </c>
      <c r="B30" t="s">
        <v>374</v>
      </c>
      <c r="C30" t="s">
        <v>375</v>
      </c>
      <c r="D30">
        <v>3</v>
      </c>
      <c r="E30">
        <v>12</v>
      </c>
      <c r="F30">
        <v>90</v>
      </c>
      <c r="G30">
        <v>26.6</v>
      </c>
      <c r="H30">
        <v>93.188999999999993</v>
      </c>
      <c r="I30">
        <v>12.89</v>
      </c>
      <c r="J30">
        <v>24.52</v>
      </c>
      <c r="K30">
        <v>44.83</v>
      </c>
      <c r="L30">
        <v>90</v>
      </c>
    </row>
    <row r="31" spans="1:12" x14ac:dyDescent="0.25">
      <c r="A31" t="s">
        <v>376</v>
      </c>
      <c r="B31" t="s">
        <v>374</v>
      </c>
      <c r="C31" t="s">
        <v>375</v>
      </c>
      <c r="D31">
        <v>3</v>
      </c>
      <c r="E31">
        <v>12</v>
      </c>
      <c r="F31">
        <v>100</v>
      </c>
      <c r="G31">
        <v>26.6</v>
      </c>
      <c r="H31">
        <v>93.188999999999993</v>
      </c>
      <c r="I31">
        <v>12.89</v>
      </c>
      <c r="J31">
        <v>24.52</v>
      </c>
      <c r="K31">
        <v>44.83</v>
      </c>
      <c r="L31">
        <v>100</v>
      </c>
    </row>
    <row r="32" spans="1:12" x14ac:dyDescent="0.25">
      <c r="A32" t="s">
        <v>376</v>
      </c>
      <c r="B32" t="s">
        <v>374</v>
      </c>
      <c r="C32" t="s">
        <v>375</v>
      </c>
      <c r="D32">
        <v>3</v>
      </c>
      <c r="E32">
        <v>12</v>
      </c>
      <c r="F32">
        <v>120</v>
      </c>
      <c r="G32">
        <v>26.6</v>
      </c>
      <c r="H32">
        <v>93.188999999999993</v>
      </c>
      <c r="I32">
        <v>12.89</v>
      </c>
      <c r="J32">
        <v>24.52</v>
      </c>
      <c r="K32">
        <v>44.83</v>
      </c>
      <c r="L32">
        <v>100</v>
      </c>
    </row>
    <row r="33" spans="1:13" x14ac:dyDescent="0.25">
      <c r="A33" t="s">
        <v>376</v>
      </c>
      <c r="B33" t="s">
        <v>374</v>
      </c>
      <c r="C33" t="s">
        <v>375</v>
      </c>
      <c r="D33">
        <v>3</v>
      </c>
      <c r="E33">
        <v>12</v>
      </c>
      <c r="F33">
        <v>150</v>
      </c>
      <c r="G33">
        <v>26.6</v>
      </c>
      <c r="H33">
        <v>93.188999999999993</v>
      </c>
      <c r="I33">
        <v>12.89</v>
      </c>
      <c r="J33">
        <v>24.52</v>
      </c>
      <c r="K33">
        <v>44.83</v>
      </c>
      <c r="L33">
        <v>100</v>
      </c>
    </row>
    <row r="34" spans="1:13" x14ac:dyDescent="0.25">
      <c r="A34" t="s">
        <v>376</v>
      </c>
      <c r="B34" t="s">
        <v>466</v>
      </c>
      <c r="C34" t="s">
        <v>467</v>
      </c>
      <c r="D34">
        <v>3</v>
      </c>
      <c r="E34">
        <v>6</v>
      </c>
      <c r="F34">
        <v>40</v>
      </c>
      <c r="G34">
        <v>13.5</v>
      </c>
      <c r="H34">
        <v>12.35</v>
      </c>
      <c r="I34">
        <v>17.32</v>
      </c>
      <c r="J34">
        <v>27.19</v>
      </c>
      <c r="K34">
        <v>14.01</v>
      </c>
      <c r="L34">
        <v>33</v>
      </c>
    </row>
    <row r="35" spans="1:13" x14ac:dyDescent="0.25">
      <c r="A35" t="s">
        <v>376</v>
      </c>
      <c r="B35" t="s">
        <v>466</v>
      </c>
      <c r="C35" t="s">
        <v>467</v>
      </c>
      <c r="D35">
        <v>3</v>
      </c>
      <c r="E35">
        <v>6</v>
      </c>
      <c r="F35">
        <v>50</v>
      </c>
      <c r="G35">
        <v>13.5</v>
      </c>
      <c r="H35">
        <v>12.35</v>
      </c>
      <c r="I35">
        <v>17.32</v>
      </c>
      <c r="J35">
        <v>27.19</v>
      </c>
      <c r="K35">
        <v>14.01</v>
      </c>
      <c r="L35">
        <v>43</v>
      </c>
    </row>
    <row r="36" spans="1:13" x14ac:dyDescent="0.25">
      <c r="A36" t="s">
        <v>376</v>
      </c>
      <c r="B36" t="s">
        <v>466</v>
      </c>
      <c r="C36" t="s">
        <v>467</v>
      </c>
      <c r="D36">
        <v>3</v>
      </c>
      <c r="E36">
        <v>6</v>
      </c>
      <c r="F36">
        <v>60</v>
      </c>
      <c r="G36">
        <v>13.5</v>
      </c>
      <c r="H36">
        <v>12.35</v>
      </c>
      <c r="I36">
        <v>17.32</v>
      </c>
      <c r="J36">
        <v>27.19</v>
      </c>
      <c r="K36">
        <v>14.01</v>
      </c>
      <c r="L36">
        <v>30</v>
      </c>
      <c r="M36">
        <v>5</v>
      </c>
    </row>
    <row r="37" spans="1:13" x14ac:dyDescent="0.25">
      <c r="A37" t="s">
        <v>376</v>
      </c>
      <c r="B37" t="s">
        <v>466</v>
      </c>
      <c r="C37" t="s">
        <v>467</v>
      </c>
      <c r="D37">
        <v>3</v>
      </c>
      <c r="E37">
        <v>6</v>
      </c>
      <c r="F37">
        <v>70</v>
      </c>
      <c r="G37">
        <v>13.5</v>
      </c>
      <c r="H37">
        <v>12.35</v>
      </c>
      <c r="I37">
        <v>17.32</v>
      </c>
      <c r="J37">
        <v>27.19</v>
      </c>
      <c r="K37">
        <v>14.01</v>
      </c>
      <c r="L37">
        <v>42</v>
      </c>
      <c r="M37">
        <v>10.199999999999999</v>
      </c>
    </row>
    <row r="38" spans="1:13" x14ac:dyDescent="0.25">
      <c r="A38" t="s">
        <v>376</v>
      </c>
      <c r="B38" t="s">
        <v>466</v>
      </c>
      <c r="C38" t="s">
        <v>467</v>
      </c>
      <c r="D38">
        <v>3</v>
      </c>
      <c r="E38">
        <v>6</v>
      </c>
      <c r="F38">
        <v>80</v>
      </c>
      <c r="G38">
        <v>13.5</v>
      </c>
      <c r="H38">
        <v>12.35</v>
      </c>
      <c r="I38">
        <v>17.32</v>
      </c>
      <c r="J38">
        <v>27.19</v>
      </c>
      <c r="K38">
        <v>14.01</v>
      </c>
      <c r="L38">
        <v>48</v>
      </c>
      <c r="M38">
        <v>10.199999999999999</v>
      </c>
    </row>
    <row r="39" spans="1:13" x14ac:dyDescent="0.25">
      <c r="A39" t="s">
        <v>376</v>
      </c>
      <c r="B39" t="s">
        <v>466</v>
      </c>
      <c r="C39" t="s">
        <v>467</v>
      </c>
      <c r="D39">
        <v>3</v>
      </c>
      <c r="E39">
        <v>6</v>
      </c>
      <c r="F39">
        <v>90</v>
      </c>
      <c r="G39">
        <v>13.5</v>
      </c>
      <c r="H39">
        <v>12.35</v>
      </c>
      <c r="I39">
        <v>17.32</v>
      </c>
      <c r="J39">
        <v>27.19</v>
      </c>
      <c r="K39">
        <v>14.01</v>
      </c>
      <c r="L39">
        <v>55</v>
      </c>
      <c r="M39">
        <v>10.199999999999999</v>
      </c>
    </row>
    <row r="40" spans="1:13" x14ac:dyDescent="0.25">
      <c r="A40" t="s">
        <v>376</v>
      </c>
      <c r="B40" t="s">
        <v>466</v>
      </c>
      <c r="C40" t="s">
        <v>467</v>
      </c>
      <c r="D40">
        <v>3</v>
      </c>
      <c r="E40">
        <v>6</v>
      </c>
      <c r="F40">
        <v>100</v>
      </c>
      <c r="G40">
        <v>13.5</v>
      </c>
      <c r="H40">
        <v>12.35</v>
      </c>
      <c r="I40">
        <v>17.32</v>
      </c>
      <c r="J40">
        <v>27.19</v>
      </c>
      <c r="K40">
        <v>14.01</v>
      </c>
      <c r="L40">
        <v>60</v>
      </c>
      <c r="M40">
        <v>10.199999999999999</v>
      </c>
    </row>
    <row r="41" spans="1:13" x14ac:dyDescent="0.25">
      <c r="A41" t="s">
        <v>376</v>
      </c>
      <c r="B41" t="s">
        <v>466</v>
      </c>
      <c r="C41" t="s">
        <v>467</v>
      </c>
      <c r="D41">
        <v>3</v>
      </c>
      <c r="E41">
        <v>6</v>
      </c>
      <c r="F41">
        <v>120</v>
      </c>
      <c r="G41">
        <v>13.5</v>
      </c>
      <c r="H41">
        <v>12.35</v>
      </c>
      <c r="I41">
        <v>17.32</v>
      </c>
      <c r="J41">
        <v>27.19</v>
      </c>
      <c r="K41">
        <v>14.01</v>
      </c>
      <c r="L41">
        <v>60</v>
      </c>
      <c r="M41">
        <v>10.199999999999999</v>
      </c>
    </row>
    <row r="42" spans="1:13" x14ac:dyDescent="0.25">
      <c r="A42" t="s">
        <v>376</v>
      </c>
      <c r="B42" t="s">
        <v>466</v>
      </c>
      <c r="C42" t="s">
        <v>467</v>
      </c>
      <c r="D42">
        <v>3</v>
      </c>
      <c r="E42">
        <v>6</v>
      </c>
      <c r="F42">
        <v>140</v>
      </c>
      <c r="G42">
        <v>13.5</v>
      </c>
      <c r="H42">
        <v>12.35</v>
      </c>
      <c r="I42">
        <v>17.32</v>
      </c>
      <c r="J42">
        <v>27.19</v>
      </c>
      <c r="K42">
        <v>14.01</v>
      </c>
      <c r="L42">
        <v>70</v>
      </c>
      <c r="M42">
        <v>10.199999999999999</v>
      </c>
    </row>
    <row r="43" spans="1:13" x14ac:dyDescent="0.25">
      <c r="A43" t="s">
        <v>376</v>
      </c>
      <c r="B43" t="s">
        <v>466</v>
      </c>
      <c r="C43" t="s">
        <v>467</v>
      </c>
      <c r="D43">
        <v>3</v>
      </c>
      <c r="E43">
        <v>8</v>
      </c>
      <c r="F43">
        <v>50</v>
      </c>
      <c r="G43">
        <v>20.5</v>
      </c>
      <c r="H43">
        <v>24.789000000000001</v>
      </c>
      <c r="I43">
        <v>15.7</v>
      </c>
      <c r="J43">
        <v>23.7</v>
      </c>
      <c r="K43">
        <v>24.85</v>
      </c>
      <c r="L43">
        <v>50</v>
      </c>
    </row>
    <row r="44" spans="1:13" x14ac:dyDescent="0.25">
      <c r="A44" t="s">
        <v>376</v>
      </c>
      <c r="B44" t="s">
        <v>466</v>
      </c>
      <c r="C44" t="s">
        <v>467</v>
      </c>
      <c r="D44">
        <v>3</v>
      </c>
      <c r="E44">
        <v>8</v>
      </c>
      <c r="F44">
        <v>60</v>
      </c>
      <c r="G44">
        <v>20.5</v>
      </c>
      <c r="H44">
        <v>24.789000000000001</v>
      </c>
      <c r="I44">
        <v>15.7</v>
      </c>
      <c r="J44">
        <v>23.7</v>
      </c>
      <c r="K44">
        <v>24.85</v>
      </c>
      <c r="L44">
        <v>60</v>
      </c>
    </row>
    <row r="45" spans="1:13" x14ac:dyDescent="0.25">
      <c r="A45" t="s">
        <v>376</v>
      </c>
      <c r="B45" t="s">
        <v>466</v>
      </c>
      <c r="C45" t="s">
        <v>467</v>
      </c>
      <c r="D45">
        <v>3</v>
      </c>
      <c r="E45">
        <v>8</v>
      </c>
      <c r="F45">
        <v>70</v>
      </c>
      <c r="G45">
        <v>20.5</v>
      </c>
      <c r="H45">
        <v>24.789000000000001</v>
      </c>
      <c r="I45">
        <v>15.7</v>
      </c>
      <c r="J45">
        <v>23.7</v>
      </c>
      <c r="K45">
        <v>24.85</v>
      </c>
      <c r="L45">
        <v>70</v>
      </c>
    </row>
    <row r="46" spans="1:13" x14ac:dyDescent="0.25">
      <c r="A46" t="s">
        <v>376</v>
      </c>
      <c r="B46" t="s">
        <v>466</v>
      </c>
      <c r="C46" t="s">
        <v>467</v>
      </c>
      <c r="D46">
        <v>3</v>
      </c>
      <c r="E46">
        <v>8</v>
      </c>
      <c r="F46">
        <v>80</v>
      </c>
      <c r="G46">
        <v>20.5</v>
      </c>
      <c r="H46">
        <v>24.789000000000001</v>
      </c>
      <c r="I46">
        <v>15.7</v>
      </c>
      <c r="J46">
        <v>23.7</v>
      </c>
      <c r="K46">
        <v>24.85</v>
      </c>
      <c r="L46">
        <v>42</v>
      </c>
      <c r="M46">
        <v>10.199999999999999</v>
      </c>
    </row>
    <row r="47" spans="1:13" x14ac:dyDescent="0.25">
      <c r="A47" t="s">
        <v>376</v>
      </c>
      <c r="B47" t="s">
        <v>466</v>
      </c>
      <c r="C47" t="s">
        <v>467</v>
      </c>
      <c r="D47">
        <v>3</v>
      </c>
      <c r="E47">
        <v>8</v>
      </c>
      <c r="F47">
        <v>100</v>
      </c>
      <c r="G47">
        <v>20.5</v>
      </c>
      <c r="H47">
        <v>24.789000000000001</v>
      </c>
      <c r="I47">
        <v>15.7</v>
      </c>
      <c r="J47">
        <v>23.7</v>
      </c>
      <c r="K47">
        <v>24.85</v>
      </c>
      <c r="L47">
        <v>55</v>
      </c>
      <c r="M47">
        <v>10.199999999999999</v>
      </c>
    </row>
    <row r="48" spans="1:13" x14ac:dyDescent="0.25">
      <c r="A48" t="s">
        <v>376</v>
      </c>
      <c r="B48" t="s">
        <v>466</v>
      </c>
      <c r="C48" t="s">
        <v>467</v>
      </c>
      <c r="D48">
        <v>3</v>
      </c>
      <c r="E48">
        <v>8</v>
      </c>
      <c r="F48">
        <v>120</v>
      </c>
      <c r="G48">
        <v>20.5</v>
      </c>
      <c r="H48">
        <v>24.789000000000001</v>
      </c>
      <c r="I48">
        <v>15.7</v>
      </c>
      <c r="J48">
        <v>23.7</v>
      </c>
      <c r="K48">
        <v>24.85</v>
      </c>
      <c r="L48">
        <v>70</v>
      </c>
      <c r="M48">
        <v>10.199999999999999</v>
      </c>
    </row>
    <row r="49" spans="1:13" x14ac:dyDescent="0.25">
      <c r="A49" t="s">
        <v>376</v>
      </c>
      <c r="B49" t="s">
        <v>466</v>
      </c>
      <c r="C49" t="s">
        <v>467</v>
      </c>
      <c r="D49">
        <v>3</v>
      </c>
      <c r="E49">
        <v>8</v>
      </c>
      <c r="F49">
        <v>140</v>
      </c>
      <c r="G49">
        <v>20.5</v>
      </c>
      <c r="H49">
        <v>24.789000000000001</v>
      </c>
      <c r="I49">
        <v>15.7</v>
      </c>
      <c r="J49">
        <v>23.7</v>
      </c>
      <c r="K49">
        <v>24.85</v>
      </c>
      <c r="L49">
        <v>70</v>
      </c>
      <c r="M49">
        <v>10.199999999999999</v>
      </c>
    </row>
    <row r="50" spans="1:13" x14ac:dyDescent="0.25">
      <c r="A50" t="s">
        <v>376</v>
      </c>
      <c r="B50" t="s">
        <v>466</v>
      </c>
      <c r="C50" t="s">
        <v>467</v>
      </c>
      <c r="D50">
        <v>3</v>
      </c>
      <c r="E50">
        <v>8</v>
      </c>
      <c r="F50">
        <v>160</v>
      </c>
      <c r="G50">
        <v>20.5</v>
      </c>
      <c r="H50">
        <v>24.789000000000001</v>
      </c>
      <c r="I50">
        <v>15.7</v>
      </c>
      <c r="J50">
        <v>23.7</v>
      </c>
      <c r="K50">
        <v>24.85</v>
      </c>
      <c r="L50">
        <v>70</v>
      </c>
      <c r="M50">
        <v>10.199999999999999</v>
      </c>
    </row>
    <row r="51" spans="1:13" x14ac:dyDescent="0.25">
      <c r="A51" t="s">
        <v>376</v>
      </c>
      <c r="B51" t="s">
        <v>466</v>
      </c>
      <c r="C51" t="s">
        <v>467</v>
      </c>
      <c r="D51">
        <v>3</v>
      </c>
      <c r="E51">
        <v>8</v>
      </c>
      <c r="F51">
        <v>180</v>
      </c>
      <c r="G51">
        <v>20.5</v>
      </c>
      <c r="H51">
        <v>24.789000000000001</v>
      </c>
      <c r="I51">
        <v>15.7</v>
      </c>
      <c r="J51">
        <v>23.7</v>
      </c>
      <c r="K51">
        <v>24.85</v>
      </c>
      <c r="L51">
        <v>70</v>
      </c>
      <c r="M51">
        <v>10.199999999999999</v>
      </c>
    </row>
    <row r="52" spans="1:13" x14ac:dyDescent="0.25">
      <c r="A52" t="s">
        <v>376</v>
      </c>
      <c r="B52" t="s">
        <v>466</v>
      </c>
      <c r="C52" t="s">
        <v>467</v>
      </c>
      <c r="D52">
        <v>3</v>
      </c>
      <c r="E52">
        <v>8</v>
      </c>
      <c r="F52">
        <v>200</v>
      </c>
      <c r="G52">
        <v>20.5</v>
      </c>
      <c r="H52">
        <v>24.789000000000001</v>
      </c>
      <c r="I52">
        <v>15.7</v>
      </c>
      <c r="J52">
        <v>23.7</v>
      </c>
      <c r="K52">
        <v>24.85</v>
      </c>
      <c r="L52">
        <v>70</v>
      </c>
      <c r="M52">
        <v>10.199999999999999</v>
      </c>
    </row>
    <row r="53" spans="1:13" x14ac:dyDescent="0.25">
      <c r="A53" t="s">
        <v>376</v>
      </c>
      <c r="B53" t="s">
        <v>466</v>
      </c>
      <c r="C53" t="s">
        <v>467</v>
      </c>
      <c r="D53">
        <v>3</v>
      </c>
      <c r="E53">
        <v>8</v>
      </c>
      <c r="F53">
        <v>220</v>
      </c>
      <c r="G53">
        <v>20.5</v>
      </c>
      <c r="H53">
        <v>24.789000000000001</v>
      </c>
      <c r="I53">
        <v>15.7</v>
      </c>
      <c r="J53">
        <v>23.7</v>
      </c>
      <c r="K53">
        <v>24.85</v>
      </c>
      <c r="L53">
        <v>70</v>
      </c>
      <c r="M53">
        <v>10.199999999999999</v>
      </c>
    </row>
    <row r="54" spans="1:13" x14ac:dyDescent="0.25">
      <c r="A54" t="s">
        <v>376</v>
      </c>
      <c r="B54" t="s">
        <v>466</v>
      </c>
      <c r="C54" t="s">
        <v>467</v>
      </c>
      <c r="D54">
        <v>3</v>
      </c>
      <c r="E54">
        <v>8</v>
      </c>
      <c r="F54">
        <v>260</v>
      </c>
      <c r="G54">
        <v>20.5</v>
      </c>
      <c r="H54">
        <v>24.789000000000001</v>
      </c>
      <c r="I54">
        <v>15.7</v>
      </c>
      <c r="J54">
        <v>23.7</v>
      </c>
      <c r="K54">
        <v>24.85</v>
      </c>
      <c r="L54">
        <v>70</v>
      </c>
      <c r="M54">
        <v>10.199999999999999</v>
      </c>
    </row>
    <row r="55" spans="1:13" x14ac:dyDescent="0.25">
      <c r="A55" t="s">
        <v>376</v>
      </c>
      <c r="B55" t="s">
        <v>466</v>
      </c>
      <c r="C55" t="s">
        <v>467</v>
      </c>
      <c r="D55">
        <v>3</v>
      </c>
      <c r="E55">
        <v>8</v>
      </c>
      <c r="F55">
        <v>300</v>
      </c>
      <c r="G55">
        <v>20.5</v>
      </c>
      <c r="H55">
        <v>24.789000000000001</v>
      </c>
      <c r="I55">
        <v>15.7</v>
      </c>
      <c r="J55">
        <v>23.7</v>
      </c>
      <c r="K55">
        <v>24.85</v>
      </c>
      <c r="L55">
        <v>70</v>
      </c>
      <c r="M55">
        <v>10.199999999999999</v>
      </c>
    </row>
    <row r="56" spans="1:13" x14ac:dyDescent="0.25">
      <c r="A56" t="s">
        <v>376</v>
      </c>
      <c r="B56" t="s">
        <v>466</v>
      </c>
      <c r="C56" t="s">
        <v>467</v>
      </c>
      <c r="D56">
        <v>3</v>
      </c>
      <c r="E56">
        <v>8</v>
      </c>
      <c r="F56">
        <v>340</v>
      </c>
      <c r="G56">
        <v>20.5</v>
      </c>
      <c r="H56">
        <v>24.789000000000001</v>
      </c>
      <c r="I56">
        <v>15.7</v>
      </c>
      <c r="J56">
        <v>23.7</v>
      </c>
      <c r="K56">
        <v>24.85</v>
      </c>
      <c r="L56">
        <v>70</v>
      </c>
      <c r="M56">
        <v>10.199999999999999</v>
      </c>
    </row>
    <row r="243" spans="25:25" x14ac:dyDescent="0.25">
      <c r="Y243">
        <v>100</v>
      </c>
    </row>
    <row r="244" spans="25:25" x14ac:dyDescent="0.25">
      <c r="Y244">
        <v>100</v>
      </c>
    </row>
    <row r="245" spans="25:25" x14ac:dyDescent="0.25">
      <c r="Y245">
        <v>100</v>
      </c>
    </row>
    <row r="246" spans="25:25" x14ac:dyDescent="0.25">
      <c r="Y246">
        <v>100</v>
      </c>
    </row>
    <row r="247" spans="25:25" x14ac:dyDescent="0.25">
      <c r="Y247">
        <v>100</v>
      </c>
    </row>
    <row r="248" spans="25:25" x14ac:dyDescent="0.25">
      <c r="Y248">
        <v>100</v>
      </c>
    </row>
    <row r="249" spans="25:25" x14ac:dyDescent="0.25">
      <c r="Y249">
        <v>50</v>
      </c>
    </row>
    <row r="250" spans="25:25" x14ac:dyDescent="0.25">
      <c r="Y250">
        <v>50</v>
      </c>
    </row>
    <row r="251" spans="25:25" x14ac:dyDescent="0.25">
      <c r="Y251">
        <v>50</v>
      </c>
    </row>
    <row r="252" spans="25:25" x14ac:dyDescent="0.25">
      <c r="Y252">
        <v>50</v>
      </c>
    </row>
    <row r="253" spans="25:25" x14ac:dyDescent="0.25">
      <c r="Y253">
        <v>50</v>
      </c>
    </row>
    <row r="254" spans="25:25" x14ac:dyDescent="0.25">
      <c r="Y254">
        <v>50</v>
      </c>
    </row>
    <row r="255" spans="25:25" x14ac:dyDescent="0.25">
      <c r="Y255">
        <v>50</v>
      </c>
    </row>
    <row r="256" spans="25:25" x14ac:dyDescent="0.25">
      <c r="Y256">
        <v>50</v>
      </c>
    </row>
    <row r="257" spans="25:25" x14ac:dyDescent="0.25">
      <c r="Y257">
        <v>50</v>
      </c>
    </row>
    <row r="258" spans="25:25" x14ac:dyDescent="0.25">
      <c r="Y258">
        <v>50</v>
      </c>
    </row>
    <row r="259" spans="25:25" x14ac:dyDescent="0.25">
      <c r="Y259">
        <v>50</v>
      </c>
    </row>
    <row r="260" spans="25:25" x14ac:dyDescent="0.25">
      <c r="Y260">
        <v>50</v>
      </c>
    </row>
    <row r="261" spans="25:25" x14ac:dyDescent="0.25">
      <c r="Y261">
        <v>50</v>
      </c>
    </row>
    <row r="262" spans="25:25" x14ac:dyDescent="0.25">
      <c r="Y262">
        <v>50</v>
      </c>
    </row>
    <row r="263" spans="25:25" x14ac:dyDescent="0.25">
      <c r="Y263">
        <v>50</v>
      </c>
    </row>
    <row r="264" spans="25:25" x14ac:dyDescent="0.25">
      <c r="Y264">
        <v>50</v>
      </c>
    </row>
    <row r="265" spans="25:25" x14ac:dyDescent="0.25">
      <c r="Y265">
        <v>50</v>
      </c>
    </row>
    <row r="266" spans="25:25" x14ac:dyDescent="0.25">
      <c r="Y266">
        <v>50</v>
      </c>
    </row>
    <row r="267" spans="25:25" x14ac:dyDescent="0.25">
      <c r="Y267">
        <v>25</v>
      </c>
    </row>
    <row r="268" spans="25:25" x14ac:dyDescent="0.25">
      <c r="Y268">
        <v>25</v>
      </c>
    </row>
    <row r="269" spans="25:25" x14ac:dyDescent="0.25">
      <c r="Y269">
        <v>25</v>
      </c>
    </row>
    <row r="270" spans="25:25" x14ac:dyDescent="0.25">
      <c r="Y270">
        <v>25</v>
      </c>
    </row>
    <row r="271" spans="25:25" x14ac:dyDescent="0.25">
      <c r="Y271">
        <v>25</v>
      </c>
    </row>
    <row r="272" spans="25:25" x14ac:dyDescent="0.25">
      <c r="Y272">
        <v>25</v>
      </c>
    </row>
    <row r="273" spans="25:25" x14ac:dyDescent="0.25">
      <c r="Y273">
        <v>25</v>
      </c>
    </row>
    <row r="274" spans="25:25" x14ac:dyDescent="0.25">
      <c r="Y274">
        <v>25</v>
      </c>
    </row>
    <row r="275" spans="25:25" x14ac:dyDescent="0.25">
      <c r="Y275">
        <v>25</v>
      </c>
    </row>
  </sheetData>
  <autoFilter ref="A1:Y534" xr:uid="{00000000-0009-0000-0000-00000B000000}"/>
  <pageMargins left="0.7" right="0.7" top="0.75" bottom="0.75" header="0.3" footer="0.3"/>
  <pageSetup paperSize="9" orientation="portrait" horizontalDpi="30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P24"/>
  <sheetViews>
    <sheetView workbookViewId="0">
      <pane ySplit="1" topLeftCell="A2" activePane="bottomLeft" state="frozen"/>
      <selection activeCell="J36" sqref="J36"/>
      <selection pane="bottomLeft" activeCell="A2" sqref="A2:K10"/>
    </sheetView>
  </sheetViews>
  <sheetFormatPr baseColWidth="10" defaultColWidth="11.42578125" defaultRowHeight="15" x14ac:dyDescent="0.25"/>
  <cols>
    <col min="1" max="1" width="12.85546875" bestFit="1" customWidth="1"/>
    <col min="2" max="2" width="22.42578125" customWidth="1"/>
    <col min="3" max="3" width="37.85546875" bestFit="1" customWidth="1"/>
    <col min="4" max="4" width="19.140625" bestFit="1" customWidth="1"/>
    <col min="8" max="11" width="16.28515625" customWidth="1"/>
    <col min="17" max="17" width="22.7109375" bestFit="1" customWidth="1"/>
  </cols>
  <sheetData>
    <row r="1" spans="1:16" x14ac:dyDescent="0.25">
      <c r="A1" t="s">
        <v>0</v>
      </c>
      <c r="B1" t="s">
        <v>1</v>
      </c>
      <c r="C1" t="s">
        <v>231</v>
      </c>
      <c r="D1" t="s">
        <v>232</v>
      </c>
      <c r="E1" t="s">
        <v>18</v>
      </c>
      <c r="F1" t="s">
        <v>20</v>
      </c>
      <c r="G1" t="s">
        <v>22</v>
      </c>
      <c r="H1" t="s">
        <v>215</v>
      </c>
      <c r="I1" t="s">
        <v>214</v>
      </c>
      <c r="J1" t="s">
        <v>171</v>
      </c>
      <c r="K1" t="s">
        <v>172</v>
      </c>
      <c r="N1" t="s">
        <v>173</v>
      </c>
      <c r="O1" t="s">
        <v>168</v>
      </c>
      <c r="P1" t="s">
        <v>169</v>
      </c>
    </row>
    <row r="2" spans="1:16" x14ac:dyDescent="0.25">
      <c r="A2" t="s">
        <v>193</v>
      </c>
      <c r="B2" t="s">
        <v>264</v>
      </c>
      <c r="C2" t="s">
        <v>265</v>
      </c>
      <c r="D2">
        <v>2</v>
      </c>
      <c r="E2">
        <v>4</v>
      </c>
      <c r="F2">
        <v>40</v>
      </c>
      <c r="G2">
        <v>8</v>
      </c>
      <c r="H2">
        <v>6.68</v>
      </c>
      <c r="I2">
        <v>6.43</v>
      </c>
      <c r="K2">
        <v>6.5</v>
      </c>
    </row>
    <row r="3" spans="1:16" x14ac:dyDescent="0.25">
      <c r="A3" t="s">
        <v>193</v>
      </c>
      <c r="B3" t="s">
        <v>264</v>
      </c>
      <c r="C3" t="s">
        <v>265</v>
      </c>
      <c r="D3">
        <v>2</v>
      </c>
      <c r="E3">
        <v>4</v>
      </c>
      <c r="F3">
        <v>50</v>
      </c>
      <c r="G3">
        <v>8</v>
      </c>
      <c r="H3">
        <v>6.68</v>
      </c>
      <c r="I3">
        <v>6.43</v>
      </c>
      <c r="K3">
        <v>6.5</v>
      </c>
    </row>
    <row r="4" spans="1:16" x14ac:dyDescent="0.25">
      <c r="A4" t="s">
        <v>193</v>
      </c>
      <c r="B4" t="s">
        <v>264</v>
      </c>
      <c r="C4" t="s">
        <v>265</v>
      </c>
      <c r="D4">
        <v>2</v>
      </c>
      <c r="E4">
        <v>4</v>
      </c>
      <c r="F4">
        <v>60</v>
      </c>
      <c r="G4">
        <v>8</v>
      </c>
      <c r="H4">
        <v>6.68</v>
      </c>
      <c r="I4">
        <v>6.43</v>
      </c>
      <c r="K4">
        <v>6.5</v>
      </c>
    </row>
    <row r="5" spans="1:16" x14ac:dyDescent="0.25">
      <c r="A5" t="s">
        <v>193</v>
      </c>
      <c r="B5" t="s">
        <v>264</v>
      </c>
      <c r="C5" t="s">
        <v>265</v>
      </c>
      <c r="D5">
        <v>2</v>
      </c>
      <c r="E5">
        <v>4</v>
      </c>
      <c r="F5">
        <v>75</v>
      </c>
      <c r="G5">
        <v>8</v>
      </c>
      <c r="H5">
        <v>6.68</v>
      </c>
      <c r="I5">
        <v>6.43</v>
      </c>
      <c r="K5">
        <v>6.5</v>
      </c>
    </row>
    <row r="6" spans="1:16" x14ac:dyDescent="0.25">
      <c r="A6" t="s">
        <v>193</v>
      </c>
      <c r="B6" t="s">
        <v>264</v>
      </c>
      <c r="C6" t="s">
        <v>265</v>
      </c>
      <c r="D6">
        <v>2</v>
      </c>
      <c r="E6">
        <v>4</v>
      </c>
      <c r="F6">
        <v>100</v>
      </c>
      <c r="G6">
        <v>8</v>
      </c>
      <c r="H6">
        <v>6.68</v>
      </c>
      <c r="I6">
        <v>6.43</v>
      </c>
      <c r="K6">
        <v>6.5</v>
      </c>
    </row>
    <row r="7" spans="1:16" x14ac:dyDescent="0.25">
      <c r="A7" t="s">
        <v>193</v>
      </c>
      <c r="B7" t="s">
        <v>264</v>
      </c>
      <c r="C7" t="s">
        <v>265</v>
      </c>
      <c r="D7">
        <v>2</v>
      </c>
      <c r="E7">
        <v>6</v>
      </c>
      <c r="F7">
        <v>60</v>
      </c>
      <c r="G7">
        <v>12</v>
      </c>
      <c r="H7">
        <v>20.2</v>
      </c>
      <c r="I7">
        <v>6.43</v>
      </c>
      <c r="K7">
        <v>17</v>
      </c>
    </row>
    <row r="8" spans="1:16" x14ac:dyDescent="0.25">
      <c r="A8" t="s">
        <v>193</v>
      </c>
      <c r="B8" t="s">
        <v>264</v>
      </c>
      <c r="C8" t="s">
        <v>265</v>
      </c>
      <c r="D8">
        <v>2</v>
      </c>
      <c r="E8">
        <v>6</v>
      </c>
      <c r="F8">
        <v>80</v>
      </c>
      <c r="G8">
        <v>12</v>
      </c>
      <c r="H8">
        <v>20.2</v>
      </c>
      <c r="I8">
        <v>6.43</v>
      </c>
      <c r="K8">
        <v>17</v>
      </c>
    </row>
    <row r="9" spans="1:16" x14ac:dyDescent="0.25">
      <c r="A9" t="s">
        <v>193</v>
      </c>
      <c r="B9" t="s">
        <v>264</v>
      </c>
      <c r="C9" t="s">
        <v>265</v>
      </c>
      <c r="D9">
        <v>2</v>
      </c>
      <c r="E9">
        <v>6</v>
      </c>
      <c r="F9">
        <v>100</v>
      </c>
      <c r="G9">
        <v>12</v>
      </c>
      <c r="H9">
        <v>20.2</v>
      </c>
      <c r="I9">
        <v>6.43</v>
      </c>
      <c r="K9">
        <v>17</v>
      </c>
    </row>
    <row r="10" spans="1:16" x14ac:dyDescent="0.25">
      <c r="A10" t="s">
        <v>193</v>
      </c>
      <c r="B10" t="s">
        <v>266</v>
      </c>
      <c r="C10" t="s">
        <v>265</v>
      </c>
      <c r="D10">
        <v>3</v>
      </c>
      <c r="E10">
        <v>4</v>
      </c>
      <c r="F10">
        <v>50</v>
      </c>
      <c r="G10">
        <v>8</v>
      </c>
      <c r="H10">
        <v>7.18</v>
      </c>
      <c r="I10">
        <v>6.43</v>
      </c>
      <c r="K10">
        <v>6.5</v>
      </c>
    </row>
    <row r="13" spans="1:16" x14ac:dyDescent="0.25">
      <c r="G13" s="79"/>
      <c r="H13" s="79"/>
      <c r="I13" s="79"/>
      <c r="J13" s="79"/>
      <c r="K13" s="79"/>
    </row>
    <row r="14" spans="1:16" x14ac:dyDescent="0.25">
      <c r="G14" s="79"/>
      <c r="H14" s="79"/>
      <c r="I14" s="79"/>
      <c r="J14" s="79"/>
      <c r="K14" s="79"/>
    </row>
    <row r="15" spans="1:16" x14ac:dyDescent="0.25">
      <c r="G15" s="79"/>
      <c r="H15" s="79"/>
      <c r="I15" s="79"/>
      <c r="J15" s="79"/>
      <c r="K15" s="79"/>
    </row>
    <row r="16" spans="1:16" x14ac:dyDescent="0.25">
      <c r="G16" s="79"/>
      <c r="H16" s="79"/>
      <c r="I16" s="79"/>
      <c r="J16" s="79"/>
      <c r="K16" s="79"/>
    </row>
    <row r="17" spans="7:11" x14ac:dyDescent="0.25">
      <c r="G17" s="79"/>
      <c r="H17" s="79"/>
      <c r="I17" s="79"/>
      <c r="J17" s="79"/>
      <c r="K17" s="79"/>
    </row>
    <row r="18" spans="7:11" x14ac:dyDescent="0.25">
      <c r="G18" s="79"/>
      <c r="H18" s="79"/>
      <c r="I18" s="79"/>
      <c r="J18" s="79"/>
      <c r="K18" s="79"/>
    </row>
    <row r="19" spans="7:11" x14ac:dyDescent="0.25">
      <c r="G19" s="79"/>
      <c r="H19" s="79"/>
      <c r="I19" s="79"/>
      <c r="J19" s="79"/>
      <c r="K19" s="79"/>
    </row>
    <row r="20" spans="7:11" x14ac:dyDescent="0.25">
      <c r="G20" s="79"/>
      <c r="H20" s="79"/>
      <c r="I20" s="79"/>
      <c r="J20" s="79"/>
      <c r="K20" s="79"/>
    </row>
    <row r="21" spans="7:11" x14ac:dyDescent="0.25">
      <c r="G21" s="79"/>
      <c r="H21" s="79"/>
      <c r="I21" s="79"/>
      <c r="J21" s="79"/>
      <c r="K21" s="79"/>
    </row>
    <row r="22" spans="7:11" x14ac:dyDescent="0.25">
      <c r="G22" s="79"/>
      <c r="H22" s="79"/>
      <c r="I22" s="79"/>
      <c r="J22" s="79"/>
      <c r="K22" s="79"/>
    </row>
    <row r="23" spans="7:11" x14ac:dyDescent="0.25">
      <c r="G23" s="79"/>
      <c r="H23" s="79"/>
      <c r="I23" s="79"/>
      <c r="J23" s="79"/>
      <c r="K23" s="79"/>
    </row>
    <row r="24" spans="7:11" x14ac:dyDescent="0.25">
      <c r="G24" s="79"/>
      <c r="H24" s="79"/>
      <c r="I24" s="79"/>
      <c r="J24" s="79"/>
      <c r="K24" s="7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N384"/>
  <sheetViews>
    <sheetView zoomScale="110" zoomScaleNormal="110" workbookViewId="0">
      <pane ySplit="1" topLeftCell="A2" activePane="bottomLeft" state="frozen"/>
      <selection activeCell="J36" sqref="J36"/>
      <selection pane="bottomLeft" activeCell="A6" sqref="A6:L40"/>
    </sheetView>
  </sheetViews>
  <sheetFormatPr baseColWidth="10" defaultColWidth="11.42578125" defaultRowHeight="15" x14ac:dyDescent="0.25"/>
  <cols>
    <col min="1" max="1" width="12.85546875" bestFit="1" customWidth="1"/>
    <col min="2" max="2" width="22.42578125" customWidth="1"/>
    <col min="3" max="3" width="37.85546875" bestFit="1" customWidth="1"/>
    <col min="4" max="4" width="19.140625" bestFit="1" customWidth="1"/>
    <col min="8" max="11" width="16.28515625" customWidth="1"/>
    <col min="17" max="17" width="22.7109375" bestFit="1" customWidth="1"/>
  </cols>
  <sheetData>
    <row r="1" spans="1:14" x14ac:dyDescent="0.25">
      <c r="A1" s="1" t="s">
        <v>0</v>
      </c>
      <c r="B1" s="1" t="s">
        <v>1</v>
      </c>
      <c r="C1" t="s">
        <v>231</v>
      </c>
      <c r="D1" t="s">
        <v>232</v>
      </c>
      <c r="E1" s="1" t="s">
        <v>18</v>
      </c>
      <c r="F1" s="1" t="s">
        <v>20</v>
      </c>
      <c r="G1" s="1" t="s">
        <v>22</v>
      </c>
      <c r="H1" t="s">
        <v>215</v>
      </c>
      <c r="I1" t="s">
        <v>214</v>
      </c>
      <c r="J1" t="s">
        <v>171</v>
      </c>
      <c r="K1" t="s">
        <v>172</v>
      </c>
      <c r="L1" s="1" t="s">
        <v>325</v>
      </c>
      <c r="M1" s="1" t="s">
        <v>326</v>
      </c>
      <c r="N1" s="1"/>
    </row>
    <row r="2" spans="1:14" x14ac:dyDescent="0.25">
      <c r="A2" t="s">
        <v>193</v>
      </c>
      <c r="B2" t="s">
        <v>194</v>
      </c>
      <c r="C2" t="s">
        <v>239</v>
      </c>
      <c r="D2">
        <v>2</v>
      </c>
      <c r="E2">
        <v>9</v>
      </c>
      <c r="F2">
        <v>240</v>
      </c>
      <c r="G2">
        <v>11.5</v>
      </c>
      <c r="H2">
        <v>38</v>
      </c>
      <c r="I2">
        <v>11.3</v>
      </c>
      <c r="K2">
        <v>30</v>
      </c>
      <c r="L2">
        <v>190</v>
      </c>
    </row>
    <row r="3" spans="1:14" x14ac:dyDescent="0.25">
      <c r="A3" t="s">
        <v>193</v>
      </c>
      <c r="B3" t="s">
        <v>194</v>
      </c>
      <c r="C3" t="s">
        <v>239</v>
      </c>
      <c r="D3">
        <v>2</v>
      </c>
      <c r="E3">
        <v>9</v>
      </c>
      <c r="F3">
        <v>160</v>
      </c>
      <c r="G3">
        <v>11.5</v>
      </c>
      <c r="H3">
        <v>38</v>
      </c>
      <c r="I3">
        <v>11.3</v>
      </c>
      <c r="K3">
        <v>30</v>
      </c>
      <c r="L3">
        <v>110</v>
      </c>
    </row>
    <row r="4" spans="1:14" x14ac:dyDescent="0.25">
      <c r="A4" t="s">
        <v>193</v>
      </c>
      <c r="B4" t="s">
        <v>194</v>
      </c>
      <c r="C4" t="s">
        <v>239</v>
      </c>
      <c r="D4">
        <v>2</v>
      </c>
      <c r="E4">
        <v>7</v>
      </c>
      <c r="F4">
        <v>240</v>
      </c>
      <c r="G4">
        <v>9.5</v>
      </c>
      <c r="H4">
        <v>20</v>
      </c>
      <c r="I4">
        <v>11.3</v>
      </c>
      <c r="K4">
        <v>20</v>
      </c>
      <c r="L4">
        <v>190</v>
      </c>
    </row>
    <row r="5" spans="1:14" x14ac:dyDescent="0.25">
      <c r="A5" t="s">
        <v>193</v>
      </c>
      <c r="B5" t="s">
        <v>194</v>
      </c>
      <c r="C5" t="s">
        <v>239</v>
      </c>
      <c r="D5">
        <v>2</v>
      </c>
      <c r="E5">
        <v>7</v>
      </c>
      <c r="F5">
        <v>160</v>
      </c>
      <c r="G5">
        <v>9.5</v>
      </c>
      <c r="H5">
        <v>20</v>
      </c>
      <c r="I5">
        <v>11.3</v>
      </c>
      <c r="K5">
        <v>20</v>
      </c>
      <c r="L5">
        <v>110</v>
      </c>
    </row>
    <row r="6" spans="1:14" x14ac:dyDescent="0.25">
      <c r="A6" t="s">
        <v>193</v>
      </c>
      <c r="B6" t="s">
        <v>324</v>
      </c>
      <c r="C6" t="s">
        <v>240</v>
      </c>
      <c r="D6">
        <v>2</v>
      </c>
      <c r="E6">
        <v>8</v>
      </c>
      <c r="F6">
        <v>80</v>
      </c>
      <c r="G6">
        <v>13.5</v>
      </c>
      <c r="H6">
        <v>33.4</v>
      </c>
      <c r="I6">
        <v>11.7</v>
      </c>
      <c r="J6">
        <v>10.5</v>
      </c>
      <c r="K6">
        <v>11.3</v>
      </c>
      <c r="L6">
        <v>55</v>
      </c>
    </row>
    <row r="7" spans="1:14" x14ac:dyDescent="0.25">
      <c r="A7" t="s">
        <v>193</v>
      </c>
      <c r="B7" t="s">
        <v>324</v>
      </c>
      <c r="C7" t="s">
        <v>240</v>
      </c>
      <c r="D7">
        <v>2</v>
      </c>
      <c r="E7">
        <v>8</v>
      </c>
      <c r="F7">
        <v>100</v>
      </c>
      <c r="G7">
        <v>13.5</v>
      </c>
      <c r="H7">
        <v>33.4</v>
      </c>
      <c r="I7">
        <v>11.7</v>
      </c>
      <c r="J7">
        <v>10.5</v>
      </c>
      <c r="K7">
        <v>11.3</v>
      </c>
      <c r="L7">
        <v>75</v>
      </c>
    </row>
    <row r="8" spans="1:14" x14ac:dyDescent="0.25">
      <c r="A8" t="s">
        <v>193</v>
      </c>
      <c r="B8" t="s">
        <v>324</v>
      </c>
      <c r="C8" t="s">
        <v>240</v>
      </c>
      <c r="D8">
        <v>2</v>
      </c>
      <c r="E8">
        <v>8</v>
      </c>
      <c r="F8">
        <v>120</v>
      </c>
      <c r="G8">
        <v>13.5</v>
      </c>
      <c r="H8">
        <v>33.4</v>
      </c>
      <c r="I8">
        <v>11.7</v>
      </c>
      <c r="J8">
        <v>10.5</v>
      </c>
      <c r="K8">
        <v>11.3</v>
      </c>
      <c r="L8">
        <v>95</v>
      </c>
    </row>
    <row r="9" spans="1:14" x14ac:dyDescent="0.25">
      <c r="A9" t="s">
        <v>193</v>
      </c>
      <c r="B9" t="s">
        <v>324</v>
      </c>
      <c r="C9" t="s">
        <v>240</v>
      </c>
      <c r="D9">
        <v>2</v>
      </c>
      <c r="E9">
        <v>8</v>
      </c>
      <c r="F9">
        <v>140</v>
      </c>
      <c r="G9">
        <v>13.5</v>
      </c>
      <c r="H9">
        <v>33.4</v>
      </c>
      <c r="I9">
        <v>11.7</v>
      </c>
      <c r="J9">
        <v>10.5</v>
      </c>
      <c r="K9">
        <v>11.3</v>
      </c>
      <c r="L9">
        <v>110</v>
      </c>
    </row>
    <row r="10" spans="1:14" x14ac:dyDescent="0.25">
      <c r="A10" t="s">
        <v>193</v>
      </c>
      <c r="B10" t="s">
        <v>324</v>
      </c>
      <c r="C10" t="s">
        <v>240</v>
      </c>
      <c r="D10">
        <v>2</v>
      </c>
      <c r="E10">
        <v>8</v>
      </c>
      <c r="F10">
        <v>160</v>
      </c>
      <c r="G10">
        <v>13.5</v>
      </c>
      <c r="H10">
        <v>33.4</v>
      </c>
      <c r="I10">
        <v>11.7</v>
      </c>
      <c r="J10">
        <v>10.5</v>
      </c>
      <c r="K10">
        <v>11.3</v>
      </c>
      <c r="L10">
        <v>130</v>
      </c>
    </row>
    <row r="11" spans="1:14" x14ac:dyDescent="0.25">
      <c r="A11" t="s">
        <v>193</v>
      </c>
      <c r="B11" t="s">
        <v>324</v>
      </c>
      <c r="C11" t="s">
        <v>240</v>
      </c>
      <c r="D11">
        <v>2</v>
      </c>
      <c r="E11">
        <v>10</v>
      </c>
      <c r="F11">
        <v>100</v>
      </c>
      <c r="G11">
        <v>16.5</v>
      </c>
      <c r="H11">
        <v>45</v>
      </c>
      <c r="I11">
        <v>11.7</v>
      </c>
      <c r="J11">
        <v>10.5</v>
      </c>
      <c r="K11">
        <v>20.100000000000001</v>
      </c>
      <c r="L11">
        <v>75</v>
      </c>
    </row>
    <row r="12" spans="1:14" x14ac:dyDescent="0.25">
      <c r="A12" t="s">
        <v>193</v>
      </c>
      <c r="B12" t="s">
        <v>324</v>
      </c>
      <c r="C12" t="s">
        <v>240</v>
      </c>
      <c r="D12">
        <v>2</v>
      </c>
      <c r="E12">
        <v>10</v>
      </c>
      <c r="F12">
        <v>120</v>
      </c>
      <c r="G12">
        <v>16.5</v>
      </c>
      <c r="H12">
        <v>45</v>
      </c>
      <c r="I12">
        <v>11.7</v>
      </c>
      <c r="J12">
        <v>10.5</v>
      </c>
      <c r="K12">
        <v>20.100000000000001</v>
      </c>
      <c r="L12">
        <v>95</v>
      </c>
    </row>
    <row r="13" spans="1:14" x14ac:dyDescent="0.25">
      <c r="A13" t="s">
        <v>193</v>
      </c>
      <c r="B13" t="s">
        <v>324</v>
      </c>
      <c r="C13" t="s">
        <v>240</v>
      </c>
      <c r="D13">
        <v>2</v>
      </c>
      <c r="E13">
        <v>10</v>
      </c>
      <c r="F13">
        <v>140</v>
      </c>
      <c r="G13">
        <v>16.5</v>
      </c>
      <c r="H13">
        <v>45</v>
      </c>
      <c r="I13">
        <v>11.7</v>
      </c>
      <c r="J13">
        <v>10.5</v>
      </c>
      <c r="K13">
        <v>20.100000000000001</v>
      </c>
      <c r="L13">
        <v>110</v>
      </c>
    </row>
    <row r="14" spans="1:14" x14ac:dyDescent="0.25">
      <c r="A14" t="s">
        <v>193</v>
      </c>
      <c r="B14" t="s">
        <v>324</v>
      </c>
      <c r="C14" t="s">
        <v>240</v>
      </c>
      <c r="D14">
        <v>2</v>
      </c>
      <c r="E14">
        <v>10</v>
      </c>
      <c r="F14">
        <v>160</v>
      </c>
      <c r="G14">
        <v>16.5</v>
      </c>
      <c r="H14">
        <v>45</v>
      </c>
      <c r="I14">
        <v>11.7</v>
      </c>
      <c r="J14">
        <v>10.5</v>
      </c>
      <c r="K14">
        <v>20.100000000000001</v>
      </c>
      <c r="L14">
        <v>130</v>
      </c>
    </row>
    <row r="15" spans="1:14" x14ac:dyDescent="0.25">
      <c r="A15" t="s">
        <v>193</v>
      </c>
      <c r="B15" t="s">
        <v>324</v>
      </c>
      <c r="C15" t="s">
        <v>240</v>
      </c>
      <c r="D15">
        <v>2</v>
      </c>
      <c r="E15">
        <v>10</v>
      </c>
      <c r="F15">
        <v>180</v>
      </c>
      <c r="G15">
        <v>16.5</v>
      </c>
      <c r="H15">
        <v>45</v>
      </c>
      <c r="I15">
        <v>11.7</v>
      </c>
      <c r="J15">
        <v>10.5</v>
      </c>
      <c r="K15">
        <v>20.100000000000001</v>
      </c>
      <c r="L15">
        <v>150</v>
      </c>
    </row>
    <row r="16" spans="1:14" x14ac:dyDescent="0.25">
      <c r="A16" t="s">
        <v>193</v>
      </c>
      <c r="B16" t="s">
        <v>324</v>
      </c>
      <c r="C16" t="s">
        <v>240</v>
      </c>
      <c r="D16">
        <v>2</v>
      </c>
      <c r="E16">
        <v>12</v>
      </c>
      <c r="F16">
        <v>120</v>
      </c>
      <c r="G16">
        <v>18.5</v>
      </c>
      <c r="H16">
        <v>65</v>
      </c>
      <c r="I16">
        <v>11.7</v>
      </c>
      <c r="J16">
        <v>10.5</v>
      </c>
      <c r="K16">
        <v>31.4</v>
      </c>
      <c r="L16">
        <v>90</v>
      </c>
    </row>
    <row r="17" spans="1:12" x14ac:dyDescent="0.25">
      <c r="A17" t="s">
        <v>193</v>
      </c>
      <c r="B17" t="s">
        <v>324</v>
      </c>
      <c r="C17" t="s">
        <v>240</v>
      </c>
      <c r="D17">
        <v>2</v>
      </c>
      <c r="E17">
        <v>12</v>
      </c>
      <c r="F17">
        <v>140</v>
      </c>
      <c r="G17">
        <v>18.5</v>
      </c>
      <c r="H17">
        <v>65</v>
      </c>
      <c r="I17">
        <v>11.7</v>
      </c>
      <c r="J17">
        <v>10.5</v>
      </c>
      <c r="K17">
        <v>31.4</v>
      </c>
      <c r="L17">
        <v>110</v>
      </c>
    </row>
    <row r="18" spans="1:12" x14ac:dyDescent="0.25">
      <c r="A18" t="s">
        <v>193</v>
      </c>
      <c r="B18" t="s">
        <v>324</v>
      </c>
      <c r="C18" t="s">
        <v>240</v>
      </c>
      <c r="D18">
        <v>2</v>
      </c>
      <c r="E18">
        <v>12</v>
      </c>
      <c r="F18">
        <v>160</v>
      </c>
      <c r="G18">
        <v>18.5</v>
      </c>
      <c r="H18">
        <v>65</v>
      </c>
      <c r="I18">
        <v>11.7</v>
      </c>
      <c r="J18">
        <v>10.5</v>
      </c>
      <c r="K18">
        <v>31.4</v>
      </c>
      <c r="L18">
        <v>120</v>
      </c>
    </row>
    <row r="19" spans="1:12" x14ac:dyDescent="0.25">
      <c r="A19" t="s">
        <v>193</v>
      </c>
      <c r="B19" t="s">
        <v>324</v>
      </c>
      <c r="C19" t="s">
        <v>240</v>
      </c>
      <c r="D19">
        <v>2</v>
      </c>
      <c r="E19">
        <v>12</v>
      </c>
      <c r="F19">
        <v>180</v>
      </c>
      <c r="G19">
        <v>18.5</v>
      </c>
      <c r="H19">
        <v>65</v>
      </c>
      <c r="I19">
        <v>11.7</v>
      </c>
      <c r="J19">
        <v>10.5</v>
      </c>
      <c r="K19">
        <v>31.4</v>
      </c>
      <c r="L19">
        <v>140</v>
      </c>
    </row>
    <row r="20" spans="1:12" x14ac:dyDescent="0.25">
      <c r="A20" t="s">
        <v>193</v>
      </c>
      <c r="B20" t="s">
        <v>324</v>
      </c>
      <c r="C20" t="s">
        <v>240</v>
      </c>
      <c r="D20">
        <v>2</v>
      </c>
      <c r="E20">
        <v>12</v>
      </c>
      <c r="F20">
        <v>200</v>
      </c>
      <c r="G20">
        <v>18.5</v>
      </c>
      <c r="H20">
        <v>65</v>
      </c>
      <c r="I20">
        <v>11.7</v>
      </c>
      <c r="J20">
        <v>10.5</v>
      </c>
      <c r="K20">
        <v>31.4</v>
      </c>
      <c r="L20">
        <v>160</v>
      </c>
    </row>
    <row r="21" spans="1:12" x14ac:dyDescent="0.25">
      <c r="A21" t="s">
        <v>193</v>
      </c>
      <c r="B21" t="s">
        <v>195</v>
      </c>
      <c r="C21" t="s">
        <v>240</v>
      </c>
      <c r="D21">
        <v>3</v>
      </c>
      <c r="E21">
        <v>10</v>
      </c>
      <c r="F21">
        <v>180</v>
      </c>
      <c r="G21">
        <v>16.5</v>
      </c>
      <c r="H21">
        <v>45</v>
      </c>
      <c r="I21">
        <v>11.7</v>
      </c>
      <c r="J21">
        <v>10.5</v>
      </c>
      <c r="K21">
        <v>31.4</v>
      </c>
      <c r="L21">
        <v>150</v>
      </c>
    </row>
    <row r="22" spans="1:12" x14ac:dyDescent="0.25">
      <c r="A22" t="s">
        <v>193</v>
      </c>
      <c r="B22" t="s">
        <v>195</v>
      </c>
      <c r="C22" t="s">
        <v>240</v>
      </c>
      <c r="D22">
        <v>3</v>
      </c>
      <c r="E22">
        <v>10</v>
      </c>
      <c r="F22">
        <v>160</v>
      </c>
      <c r="G22">
        <v>16.5</v>
      </c>
      <c r="H22">
        <v>45</v>
      </c>
      <c r="I22">
        <v>11.7</v>
      </c>
      <c r="J22">
        <v>10.5</v>
      </c>
      <c r="K22">
        <v>31.4</v>
      </c>
      <c r="L22">
        <v>130</v>
      </c>
    </row>
    <row r="23" spans="1:12" x14ac:dyDescent="0.25">
      <c r="A23" t="s">
        <v>193</v>
      </c>
      <c r="B23" t="s">
        <v>195</v>
      </c>
      <c r="C23" t="s">
        <v>240</v>
      </c>
      <c r="D23">
        <v>3</v>
      </c>
      <c r="E23">
        <v>10</v>
      </c>
      <c r="F23">
        <v>140</v>
      </c>
      <c r="G23">
        <v>16.5</v>
      </c>
      <c r="H23">
        <v>45</v>
      </c>
      <c r="I23">
        <v>11.7</v>
      </c>
      <c r="J23">
        <v>10.5</v>
      </c>
      <c r="K23">
        <v>31.4</v>
      </c>
      <c r="L23">
        <v>110</v>
      </c>
    </row>
    <row r="24" spans="1:12" x14ac:dyDescent="0.25">
      <c r="A24" t="s">
        <v>193</v>
      </c>
      <c r="B24" t="s">
        <v>195</v>
      </c>
      <c r="C24" t="s">
        <v>240</v>
      </c>
      <c r="D24">
        <v>3</v>
      </c>
      <c r="E24">
        <v>10</v>
      </c>
      <c r="F24">
        <v>120</v>
      </c>
      <c r="G24">
        <v>16.5</v>
      </c>
      <c r="H24">
        <v>45</v>
      </c>
      <c r="I24">
        <v>11.7</v>
      </c>
      <c r="J24">
        <v>10.5</v>
      </c>
      <c r="K24">
        <v>31.4</v>
      </c>
      <c r="L24">
        <v>95</v>
      </c>
    </row>
    <row r="25" spans="1:12" x14ac:dyDescent="0.25">
      <c r="A25" t="s">
        <v>193</v>
      </c>
      <c r="B25" t="s">
        <v>195</v>
      </c>
      <c r="C25" t="s">
        <v>240</v>
      </c>
      <c r="D25">
        <v>3</v>
      </c>
      <c r="E25">
        <v>10</v>
      </c>
      <c r="F25">
        <v>100</v>
      </c>
      <c r="G25">
        <v>16.5</v>
      </c>
      <c r="H25">
        <v>45</v>
      </c>
      <c r="I25">
        <v>11.7</v>
      </c>
      <c r="J25">
        <v>10.5</v>
      </c>
      <c r="K25">
        <v>31.4</v>
      </c>
      <c r="L25">
        <v>75</v>
      </c>
    </row>
    <row r="26" spans="1:12" x14ac:dyDescent="0.25">
      <c r="A26" t="s">
        <v>193</v>
      </c>
      <c r="B26" t="s">
        <v>195</v>
      </c>
      <c r="C26" t="s">
        <v>240</v>
      </c>
      <c r="D26">
        <v>3</v>
      </c>
      <c r="E26">
        <v>10</v>
      </c>
      <c r="F26">
        <v>80</v>
      </c>
      <c r="G26">
        <v>16.5</v>
      </c>
      <c r="H26">
        <v>45</v>
      </c>
      <c r="I26">
        <v>11.7</v>
      </c>
      <c r="J26">
        <v>10.5</v>
      </c>
      <c r="K26">
        <v>31.4</v>
      </c>
      <c r="L26">
        <v>60</v>
      </c>
    </row>
    <row r="27" spans="1:12" x14ac:dyDescent="0.25">
      <c r="A27" t="s">
        <v>193</v>
      </c>
      <c r="B27" t="s">
        <v>195</v>
      </c>
      <c r="C27" t="s">
        <v>240</v>
      </c>
      <c r="D27">
        <v>3</v>
      </c>
      <c r="E27">
        <v>10</v>
      </c>
      <c r="F27">
        <v>60</v>
      </c>
      <c r="G27">
        <v>16.5</v>
      </c>
      <c r="H27">
        <v>45</v>
      </c>
      <c r="I27">
        <v>11.7</v>
      </c>
      <c r="J27">
        <v>10.5</v>
      </c>
      <c r="K27">
        <v>31.4</v>
      </c>
      <c r="L27">
        <v>52</v>
      </c>
    </row>
    <row r="28" spans="1:12" x14ac:dyDescent="0.25">
      <c r="A28" t="s">
        <v>193</v>
      </c>
      <c r="B28" t="s">
        <v>195</v>
      </c>
      <c r="C28" t="s">
        <v>240</v>
      </c>
      <c r="D28">
        <v>3</v>
      </c>
      <c r="E28">
        <v>8</v>
      </c>
      <c r="F28">
        <v>160</v>
      </c>
      <c r="G28">
        <v>13.5</v>
      </c>
      <c r="H28">
        <v>33.4</v>
      </c>
      <c r="I28">
        <v>11.7</v>
      </c>
      <c r="J28">
        <v>10.5</v>
      </c>
      <c r="K28">
        <v>20.100000000000001</v>
      </c>
      <c r="L28">
        <v>130</v>
      </c>
    </row>
    <row r="29" spans="1:12" x14ac:dyDescent="0.25">
      <c r="A29" t="s">
        <v>193</v>
      </c>
      <c r="B29" t="s">
        <v>195</v>
      </c>
      <c r="C29" t="s">
        <v>240</v>
      </c>
      <c r="D29">
        <v>3</v>
      </c>
      <c r="E29">
        <v>8</v>
      </c>
      <c r="F29">
        <v>140</v>
      </c>
      <c r="G29">
        <v>13.5</v>
      </c>
      <c r="H29">
        <v>33.4</v>
      </c>
      <c r="I29">
        <v>11.7</v>
      </c>
      <c r="J29">
        <v>10.5</v>
      </c>
      <c r="K29">
        <v>20.100000000000001</v>
      </c>
      <c r="L29">
        <v>110</v>
      </c>
    </row>
    <row r="30" spans="1:12" x14ac:dyDescent="0.25">
      <c r="A30" t="s">
        <v>193</v>
      </c>
      <c r="B30" t="s">
        <v>195</v>
      </c>
      <c r="C30" t="s">
        <v>240</v>
      </c>
      <c r="D30">
        <v>3</v>
      </c>
      <c r="E30">
        <v>8</v>
      </c>
      <c r="F30">
        <v>120</v>
      </c>
      <c r="G30">
        <v>13.5</v>
      </c>
      <c r="H30">
        <v>33.4</v>
      </c>
      <c r="I30">
        <v>11.7</v>
      </c>
      <c r="J30">
        <v>10.5</v>
      </c>
      <c r="K30">
        <v>20.100000000000001</v>
      </c>
      <c r="L30">
        <v>95</v>
      </c>
    </row>
    <row r="31" spans="1:12" x14ac:dyDescent="0.25">
      <c r="A31" t="s">
        <v>193</v>
      </c>
      <c r="B31" t="s">
        <v>195</v>
      </c>
      <c r="C31" t="s">
        <v>240</v>
      </c>
      <c r="D31">
        <v>3</v>
      </c>
      <c r="E31">
        <v>8</v>
      </c>
      <c r="F31">
        <v>100</v>
      </c>
      <c r="G31">
        <v>13.5</v>
      </c>
      <c r="H31">
        <v>33.4</v>
      </c>
      <c r="I31">
        <v>11.7</v>
      </c>
      <c r="J31">
        <v>10.5</v>
      </c>
      <c r="K31">
        <v>20.100000000000001</v>
      </c>
      <c r="L31">
        <v>75</v>
      </c>
    </row>
    <row r="32" spans="1:12" x14ac:dyDescent="0.25">
      <c r="A32" t="s">
        <v>193</v>
      </c>
      <c r="B32" t="s">
        <v>195</v>
      </c>
      <c r="C32" t="s">
        <v>240</v>
      </c>
      <c r="D32">
        <v>3</v>
      </c>
      <c r="E32">
        <v>8</v>
      </c>
      <c r="F32">
        <v>80</v>
      </c>
      <c r="G32">
        <v>13.5</v>
      </c>
      <c r="H32">
        <v>33.4</v>
      </c>
      <c r="I32">
        <v>11.7</v>
      </c>
      <c r="J32">
        <v>10.5</v>
      </c>
      <c r="K32">
        <v>20.100000000000001</v>
      </c>
      <c r="L32">
        <v>55</v>
      </c>
    </row>
    <row r="33" spans="1:12" x14ac:dyDescent="0.25">
      <c r="A33" t="s">
        <v>193</v>
      </c>
      <c r="B33" t="s">
        <v>195</v>
      </c>
      <c r="C33" t="s">
        <v>240</v>
      </c>
      <c r="D33">
        <v>3</v>
      </c>
      <c r="E33">
        <v>8</v>
      </c>
      <c r="F33">
        <v>60</v>
      </c>
      <c r="G33">
        <v>13.5</v>
      </c>
      <c r="H33">
        <v>33.4</v>
      </c>
      <c r="I33">
        <v>11.7</v>
      </c>
      <c r="J33">
        <v>10.5</v>
      </c>
      <c r="K33">
        <v>20.100000000000001</v>
      </c>
      <c r="L33">
        <v>52</v>
      </c>
    </row>
    <row r="34" spans="1:12" x14ac:dyDescent="0.25">
      <c r="A34" t="s">
        <v>193</v>
      </c>
      <c r="B34" t="s">
        <v>195</v>
      </c>
      <c r="C34" t="s">
        <v>240</v>
      </c>
      <c r="D34" s="1">
        <v>3</v>
      </c>
      <c r="E34">
        <v>8</v>
      </c>
      <c r="F34">
        <v>40</v>
      </c>
      <c r="G34">
        <v>13.5</v>
      </c>
      <c r="H34">
        <v>33.4</v>
      </c>
      <c r="I34">
        <v>11.7</v>
      </c>
      <c r="J34">
        <v>10.5</v>
      </c>
      <c r="K34">
        <v>20.100000000000001</v>
      </c>
      <c r="L34">
        <v>32</v>
      </c>
    </row>
    <row r="35" spans="1:12" x14ac:dyDescent="0.25">
      <c r="A35" t="s">
        <v>193</v>
      </c>
      <c r="B35" t="s">
        <v>195</v>
      </c>
      <c r="C35" t="s">
        <v>240</v>
      </c>
      <c r="D35">
        <v>3</v>
      </c>
      <c r="E35">
        <v>6</v>
      </c>
      <c r="F35">
        <v>90</v>
      </c>
      <c r="G35">
        <v>12</v>
      </c>
      <c r="H35">
        <v>9.5</v>
      </c>
      <c r="I35">
        <v>11.7</v>
      </c>
      <c r="J35">
        <v>10.5</v>
      </c>
      <c r="K35">
        <v>11.3</v>
      </c>
      <c r="L35">
        <v>55</v>
      </c>
    </row>
    <row r="36" spans="1:12" x14ac:dyDescent="0.25">
      <c r="A36" t="s">
        <v>193</v>
      </c>
      <c r="B36" t="s">
        <v>195</v>
      </c>
      <c r="C36" t="s">
        <v>240</v>
      </c>
      <c r="D36">
        <v>3</v>
      </c>
      <c r="E36">
        <v>6</v>
      </c>
      <c r="F36">
        <v>80</v>
      </c>
      <c r="G36">
        <v>12</v>
      </c>
      <c r="H36">
        <v>9.5</v>
      </c>
      <c r="I36">
        <v>11.7</v>
      </c>
      <c r="J36">
        <v>10.5</v>
      </c>
      <c r="K36">
        <v>11.3</v>
      </c>
      <c r="L36">
        <v>50</v>
      </c>
    </row>
    <row r="37" spans="1:12" x14ac:dyDescent="0.25">
      <c r="A37" t="s">
        <v>193</v>
      </c>
      <c r="B37" t="s">
        <v>195</v>
      </c>
      <c r="C37" t="s">
        <v>240</v>
      </c>
      <c r="D37">
        <v>3</v>
      </c>
      <c r="E37">
        <v>5</v>
      </c>
      <c r="F37">
        <v>80</v>
      </c>
      <c r="G37">
        <v>9.65</v>
      </c>
      <c r="H37">
        <v>5.4</v>
      </c>
      <c r="I37">
        <v>11.7</v>
      </c>
      <c r="J37">
        <v>10.5</v>
      </c>
      <c r="K37">
        <v>7.9</v>
      </c>
      <c r="L37">
        <v>50</v>
      </c>
    </row>
    <row r="38" spans="1:12" x14ac:dyDescent="0.25">
      <c r="A38" t="s">
        <v>193</v>
      </c>
      <c r="B38" t="s">
        <v>195</v>
      </c>
      <c r="C38" t="s">
        <v>240</v>
      </c>
      <c r="D38">
        <v>3</v>
      </c>
      <c r="E38">
        <v>5</v>
      </c>
      <c r="F38">
        <v>70</v>
      </c>
      <c r="G38">
        <v>9.65</v>
      </c>
      <c r="H38">
        <v>5.4</v>
      </c>
      <c r="I38">
        <v>11.7</v>
      </c>
      <c r="J38">
        <v>10.5</v>
      </c>
      <c r="K38">
        <v>7.9</v>
      </c>
      <c r="L38">
        <v>40</v>
      </c>
    </row>
    <row r="39" spans="1:12" x14ac:dyDescent="0.25">
      <c r="A39" t="s">
        <v>193</v>
      </c>
      <c r="B39" t="s">
        <v>195</v>
      </c>
      <c r="C39" t="s">
        <v>240</v>
      </c>
      <c r="D39">
        <v>3</v>
      </c>
      <c r="E39">
        <v>5</v>
      </c>
      <c r="F39">
        <v>60</v>
      </c>
      <c r="G39">
        <v>9.65</v>
      </c>
      <c r="H39">
        <v>5.4</v>
      </c>
      <c r="I39">
        <v>11.7</v>
      </c>
      <c r="J39">
        <v>10.5</v>
      </c>
      <c r="K39">
        <v>7.9</v>
      </c>
      <c r="L39">
        <v>35</v>
      </c>
    </row>
    <row r="40" spans="1:12" x14ac:dyDescent="0.25">
      <c r="A40" t="s">
        <v>193</v>
      </c>
      <c r="B40" t="s">
        <v>195</v>
      </c>
      <c r="C40" t="s">
        <v>240</v>
      </c>
      <c r="D40">
        <v>3</v>
      </c>
      <c r="E40">
        <v>5</v>
      </c>
      <c r="F40">
        <v>50</v>
      </c>
      <c r="G40">
        <v>9.65</v>
      </c>
      <c r="H40">
        <v>5.4</v>
      </c>
      <c r="I40">
        <v>11.7</v>
      </c>
      <c r="J40">
        <v>10.5</v>
      </c>
      <c r="K40">
        <v>7.9</v>
      </c>
      <c r="L40">
        <v>30</v>
      </c>
    </row>
    <row r="41" spans="1:12" x14ac:dyDescent="0.25">
      <c r="A41" t="s">
        <v>193</v>
      </c>
      <c r="B41" t="s">
        <v>196</v>
      </c>
      <c r="C41" t="s">
        <v>241</v>
      </c>
      <c r="D41">
        <v>2</v>
      </c>
      <c r="E41">
        <v>12</v>
      </c>
      <c r="F41">
        <v>600</v>
      </c>
      <c r="G41">
        <v>20.75</v>
      </c>
      <c r="H41">
        <v>48</v>
      </c>
      <c r="I41">
        <v>11.7</v>
      </c>
      <c r="J41">
        <v>10.5</v>
      </c>
      <c r="K41">
        <v>33.9</v>
      </c>
      <c r="L41">
        <v>120</v>
      </c>
    </row>
    <row r="42" spans="1:12" x14ac:dyDescent="0.25">
      <c r="A42" t="s">
        <v>193</v>
      </c>
      <c r="B42" t="s">
        <v>196</v>
      </c>
      <c r="C42" t="s">
        <v>241</v>
      </c>
      <c r="D42">
        <v>2</v>
      </c>
      <c r="E42">
        <v>12</v>
      </c>
      <c r="F42">
        <v>560</v>
      </c>
      <c r="G42">
        <v>20.75</v>
      </c>
      <c r="H42">
        <v>48</v>
      </c>
      <c r="I42">
        <v>11.7</v>
      </c>
      <c r="J42">
        <v>10.5</v>
      </c>
      <c r="K42">
        <v>33.9</v>
      </c>
      <c r="L42">
        <v>120</v>
      </c>
    </row>
    <row r="43" spans="1:12" x14ac:dyDescent="0.25">
      <c r="A43" t="s">
        <v>193</v>
      </c>
      <c r="B43" t="s">
        <v>196</v>
      </c>
      <c r="C43" t="s">
        <v>241</v>
      </c>
      <c r="D43">
        <v>2</v>
      </c>
      <c r="E43">
        <v>12</v>
      </c>
      <c r="F43">
        <v>520</v>
      </c>
      <c r="G43">
        <v>20.75</v>
      </c>
      <c r="H43">
        <v>48</v>
      </c>
      <c r="I43">
        <v>11.7</v>
      </c>
      <c r="J43">
        <v>10.5</v>
      </c>
      <c r="K43">
        <v>33.9</v>
      </c>
      <c r="L43">
        <v>120</v>
      </c>
    </row>
    <row r="44" spans="1:12" x14ac:dyDescent="0.25">
      <c r="A44" t="s">
        <v>193</v>
      </c>
      <c r="B44" t="s">
        <v>196</v>
      </c>
      <c r="C44" t="s">
        <v>241</v>
      </c>
      <c r="D44">
        <v>2</v>
      </c>
      <c r="E44">
        <v>12</v>
      </c>
      <c r="F44">
        <v>480</v>
      </c>
      <c r="G44">
        <v>20.75</v>
      </c>
      <c r="H44">
        <v>48</v>
      </c>
      <c r="I44">
        <v>11.7</v>
      </c>
      <c r="J44">
        <v>10.5</v>
      </c>
      <c r="K44">
        <v>33.9</v>
      </c>
      <c r="L44">
        <v>120</v>
      </c>
    </row>
    <row r="45" spans="1:12" x14ac:dyDescent="0.25">
      <c r="A45" t="s">
        <v>193</v>
      </c>
      <c r="B45" t="s">
        <v>196</v>
      </c>
      <c r="C45" t="s">
        <v>241</v>
      </c>
      <c r="D45">
        <v>2</v>
      </c>
      <c r="E45">
        <v>12</v>
      </c>
      <c r="F45">
        <v>440</v>
      </c>
      <c r="G45">
        <v>20.75</v>
      </c>
      <c r="H45">
        <v>48</v>
      </c>
      <c r="I45">
        <v>11.7</v>
      </c>
      <c r="J45">
        <v>10.5</v>
      </c>
      <c r="K45">
        <v>33.9</v>
      </c>
      <c r="L45">
        <v>120</v>
      </c>
    </row>
    <row r="46" spans="1:12" x14ac:dyDescent="0.25">
      <c r="A46" t="s">
        <v>193</v>
      </c>
      <c r="B46" t="s">
        <v>196</v>
      </c>
      <c r="C46" t="s">
        <v>241</v>
      </c>
      <c r="D46">
        <v>2</v>
      </c>
      <c r="E46">
        <v>12</v>
      </c>
      <c r="F46">
        <v>400</v>
      </c>
      <c r="G46">
        <v>20.75</v>
      </c>
      <c r="H46">
        <v>48</v>
      </c>
      <c r="I46">
        <v>11.7</v>
      </c>
      <c r="J46">
        <v>10.5</v>
      </c>
      <c r="K46">
        <v>33.9</v>
      </c>
      <c r="L46">
        <v>120</v>
      </c>
    </row>
    <row r="47" spans="1:12" x14ac:dyDescent="0.25">
      <c r="A47" t="s">
        <v>193</v>
      </c>
      <c r="B47" t="s">
        <v>196</v>
      </c>
      <c r="C47" t="s">
        <v>241</v>
      </c>
      <c r="D47">
        <v>2</v>
      </c>
      <c r="E47">
        <v>12</v>
      </c>
      <c r="F47">
        <v>360</v>
      </c>
      <c r="G47">
        <v>20.75</v>
      </c>
      <c r="H47">
        <v>48</v>
      </c>
      <c r="I47">
        <v>11.7</v>
      </c>
      <c r="J47">
        <v>10.5</v>
      </c>
      <c r="K47">
        <v>33.9</v>
      </c>
      <c r="L47">
        <v>120</v>
      </c>
    </row>
    <row r="48" spans="1:12" x14ac:dyDescent="0.25">
      <c r="A48" t="s">
        <v>193</v>
      </c>
      <c r="B48" t="s">
        <v>196</v>
      </c>
      <c r="C48" t="s">
        <v>241</v>
      </c>
      <c r="D48">
        <v>2</v>
      </c>
      <c r="E48">
        <v>12</v>
      </c>
      <c r="F48">
        <v>320</v>
      </c>
      <c r="G48">
        <v>20.75</v>
      </c>
      <c r="H48">
        <v>48</v>
      </c>
      <c r="I48">
        <v>11.7</v>
      </c>
      <c r="J48">
        <v>10.5</v>
      </c>
      <c r="K48">
        <v>33.9</v>
      </c>
      <c r="L48">
        <v>120</v>
      </c>
    </row>
    <row r="49" spans="1:12" x14ac:dyDescent="0.25">
      <c r="A49" t="s">
        <v>193</v>
      </c>
      <c r="B49" t="s">
        <v>196</v>
      </c>
      <c r="C49" t="s">
        <v>241</v>
      </c>
      <c r="D49">
        <v>2</v>
      </c>
      <c r="E49">
        <v>12</v>
      </c>
      <c r="F49">
        <v>280</v>
      </c>
      <c r="G49">
        <v>20.75</v>
      </c>
      <c r="H49">
        <v>48</v>
      </c>
      <c r="I49">
        <v>11.7</v>
      </c>
      <c r="J49">
        <v>10.5</v>
      </c>
      <c r="K49">
        <v>33.9</v>
      </c>
      <c r="L49">
        <v>80</v>
      </c>
    </row>
    <row r="50" spans="1:12" x14ac:dyDescent="0.25">
      <c r="A50" t="s">
        <v>193</v>
      </c>
      <c r="B50" t="s">
        <v>196</v>
      </c>
      <c r="C50" t="s">
        <v>241</v>
      </c>
      <c r="D50">
        <v>2</v>
      </c>
      <c r="E50">
        <v>12</v>
      </c>
      <c r="F50">
        <v>240</v>
      </c>
      <c r="G50">
        <v>20.75</v>
      </c>
      <c r="H50">
        <v>48</v>
      </c>
      <c r="I50">
        <v>11.7</v>
      </c>
      <c r="J50">
        <v>10.5</v>
      </c>
      <c r="K50">
        <v>33.9</v>
      </c>
      <c r="L50">
        <v>80</v>
      </c>
    </row>
    <row r="51" spans="1:12" x14ac:dyDescent="0.25">
      <c r="A51" t="s">
        <v>193</v>
      </c>
      <c r="B51" t="s">
        <v>196</v>
      </c>
      <c r="C51" t="s">
        <v>241</v>
      </c>
      <c r="D51">
        <v>2</v>
      </c>
      <c r="E51">
        <v>12</v>
      </c>
      <c r="F51">
        <v>200</v>
      </c>
      <c r="G51">
        <v>20.75</v>
      </c>
      <c r="H51">
        <v>48</v>
      </c>
      <c r="I51">
        <v>11.7</v>
      </c>
      <c r="J51">
        <v>10.5</v>
      </c>
      <c r="K51">
        <v>33.9</v>
      </c>
      <c r="L51">
        <v>80</v>
      </c>
    </row>
    <row r="52" spans="1:12" x14ac:dyDescent="0.25">
      <c r="A52" t="s">
        <v>193</v>
      </c>
      <c r="B52" t="s">
        <v>196</v>
      </c>
      <c r="C52" t="s">
        <v>241</v>
      </c>
      <c r="D52">
        <v>2</v>
      </c>
      <c r="E52">
        <v>12</v>
      </c>
      <c r="F52">
        <v>160</v>
      </c>
      <c r="G52">
        <v>20.75</v>
      </c>
      <c r="H52">
        <v>48</v>
      </c>
      <c r="I52">
        <v>11.7</v>
      </c>
      <c r="J52">
        <v>10.5</v>
      </c>
      <c r="K52">
        <v>33.9</v>
      </c>
      <c r="L52">
        <v>80</v>
      </c>
    </row>
    <row r="53" spans="1:12" x14ac:dyDescent="0.25">
      <c r="A53" t="s">
        <v>193</v>
      </c>
      <c r="B53" t="s">
        <v>196</v>
      </c>
      <c r="C53" t="s">
        <v>241</v>
      </c>
      <c r="D53">
        <v>2</v>
      </c>
      <c r="E53">
        <v>12</v>
      </c>
      <c r="F53">
        <v>120</v>
      </c>
      <c r="G53">
        <v>20.75</v>
      </c>
      <c r="H53">
        <v>48</v>
      </c>
      <c r="I53">
        <v>11.7</v>
      </c>
      <c r="J53">
        <v>10.5</v>
      </c>
      <c r="K53">
        <v>33.9</v>
      </c>
      <c r="L53">
        <v>80</v>
      </c>
    </row>
    <row r="54" spans="1:12" x14ac:dyDescent="0.25">
      <c r="A54" t="s">
        <v>193</v>
      </c>
      <c r="B54" t="s">
        <v>196</v>
      </c>
      <c r="C54" t="s">
        <v>241</v>
      </c>
      <c r="D54">
        <v>2</v>
      </c>
      <c r="E54">
        <v>10</v>
      </c>
      <c r="F54">
        <v>400</v>
      </c>
      <c r="G54">
        <v>18.25</v>
      </c>
      <c r="H54">
        <v>35.799999999999997</v>
      </c>
      <c r="I54">
        <v>11.7</v>
      </c>
      <c r="J54">
        <v>10.5</v>
      </c>
      <c r="K54">
        <v>31.4</v>
      </c>
      <c r="L54">
        <v>100</v>
      </c>
    </row>
    <row r="55" spans="1:12" x14ac:dyDescent="0.25">
      <c r="A55" t="s">
        <v>193</v>
      </c>
      <c r="B55" t="s">
        <v>196</v>
      </c>
      <c r="C55" t="s">
        <v>241</v>
      </c>
      <c r="D55">
        <v>2</v>
      </c>
      <c r="E55">
        <v>10</v>
      </c>
      <c r="F55">
        <v>380</v>
      </c>
      <c r="G55">
        <v>18.25</v>
      </c>
      <c r="H55">
        <v>35.799999999999997</v>
      </c>
      <c r="I55">
        <v>11.7</v>
      </c>
      <c r="J55">
        <v>10.5</v>
      </c>
      <c r="K55">
        <v>31.4</v>
      </c>
      <c r="L55">
        <v>100</v>
      </c>
    </row>
    <row r="56" spans="1:12" x14ac:dyDescent="0.25">
      <c r="A56" t="s">
        <v>193</v>
      </c>
      <c r="B56" t="s">
        <v>196</v>
      </c>
      <c r="C56" t="s">
        <v>241</v>
      </c>
      <c r="D56">
        <v>2</v>
      </c>
      <c r="E56">
        <v>10</v>
      </c>
      <c r="F56">
        <v>360</v>
      </c>
      <c r="G56">
        <v>18.25</v>
      </c>
      <c r="H56">
        <v>35.799999999999997</v>
      </c>
      <c r="I56">
        <v>11.7</v>
      </c>
      <c r="J56">
        <v>10.5</v>
      </c>
      <c r="K56">
        <v>31.4</v>
      </c>
      <c r="L56">
        <v>100</v>
      </c>
    </row>
    <row r="57" spans="1:12" x14ac:dyDescent="0.25">
      <c r="A57" t="s">
        <v>193</v>
      </c>
      <c r="B57" t="s">
        <v>196</v>
      </c>
      <c r="C57" t="s">
        <v>241</v>
      </c>
      <c r="D57">
        <v>2</v>
      </c>
      <c r="E57">
        <v>10</v>
      </c>
      <c r="F57">
        <v>340</v>
      </c>
      <c r="G57">
        <v>18.25</v>
      </c>
      <c r="H57">
        <v>35.799999999999997</v>
      </c>
      <c r="I57">
        <v>11.7</v>
      </c>
      <c r="J57">
        <v>10.5</v>
      </c>
      <c r="K57">
        <v>31.4</v>
      </c>
      <c r="L57">
        <v>100</v>
      </c>
    </row>
    <row r="58" spans="1:12" x14ac:dyDescent="0.25">
      <c r="A58" t="s">
        <v>193</v>
      </c>
      <c r="B58" t="s">
        <v>196</v>
      </c>
      <c r="C58" t="s">
        <v>241</v>
      </c>
      <c r="D58">
        <v>2</v>
      </c>
      <c r="E58">
        <v>10</v>
      </c>
      <c r="F58">
        <v>320</v>
      </c>
      <c r="G58">
        <v>18.25</v>
      </c>
      <c r="H58">
        <v>35.799999999999997</v>
      </c>
      <c r="I58">
        <v>11.7</v>
      </c>
      <c r="J58">
        <v>10.5</v>
      </c>
      <c r="K58">
        <v>31.4</v>
      </c>
      <c r="L58">
        <v>100</v>
      </c>
    </row>
    <row r="59" spans="1:12" x14ac:dyDescent="0.25">
      <c r="A59" t="s">
        <v>193</v>
      </c>
      <c r="B59" t="s">
        <v>196</v>
      </c>
      <c r="C59" t="s">
        <v>241</v>
      </c>
      <c r="D59">
        <v>2</v>
      </c>
      <c r="E59">
        <v>10</v>
      </c>
      <c r="F59">
        <v>300</v>
      </c>
      <c r="G59">
        <v>18.25</v>
      </c>
      <c r="H59">
        <v>35.799999999999997</v>
      </c>
      <c r="I59">
        <v>11.7</v>
      </c>
      <c r="J59">
        <v>10.5</v>
      </c>
      <c r="K59">
        <v>31.4</v>
      </c>
      <c r="L59">
        <v>100</v>
      </c>
    </row>
    <row r="60" spans="1:12" x14ac:dyDescent="0.25">
      <c r="A60" t="s">
        <v>193</v>
      </c>
      <c r="B60" t="s">
        <v>196</v>
      </c>
      <c r="C60" t="s">
        <v>241</v>
      </c>
      <c r="D60">
        <v>2</v>
      </c>
      <c r="E60">
        <v>10</v>
      </c>
      <c r="F60">
        <v>280</v>
      </c>
      <c r="G60">
        <v>18.25</v>
      </c>
      <c r="H60">
        <v>35.799999999999997</v>
      </c>
      <c r="I60">
        <v>11.7</v>
      </c>
      <c r="J60">
        <v>10.5</v>
      </c>
      <c r="K60">
        <v>31.4</v>
      </c>
      <c r="L60">
        <v>80</v>
      </c>
    </row>
    <row r="61" spans="1:12" x14ac:dyDescent="0.25">
      <c r="A61" t="s">
        <v>193</v>
      </c>
      <c r="B61" t="s">
        <v>196</v>
      </c>
      <c r="C61" t="s">
        <v>241</v>
      </c>
      <c r="D61">
        <v>2</v>
      </c>
      <c r="E61">
        <v>10</v>
      </c>
      <c r="F61">
        <v>260</v>
      </c>
      <c r="G61">
        <v>18.25</v>
      </c>
      <c r="H61">
        <v>35.799999999999997</v>
      </c>
      <c r="I61">
        <v>11.7</v>
      </c>
      <c r="J61">
        <v>10.5</v>
      </c>
      <c r="K61">
        <v>31.4</v>
      </c>
      <c r="L61">
        <v>80</v>
      </c>
    </row>
    <row r="62" spans="1:12" x14ac:dyDescent="0.25">
      <c r="A62" t="s">
        <v>193</v>
      </c>
      <c r="B62" t="s">
        <v>196</v>
      </c>
      <c r="C62" t="s">
        <v>241</v>
      </c>
      <c r="D62">
        <v>2</v>
      </c>
      <c r="E62">
        <v>10</v>
      </c>
      <c r="F62">
        <v>240</v>
      </c>
      <c r="G62">
        <v>18.25</v>
      </c>
      <c r="H62">
        <v>35.799999999999997</v>
      </c>
      <c r="I62">
        <v>11.7</v>
      </c>
      <c r="J62">
        <v>10.5</v>
      </c>
      <c r="K62">
        <v>31.4</v>
      </c>
      <c r="L62">
        <v>80</v>
      </c>
    </row>
    <row r="63" spans="1:12" x14ac:dyDescent="0.25">
      <c r="A63" t="s">
        <v>193</v>
      </c>
      <c r="B63" t="s">
        <v>196</v>
      </c>
      <c r="C63" t="s">
        <v>241</v>
      </c>
      <c r="D63">
        <v>2</v>
      </c>
      <c r="E63">
        <v>10</v>
      </c>
      <c r="F63">
        <v>220</v>
      </c>
      <c r="G63">
        <v>18.25</v>
      </c>
      <c r="H63">
        <v>35.799999999999997</v>
      </c>
      <c r="I63">
        <v>11.7</v>
      </c>
      <c r="J63">
        <v>10.5</v>
      </c>
      <c r="K63">
        <v>31.4</v>
      </c>
      <c r="L63">
        <v>80</v>
      </c>
    </row>
    <row r="64" spans="1:12" x14ac:dyDescent="0.25">
      <c r="A64" t="s">
        <v>193</v>
      </c>
      <c r="B64" t="s">
        <v>196</v>
      </c>
      <c r="C64" t="s">
        <v>241</v>
      </c>
      <c r="D64">
        <v>2</v>
      </c>
      <c r="E64">
        <v>10</v>
      </c>
      <c r="F64">
        <v>200</v>
      </c>
      <c r="G64">
        <v>18.25</v>
      </c>
      <c r="H64">
        <v>35.799999999999997</v>
      </c>
      <c r="I64">
        <v>11.7</v>
      </c>
      <c r="J64">
        <v>10.5</v>
      </c>
      <c r="K64">
        <v>31.4</v>
      </c>
      <c r="L64">
        <v>80</v>
      </c>
    </row>
    <row r="65" spans="1:12" x14ac:dyDescent="0.25">
      <c r="A65" t="s">
        <v>193</v>
      </c>
      <c r="B65" t="s">
        <v>196</v>
      </c>
      <c r="C65" t="s">
        <v>241</v>
      </c>
      <c r="D65">
        <v>2</v>
      </c>
      <c r="E65">
        <v>10</v>
      </c>
      <c r="F65">
        <v>180</v>
      </c>
      <c r="G65">
        <v>18.25</v>
      </c>
      <c r="H65">
        <v>35.799999999999997</v>
      </c>
      <c r="I65">
        <v>11.7</v>
      </c>
      <c r="J65">
        <v>10.5</v>
      </c>
      <c r="K65">
        <v>31.4</v>
      </c>
      <c r="L65">
        <v>80</v>
      </c>
    </row>
    <row r="66" spans="1:12" x14ac:dyDescent="0.25">
      <c r="A66" t="s">
        <v>193</v>
      </c>
      <c r="B66" t="s">
        <v>196</v>
      </c>
      <c r="C66" t="s">
        <v>241</v>
      </c>
      <c r="D66">
        <v>2</v>
      </c>
      <c r="E66">
        <v>10</v>
      </c>
      <c r="F66">
        <v>160</v>
      </c>
      <c r="G66">
        <v>18.25</v>
      </c>
      <c r="H66">
        <v>35.799999999999997</v>
      </c>
      <c r="I66">
        <v>11.7</v>
      </c>
      <c r="J66">
        <v>10.5</v>
      </c>
      <c r="K66">
        <v>31.4</v>
      </c>
      <c r="L66">
        <v>80</v>
      </c>
    </row>
    <row r="67" spans="1:12" x14ac:dyDescent="0.25">
      <c r="A67" t="s">
        <v>193</v>
      </c>
      <c r="B67" t="s">
        <v>196</v>
      </c>
      <c r="C67" t="s">
        <v>241</v>
      </c>
      <c r="D67">
        <v>2</v>
      </c>
      <c r="E67">
        <v>10</v>
      </c>
      <c r="F67">
        <v>140</v>
      </c>
      <c r="G67">
        <v>18.25</v>
      </c>
      <c r="H67">
        <v>35.799999999999997</v>
      </c>
      <c r="I67">
        <v>11.7</v>
      </c>
      <c r="J67">
        <v>10.5</v>
      </c>
      <c r="K67">
        <v>31.4</v>
      </c>
      <c r="L67">
        <v>60</v>
      </c>
    </row>
    <row r="68" spans="1:12" x14ac:dyDescent="0.25">
      <c r="A68" t="s">
        <v>193</v>
      </c>
      <c r="B68" t="s">
        <v>196</v>
      </c>
      <c r="C68" t="s">
        <v>241</v>
      </c>
      <c r="D68">
        <v>2</v>
      </c>
      <c r="E68">
        <v>10</v>
      </c>
      <c r="F68">
        <v>120</v>
      </c>
      <c r="G68">
        <v>18.25</v>
      </c>
      <c r="H68">
        <v>35.799999999999997</v>
      </c>
      <c r="I68">
        <v>11.7</v>
      </c>
      <c r="J68">
        <v>10.5</v>
      </c>
      <c r="K68">
        <v>31.4</v>
      </c>
      <c r="L68">
        <v>60</v>
      </c>
    </row>
    <row r="69" spans="1:12" x14ac:dyDescent="0.25">
      <c r="A69" t="s">
        <v>193</v>
      </c>
      <c r="B69" t="s">
        <v>196</v>
      </c>
      <c r="C69" t="s">
        <v>241</v>
      </c>
      <c r="D69">
        <v>2</v>
      </c>
      <c r="E69">
        <v>10</v>
      </c>
      <c r="F69">
        <v>100</v>
      </c>
      <c r="G69">
        <v>18.25</v>
      </c>
      <c r="H69">
        <v>35.799999999999997</v>
      </c>
      <c r="I69">
        <v>11.7</v>
      </c>
      <c r="J69">
        <v>10.5</v>
      </c>
      <c r="K69">
        <v>31.4</v>
      </c>
      <c r="L69">
        <v>52</v>
      </c>
    </row>
    <row r="70" spans="1:12" x14ac:dyDescent="0.25">
      <c r="A70" t="s">
        <v>193</v>
      </c>
      <c r="B70" t="s">
        <v>196</v>
      </c>
      <c r="C70" t="s">
        <v>241</v>
      </c>
      <c r="D70">
        <v>2</v>
      </c>
      <c r="E70">
        <v>10</v>
      </c>
      <c r="F70">
        <v>80</v>
      </c>
      <c r="G70">
        <v>18.25</v>
      </c>
      <c r="H70">
        <v>35.799999999999997</v>
      </c>
      <c r="I70">
        <v>11.7</v>
      </c>
      <c r="J70">
        <v>10.5</v>
      </c>
      <c r="K70">
        <v>31.4</v>
      </c>
      <c r="L70">
        <v>52</v>
      </c>
    </row>
    <row r="71" spans="1:12" x14ac:dyDescent="0.25">
      <c r="A71" t="s">
        <v>193</v>
      </c>
      <c r="B71" t="s">
        <v>196</v>
      </c>
      <c r="C71" t="s">
        <v>241</v>
      </c>
      <c r="D71">
        <v>2</v>
      </c>
      <c r="E71">
        <v>8</v>
      </c>
      <c r="F71">
        <v>520</v>
      </c>
      <c r="G71">
        <v>14.5</v>
      </c>
      <c r="H71">
        <v>20.100000000000001</v>
      </c>
      <c r="I71">
        <v>11.7</v>
      </c>
      <c r="J71">
        <v>10.5</v>
      </c>
      <c r="K71">
        <v>20.100000000000001</v>
      </c>
      <c r="L71">
        <v>100</v>
      </c>
    </row>
    <row r="72" spans="1:12" x14ac:dyDescent="0.25">
      <c r="A72" t="s">
        <v>193</v>
      </c>
      <c r="B72" t="s">
        <v>196</v>
      </c>
      <c r="C72" t="s">
        <v>241</v>
      </c>
      <c r="D72">
        <v>2</v>
      </c>
      <c r="E72">
        <v>8</v>
      </c>
      <c r="F72">
        <v>480</v>
      </c>
      <c r="G72">
        <v>14.5</v>
      </c>
      <c r="H72">
        <v>20.100000000000001</v>
      </c>
      <c r="I72">
        <v>11.7</v>
      </c>
      <c r="J72">
        <v>10.5</v>
      </c>
      <c r="K72">
        <v>20.100000000000001</v>
      </c>
      <c r="L72">
        <v>100</v>
      </c>
    </row>
    <row r="73" spans="1:12" x14ac:dyDescent="0.25">
      <c r="A73" t="s">
        <v>193</v>
      </c>
      <c r="B73" t="s">
        <v>196</v>
      </c>
      <c r="C73" t="s">
        <v>241</v>
      </c>
      <c r="D73">
        <v>2</v>
      </c>
      <c r="E73">
        <v>8</v>
      </c>
      <c r="F73">
        <v>440</v>
      </c>
      <c r="G73">
        <v>14.5</v>
      </c>
      <c r="H73">
        <v>20.100000000000001</v>
      </c>
      <c r="I73">
        <v>11.7</v>
      </c>
      <c r="J73">
        <v>10.5</v>
      </c>
      <c r="K73">
        <v>20.100000000000001</v>
      </c>
      <c r="L73">
        <v>100</v>
      </c>
    </row>
    <row r="74" spans="1:12" x14ac:dyDescent="0.25">
      <c r="A74" t="s">
        <v>193</v>
      </c>
      <c r="B74" t="s">
        <v>196</v>
      </c>
      <c r="C74" t="s">
        <v>241</v>
      </c>
      <c r="D74">
        <v>2</v>
      </c>
      <c r="E74">
        <v>8</v>
      </c>
      <c r="F74">
        <v>400</v>
      </c>
      <c r="G74">
        <v>14.5</v>
      </c>
      <c r="H74">
        <v>20.100000000000001</v>
      </c>
      <c r="I74">
        <v>11.7</v>
      </c>
      <c r="J74">
        <v>10.5</v>
      </c>
      <c r="K74">
        <v>20.100000000000001</v>
      </c>
      <c r="L74">
        <v>100</v>
      </c>
    </row>
    <row r="75" spans="1:12" x14ac:dyDescent="0.25">
      <c r="A75" t="s">
        <v>193</v>
      </c>
      <c r="B75" t="s">
        <v>196</v>
      </c>
      <c r="C75" t="s">
        <v>241</v>
      </c>
      <c r="D75">
        <v>2</v>
      </c>
      <c r="E75">
        <v>8</v>
      </c>
      <c r="F75">
        <v>380</v>
      </c>
      <c r="G75">
        <v>14.5</v>
      </c>
      <c r="H75">
        <v>20.100000000000001</v>
      </c>
      <c r="I75">
        <v>11.7</v>
      </c>
      <c r="J75">
        <v>10.5</v>
      </c>
      <c r="K75">
        <v>20.100000000000001</v>
      </c>
      <c r="L75">
        <v>100</v>
      </c>
    </row>
    <row r="76" spans="1:12" x14ac:dyDescent="0.25">
      <c r="A76" t="s">
        <v>193</v>
      </c>
      <c r="B76" t="s">
        <v>196</v>
      </c>
      <c r="C76" t="s">
        <v>241</v>
      </c>
      <c r="D76">
        <v>2</v>
      </c>
      <c r="E76">
        <v>8</v>
      </c>
      <c r="F76">
        <v>360</v>
      </c>
      <c r="G76">
        <v>14.5</v>
      </c>
      <c r="H76">
        <v>20.100000000000001</v>
      </c>
      <c r="I76">
        <v>11.7</v>
      </c>
      <c r="J76">
        <v>10.5</v>
      </c>
      <c r="K76">
        <v>20.100000000000001</v>
      </c>
      <c r="L76">
        <v>100</v>
      </c>
    </row>
    <row r="77" spans="1:12" x14ac:dyDescent="0.25">
      <c r="A77" t="s">
        <v>193</v>
      </c>
      <c r="B77" t="s">
        <v>196</v>
      </c>
      <c r="C77" t="s">
        <v>241</v>
      </c>
      <c r="D77">
        <v>2</v>
      </c>
      <c r="E77">
        <v>8</v>
      </c>
      <c r="F77">
        <v>340</v>
      </c>
      <c r="G77">
        <v>14.5</v>
      </c>
      <c r="H77">
        <v>20.100000000000001</v>
      </c>
      <c r="I77">
        <v>11.7</v>
      </c>
      <c r="J77">
        <v>10.5</v>
      </c>
      <c r="K77">
        <v>20.100000000000001</v>
      </c>
      <c r="L77">
        <v>100</v>
      </c>
    </row>
    <row r="78" spans="1:12" x14ac:dyDescent="0.25">
      <c r="A78" t="s">
        <v>193</v>
      </c>
      <c r="B78" t="s">
        <v>196</v>
      </c>
      <c r="C78" t="s">
        <v>241</v>
      </c>
      <c r="D78">
        <v>2</v>
      </c>
      <c r="E78">
        <v>8</v>
      </c>
      <c r="F78">
        <v>320</v>
      </c>
      <c r="G78">
        <v>14.5</v>
      </c>
      <c r="H78">
        <v>20.100000000000001</v>
      </c>
      <c r="I78">
        <v>11.7</v>
      </c>
      <c r="J78">
        <v>10.5</v>
      </c>
      <c r="K78">
        <v>20.100000000000001</v>
      </c>
      <c r="L78">
        <v>100</v>
      </c>
    </row>
    <row r="79" spans="1:12" x14ac:dyDescent="0.25">
      <c r="A79" t="s">
        <v>193</v>
      </c>
      <c r="B79" t="s">
        <v>196</v>
      </c>
      <c r="C79" t="s">
        <v>241</v>
      </c>
      <c r="D79">
        <v>2</v>
      </c>
      <c r="E79">
        <v>8</v>
      </c>
      <c r="F79">
        <v>300</v>
      </c>
      <c r="G79">
        <v>14.5</v>
      </c>
      <c r="H79">
        <v>20.100000000000001</v>
      </c>
      <c r="I79">
        <v>11.7</v>
      </c>
      <c r="J79">
        <v>10.5</v>
      </c>
      <c r="K79">
        <v>20.100000000000001</v>
      </c>
      <c r="L79">
        <v>100</v>
      </c>
    </row>
    <row r="80" spans="1:12" x14ac:dyDescent="0.25">
      <c r="A80" t="s">
        <v>193</v>
      </c>
      <c r="B80" t="s">
        <v>196</v>
      </c>
      <c r="C80" t="s">
        <v>241</v>
      </c>
      <c r="D80">
        <v>2</v>
      </c>
      <c r="E80">
        <v>8</v>
      </c>
      <c r="F80">
        <v>280</v>
      </c>
      <c r="G80">
        <v>14.5</v>
      </c>
      <c r="H80">
        <v>20.100000000000001</v>
      </c>
      <c r="I80">
        <v>11.7</v>
      </c>
      <c r="J80">
        <v>10.5</v>
      </c>
      <c r="K80">
        <v>20.100000000000001</v>
      </c>
      <c r="L80">
        <v>80</v>
      </c>
    </row>
    <row r="81" spans="1:12" x14ac:dyDescent="0.25">
      <c r="A81" t="s">
        <v>193</v>
      </c>
      <c r="B81" t="s">
        <v>196</v>
      </c>
      <c r="C81" t="s">
        <v>241</v>
      </c>
      <c r="D81">
        <v>2</v>
      </c>
      <c r="E81">
        <v>8</v>
      </c>
      <c r="F81">
        <v>260</v>
      </c>
      <c r="G81">
        <v>14.5</v>
      </c>
      <c r="H81">
        <v>20.100000000000001</v>
      </c>
      <c r="I81">
        <v>11.7</v>
      </c>
      <c r="J81">
        <v>10.5</v>
      </c>
      <c r="K81">
        <v>20.100000000000001</v>
      </c>
      <c r="L81">
        <v>80</v>
      </c>
    </row>
    <row r="82" spans="1:12" x14ac:dyDescent="0.25">
      <c r="A82" t="s">
        <v>193</v>
      </c>
      <c r="B82" t="s">
        <v>196</v>
      </c>
      <c r="C82" t="s">
        <v>241</v>
      </c>
      <c r="D82">
        <v>2</v>
      </c>
      <c r="E82">
        <v>8</v>
      </c>
      <c r="F82">
        <v>240</v>
      </c>
      <c r="G82">
        <v>14.5</v>
      </c>
      <c r="H82">
        <v>20.100000000000001</v>
      </c>
      <c r="I82">
        <v>11.7</v>
      </c>
      <c r="J82">
        <v>10.5</v>
      </c>
      <c r="K82">
        <v>20.100000000000001</v>
      </c>
      <c r="L82">
        <v>80</v>
      </c>
    </row>
    <row r="83" spans="1:12" x14ac:dyDescent="0.25">
      <c r="A83" t="s">
        <v>193</v>
      </c>
      <c r="B83" t="s">
        <v>196</v>
      </c>
      <c r="C83" t="s">
        <v>241</v>
      </c>
      <c r="D83">
        <v>2</v>
      </c>
      <c r="E83">
        <v>8</v>
      </c>
      <c r="F83">
        <v>220</v>
      </c>
      <c r="G83">
        <v>14.5</v>
      </c>
      <c r="H83">
        <v>20.100000000000001</v>
      </c>
      <c r="I83">
        <v>11.7</v>
      </c>
      <c r="J83">
        <v>10.5</v>
      </c>
      <c r="K83">
        <v>20.100000000000001</v>
      </c>
      <c r="L83">
        <v>80</v>
      </c>
    </row>
    <row r="84" spans="1:12" x14ac:dyDescent="0.25">
      <c r="A84" t="s">
        <v>193</v>
      </c>
      <c r="B84" t="s">
        <v>196</v>
      </c>
      <c r="C84" t="s">
        <v>241</v>
      </c>
      <c r="D84">
        <v>2</v>
      </c>
      <c r="E84">
        <v>8</v>
      </c>
      <c r="F84">
        <v>200</v>
      </c>
      <c r="G84">
        <v>14.5</v>
      </c>
      <c r="H84">
        <v>20.100000000000001</v>
      </c>
      <c r="I84">
        <v>11.7</v>
      </c>
      <c r="J84">
        <v>10.5</v>
      </c>
      <c r="K84">
        <v>20.100000000000001</v>
      </c>
      <c r="L84">
        <v>80</v>
      </c>
    </row>
    <row r="85" spans="1:12" x14ac:dyDescent="0.25">
      <c r="A85" t="s">
        <v>193</v>
      </c>
      <c r="B85" t="s">
        <v>196</v>
      </c>
      <c r="C85" t="s">
        <v>241</v>
      </c>
      <c r="D85">
        <v>2</v>
      </c>
      <c r="E85">
        <v>8</v>
      </c>
      <c r="F85">
        <v>180</v>
      </c>
      <c r="G85">
        <v>14.5</v>
      </c>
      <c r="H85">
        <v>20.100000000000001</v>
      </c>
      <c r="I85">
        <v>11.7</v>
      </c>
      <c r="J85">
        <v>10.5</v>
      </c>
      <c r="K85">
        <v>20.100000000000001</v>
      </c>
      <c r="L85">
        <v>80</v>
      </c>
    </row>
    <row r="86" spans="1:12" x14ac:dyDescent="0.25">
      <c r="A86" t="s">
        <v>193</v>
      </c>
      <c r="B86" t="s">
        <v>196</v>
      </c>
      <c r="C86" t="s">
        <v>241</v>
      </c>
      <c r="D86">
        <v>2</v>
      </c>
      <c r="E86">
        <v>8</v>
      </c>
      <c r="F86">
        <v>160</v>
      </c>
      <c r="G86">
        <v>14.5</v>
      </c>
      <c r="H86">
        <v>20.100000000000001</v>
      </c>
      <c r="I86">
        <v>11.7</v>
      </c>
      <c r="J86">
        <v>10.5</v>
      </c>
      <c r="K86">
        <v>20.100000000000001</v>
      </c>
      <c r="L86">
        <v>80</v>
      </c>
    </row>
    <row r="87" spans="1:12" x14ac:dyDescent="0.25">
      <c r="A87" t="s">
        <v>193</v>
      </c>
      <c r="B87" t="s">
        <v>196</v>
      </c>
      <c r="C87" t="s">
        <v>241</v>
      </c>
      <c r="D87">
        <v>2</v>
      </c>
      <c r="E87">
        <v>8</v>
      </c>
      <c r="F87">
        <v>140</v>
      </c>
      <c r="G87">
        <v>14.5</v>
      </c>
      <c r="H87">
        <v>20.100000000000001</v>
      </c>
      <c r="I87">
        <v>11.7</v>
      </c>
      <c r="J87">
        <v>10.5</v>
      </c>
      <c r="K87">
        <v>20.100000000000001</v>
      </c>
      <c r="L87">
        <v>60</v>
      </c>
    </row>
    <row r="88" spans="1:12" x14ac:dyDescent="0.25">
      <c r="A88" t="s">
        <v>193</v>
      </c>
      <c r="B88" t="s">
        <v>196</v>
      </c>
      <c r="C88" t="s">
        <v>241</v>
      </c>
      <c r="D88">
        <v>2</v>
      </c>
      <c r="E88">
        <v>8</v>
      </c>
      <c r="F88">
        <v>120</v>
      </c>
      <c r="G88">
        <v>14.5</v>
      </c>
      <c r="H88">
        <v>20.100000000000001</v>
      </c>
      <c r="I88">
        <v>11.7</v>
      </c>
      <c r="J88">
        <v>10.5</v>
      </c>
      <c r="K88">
        <v>20.100000000000001</v>
      </c>
      <c r="L88">
        <v>60</v>
      </c>
    </row>
    <row r="89" spans="1:12" x14ac:dyDescent="0.25">
      <c r="A89" t="s">
        <v>193</v>
      </c>
      <c r="B89" t="s">
        <v>196</v>
      </c>
      <c r="C89" t="s">
        <v>241</v>
      </c>
      <c r="D89">
        <v>2</v>
      </c>
      <c r="E89">
        <v>8</v>
      </c>
      <c r="F89">
        <v>100</v>
      </c>
      <c r="G89">
        <v>14.5</v>
      </c>
      <c r="H89">
        <v>20.100000000000001</v>
      </c>
      <c r="I89">
        <v>11.7</v>
      </c>
      <c r="J89">
        <v>10.5</v>
      </c>
      <c r="K89">
        <v>20.100000000000001</v>
      </c>
      <c r="L89">
        <v>52</v>
      </c>
    </row>
    <row r="90" spans="1:12" x14ac:dyDescent="0.25">
      <c r="A90" t="s">
        <v>193</v>
      </c>
      <c r="B90" t="s">
        <v>196</v>
      </c>
      <c r="C90" t="s">
        <v>241</v>
      </c>
      <c r="D90">
        <v>2</v>
      </c>
      <c r="E90">
        <v>8</v>
      </c>
      <c r="F90">
        <v>80</v>
      </c>
      <c r="G90">
        <v>14.5</v>
      </c>
      <c r="H90">
        <v>20.100000000000001</v>
      </c>
      <c r="I90">
        <v>11.7</v>
      </c>
      <c r="J90">
        <v>10.5</v>
      </c>
      <c r="K90">
        <v>20.100000000000001</v>
      </c>
      <c r="L90">
        <v>52</v>
      </c>
    </row>
    <row r="91" spans="1:12" x14ac:dyDescent="0.25">
      <c r="A91" t="s">
        <v>193</v>
      </c>
      <c r="B91" t="s">
        <v>196</v>
      </c>
      <c r="C91" t="s">
        <v>241</v>
      </c>
      <c r="D91">
        <v>2</v>
      </c>
      <c r="E91">
        <v>6</v>
      </c>
      <c r="F91">
        <v>300</v>
      </c>
      <c r="G91">
        <v>12</v>
      </c>
      <c r="H91">
        <v>9.5</v>
      </c>
      <c r="I91">
        <v>11.7</v>
      </c>
      <c r="J91">
        <v>10.5</v>
      </c>
      <c r="K91">
        <v>11.3</v>
      </c>
      <c r="L91">
        <v>75</v>
      </c>
    </row>
    <row r="92" spans="1:12" x14ac:dyDescent="0.25">
      <c r="A92" t="s">
        <v>193</v>
      </c>
      <c r="B92" t="s">
        <v>196</v>
      </c>
      <c r="C92" t="s">
        <v>241</v>
      </c>
      <c r="D92">
        <v>2</v>
      </c>
      <c r="E92">
        <v>6</v>
      </c>
      <c r="F92">
        <v>280</v>
      </c>
      <c r="G92">
        <v>12</v>
      </c>
      <c r="H92">
        <v>9.5</v>
      </c>
      <c r="I92">
        <v>11.7</v>
      </c>
      <c r="J92">
        <v>10.5</v>
      </c>
      <c r="K92">
        <v>11.3</v>
      </c>
      <c r="L92">
        <v>75</v>
      </c>
    </row>
    <row r="93" spans="1:12" x14ac:dyDescent="0.25">
      <c r="A93" t="s">
        <v>193</v>
      </c>
      <c r="B93" t="s">
        <v>196</v>
      </c>
      <c r="C93" t="s">
        <v>241</v>
      </c>
      <c r="D93">
        <v>2</v>
      </c>
      <c r="E93">
        <v>6</v>
      </c>
      <c r="F93">
        <v>260</v>
      </c>
      <c r="G93">
        <v>12</v>
      </c>
      <c r="H93">
        <v>9.5</v>
      </c>
      <c r="I93">
        <v>11.7</v>
      </c>
      <c r="J93">
        <v>10.5</v>
      </c>
      <c r="K93">
        <v>11.3</v>
      </c>
      <c r="L93">
        <v>75</v>
      </c>
    </row>
    <row r="94" spans="1:12" x14ac:dyDescent="0.25">
      <c r="A94" t="s">
        <v>193</v>
      </c>
      <c r="B94" t="s">
        <v>196</v>
      </c>
      <c r="C94" t="s">
        <v>241</v>
      </c>
      <c r="D94">
        <v>2</v>
      </c>
      <c r="E94">
        <v>6</v>
      </c>
      <c r="F94">
        <v>240</v>
      </c>
      <c r="G94">
        <v>12</v>
      </c>
      <c r="H94">
        <v>9.5</v>
      </c>
      <c r="I94">
        <v>11.7</v>
      </c>
      <c r="J94">
        <v>10.5</v>
      </c>
      <c r="K94">
        <v>11.3</v>
      </c>
      <c r="L94">
        <v>75</v>
      </c>
    </row>
    <row r="95" spans="1:12" x14ac:dyDescent="0.25">
      <c r="A95" t="s">
        <v>193</v>
      </c>
      <c r="B95" t="s">
        <v>196</v>
      </c>
      <c r="C95" t="s">
        <v>241</v>
      </c>
      <c r="D95">
        <v>2</v>
      </c>
      <c r="E95">
        <v>6</v>
      </c>
      <c r="F95">
        <v>220</v>
      </c>
      <c r="G95">
        <v>12</v>
      </c>
      <c r="H95">
        <v>9.5</v>
      </c>
      <c r="I95">
        <v>11.7</v>
      </c>
      <c r="J95">
        <v>10.5</v>
      </c>
      <c r="K95">
        <v>11.3</v>
      </c>
      <c r="L95">
        <v>75</v>
      </c>
    </row>
    <row r="96" spans="1:12" x14ac:dyDescent="0.25">
      <c r="A96" t="s">
        <v>193</v>
      </c>
      <c r="B96" t="s">
        <v>196</v>
      </c>
      <c r="C96" t="s">
        <v>241</v>
      </c>
      <c r="D96">
        <v>2</v>
      </c>
      <c r="E96">
        <v>6</v>
      </c>
      <c r="F96">
        <v>200</v>
      </c>
      <c r="G96">
        <v>12</v>
      </c>
      <c r="H96">
        <v>9.5</v>
      </c>
      <c r="I96">
        <v>11.7</v>
      </c>
      <c r="J96">
        <v>10.5</v>
      </c>
      <c r="K96">
        <v>11.3</v>
      </c>
      <c r="L96">
        <v>75</v>
      </c>
    </row>
    <row r="97" spans="1:12" x14ac:dyDescent="0.25">
      <c r="A97" t="s">
        <v>193</v>
      </c>
      <c r="B97" t="s">
        <v>196</v>
      </c>
      <c r="C97" t="s">
        <v>241</v>
      </c>
      <c r="D97">
        <v>2</v>
      </c>
      <c r="E97">
        <v>6</v>
      </c>
      <c r="F97">
        <v>180</v>
      </c>
      <c r="G97">
        <v>12</v>
      </c>
      <c r="H97">
        <v>9.5</v>
      </c>
      <c r="I97">
        <v>11.7</v>
      </c>
      <c r="J97">
        <v>10.5</v>
      </c>
      <c r="K97">
        <v>11.3</v>
      </c>
      <c r="L97">
        <v>75</v>
      </c>
    </row>
    <row r="98" spans="1:12" x14ac:dyDescent="0.25">
      <c r="A98" t="s">
        <v>193</v>
      </c>
      <c r="B98" t="s">
        <v>196</v>
      </c>
      <c r="C98" t="s">
        <v>241</v>
      </c>
      <c r="D98">
        <v>2</v>
      </c>
      <c r="E98">
        <v>6</v>
      </c>
      <c r="F98">
        <v>160</v>
      </c>
      <c r="G98">
        <v>12</v>
      </c>
      <c r="H98">
        <v>9.5</v>
      </c>
      <c r="I98">
        <v>11.7</v>
      </c>
      <c r="J98">
        <v>10.5</v>
      </c>
      <c r="K98">
        <v>11.3</v>
      </c>
      <c r="L98">
        <v>75</v>
      </c>
    </row>
    <row r="99" spans="1:12" x14ac:dyDescent="0.25">
      <c r="A99" t="s">
        <v>193</v>
      </c>
      <c r="B99" t="s">
        <v>196</v>
      </c>
      <c r="C99" t="s">
        <v>241</v>
      </c>
      <c r="D99">
        <v>2</v>
      </c>
      <c r="E99">
        <v>6</v>
      </c>
      <c r="F99">
        <v>150</v>
      </c>
      <c r="G99">
        <v>12</v>
      </c>
      <c r="H99">
        <v>9.5</v>
      </c>
      <c r="I99">
        <v>11.7</v>
      </c>
      <c r="J99">
        <v>10.5</v>
      </c>
      <c r="K99">
        <v>11.3</v>
      </c>
      <c r="L99">
        <v>75</v>
      </c>
    </row>
    <row r="100" spans="1:12" x14ac:dyDescent="0.25">
      <c r="A100" t="s">
        <v>193</v>
      </c>
      <c r="B100" t="s">
        <v>196</v>
      </c>
      <c r="C100" t="s">
        <v>241</v>
      </c>
      <c r="D100">
        <v>2</v>
      </c>
      <c r="E100">
        <v>6</v>
      </c>
      <c r="F100">
        <v>140</v>
      </c>
      <c r="G100">
        <v>12</v>
      </c>
      <c r="H100">
        <v>9.5</v>
      </c>
      <c r="I100">
        <v>11.7</v>
      </c>
      <c r="J100">
        <v>10.5</v>
      </c>
      <c r="K100">
        <v>11.3</v>
      </c>
      <c r="L100">
        <v>75</v>
      </c>
    </row>
    <row r="101" spans="1:12" x14ac:dyDescent="0.25">
      <c r="A101" t="s">
        <v>193</v>
      </c>
      <c r="B101" t="s">
        <v>196</v>
      </c>
      <c r="C101" t="s">
        <v>241</v>
      </c>
      <c r="D101">
        <v>2</v>
      </c>
      <c r="E101">
        <v>6</v>
      </c>
      <c r="F101">
        <v>130</v>
      </c>
      <c r="G101">
        <v>12</v>
      </c>
      <c r="H101">
        <v>9.5</v>
      </c>
      <c r="I101">
        <v>11.7</v>
      </c>
      <c r="J101">
        <v>10.5</v>
      </c>
      <c r="K101">
        <v>11.3</v>
      </c>
      <c r="L101">
        <v>60</v>
      </c>
    </row>
    <row r="102" spans="1:12" x14ac:dyDescent="0.25">
      <c r="A102" t="s">
        <v>193</v>
      </c>
      <c r="B102" t="s">
        <v>196</v>
      </c>
      <c r="C102" t="s">
        <v>241</v>
      </c>
      <c r="D102">
        <v>2</v>
      </c>
      <c r="E102">
        <v>6</v>
      </c>
      <c r="F102">
        <v>120</v>
      </c>
      <c r="G102">
        <v>12</v>
      </c>
      <c r="H102">
        <v>9.5</v>
      </c>
      <c r="I102">
        <v>11.7</v>
      </c>
      <c r="J102">
        <v>10.5</v>
      </c>
      <c r="K102">
        <v>11.3</v>
      </c>
      <c r="L102">
        <v>60</v>
      </c>
    </row>
    <row r="103" spans="1:12" x14ac:dyDescent="0.25">
      <c r="A103" t="s">
        <v>193</v>
      </c>
      <c r="B103" t="s">
        <v>196</v>
      </c>
      <c r="C103" t="s">
        <v>241</v>
      </c>
      <c r="D103">
        <v>2</v>
      </c>
      <c r="E103">
        <v>6</v>
      </c>
      <c r="F103">
        <v>110</v>
      </c>
      <c r="G103">
        <v>12</v>
      </c>
      <c r="H103">
        <v>9.5</v>
      </c>
      <c r="I103">
        <v>11.7</v>
      </c>
      <c r="J103">
        <v>10.5</v>
      </c>
      <c r="K103">
        <v>11.3</v>
      </c>
      <c r="L103">
        <v>60</v>
      </c>
    </row>
    <row r="104" spans="1:12" x14ac:dyDescent="0.25">
      <c r="A104" t="s">
        <v>193</v>
      </c>
      <c r="B104" t="s">
        <v>196</v>
      </c>
      <c r="C104" t="s">
        <v>241</v>
      </c>
      <c r="D104">
        <v>2</v>
      </c>
      <c r="E104">
        <v>6</v>
      </c>
      <c r="F104">
        <v>100</v>
      </c>
      <c r="G104">
        <v>12</v>
      </c>
      <c r="H104">
        <v>9.5</v>
      </c>
      <c r="I104">
        <v>11.7</v>
      </c>
      <c r="J104">
        <v>10.5</v>
      </c>
      <c r="K104">
        <v>11.3</v>
      </c>
      <c r="L104">
        <v>50</v>
      </c>
    </row>
    <row r="105" spans="1:12" x14ac:dyDescent="0.25">
      <c r="A105" t="s">
        <v>193</v>
      </c>
      <c r="B105" t="s">
        <v>196</v>
      </c>
      <c r="C105" t="s">
        <v>241</v>
      </c>
      <c r="D105">
        <v>2</v>
      </c>
      <c r="E105">
        <v>6</v>
      </c>
      <c r="F105">
        <v>90</v>
      </c>
      <c r="G105">
        <v>12</v>
      </c>
      <c r="H105">
        <v>9.5</v>
      </c>
      <c r="I105">
        <v>11.7</v>
      </c>
      <c r="J105">
        <v>10.5</v>
      </c>
      <c r="K105">
        <v>11.3</v>
      </c>
      <c r="L105">
        <v>50</v>
      </c>
    </row>
    <row r="106" spans="1:12" x14ac:dyDescent="0.25">
      <c r="A106" t="s">
        <v>193</v>
      </c>
      <c r="B106" t="s">
        <v>196</v>
      </c>
      <c r="C106" t="s">
        <v>241</v>
      </c>
      <c r="D106">
        <v>2</v>
      </c>
      <c r="E106">
        <v>6</v>
      </c>
      <c r="F106">
        <v>80</v>
      </c>
      <c r="G106">
        <v>12</v>
      </c>
      <c r="H106">
        <v>9.5</v>
      </c>
      <c r="I106">
        <v>11.7</v>
      </c>
      <c r="J106">
        <v>10.5</v>
      </c>
      <c r="K106">
        <v>11.3</v>
      </c>
      <c r="L106">
        <v>40</v>
      </c>
    </row>
    <row r="107" spans="1:12" x14ac:dyDescent="0.25">
      <c r="A107" t="s">
        <v>193</v>
      </c>
      <c r="B107" t="s">
        <v>196</v>
      </c>
      <c r="C107" t="s">
        <v>241</v>
      </c>
      <c r="D107">
        <v>2</v>
      </c>
      <c r="E107">
        <v>6</v>
      </c>
      <c r="F107">
        <v>70</v>
      </c>
      <c r="G107">
        <v>12</v>
      </c>
      <c r="H107">
        <v>9.5</v>
      </c>
      <c r="I107">
        <v>11.7</v>
      </c>
      <c r="J107">
        <v>10.5</v>
      </c>
      <c r="K107">
        <v>11.3</v>
      </c>
      <c r="L107">
        <v>40</v>
      </c>
    </row>
    <row r="108" spans="1:12" x14ac:dyDescent="0.25">
      <c r="A108" t="s">
        <v>193</v>
      </c>
      <c r="B108" t="s">
        <v>196</v>
      </c>
      <c r="C108" t="s">
        <v>241</v>
      </c>
      <c r="D108">
        <v>2</v>
      </c>
      <c r="E108">
        <v>6</v>
      </c>
      <c r="F108">
        <v>60</v>
      </c>
      <c r="G108">
        <v>12</v>
      </c>
      <c r="H108">
        <v>9.5</v>
      </c>
      <c r="I108">
        <v>11.7</v>
      </c>
      <c r="J108">
        <v>10.5</v>
      </c>
      <c r="K108">
        <v>11.3</v>
      </c>
      <c r="L108">
        <v>30</v>
      </c>
    </row>
    <row r="109" spans="1:12" x14ac:dyDescent="0.25">
      <c r="A109" t="s">
        <v>193</v>
      </c>
      <c r="B109" t="s">
        <v>196</v>
      </c>
      <c r="C109" t="s">
        <v>241</v>
      </c>
      <c r="D109">
        <v>2</v>
      </c>
      <c r="E109">
        <v>6</v>
      </c>
      <c r="F109">
        <v>50</v>
      </c>
      <c r="G109">
        <v>12</v>
      </c>
      <c r="H109">
        <v>9.5</v>
      </c>
      <c r="I109">
        <v>11.7</v>
      </c>
      <c r="J109">
        <v>10.5</v>
      </c>
      <c r="K109">
        <v>11.3</v>
      </c>
      <c r="L109">
        <v>35</v>
      </c>
    </row>
    <row r="110" spans="1:12" x14ac:dyDescent="0.25">
      <c r="A110" t="s">
        <v>193</v>
      </c>
      <c r="B110" t="s">
        <v>196</v>
      </c>
      <c r="C110" t="s">
        <v>241</v>
      </c>
      <c r="D110">
        <v>2</v>
      </c>
      <c r="E110">
        <v>6</v>
      </c>
      <c r="F110">
        <v>40</v>
      </c>
      <c r="G110">
        <v>12</v>
      </c>
      <c r="H110">
        <v>9.5</v>
      </c>
      <c r="I110">
        <v>11.7</v>
      </c>
      <c r="J110">
        <v>10.5</v>
      </c>
      <c r="K110">
        <v>11.3</v>
      </c>
      <c r="L110">
        <v>35</v>
      </c>
    </row>
    <row r="111" spans="1:12" x14ac:dyDescent="0.25">
      <c r="A111" t="s">
        <v>193</v>
      </c>
      <c r="B111" t="s">
        <v>196</v>
      </c>
      <c r="C111" t="s">
        <v>241</v>
      </c>
      <c r="D111">
        <v>2</v>
      </c>
      <c r="E111">
        <v>5</v>
      </c>
      <c r="F111">
        <v>120</v>
      </c>
      <c r="G111">
        <v>10</v>
      </c>
      <c r="H111">
        <v>5.4</v>
      </c>
      <c r="I111">
        <v>11.7</v>
      </c>
      <c r="J111">
        <v>10.5</v>
      </c>
      <c r="K111">
        <v>7.9</v>
      </c>
      <c r="L111">
        <v>60</v>
      </c>
    </row>
    <row r="112" spans="1:12" x14ac:dyDescent="0.25">
      <c r="A112" t="s">
        <v>193</v>
      </c>
      <c r="B112" t="s">
        <v>196</v>
      </c>
      <c r="C112" t="s">
        <v>241</v>
      </c>
      <c r="D112">
        <v>2</v>
      </c>
      <c r="E112">
        <v>5</v>
      </c>
      <c r="F112">
        <v>100</v>
      </c>
      <c r="G112">
        <v>10</v>
      </c>
      <c r="H112">
        <v>5.4</v>
      </c>
      <c r="I112">
        <v>11.7</v>
      </c>
      <c r="J112">
        <v>10.5</v>
      </c>
      <c r="K112">
        <v>7.9</v>
      </c>
      <c r="L112">
        <v>50</v>
      </c>
    </row>
    <row r="113" spans="1:12" x14ac:dyDescent="0.25">
      <c r="A113" t="s">
        <v>193</v>
      </c>
      <c r="B113" t="s">
        <v>196</v>
      </c>
      <c r="C113" t="s">
        <v>241</v>
      </c>
      <c r="D113">
        <v>2</v>
      </c>
      <c r="E113">
        <v>5</v>
      </c>
      <c r="F113">
        <v>90</v>
      </c>
      <c r="G113">
        <v>10</v>
      </c>
      <c r="H113">
        <v>5.4</v>
      </c>
      <c r="I113">
        <v>11.7</v>
      </c>
      <c r="J113">
        <v>10.5</v>
      </c>
      <c r="K113">
        <v>7.9</v>
      </c>
      <c r="L113">
        <v>45</v>
      </c>
    </row>
    <row r="114" spans="1:12" x14ac:dyDescent="0.25">
      <c r="A114" t="s">
        <v>193</v>
      </c>
      <c r="B114" t="s">
        <v>196</v>
      </c>
      <c r="C114" t="s">
        <v>241</v>
      </c>
      <c r="D114">
        <v>2</v>
      </c>
      <c r="E114">
        <v>5</v>
      </c>
      <c r="F114">
        <v>80</v>
      </c>
      <c r="G114">
        <v>10</v>
      </c>
      <c r="H114">
        <v>5.4</v>
      </c>
      <c r="I114">
        <v>11.7</v>
      </c>
      <c r="J114">
        <v>10.5</v>
      </c>
      <c r="K114">
        <v>7.9</v>
      </c>
      <c r="L114">
        <v>40</v>
      </c>
    </row>
    <row r="115" spans="1:12" x14ac:dyDescent="0.25">
      <c r="A115" t="s">
        <v>193</v>
      </c>
      <c r="B115" t="s">
        <v>196</v>
      </c>
      <c r="C115" t="s">
        <v>241</v>
      </c>
      <c r="D115">
        <v>2</v>
      </c>
      <c r="E115">
        <v>5</v>
      </c>
      <c r="F115">
        <v>70</v>
      </c>
      <c r="G115">
        <v>10</v>
      </c>
      <c r="H115">
        <v>5.4</v>
      </c>
      <c r="I115">
        <v>11.7</v>
      </c>
      <c r="J115">
        <v>10.5</v>
      </c>
      <c r="K115">
        <v>7.9</v>
      </c>
      <c r="L115">
        <v>35</v>
      </c>
    </row>
    <row r="116" spans="1:12" x14ac:dyDescent="0.25">
      <c r="A116" t="s">
        <v>193</v>
      </c>
      <c r="B116" t="s">
        <v>196</v>
      </c>
      <c r="C116" t="s">
        <v>241</v>
      </c>
      <c r="D116">
        <v>2</v>
      </c>
      <c r="E116">
        <v>5</v>
      </c>
      <c r="F116">
        <v>60</v>
      </c>
      <c r="G116">
        <v>10</v>
      </c>
      <c r="H116">
        <v>5.4</v>
      </c>
      <c r="I116">
        <v>11.7</v>
      </c>
      <c r="J116">
        <v>10.5</v>
      </c>
      <c r="K116">
        <v>7.9</v>
      </c>
      <c r="L116">
        <v>30</v>
      </c>
    </row>
    <row r="117" spans="1:12" x14ac:dyDescent="0.25">
      <c r="A117" t="s">
        <v>193</v>
      </c>
      <c r="B117" t="s">
        <v>196</v>
      </c>
      <c r="C117" t="s">
        <v>241</v>
      </c>
      <c r="D117">
        <v>2</v>
      </c>
      <c r="E117">
        <v>5</v>
      </c>
      <c r="F117">
        <v>50</v>
      </c>
      <c r="G117">
        <v>10</v>
      </c>
      <c r="H117">
        <v>5.4</v>
      </c>
      <c r="I117">
        <v>11.7</v>
      </c>
      <c r="J117">
        <v>10.5</v>
      </c>
      <c r="K117">
        <v>7.9</v>
      </c>
      <c r="L117">
        <v>24</v>
      </c>
    </row>
    <row r="118" spans="1:12" x14ac:dyDescent="0.25">
      <c r="A118" t="s">
        <v>193</v>
      </c>
      <c r="B118" t="s">
        <v>196</v>
      </c>
      <c r="C118" t="s">
        <v>241</v>
      </c>
      <c r="D118">
        <v>2</v>
      </c>
      <c r="E118">
        <v>5</v>
      </c>
      <c r="F118">
        <v>45</v>
      </c>
      <c r="G118">
        <v>10</v>
      </c>
      <c r="H118">
        <v>5.4</v>
      </c>
      <c r="I118">
        <v>11.7</v>
      </c>
      <c r="J118">
        <v>10.5</v>
      </c>
      <c r="K118">
        <v>7.9</v>
      </c>
      <c r="L118">
        <v>24</v>
      </c>
    </row>
    <row r="119" spans="1:12" x14ac:dyDescent="0.25">
      <c r="A119" t="s">
        <v>193</v>
      </c>
      <c r="B119" t="s">
        <v>196</v>
      </c>
      <c r="C119" t="s">
        <v>241</v>
      </c>
      <c r="D119">
        <v>2</v>
      </c>
      <c r="E119">
        <v>5</v>
      </c>
      <c r="F119">
        <v>40</v>
      </c>
      <c r="G119">
        <v>10</v>
      </c>
      <c r="H119">
        <v>5.4</v>
      </c>
      <c r="I119">
        <v>11.7</v>
      </c>
      <c r="J119">
        <v>10.5</v>
      </c>
      <c r="K119">
        <v>7.9</v>
      </c>
      <c r="L119">
        <v>24</v>
      </c>
    </row>
    <row r="120" spans="1:12" x14ac:dyDescent="0.25">
      <c r="A120" t="s">
        <v>193</v>
      </c>
      <c r="B120" t="s">
        <v>196</v>
      </c>
      <c r="C120" t="s">
        <v>241</v>
      </c>
      <c r="D120">
        <v>2</v>
      </c>
      <c r="E120">
        <v>4.5</v>
      </c>
      <c r="F120">
        <v>80</v>
      </c>
      <c r="G120">
        <v>9</v>
      </c>
      <c r="H120">
        <v>4.0999999999999996</v>
      </c>
      <c r="I120">
        <v>11.7</v>
      </c>
      <c r="J120">
        <v>10.5</v>
      </c>
      <c r="K120">
        <v>6.4</v>
      </c>
      <c r="L120">
        <v>40</v>
      </c>
    </row>
    <row r="121" spans="1:12" x14ac:dyDescent="0.25">
      <c r="A121" t="s">
        <v>193</v>
      </c>
      <c r="B121" t="s">
        <v>196</v>
      </c>
      <c r="C121" t="s">
        <v>241</v>
      </c>
      <c r="D121">
        <v>2</v>
      </c>
      <c r="E121">
        <v>4.5</v>
      </c>
      <c r="F121">
        <v>70</v>
      </c>
      <c r="G121">
        <v>9</v>
      </c>
      <c r="H121">
        <v>4.0999999999999996</v>
      </c>
      <c r="I121">
        <v>11.7</v>
      </c>
      <c r="J121">
        <v>10.5</v>
      </c>
      <c r="K121">
        <v>6.4</v>
      </c>
      <c r="L121">
        <v>40</v>
      </c>
    </row>
    <row r="122" spans="1:12" x14ac:dyDescent="0.25">
      <c r="A122" t="s">
        <v>193</v>
      </c>
      <c r="B122" t="s">
        <v>196</v>
      </c>
      <c r="C122" t="s">
        <v>241</v>
      </c>
      <c r="D122">
        <v>2</v>
      </c>
      <c r="E122">
        <v>4.5</v>
      </c>
      <c r="F122">
        <v>60</v>
      </c>
      <c r="G122">
        <v>9</v>
      </c>
      <c r="H122">
        <v>4.0999999999999996</v>
      </c>
      <c r="I122">
        <v>11.7</v>
      </c>
      <c r="J122">
        <v>10.5</v>
      </c>
      <c r="K122">
        <v>6.4</v>
      </c>
      <c r="L122">
        <v>35</v>
      </c>
    </row>
    <row r="123" spans="1:12" x14ac:dyDescent="0.25">
      <c r="A123" t="s">
        <v>193</v>
      </c>
      <c r="B123" t="s">
        <v>196</v>
      </c>
      <c r="C123" t="s">
        <v>241</v>
      </c>
      <c r="D123">
        <v>2</v>
      </c>
      <c r="E123">
        <v>4.5</v>
      </c>
      <c r="F123">
        <v>50</v>
      </c>
      <c r="G123">
        <v>9</v>
      </c>
      <c r="H123">
        <v>4.0999999999999996</v>
      </c>
      <c r="I123">
        <v>11.7</v>
      </c>
      <c r="J123">
        <v>10.5</v>
      </c>
      <c r="K123">
        <v>6.4</v>
      </c>
      <c r="L123">
        <v>30</v>
      </c>
    </row>
    <row r="124" spans="1:12" x14ac:dyDescent="0.25">
      <c r="A124" t="s">
        <v>193</v>
      </c>
      <c r="B124" t="s">
        <v>196</v>
      </c>
      <c r="C124" t="s">
        <v>241</v>
      </c>
      <c r="D124">
        <v>2</v>
      </c>
      <c r="E124">
        <v>4.5</v>
      </c>
      <c r="F124">
        <v>45</v>
      </c>
      <c r="G124">
        <v>9</v>
      </c>
      <c r="H124">
        <v>4.0999999999999996</v>
      </c>
      <c r="I124">
        <v>11.7</v>
      </c>
      <c r="J124">
        <v>10.5</v>
      </c>
      <c r="K124">
        <v>6.4</v>
      </c>
      <c r="L124">
        <v>30</v>
      </c>
    </row>
    <row r="125" spans="1:12" x14ac:dyDescent="0.25">
      <c r="A125" t="s">
        <v>193</v>
      </c>
      <c r="B125" t="s">
        <v>196</v>
      </c>
      <c r="C125" t="s">
        <v>241</v>
      </c>
      <c r="D125">
        <v>2</v>
      </c>
      <c r="E125">
        <v>4.5</v>
      </c>
      <c r="F125">
        <v>40</v>
      </c>
      <c r="G125">
        <v>9</v>
      </c>
      <c r="H125">
        <v>4.0999999999999996</v>
      </c>
      <c r="I125">
        <v>11.7</v>
      </c>
      <c r="J125">
        <v>10.5</v>
      </c>
      <c r="K125">
        <v>6.4</v>
      </c>
      <c r="L125">
        <v>24</v>
      </c>
    </row>
    <row r="126" spans="1:12" x14ac:dyDescent="0.25">
      <c r="A126" t="s">
        <v>193</v>
      </c>
      <c r="B126" t="s">
        <v>196</v>
      </c>
      <c r="C126" t="s">
        <v>241</v>
      </c>
      <c r="D126">
        <v>2</v>
      </c>
      <c r="E126">
        <v>4</v>
      </c>
      <c r="F126">
        <v>80</v>
      </c>
      <c r="G126">
        <v>8</v>
      </c>
      <c r="H126">
        <v>3</v>
      </c>
      <c r="I126">
        <v>11.7</v>
      </c>
      <c r="J126">
        <v>10.5</v>
      </c>
      <c r="K126">
        <v>5</v>
      </c>
      <c r="L126">
        <v>40</v>
      </c>
    </row>
    <row r="127" spans="1:12" x14ac:dyDescent="0.25">
      <c r="A127" t="s">
        <v>193</v>
      </c>
      <c r="B127" t="s">
        <v>196</v>
      </c>
      <c r="C127" t="s">
        <v>241</v>
      </c>
      <c r="D127">
        <v>2</v>
      </c>
      <c r="E127">
        <v>4</v>
      </c>
      <c r="F127">
        <v>70</v>
      </c>
      <c r="G127">
        <v>8</v>
      </c>
      <c r="H127">
        <v>3</v>
      </c>
      <c r="I127">
        <v>11.7</v>
      </c>
      <c r="J127">
        <v>10.5</v>
      </c>
      <c r="K127">
        <v>5</v>
      </c>
      <c r="L127">
        <v>40</v>
      </c>
    </row>
    <row r="128" spans="1:12" x14ac:dyDescent="0.25">
      <c r="A128" t="s">
        <v>193</v>
      </c>
      <c r="B128" t="s">
        <v>196</v>
      </c>
      <c r="C128" t="s">
        <v>241</v>
      </c>
      <c r="D128">
        <v>2</v>
      </c>
      <c r="E128">
        <v>4</v>
      </c>
      <c r="F128">
        <v>60</v>
      </c>
      <c r="G128">
        <v>8</v>
      </c>
      <c r="H128">
        <v>3</v>
      </c>
      <c r="I128">
        <v>11.7</v>
      </c>
      <c r="J128">
        <v>10.5</v>
      </c>
      <c r="K128">
        <v>5</v>
      </c>
      <c r="L128">
        <v>35</v>
      </c>
    </row>
    <row r="129" spans="1:12" x14ac:dyDescent="0.25">
      <c r="A129" t="s">
        <v>193</v>
      </c>
      <c r="B129" t="s">
        <v>196</v>
      </c>
      <c r="C129" t="s">
        <v>241</v>
      </c>
      <c r="D129">
        <v>2</v>
      </c>
      <c r="E129">
        <v>4</v>
      </c>
      <c r="F129">
        <v>50</v>
      </c>
      <c r="G129">
        <v>8</v>
      </c>
      <c r="H129">
        <v>3</v>
      </c>
      <c r="I129">
        <v>11.7</v>
      </c>
      <c r="J129">
        <v>10.5</v>
      </c>
      <c r="K129">
        <v>5</v>
      </c>
      <c r="L129">
        <v>30</v>
      </c>
    </row>
    <row r="130" spans="1:12" x14ac:dyDescent="0.25">
      <c r="A130" t="s">
        <v>193</v>
      </c>
      <c r="B130" t="s">
        <v>196</v>
      </c>
      <c r="C130" t="s">
        <v>241</v>
      </c>
      <c r="D130">
        <v>2</v>
      </c>
      <c r="E130">
        <v>4</v>
      </c>
      <c r="F130">
        <v>45</v>
      </c>
      <c r="G130">
        <v>8</v>
      </c>
      <c r="H130">
        <v>3</v>
      </c>
      <c r="I130">
        <v>11.7</v>
      </c>
      <c r="J130">
        <v>10.5</v>
      </c>
      <c r="K130">
        <v>5</v>
      </c>
      <c r="L130">
        <v>30</v>
      </c>
    </row>
    <row r="131" spans="1:12" x14ac:dyDescent="0.25">
      <c r="A131" t="s">
        <v>193</v>
      </c>
      <c r="B131" t="s">
        <v>196</v>
      </c>
      <c r="C131" t="s">
        <v>241</v>
      </c>
      <c r="D131">
        <v>2</v>
      </c>
      <c r="E131">
        <v>4</v>
      </c>
      <c r="F131">
        <v>40</v>
      </c>
      <c r="G131">
        <v>8</v>
      </c>
      <c r="H131">
        <v>3</v>
      </c>
      <c r="I131">
        <v>11.7</v>
      </c>
      <c r="J131">
        <v>10.5</v>
      </c>
      <c r="K131">
        <v>5</v>
      </c>
      <c r="L131">
        <v>24</v>
      </c>
    </row>
    <row r="132" spans="1:12" x14ac:dyDescent="0.25">
      <c r="A132" t="s">
        <v>193</v>
      </c>
      <c r="B132" t="s">
        <v>196</v>
      </c>
      <c r="C132" t="s">
        <v>241</v>
      </c>
      <c r="D132">
        <v>2</v>
      </c>
      <c r="E132">
        <v>4</v>
      </c>
      <c r="F132">
        <v>35</v>
      </c>
      <c r="G132">
        <v>8</v>
      </c>
      <c r="H132">
        <v>3</v>
      </c>
      <c r="I132">
        <v>11.7</v>
      </c>
      <c r="J132">
        <v>10.5</v>
      </c>
      <c r="K132">
        <v>5</v>
      </c>
      <c r="L132">
        <v>18</v>
      </c>
    </row>
    <row r="133" spans="1:12" x14ac:dyDescent="0.25">
      <c r="A133" t="s">
        <v>193</v>
      </c>
      <c r="B133" t="s">
        <v>196</v>
      </c>
      <c r="C133" t="s">
        <v>241</v>
      </c>
      <c r="D133">
        <v>2</v>
      </c>
      <c r="E133">
        <v>4</v>
      </c>
      <c r="F133">
        <v>30</v>
      </c>
      <c r="G133">
        <v>8</v>
      </c>
      <c r="H133">
        <v>3</v>
      </c>
      <c r="I133">
        <v>11.7</v>
      </c>
      <c r="J133">
        <v>10.5</v>
      </c>
      <c r="K133">
        <v>5</v>
      </c>
      <c r="L133">
        <v>18</v>
      </c>
    </row>
    <row r="134" spans="1:12" x14ac:dyDescent="0.25">
      <c r="A134" t="s">
        <v>193</v>
      </c>
      <c r="B134" t="s">
        <v>196</v>
      </c>
      <c r="C134" t="s">
        <v>241</v>
      </c>
      <c r="D134">
        <v>2</v>
      </c>
      <c r="E134">
        <v>3.5</v>
      </c>
      <c r="F134">
        <v>50</v>
      </c>
      <c r="G134">
        <v>7</v>
      </c>
      <c r="H134">
        <v>2.1</v>
      </c>
      <c r="I134">
        <v>11.7</v>
      </c>
      <c r="J134">
        <v>10.5</v>
      </c>
      <c r="K134">
        <v>3.8</v>
      </c>
      <c r="L134">
        <v>24</v>
      </c>
    </row>
    <row r="135" spans="1:12" x14ac:dyDescent="0.25">
      <c r="A135" t="s">
        <v>193</v>
      </c>
      <c r="B135" t="s">
        <v>196</v>
      </c>
      <c r="C135" t="s">
        <v>241</v>
      </c>
      <c r="D135">
        <v>2</v>
      </c>
      <c r="E135">
        <v>3.5</v>
      </c>
      <c r="F135">
        <v>45</v>
      </c>
      <c r="G135">
        <v>7</v>
      </c>
      <c r="H135">
        <v>2.1</v>
      </c>
      <c r="I135">
        <v>11.7</v>
      </c>
      <c r="J135">
        <v>10.5</v>
      </c>
      <c r="K135">
        <v>3.8</v>
      </c>
      <c r="L135">
        <v>24</v>
      </c>
    </row>
    <row r="136" spans="1:12" x14ac:dyDescent="0.25">
      <c r="A136" t="s">
        <v>193</v>
      </c>
      <c r="B136" t="s">
        <v>196</v>
      </c>
      <c r="C136" t="s">
        <v>241</v>
      </c>
      <c r="D136">
        <v>2</v>
      </c>
      <c r="E136">
        <v>3.5</v>
      </c>
      <c r="F136">
        <v>40</v>
      </c>
      <c r="G136">
        <v>7</v>
      </c>
      <c r="H136">
        <v>2.1</v>
      </c>
      <c r="I136">
        <v>11.7</v>
      </c>
      <c r="J136">
        <v>10.5</v>
      </c>
      <c r="K136">
        <v>3.8</v>
      </c>
      <c r="L136">
        <v>18</v>
      </c>
    </row>
    <row r="137" spans="1:12" x14ac:dyDescent="0.25">
      <c r="A137" t="s">
        <v>193</v>
      </c>
      <c r="B137" t="s">
        <v>197</v>
      </c>
      <c r="C137" t="s">
        <v>241</v>
      </c>
      <c r="D137">
        <v>3</v>
      </c>
      <c r="E137">
        <v>8</v>
      </c>
      <c r="F137">
        <v>320</v>
      </c>
      <c r="G137">
        <v>14.5</v>
      </c>
      <c r="H137">
        <v>20.100000000000001</v>
      </c>
      <c r="I137">
        <v>11.7</v>
      </c>
      <c r="J137">
        <v>10.5</v>
      </c>
      <c r="K137">
        <v>20.100000000000001</v>
      </c>
      <c r="L137">
        <v>100</v>
      </c>
    </row>
    <row r="138" spans="1:12" x14ac:dyDescent="0.25">
      <c r="A138" t="s">
        <v>193</v>
      </c>
      <c r="B138" t="s">
        <v>197</v>
      </c>
      <c r="C138" t="s">
        <v>241</v>
      </c>
      <c r="D138">
        <v>3</v>
      </c>
      <c r="E138">
        <v>8</v>
      </c>
      <c r="F138">
        <v>280</v>
      </c>
      <c r="G138">
        <v>14.5</v>
      </c>
      <c r="H138">
        <v>20.100000000000001</v>
      </c>
      <c r="I138">
        <v>11.7</v>
      </c>
      <c r="J138">
        <v>10.5</v>
      </c>
      <c r="K138">
        <v>20.100000000000001</v>
      </c>
      <c r="L138">
        <v>80</v>
      </c>
    </row>
    <row r="139" spans="1:12" x14ac:dyDescent="0.25">
      <c r="A139" t="s">
        <v>193</v>
      </c>
      <c r="B139" t="s">
        <v>197</v>
      </c>
      <c r="C139" t="s">
        <v>241</v>
      </c>
      <c r="D139">
        <v>3</v>
      </c>
      <c r="E139">
        <v>8</v>
      </c>
      <c r="F139">
        <v>240</v>
      </c>
      <c r="G139">
        <v>14.5</v>
      </c>
      <c r="H139">
        <v>20.100000000000001</v>
      </c>
      <c r="I139">
        <v>11.7</v>
      </c>
      <c r="J139">
        <v>10.5</v>
      </c>
      <c r="K139">
        <v>20.100000000000001</v>
      </c>
      <c r="L139">
        <v>80</v>
      </c>
    </row>
    <row r="140" spans="1:12" x14ac:dyDescent="0.25">
      <c r="A140" t="s">
        <v>193</v>
      </c>
      <c r="B140" t="s">
        <v>197</v>
      </c>
      <c r="C140" t="s">
        <v>241</v>
      </c>
      <c r="D140">
        <v>3</v>
      </c>
      <c r="E140">
        <v>8</v>
      </c>
      <c r="F140">
        <v>220</v>
      </c>
      <c r="G140">
        <v>14.5</v>
      </c>
      <c r="H140">
        <v>20.100000000000001</v>
      </c>
      <c r="I140">
        <v>11.7</v>
      </c>
      <c r="J140">
        <v>10.5</v>
      </c>
      <c r="K140">
        <v>20.100000000000001</v>
      </c>
      <c r="L140">
        <v>80</v>
      </c>
    </row>
    <row r="141" spans="1:12" x14ac:dyDescent="0.25">
      <c r="A141" t="s">
        <v>193</v>
      </c>
      <c r="B141" t="s">
        <v>197</v>
      </c>
      <c r="C141" t="s">
        <v>241</v>
      </c>
      <c r="D141">
        <v>3</v>
      </c>
      <c r="E141">
        <v>8</v>
      </c>
      <c r="F141">
        <v>200</v>
      </c>
      <c r="G141">
        <v>14.5</v>
      </c>
      <c r="H141">
        <v>20.100000000000001</v>
      </c>
      <c r="I141">
        <v>11.7</v>
      </c>
      <c r="J141">
        <v>10.5</v>
      </c>
      <c r="K141">
        <v>20.100000000000001</v>
      </c>
      <c r="L141">
        <v>80</v>
      </c>
    </row>
    <row r="142" spans="1:12" x14ac:dyDescent="0.25">
      <c r="A142" t="s">
        <v>193</v>
      </c>
      <c r="B142" t="s">
        <v>197</v>
      </c>
      <c r="C142" t="s">
        <v>241</v>
      </c>
      <c r="D142">
        <v>3</v>
      </c>
      <c r="E142">
        <v>8</v>
      </c>
      <c r="F142">
        <v>180</v>
      </c>
      <c r="G142">
        <v>14.5</v>
      </c>
      <c r="H142">
        <v>20.100000000000001</v>
      </c>
      <c r="I142">
        <v>11.7</v>
      </c>
      <c r="J142">
        <v>10.5</v>
      </c>
      <c r="K142">
        <v>20.100000000000001</v>
      </c>
      <c r="L142">
        <v>80</v>
      </c>
    </row>
    <row r="143" spans="1:12" x14ac:dyDescent="0.25">
      <c r="A143" t="s">
        <v>193</v>
      </c>
      <c r="B143" t="s">
        <v>197</v>
      </c>
      <c r="C143" t="s">
        <v>241</v>
      </c>
      <c r="D143">
        <v>3</v>
      </c>
      <c r="E143">
        <v>8</v>
      </c>
      <c r="F143">
        <v>160</v>
      </c>
      <c r="G143">
        <v>14.5</v>
      </c>
      <c r="H143">
        <v>20.100000000000001</v>
      </c>
      <c r="I143">
        <v>11.7</v>
      </c>
      <c r="J143">
        <v>10.5</v>
      </c>
      <c r="K143">
        <v>20.100000000000001</v>
      </c>
      <c r="L143">
        <v>80</v>
      </c>
    </row>
    <row r="144" spans="1:12" x14ac:dyDescent="0.25">
      <c r="A144" t="s">
        <v>193</v>
      </c>
      <c r="B144" t="s">
        <v>197</v>
      </c>
      <c r="C144" t="s">
        <v>241</v>
      </c>
      <c r="D144">
        <v>3</v>
      </c>
      <c r="E144">
        <v>8</v>
      </c>
      <c r="F144">
        <v>140</v>
      </c>
      <c r="G144">
        <v>14.5</v>
      </c>
      <c r="H144">
        <v>20.100000000000001</v>
      </c>
      <c r="I144">
        <v>11.7</v>
      </c>
      <c r="J144">
        <v>10.5</v>
      </c>
      <c r="K144">
        <v>20.100000000000001</v>
      </c>
      <c r="L144">
        <v>60</v>
      </c>
    </row>
    <row r="145" spans="1:12" x14ac:dyDescent="0.25">
      <c r="A145" t="s">
        <v>193</v>
      </c>
      <c r="B145" t="s">
        <v>197</v>
      </c>
      <c r="C145" t="s">
        <v>241</v>
      </c>
      <c r="D145">
        <v>3</v>
      </c>
      <c r="E145">
        <v>8</v>
      </c>
      <c r="F145">
        <v>120</v>
      </c>
      <c r="G145">
        <v>14.5</v>
      </c>
      <c r="H145">
        <v>20.100000000000001</v>
      </c>
      <c r="I145">
        <v>11.7</v>
      </c>
      <c r="J145">
        <v>10.5</v>
      </c>
      <c r="K145">
        <v>20.100000000000001</v>
      </c>
      <c r="L145">
        <v>60</v>
      </c>
    </row>
    <row r="146" spans="1:12" x14ac:dyDescent="0.25">
      <c r="A146" t="s">
        <v>193</v>
      </c>
      <c r="B146" t="s">
        <v>197</v>
      </c>
      <c r="C146" t="s">
        <v>241</v>
      </c>
      <c r="D146">
        <v>3</v>
      </c>
      <c r="E146">
        <v>8</v>
      </c>
      <c r="F146">
        <v>100</v>
      </c>
      <c r="G146">
        <v>14.5</v>
      </c>
      <c r="H146">
        <v>20.100000000000001</v>
      </c>
      <c r="I146">
        <v>11.7</v>
      </c>
      <c r="J146">
        <v>10.5</v>
      </c>
      <c r="K146">
        <v>20.100000000000001</v>
      </c>
      <c r="L146">
        <v>25</v>
      </c>
    </row>
    <row r="147" spans="1:12" x14ac:dyDescent="0.25">
      <c r="A147" t="s">
        <v>193</v>
      </c>
      <c r="B147" t="s">
        <v>197</v>
      </c>
      <c r="C147" t="s">
        <v>241</v>
      </c>
      <c r="D147">
        <v>3</v>
      </c>
      <c r="E147">
        <v>6</v>
      </c>
      <c r="F147">
        <v>200</v>
      </c>
      <c r="G147">
        <v>12</v>
      </c>
      <c r="H147">
        <v>9.5</v>
      </c>
      <c r="I147">
        <v>11.7</v>
      </c>
      <c r="J147">
        <v>10.5</v>
      </c>
      <c r="K147">
        <v>11.3</v>
      </c>
      <c r="L147">
        <v>75</v>
      </c>
    </row>
    <row r="148" spans="1:12" x14ac:dyDescent="0.25">
      <c r="A148" t="s">
        <v>193</v>
      </c>
      <c r="B148" t="s">
        <v>197</v>
      </c>
      <c r="C148" t="s">
        <v>241</v>
      </c>
      <c r="D148">
        <v>3</v>
      </c>
      <c r="E148">
        <v>6</v>
      </c>
      <c r="F148">
        <v>160</v>
      </c>
      <c r="G148">
        <v>12</v>
      </c>
      <c r="H148">
        <v>9.5</v>
      </c>
      <c r="I148">
        <v>11.7</v>
      </c>
      <c r="J148">
        <v>10.5</v>
      </c>
      <c r="K148">
        <v>11.3</v>
      </c>
      <c r="L148">
        <v>75</v>
      </c>
    </row>
    <row r="149" spans="1:12" x14ac:dyDescent="0.25">
      <c r="A149" t="s">
        <v>193</v>
      </c>
      <c r="B149" t="s">
        <v>197</v>
      </c>
      <c r="C149" t="s">
        <v>241</v>
      </c>
      <c r="D149">
        <v>3</v>
      </c>
      <c r="E149">
        <v>6</v>
      </c>
      <c r="F149">
        <v>140</v>
      </c>
      <c r="G149">
        <v>12</v>
      </c>
      <c r="H149">
        <v>9.5</v>
      </c>
      <c r="I149">
        <v>11.7</v>
      </c>
      <c r="J149">
        <v>10.5</v>
      </c>
      <c r="K149">
        <v>11.3</v>
      </c>
      <c r="L149">
        <v>75</v>
      </c>
    </row>
    <row r="150" spans="1:12" x14ac:dyDescent="0.25">
      <c r="A150" t="s">
        <v>193</v>
      </c>
      <c r="B150" t="s">
        <v>197</v>
      </c>
      <c r="C150" t="s">
        <v>241</v>
      </c>
      <c r="D150">
        <v>3</v>
      </c>
      <c r="E150">
        <v>6</v>
      </c>
      <c r="F150">
        <v>120</v>
      </c>
      <c r="G150">
        <v>12</v>
      </c>
      <c r="H150">
        <v>9.5</v>
      </c>
      <c r="I150">
        <v>11.7</v>
      </c>
      <c r="J150">
        <v>10.5</v>
      </c>
      <c r="K150">
        <v>11.3</v>
      </c>
      <c r="L150">
        <v>60</v>
      </c>
    </row>
    <row r="151" spans="1:12" x14ac:dyDescent="0.25">
      <c r="A151" t="s">
        <v>193</v>
      </c>
      <c r="B151" t="s">
        <v>197</v>
      </c>
      <c r="C151" t="s">
        <v>241</v>
      </c>
      <c r="D151">
        <v>3</v>
      </c>
      <c r="E151">
        <v>6</v>
      </c>
      <c r="F151">
        <v>100</v>
      </c>
      <c r="G151">
        <v>12</v>
      </c>
      <c r="H151">
        <v>9.5</v>
      </c>
      <c r="I151">
        <v>11.7</v>
      </c>
      <c r="J151">
        <v>10.5</v>
      </c>
      <c r="K151">
        <v>11.3</v>
      </c>
      <c r="L151">
        <v>50</v>
      </c>
    </row>
    <row r="152" spans="1:12" x14ac:dyDescent="0.25">
      <c r="A152" t="s">
        <v>193</v>
      </c>
      <c r="B152" t="s">
        <v>197</v>
      </c>
      <c r="C152" t="s">
        <v>241</v>
      </c>
      <c r="D152">
        <v>3</v>
      </c>
      <c r="E152">
        <v>6</v>
      </c>
      <c r="F152">
        <v>80</v>
      </c>
      <c r="G152">
        <v>12</v>
      </c>
      <c r="H152">
        <v>9.5</v>
      </c>
      <c r="I152">
        <v>11.7</v>
      </c>
      <c r="J152">
        <v>10.5</v>
      </c>
      <c r="K152">
        <v>11.3</v>
      </c>
      <c r="L152">
        <v>40</v>
      </c>
    </row>
    <row r="153" spans="1:12" x14ac:dyDescent="0.25">
      <c r="A153" t="s">
        <v>193</v>
      </c>
      <c r="B153" t="s">
        <v>197</v>
      </c>
      <c r="C153" t="s">
        <v>241</v>
      </c>
      <c r="D153">
        <v>3</v>
      </c>
      <c r="E153">
        <v>5</v>
      </c>
      <c r="F153">
        <v>100</v>
      </c>
      <c r="G153">
        <v>10</v>
      </c>
      <c r="H153">
        <v>5.4</v>
      </c>
      <c r="I153">
        <v>11.7</v>
      </c>
      <c r="J153">
        <v>10.5</v>
      </c>
      <c r="K153">
        <v>7.9</v>
      </c>
      <c r="L153">
        <v>50</v>
      </c>
    </row>
    <row r="154" spans="1:12" x14ac:dyDescent="0.25">
      <c r="A154" t="s">
        <v>193</v>
      </c>
      <c r="B154" t="s">
        <v>197</v>
      </c>
      <c r="C154" t="s">
        <v>241</v>
      </c>
      <c r="D154">
        <v>3</v>
      </c>
      <c r="E154">
        <v>5</v>
      </c>
      <c r="F154">
        <v>90</v>
      </c>
      <c r="G154">
        <v>10</v>
      </c>
      <c r="H154">
        <v>5.4</v>
      </c>
      <c r="I154">
        <v>11.7</v>
      </c>
      <c r="J154">
        <v>10.5</v>
      </c>
      <c r="K154">
        <v>7.9</v>
      </c>
      <c r="L154">
        <v>45</v>
      </c>
    </row>
    <row r="155" spans="1:12" x14ac:dyDescent="0.25">
      <c r="A155" t="s">
        <v>193</v>
      </c>
      <c r="B155" t="s">
        <v>197</v>
      </c>
      <c r="C155" t="s">
        <v>241</v>
      </c>
      <c r="D155">
        <v>3</v>
      </c>
      <c r="E155">
        <v>5</v>
      </c>
      <c r="F155">
        <v>80</v>
      </c>
      <c r="G155">
        <v>10</v>
      </c>
      <c r="H155">
        <v>5.4</v>
      </c>
      <c r="I155">
        <v>11.7</v>
      </c>
      <c r="J155">
        <v>10.5</v>
      </c>
      <c r="K155">
        <v>7.9</v>
      </c>
      <c r="L155">
        <v>45</v>
      </c>
    </row>
    <row r="156" spans="1:12" x14ac:dyDescent="0.25">
      <c r="A156" t="s">
        <v>193</v>
      </c>
      <c r="B156" t="s">
        <v>198</v>
      </c>
      <c r="C156" t="s">
        <v>233</v>
      </c>
      <c r="D156">
        <v>2</v>
      </c>
      <c r="E156">
        <v>7</v>
      </c>
      <c r="F156">
        <v>100</v>
      </c>
      <c r="G156">
        <v>11</v>
      </c>
      <c r="H156">
        <v>14.2</v>
      </c>
      <c r="I156">
        <v>11.7</v>
      </c>
      <c r="J156">
        <v>10.5</v>
      </c>
      <c r="K156">
        <v>15.4</v>
      </c>
      <c r="L156">
        <f>F156</f>
        <v>100</v>
      </c>
    </row>
    <row r="157" spans="1:12" x14ac:dyDescent="0.25">
      <c r="A157" t="s">
        <v>193</v>
      </c>
      <c r="B157" t="s">
        <v>198</v>
      </c>
      <c r="C157" t="s">
        <v>233</v>
      </c>
      <c r="D157">
        <v>2</v>
      </c>
      <c r="E157">
        <v>7</v>
      </c>
      <c r="F157">
        <v>80</v>
      </c>
      <c r="G157">
        <v>11</v>
      </c>
      <c r="H157">
        <v>14.2</v>
      </c>
      <c r="I157">
        <v>11.7</v>
      </c>
      <c r="J157">
        <v>10.5</v>
      </c>
      <c r="K157">
        <v>15.4</v>
      </c>
      <c r="L157">
        <f t="shared" ref="L157:L163" si="0">F157</f>
        <v>80</v>
      </c>
    </row>
    <row r="158" spans="1:12" x14ac:dyDescent="0.25">
      <c r="A158" t="s">
        <v>193</v>
      </c>
      <c r="B158" t="s">
        <v>198</v>
      </c>
      <c r="C158" t="s">
        <v>233</v>
      </c>
      <c r="D158">
        <v>2</v>
      </c>
      <c r="E158">
        <v>7</v>
      </c>
      <c r="F158">
        <v>60</v>
      </c>
      <c r="G158">
        <v>11</v>
      </c>
      <c r="H158">
        <v>14.2</v>
      </c>
      <c r="I158">
        <v>11.7</v>
      </c>
      <c r="J158">
        <v>10.5</v>
      </c>
      <c r="K158">
        <v>15.4</v>
      </c>
      <c r="L158">
        <f t="shared" si="0"/>
        <v>60</v>
      </c>
    </row>
    <row r="159" spans="1:12" x14ac:dyDescent="0.25">
      <c r="A159" t="s">
        <v>193</v>
      </c>
      <c r="B159" t="s">
        <v>198</v>
      </c>
      <c r="C159" t="s">
        <v>233</v>
      </c>
      <c r="D159">
        <v>2</v>
      </c>
      <c r="E159">
        <v>5</v>
      </c>
      <c r="F159">
        <v>70</v>
      </c>
      <c r="G159">
        <v>7.8</v>
      </c>
      <c r="H159">
        <v>5.4</v>
      </c>
      <c r="I159">
        <v>11.7</v>
      </c>
      <c r="J159">
        <v>10.5</v>
      </c>
      <c r="K159">
        <v>7.9</v>
      </c>
      <c r="L159">
        <f t="shared" si="0"/>
        <v>70</v>
      </c>
    </row>
    <row r="160" spans="1:12" x14ac:dyDescent="0.25">
      <c r="A160" t="s">
        <v>193</v>
      </c>
      <c r="B160" t="s">
        <v>198</v>
      </c>
      <c r="C160" t="s">
        <v>233</v>
      </c>
      <c r="D160">
        <v>2</v>
      </c>
      <c r="E160">
        <v>5</v>
      </c>
      <c r="F160">
        <v>60</v>
      </c>
      <c r="G160">
        <v>7.8</v>
      </c>
      <c r="H160">
        <v>5.4</v>
      </c>
      <c r="I160">
        <v>11.7</v>
      </c>
      <c r="J160">
        <v>10.5</v>
      </c>
      <c r="K160">
        <v>7.9</v>
      </c>
      <c r="L160">
        <f t="shared" si="0"/>
        <v>60</v>
      </c>
    </row>
    <row r="161" spans="1:12" x14ac:dyDescent="0.25">
      <c r="A161" t="s">
        <v>193</v>
      </c>
      <c r="B161" t="s">
        <v>198</v>
      </c>
      <c r="C161" t="s">
        <v>233</v>
      </c>
      <c r="D161">
        <v>2</v>
      </c>
      <c r="E161">
        <v>5</v>
      </c>
      <c r="F161">
        <v>50</v>
      </c>
      <c r="G161">
        <v>7.8</v>
      </c>
      <c r="H161">
        <v>5.4</v>
      </c>
      <c r="I161">
        <v>11.7</v>
      </c>
      <c r="J161">
        <v>10.5</v>
      </c>
      <c r="K161">
        <v>7.9</v>
      </c>
      <c r="L161">
        <f t="shared" si="0"/>
        <v>50</v>
      </c>
    </row>
    <row r="162" spans="1:12" x14ac:dyDescent="0.25">
      <c r="A162" t="s">
        <v>193</v>
      </c>
      <c r="B162" t="s">
        <v>198</v>
      </c>
      <c r="C162" t="s">
        <v>233</v>
      </c>
      <c r="D162">
        <v>2</v>
      </c>
      <c r="E162">
        <v>5</v>
      </c>
      <c r="F162">
        <v>40</v>
      </c>
      <c r="G162">
        <v>7.8</v>
      </c>
      <c r="H162">
        <v>5.4</v>
      </c>
      <c r="I162">
        <v>11.7</v>
      </c>
      <c r="J162">
        <v>10.5</v>
      </c>
      <c r="K162">
        <v>7.9</v>
      </c>
      <c r="L162">
        <f t="shared" si="0"/>
        <v>40</v>
      </c>
    </row>
    <row r="163" spans="1:12" x14ac:dyDescent="0.25">
      <c r="A163" t="s">
        <v>193</v>
      </c>
      <c r="B163" t="s">
        <v>198</v>
      </c>
      <c r="C163" t="s">
        <v>233</v>
      </c>
      <c r="D163">
        <v>2</v>
      </c>
      <c r="E163">
        <v>5</v>
      </c>
      <c r="F163">
        <v>25</v>
      </c>
      <c r="G163">
        <v>7.8</v>
      </c>
      <c r="H163">
        <v>5.4</v>
      </c>
      <c r="I163">
        <v>11.7</v>
      </c>
      <c r="J163">
        <v>10.5</v>
      </c>
      <c r="K163">
        <v>7.9</v>
      </c>
      <c r="L163">
        <f t="shared" si="0"/>
        <v>25</v>
      </c>
    </row>
    <row r="164" spans="1:12" x14ac:dyDescent="0.25">
      <c r="A164" t="s">
        <v>193</v>
      </c>
      <c r="B164" t="s">
        <v>200</v>
      </c>
      <c r="C164" t="s">
        <v>235</v>
      </c>
      <c r="D164">
        <v>2</v>
      </c>
      <c r="E164">
        <v>12</v>
      </c>
      <c r="F164">
        <v>400</v>
      </c>
      <c r="G164">
        <v>18</v>
      </c>
      <c r="L164">
        <v>100</v>
      </c>
    </row>
    <row r="165" spans="1:12" x14ac:dyDescent="0.25">
      <c r="A165" t="s">
        <v>193</v>
      </c>
      <c r="B165" t="s">
        <v>200</v>
      </c>
      <c r="C165" t="s">
        <v>235</v>
      </c>
      <c r="D165">
        <v>2</v>
      </c>
      <c r="E165">
        <v>12</v>
      </c>
      <c r="F165">
        <v>320</v>
      </c>
      <c r="G165">
        <v>18</v>
      </c>
      <c r="L165">
        <v>100</v>
      </c>
    </row>
    <row r="166" spans="1:12" x14ac:dyDescent="0.25">
      <c r="A166" t="s">
        <v>193</v>
      </c>
      <c r="B166" t="s">
        <v>200</v>
      </c>
      <c r="C166" t="s">
        <v>235</v>
      </c>
      <c r="D166">
        <v>2</v>
      </c>
      <c r="E166">
        <v>12</v>
      </c>
      <c r="F166">
        <v>280</v>
      </c>
      <c r="G166">
        <v>18</v>
      </c>
      <c r="L166">
        <v>100</v>
      </c>
    </row>
    <row r="167" spans="1:12" x14ac:dyDescent="0.25">
      <c r="A167" t="s">
        <v>193</v>
      </c>
      <c r="B167" t="s">
        <v>200</v>
      </c>
      <c r="C167" t="s">
        <v>235</v>
      </c>
      <c r="D167">
        <v>2</v>
      </c>
      <c r="E167">
        <v>12</v>
      </c>
      <c r="F167">
        <v>240</v>
      </c>
      <c r="G167">
        <v>18</v>
      </c>
      <c r="L167">
        <v>100</v>
      </c>
    </row>
    <row r="168" spans="1:12" x14ac:dyDescent="0.25">
      <c r="A168" t="s">
        <v>193</v>
      </c>
      <c r="B168" t="s">
        <v>200</v>
      </c>
      <c r="C168" t="s">
        <v>235</v>
      </c>
      <c r="D168">
        <v>2</v>
      </c>
      <c r="E168">
        <v>12</v>
      </c>
      <c r="F168">
        <v>200</v>
      </c>
      <c r="G168">
        <v>18</v>
      </c>
      <c r="L168">
        <v>100</v>
      </c>
    </row>
    <row r="169" spans="1:12" x14ac:dyDescent="0.25">
      <c r="A169" t="s">
        <v>193</v>
      </c>
      <c r="B169" t="s">
        <v>200</v>
      </c>
      <c r="C169" t="s">
        <v>235</v>
      </c>
      <c r="D169">
        <v>2</v>
      </c>
      <c r="E169">
        <v>12</v>
      </c>
      <c r="F169">
        <v>160</v>
      </c>
      <c r="G169">
        <v>18</v>
      </c>
      <c r="L169">
        <v>100</v>
      </c>
    </row>
    <row r="170" spans="1:12" x14ac:dyDescent="0.25">
      <c r="A170" t="s">
        <v>193</v>
      </c>
      <c r="B170" t="s">
        <v>200</v>
      </c>
      <c r="C170" t="s">
        <v>235</v>
      </c>
      <c r="D170">
        <v>2</v>
      </c>
      <c r="E170">
        <v>12</v>
      </c>
      <c r="F170">
        <v>140</v>
      </c>
      <c r="G170">
        <v>18</v>
      </c>
      <c r="L170">
        <v>100</v>
      </c>
    </row>
    <row r="171" spans="1:12" x14ac:dyDescent="0.25">
      <c r="A171" t="s">
        <v>193</v>
      </c>
      <c r="B171" t="s">
        <v>200</v>
      </c>
      <c r="C171" t="s">
        <v>235</v>
      </c>
      <c r="D171">
        <v>2</v>
      </c>
      <c r="E171">
        <v>12</v>
      </c>
      <c r="F171">
        <v>120</v>
      </c>
      <c r="G171">
        <v>18</v>
      </c>
      <c r="L171">
        <v>100</v>
      </c>
    </row>
    <row r="172" spans="1:12" x14ac:dyDescent="0.25">
      <c r="A172" t="s">
        <v>193</v>
      </c>
      <c r="B172" t="s">
        <v>200</v>
      </c>
      <c r="C172" t="s">
        <v>235</v>
      </c>
      <c r="D172">
        <v>2</v>
      </c>
      <c r="E172">
        <v>12</v>
      </c>
      <c r="F172">
        <v>100</v>
      </c>
      <c r="G172">
        <v>18</v>
      </c>
      <c r="L172">
        <v>100</v>
      </c>
    </row>
    <row r="173" spans="1:12" x14ac:dyDescent="0.25">
      <c r="A173" t="s">
        <v>193</v>
      </c>
      <c r="B173" t="s">
        <v>200</v>
      </c>
      <c r="C173" t="s">
        <v>235</v>
      </c>
      <c r="D173">
        <v>2</v>
      </c>
      <c r="E173">
        <v>10</v>
      </c>
      <c r="F173">
        <v>160</v>
      </c>
      <c r="G173">
        <v>16</v>
      </c>
      <c r="L173">
        <v>95</v>
      </c>
    </row>
    <row r="174" spans="1:12" x14ac:dyDescent="0.25">
      <c r="A174" t="s">
        <v>193</v>
      </c>
      <c r="B174" t="s">
        <v>200</v>
      </c>
      <c r="C174" t="s">
        <v>235</v>
      </c>
      <c r="D174">
        <v>2</v>
      </c>
      <c r="E174">
        <v>10</v>
      </c>
      <c r="F174">
        <v>140</v>
      </c>
      <c r="G174">
        <v>16</v>
      </c>
      <c r="L174">
        <v>95</v>
      </c>
    </row>
    <row r="175" spans="1:12" x14ac:dyDescent="0.25">
      <c r="A175" t="s">
        <v>193</v>
      </c>
      <c r="B175" t="s">
        <v>200</v>
      </c>
      <c r="C175" t="s">
        <v>235</v>
      </c>
      <c r="D175">
        <v>2</v>
      </c>
      <c r="E175">
        <v>10</v>
      </c>
      <c r="F175">
        <v>120</v>
      </c>
      <c r="G175">
        <v>16</v>
      </c>
      <c r="L175">
        <v>95</v>
      </c>
    </row>
    <row r="176" spans="1:12" x14ac:dyDescent="0.25">
      <c r="A176" t="s">
        <v>193</v>
      </c>
      <c r="B176" t="s">
        <v>200</v>
      </c>
      <c r="C176" t="s">
        <v>235</v>
      </c>
      <c r="D176">
        <v>2</v>
      </c>
      <c r="E176">
        <v>10</v>
      </c>
      <c r="F176">
        <v>100</v>
      </c>
      <c r="G176">
        <v>16</v>
      </c>
      <c r="L176">
        <v>95</v>
      </c>
    </row>
    <row r="177" spans="1:12" x14ac:dyDescent="0.25">
      <c r="A177" t="s">
        <v>193</v>
      </c>
      <c r="B177" t="s">
        <v>200</v>
      </c>
      <c r="C177" t="s">
        <v>235</v>
      </c>
      <c r="D177">
        <v>2</v>
      </c>
      <c r="E177">
        <v>10</v>
      </c>
      <c r="F177">
        <v>80</v>
      </c>
      <c r="G177">
        <v>16</v>
      </c>
      <c r="L177">
        <v>65</v>
      </c>
    </row>
    <row r="178" spans="1:12" x14ac:dyDescent="0.25">
      <c r="A178" t="s">
        <v>193</v>
      </c>
      <c r="B178" t="s">
        <v>200</v>
      </c>
      <c r="C178" t="s">
        <v>235</v>
      </c>
      <c r="D178">
        <v>2</v>
      </c>
      <c r="E178">
        <v>7.5</v>
      </c>
      <c r="F178">
        <v>100</v>
      </c>
      <c r="G178">
        <v>13</v>
      </c>
      <c r="L178">
        <v>90</v>
      </c>
    </row>
    <row r="179" spans="1:12" x14ac:dyDescent="0.25">
      <c r="A179" t="s">
        <v>193</v>
      </c>
      <c r="B179" t="s">
        <v>200</v>
      </c>
      <c r="C179" t="s">
        <v>235</v>
      </c>
      <c r="D179">
        <v>2</v>
      </c>
      <c r="E179">
        <v>7.5</v>
      </c>
      <c r="F179">
        <v>80</v>
      </c>
      <c r="G179">
        <v>13</v>
      </c>
      <c r="L179">
        <v>60</v>
      </c>
    </row>
    <row r="180" spans="1:12" x14ac:dyDescent="0.25">
      <c r="A180" t="s">
        <v>193</v>
      </c>
      <c r="B180" t="s">
        <v>200</v>
      </c>
      <c r="C180" t="s">
        <v>235</v>
      </c>
      <c r="D180">
        <v>2</v>
      </c>
      <c r="E180">
        <v>7.5</v>
      </c>
      <c r="F180">
        <v>60</v>
      </c>
      <c r="G180">
        <v>13</v>
      </c>
      <c r="L180">
        <v>60</v>
      </c>
    </row>
    <row r="181" spans="1:12" x14ac:dyDescent="0.25">
      <c r="A181" t="s">
        <v>193</v>
      </c>
      <c r="B181" t="s">
        <v>201</v>
      </c>
      <c r="C181" t="s">
        <v>235</v>
      </c>
      <c r="D181">
        <v>3</v>
      </c>
      <c r="E181">
        <v>12</v>
      </c>
      <c r="F181">
        <v>100</v>
      </c>
      <c r="G181">
        <v>18</v>
      </c>
      <c r="L181">
        <v>100</v>
      </c>
    </row>
    <row r="182" spans="1:12" x14ac:dyDescent="0.25">
      <c r="A182" t="s">
        <v>193</v>
      </c>
      <c r="B182" t="s">
        <v>201</v>
      </c>
      <c r="C182" t="s">
        <v>235</v>
      </c>
      <c r="D182">
        <v>3</v>
      </c>
      <c r="E182">
        <v>10</v>
      </c>
      <c r="F182">
        <v>80</v>
      </c>
      <c r="G182">
        <v>16</v>
      </c>
      <c r="L182">
        <v>65</v>
      </c>
    </row>
    <row r="183" spans="1:12" x14ac:dyDescent="0.25">
      <c r="A183" t="s">
        <v>193</v>
      </c>
      <c r="B183" t="s">
        <v>201</v>
      </c>
      <c r="C183" t="s">
        <v>235</v>
      </c>
      <c r="D183">
        <v>3</v>
      </c>
      <c r="E183">
        <v>7.5</v>
      </c>
      <c r="F183">
        <v>60</v>
      </c>
      <c r="G183">
        <v>13</v>
      </c>
      <c r="L183">
        <v>60</v>
      </c>
    </row>
    <row r="184" spans="1:12" x14ac:dyDescent="0.25">
      <c r="A184" t="s">
        <v>193</v>
      </c>
      <c r="B184" t="s">
        <v>236</v>
      </c>
      <c r="C184" t="s">
        <v>237</v>
      </c>
      <c r="D184">
        <v>2</v>
      </c>
      <c r="E184">
        <v>7.5</v>
      </c>
      <c r="F184">
        <v>60</v>
      </c>
      <c r="G184">
        <v>13</v>
      </c>
      <c r="L184">
        <v>60</v>
      </c>
    </row>
    <row r="185" spans="1:12" x14ac:dyDescent="0.25">
      <c r="A185" t="s">
        <v>193</v>
      </c>
      <c r="B185" t="s">
        <v>236</v>
      </c>
      <c r="C185" t="s">
        <v>237</v>
      </c>
      <c r="D185">
        <v>2</v>
      </c>
      <c r="E185">
        <v>7.5</v>
      </c>
      <c r="F185">
        <v>80</v>
      </c>
      <c r="G185">
        <v>13</v>
      </c>
      <c r="L185">
        <v>60</v>
      </c>
    </row>
    <row r="186" spans="1:12" x14ac:dyDescent="0.25">
      <c r="A186" t="s">
        <v>193</v>
      </c>
      <c r="B186" t="s">
        <v>236</v>
      </c>
      <c r="C186" t="s">
        <v>237</v>
      </c>
      <c r="D186">
        <v>2</v>
      </c>
      <c r="E186">
        <v>7.5</v>
      </c>
      <c r="F186">
        <v>100</v>
      </c>
      <c r="G186">
        <v>13</v>
      </c>
      <c r="L186">
        <v>90</v>
      </c>
    </row>
    <row r="187" spans="1:12" x14ac:dyDescent="0.25">
      <c r="A187" t="s">
        <v>193</v>
      </c>
      <c r="B187" t="s">
        <v>236</v>
      </c>
      <c r="C187" t="s">
        <v>237</v>
      </c>
      <c r="D187">
        <v>2</v>
      </c>
      <c r="E187">
        <v>7.5</v>
      </c>
      <c r="F187">
        <v>120</v>
      </c>
      <c r="G187">
        <v>13</v>
      </c>
      <c r="L187">
        <v>90</v>
      </c>
    </row>
    <row r="188" spans="1:12" x14ac:dyDescent="0.25">
      <c r="A188" t="s">
        <v>193</v>
      </c>
      <c r="B188" t="s">
        <v>236</v>
      </c>
      <c r="C188" t="s">
        <v>237</v>
      </c>
      <c r="D188">
        <v>2</v>
      </c>
      <c r="E188">
        <v>7.5</v>
      </c>
      <c r="F188">
        <v>140</v>
      </c>
      <c r="G188">
        <v>13</v>
      </c>
      <c r="L188">
        <v>90</v>
      </c>
    </row>
    <row r="189" spans="1:12" x14ac:dyDescent="0.25">
      <c r="A189" t="s">
        <v>193</v>
      </c>
      <c r="B189" t="s">
        <v>236</v>
      </c>
      <c r="C189" t="s">
        <v>237</v>
      </c>
      <c r="D189">
        <v>2</v>
      </c>
      <c r="E189">
        <v>7.5</v>
      </c>
      <c r="F189">
        <v>160</v>
      </c>
      <c r="G189">
        <v>13</v>
      </c>
      <c r="L189">
        <v>90</v>
      </c>
    </row>
    <row r="190" spans="1:12" x14ac:dyDescent="0.25">
      <c r="A190" t="s">
        <v>193</v>
      </c>
      <c r="B190" t="s">
        <v>238</v>
      </c>
      <c r="C190" t="s">
        <v>237</v>
      </c>
      <c r="D190">
        <v>3</v>
      </c>
      <c r="E190">
        <v>7.5</v>
      </c>
      <c r="F190">
        <v>80</v>
      </c>
      <c r="G190">
        <v>13</v>
      </c>
      <c r="L190">
        <v>60</v>
      </c>
    </row>
    <row r="191" spans="1:12" x14ac:dyDescent="0.25">
      <c r="A191" t="s">
        <v>193</v>
      </c>
      <c r="B191" t="s">
        <v>238</v>
      </c>
      <c r="C191" t="s">
        <v>237</v>
      </c>
      <c r="D191">
        <v>3</v>
      </c>
      <c r="E191">
        <v>7.5</v>
      </c>
      <c r="F191">
        <v>100</v>
      </c>
      <c r="G191">
        <v>13</v>
      </c>
      <c r="L191">
        <v>90</v>
      </c>
    </row>
    <row r="192" spans="1:12" x14ac:dyDescent="0.25">
      <c r="A192" t="s">
        <v>193</v>
      </c>
      <c r="B192" t="s">
        <v>238</v>
      </c>
      <c r="C192" t="s">
        <v>237</v>
      </c>
      <c r="D192">
        <v>3</v>
      </c>
      <c r="E192">
        <v>7.5</v>
      </c>
      <c r="F192">
        <v>120</v>
      </c>
      <c r="G192">
        <v>13</v>
      </c>
      <c r="L192">
        <v>90</v>
      </c>
    </row>
    <row r="193" spans="1:12" x14ac:dyDescent="0.25">
      <c r="A193" t="s">
        <v>193</v>
      </c>
      <c r="B193" t="s">
        <v>202</v>
      </c>
      <c r="C193" t="s">
        <v>242</v>
      </c>
      <c r="D193">
        <v>2</v>
      </c>
      <c r="E193">
        <v>13</v>
      </c>
      <c r="F193">
        <v>1200</v>
      </c>
      <c r="G193">
        <v>22</v>
      </c>
      <c r="H193">
        <v>70.900000000000006</v>
      </c>
      <c r="I193">
        <v>11.7</v>
      </c>
      <c r="J193">
        <v>0</v>
      </c>
      <c r="K193">
        <v>53</v>
      </c>
      <c r="L193">
        <f>F193</f>
        <v>1200</v>
      </c>
    </row>
    <row r="194" spans="1:12" x14ac:dyDescent="0.25">
      <c r="A194" t="s">
        <v>193</v>
      </c>
      <c r="B194" t="s">
        <v>202</v>
      </c>
      <c r="C194" t="s">
        <v>242</v>
      </c>
      <c r="D194">
        <v>2</v>
      </c>
      <c r="E194">
        <v>13</v>
      </c>
      <c r="F194">
        <v>1100</v>
      </c>
      <c r="G194">
        <v>22</v>
      </c>
      <c r="H194">
        <v>70.900000000000006</v>
      </c>
      <c r="I194">
        <v>11.7</v>
      </c>
      <c r="J194">
        <v>0</v>
      </c>
      <c r="K194">
        <v>53</v>
      </c>
      <c r="L194">
        <f t="shared" ref="L194:L257" si="1">F194</f>
        <v>1100</v>
      </c>
    </row>
    <row r="195" spans="1:12" x14ac:dyDescent="0.25">
      <c r="A195" t="s">
        <v>193</v>
      </c>
      <c r="B195" t="s">
        <v>202</v>
      </c>
      <c r="C195" t="s">
        <v>242</v>
      </c>
      <c r="D195">
        <v>2</v>
      </c>
      <c r="E195">
        <v>13</v>
      </c>
      <c r="F195">
        <v>1000</v>
      </c>
      <c r="G195">
        <v>22</v>
      </c>
      <c r="H195">
        <v>70.900000000000006</v>
      </c>
      <c r="I195">
        <v>11.7</v>
      </c>
      <c r="J195">
        <v>0</v>
      </c>
      <c r="K195">
        <v>53</v>
      </c>
      <c r="L195">
        <f t="shared" si="1"/>
        <v>1000</v>
      </c>
    </row>
    <row r="196" spans="1:12" x14ac:dyDescent="0.25">
      <c r="A196" t="s">
        <v>193</v>
      </c>
      <c r="B196" t="s">
        <v>202</v>
      </c>
      <c r="C196" t="s">
        <v>242</v>
      </c>
      <c r="D196">
        <v>2</v>
      </c>
      <c r="E196">
        <v>13</v>
      </c>
      <c r="F196">
        <v>900</v>
      </c>
      <c r="G196">
        <v>22</v>
      </c>
      <c r="H196">
        <v>70.900000000000006</v>
      </c>
      <c r="I196">
        <v>11.7</v>
      </c>
      <c r="J196">
        <v>0</v>
      </c>
      <c r="K196">
        <v>53</v>
      </c>
      <c r="L196">
        <f t="shared" si="1"/>
        <v>900</v>
      </c>
    </row>
    <row r="197" spans="1:12" x14ac:dyDescent="0.25">
      <c r="A197" t="s">
        <v>193</v>
      </c>
      <c r="B197" t="s">
        <v>202</v>
      </c>
      <c r="C197" t="s">
        <v>242</v>
      </c>
      <c r="D197">
        <v>2</v>
      </c>
      <c r="E197">
        <v>13</v>
      </c>
      <c r="F197">
        <v>800</v>
      </c>
      <c r="G197">
        <v>22</v>
      </c>
      <c r="H197">
        <v>70.900000000000006</v>
      </c>
      <c r="I197">
        <v>11.7</v>
      </c>
      <c r="J197">
        <v>0</v>
      </c>
      <c r="K197">
        <v>53</v>
      </c>
      <c r="L197">
        <f t="shared" si="1"/>
        <v>800</v>
      </c>
    </row>
    <row r="198" spans="1:12" x14ac:dyDescent="0.25">
      <c r="A198" t="s">
        <v>193</v>
      </c>
      <c r="B198" t="s">
        <v>202</v>
      </c>
      <c r="C198" t="s">
        <v>242</v>
      </c>
      <c r="D198">
        <v>2</v>
      </c>
      <c r="E198">
        <v>13</v>
      </c>
      <c r="F198">
        <v>700</v>
      </c>
      <c r="G198">
        <v>22</v>
      </c>
      <c r="H198">
        <v>70.900000000000006</v>
      </c>
      <c r="I198">
        <v>11.7</v>
      </c>
      <c r="J198">
        <v>0</v>
      </c>
      <c r="K198">
        <v>53</v>
      </c>
      <c r="L198">
        <f t="shared" si="1"/>
        <v>700</v>
      </c>
    </row>
    <row r="199" spans="1:12" x14ac:dyDescent="0.25">
      <c r="A199" t="s">
        <v>193</v>
      </c>
      <c r="B199" t="s">
        <v>202</v>
      </c>
      <c r="C199" t="s">
        <v>242</v>
      </c>
      <c r="D199">
        <v>2</v>
      </c>
      <c r="E199">
        <v>13</v>
      </c>
      <c r="F199">
        <v>600</v>
      </c>
      <c r="G199">
        <v>22</v>
      </c>
      <c r="H199">
        <v>70.900000000000006</v>
      </c>
      <c r="I199">
        <v>11.7</v>
      </c>
      <c r="J199">
        <v>0</v>
      </c>
      <c r="K199">
        <v>53</v>
      </c>
      <c r="L199">
        <f t="shared" si="1"/>
        <v>600</v>
      </c>
    </row>
    <row r="200" spans="1:12" x14ac:dyDescent="0.25">
      <c r="A200" t="s">
        <v>193</v>
      </c>
      <c r="B200" t="s">
        <v>202</v>
      </c>
      <c r="C200" t="s">
        <v>242</v>
      </c>
      <c r="D200">
        <v>2</v>
      </c>
      <c r="E200">
        <v>13</v>
      </c>
      <c r="F200">
        <v>500</v>
      </c>
      <c r="G200">
        <v>22</v>
      </c>
      <c r="H200">
        <v>70.900000000000006</v>
      </c>
      <c r="I200">
        <v>11.7</v>
      </c>
      <c r="J200">
        <v>0</v>
      </c>
      <c r="K200">
        <v>53</v>
      </c>
      <c r="L200">
        <f t="shared" si="1"/>
        <v>500</v>
      </c>
    </row>
    <row r="201" spans="1:12" x14ac:dyDescent="0.25">
      <c r="A201" t="s">
        <v>193</v>
      </c>
      <c r="B201" t="s">
        <v>202</v>
      </c>
      <c r="C201" t="s">
        <v>242</v>
      </c>
      <c r="D201">
        <v>2</v>
      </c>
      <c r="E201">
        <v>13</v>
      </c>
      <c r="F201">
        <v>400</v>
      </c>
      <c r="G201">
        <v>22</v>
      </c>
      <c r="H201">
        <v>70.900000000000006</v>
      </c>
      <c r="I201">
        <v>11.7</v>
      </c>
      <c r="J201">
        <v>0</v>
      </c>
      <c r="K201">
        <v>53</v>
      </c>
      <c r="L201">
        <f t="shared" si="1"/>
        <v>400</v>
      </c>
    </row>
    <row r="202" spans="1:12" x14ac:dyDescent="0.25">
      <c r="A202" t="s">
        <v>193</v>
      </c>
      <c r="B202" t="s">
        <v>202</v>
      </c>
      <c r="C202" t="s">
        <v>242</v>
      </c>
      <c r="D202">
        <v>2</v>
      </c>
      <c r="E202">
        <v>13</v>
      </c>
      <c r="F202">
        <v>300</v>
      </c>
      <c r="G202">
        <v>22</v>
      </c>
      <c r="H202">
        <v>70.900000000000006</v>
      </c>
      <c r="I202">
        <v>11.7</v>
      </c>
      <c r="J202">
        <v>0</v>
      </c>
      <c r="K202">
        <v>53</v>
      </c>
      <c r="L202">
        <f t="shared" si="1"/>
        <v>300</v>
      </c>
    </row>
    <row r="203" spans="1:12" x14ac:dyDescent="0.25">
      <c r="A203" t="s">
        <v>193</v>
      </c>
      <c r="B203" t="s">
        <v>202</v>
      </c>
      <c r="C203" t="s">
        <v>242</v>
      </c>
      <c r="D203">
        <v>2</v>
      </c>
      <c r="E203">
        <v>13</v>
      </c>
      <c r="F203">
        <v>200</v>
      </c>
      <c r="G203">
        <v>22</v>
      </c>
      <c r="H203">
        <v>70.900000000000006</v>
      </c>
      <c r="I203">
        <v>11.7</v>
      </c>
      <c r="J203">
        <v>0</v>
      </c>
      <c r="K203">
        <v>53</v>
      </c>
      <c r="L203">
        <f t="shared" si="1"/>
        <v>200</v>
      </c>
    </row>
    <row r="204" spans="1:12" x14ac:dyDescent="0.25">
      <c r="A204" t="s">
        <v>193</v>
      </c>
      <c r="B204" t="s">
        <v>202</v>
      </c>
      <c r="C204" t="s">
        <v>242</v>
      </c>
      <c r="D204">
        <v>2</v>
      </c>
      <c r="E204">
        <v>13</v>
      </c>
      <c r="F204">
        <v>150</v>
      </c>
      <c r="G204">
        <v>22</v>
      </c>
      <c r="H204">
        <v>70.900000000000006</v>
      </c>
      <c r="I204">
        <v>11.7</v>
      </c>
      <c r="J204">
        <v>0</v>
      </c>
      <c r="K204">
        <v>53</v>
      </c>
      <c r="L204">
        <f t="shared" si="1"/>
        <v>150</v>
      </c>
    </row>
    <row r="205" spans="1:12" x14ac:dyDescent="0.25">
      <c r="A205" t="s">
        <v>193</v>
      </c>
      <c r="B205" t="s">
        <v>202</v>
      </c>
      <c r="C205" t="s">
        <v>242</v>
      </c>
      <c r="D205">
        <v>2</v>
      </c>
      <c r="E205">
        <v>13</v>
      </c>
      <c r="F205">
        <v>100</v>
      </c>
      <c r="G205">
        <v>22</v>
      </c>
      <c r="H205">
        <v>70.900000000000006</v>
      </c>
      <c r="I205">
        <v>11.7</v>
      </c>
      <c r="J205">
        <v>0</v>
      </c>
      <c r="K205">
        <v>53</v>
      </c>
      <c r="L205">
        <f t="shared" si="1"/>
        <v>100</v>
      </c>
    </row>
    <row r="206" spans="1:12" x14ac:dyDescent="0.25">
      <c r="A206" t="s">
        <v>193</v>
      </c>
      <c r="B206" t="s">
        <v>202</v>
      </c>
      <c r="C206" t="s">
        <v>242</v>
      </c>
      <c r="D206">
        <v>2</v>
      </c>
      <c r="E206">
        <v>11</v>
      </c>
      <c r="F206">
        <v>800</v>
      </c>
      <c r="G206">
        <v>19.3</v>
      </c>
      <c r="H206">
        <v>45.9</v>
      </c>
      <c r="I206">
        <v>11.7</v>
      </c>
      <c r="J206">
        <v>0</v>
      </c>
      <c r="K206">
        <v>38</v>
      </c>
      <c r="L206">
        <f t="shared" si="1"/>
        <v>800</v>
      </c>
    </row>
    <row r="207" spans="1:12" x14ac:dyDescent="0.25">
      <c r="A207" t="s">
        <v>193</v>
      </c>
      <c r="B207" t="s">
        <v>202</v>
      </c>
      <c r="C207" t="s">
        <v>242</v>
      </c>
      <c r="D207">
        <v>2</v>
      </c>
      <c r="E207">
        <v>11</v>
      </c>
      <c r="F207">
        <v>700</v>
      </c>
      <c r="G207">
        <v>19.3</v>
      </c>
      <c r="H207">
        <v>45.9</v>
      </c>
      <c r="I207">
        <v>11.7</v>
      </c>
      <c r="J207">
        <v>0</v>
      </c>
      <c r="K207">
        <v>38</v>
      </c>
      <c r="L207">
        <f t="shared" si="1"/>
        <v>700</v>
      </c>
    </row>
    <row r="208" spans="1:12" x14ac:dyDescent="0.25">
      <c r="A208" t="s">
        <v>193</v>
      </c>
      <c r="B208" t="s">
        <v>202</v>
      </c>
      <c r="C208" t="s">
        <v>242</v>
      </c>
      <c r="D208">
        <v>2</v>
      </c>
      <c r="E208">
        <v>11</v>
      </c>
      <c r="F208">
        <v>600</v>
      </c>
      <c r="G208">
        <v>19.3</v>
      </c>
      <c r="H208">
        <v>45.9</v>
      </c>
      <c r="I208">
        <v>11.7</v>
      </c>
      <c r="J208">
        <v>0</v>
      </c>
      <c r="K208">
        <v>38</v>
      </c>
      <c r="L208">
        <f t="shared" si="1"/>
        <v>600</v>
      </c>
    </row>
    <row r="209" spans="1:12" x14ac:dyDescent="0.25">
      <c r="A209" t="s">
        <v>193</v>
      </c>
      <c r="B209" t="s">
        <v>202</v>
      </c>
      <c r="C209" t="s">
        <v>242</v>
      </c>
      <c r="D209">
        <v>2</v>
      </c>
      <c r="E209">
        <v>11</v>
      </c>
      <c r="F209">
        <v>550</v>
      </c>
      <c r="G209">
        <v>19.3</v>
      </c>
      <c r="H209">
        <v>45.9</v>
      </c>
      <c r="I209">
        <v>11.7</v>
      </c>
      <c r="J209">
        <v>0</v>
      </c>
      <c r="K209">
        <v>38</v>
      </c>
      <c r="L209">
        <f t="shared" si="1"/>
        <v>550</v>
      </c>
    </row>
    <row r="210" spans="1:12" x14ac:dyDescent="0.25">
      <c r="A210" t="s">
        <v>193</v>
      </c>
      <c r="B210" t="s">
        <v>202</v>
      </c>
      <c r="C210" t="s">
        <v>242</v>
      </c>
      <c r="D210">
        <v>2</v>
      </c>
      <c r="E210">
        <v>11</v>
      </c>
      <c r="F210">
        <v>500</v>
      </c>
      <c r="G210">
        <v>19.3</v>
      </c>
      <c r="H210">
        <v>45.9</v>
      </c>
      <c r="I210">
        <v>11.7</v>
      </c>
      <c r="J210">
        <v>0</v>
      </c>
      <c r="K210">
        <v>38</v>
      </c>
      <c r="L210">
        <f t="shared" si="1"/>
        <v>500</v>
      </c>
    </row>
    <row r="211" spans="1:12" x14ac:dyDescent="0.25">
      <c r="A211" t="s">
        <v>193</v>
      </c>
      <c r="B211" t="s">
        <v>202</v>
      </c>
      <c r="C211" t="s">
        <v>242</v>
      </c>
      <c r="D211">
        <v>2</v>
      </c>
      <c r="E211">
        <v>11</v>
      </c>
      <c r="F211">
        <v>450</v>
      </c>
      <c r="G211">
        <v>19.3</v>
      </c>
      <c r="H211">
        <v>45.9</v>
      </c>
      <c r="I211">
        <v>11.7</v>
      </c>
      <c r="J211">
        <v>0</v>
      </c>
      <c r="K211">
        <v>38</v>
      </c>
      <c r="L211">
        <f t="shared" si="1"/>
        <v>450</v>
      </c>
    </row>
    <row r="212" spans="1:12" x14ac:dyDescent="0.25">
      <c r="A212" t="s">
        <v>193</v>
      </c>
      <c r="B212" t="s">
        <v>202</v>
      </c>
      <c r="C212" t="s">
        <v>242</v>
      </c>
      <c r="D212">
        <v>2</v>
      </c>
      <c r="E212">
        <v>11</v>
      </c>
      <c r="F212">
        <v>400</v>
      </c>
      <c r="G212">
        <v>19.3</v>
      </c>
      <c r="H212">
        <v>45.9</v>
      </c>
      <c r="I212">
        <v>11.7</v>
      </c>
      <c r="J212">
        <v>0</v>
      </c>
      <c r="K212">
        <v>38</v>
      </c>
      <c r="L212">
        <f t="shared" si="1"/>
        <v>400</v>
      </c>
    </row>
    <row r="213" spans="1:12" x14ac:dyDescent="0.25">
      <c r="A213" t="s">
        <v>193</v>
      </c>
      <c r="B213" t="s">
        <v>202</v>
      </c>
      <c r="C213" t="s">
        <v>242</v>
      </c>
      <c r="D213">
        <v>2</v>
      </c>
      <c r="E213">
        <v>11</v>
      </c>
      <c r="F213">
        <v>375</v>
      </c>
      <c r="G213">
        <v>19.3</v>
      </c>
      <c r="H213">
        <v>45.9</v>
      </c>
      <c r="I213">
        <v>11.7</v>
      </c>
      <c r="J213">
        <v>0</v>
      </c>
      <c r="K213">
        <v>38</v>
      </c>
      <c r="L213">
        <f t="shared" si="1"/>
        <v>375</v>
      </c>
    </row>
    <row r="214" spans="1:12" x14ac:dyDescent="0.25">
      <c r="A214" t="s">
        <v>193</v>
      </c>
      <c r="B214" t="s">
        <v>202</v>
      </c>
      <c r="C214" t="s">
        <v>242</v>
      </c>
      <c r="D214">
        <v>2</v>
      </c>
      <c r="E214">
        <v>11</v>
      </c>
      <c r="F214">
        <v>350</v>
      </c>
      <c r="G214">
        <v>19.3</v>
      </c>
      <c r="H214">
        <v>45.9</v>
      </c>
      <c r="I214">
        <v>11.7</v>
      </c>
      <c r="J214">
        <v>0</v>
      </c>
      <c r="K214">
        <v>38</v>
      </c>
      <c r="L214">
        <f t="shared" si="1"/>
        <v>350</v>
      </c>
    </row>
    <row r="215" spans="1:12" x14ac:dyDescent="0.25">
      <c r="A215" t="s">
        <v>193</v>
      </c>
      <c r="B215" t="s">
        <v>202</v>
      </c>
      <c r="C215" t="s">
        <v>242</v>
      </c>
      <c r="D215">
        <v>2</v>
      </c>
      <c r="E215">
        <v>11</v>
      </c>
      <c r="F215">
        <v>325</v>
      </c>
      <c r="G215">
        <v>19.3</v>
      </c>
      <c r="H215">
        <v>45.9</v>
      </c>
      <c r="I215">
        <v>11.7</v>
      </c>
      <c r="J215">
        <v>0</v>
      </c>
      <c r="K215">
        <v>38</v>
      </c>
      <c r="L215">
        <f t="shared" si="1"/>
        <v>325</v>
      </c>
    </row>
    <row r="216" spans="1:12" x14ac:dyDescent="0.25">
      <c r="A216" t="s">
        <v>193</v>
      </c>
      <c r="B216" t="s">
        <v>202</v>
      </c>
      <c r="C216" t="s">
        <v>242</v>
      </c>
      <c r="D216">
        <v>2</v>
      </c>
      <c r="E216">
        <v>11</v>
      </c>
      <c r="F216">
        <v>300</v>
      </c>
      <c r="G216">
        <v>19.3</v>
      </c>
      <c r="H216">
        <v>45.9</v>
      </c>
      <c r="I216">
        <v>11.7</v>
      </c>
      <c r="J216">
        <v>0</v>
      </c>
      <c r="K216">
        <v>38</v>
      </c>
      <c r="L216">
        <f t="shared" si="1"/>
        <v>300</v>
      </c>
    </row>
    <row r="217" spans="1:12" x14ac:dyDescent="0.25">
      <c r="A217" t="s">
        <v>193</v>
      </c>
      <c r="B217" t="s">
        <v>202</v>
      </c>
      <c r="C217" t="s">
        <v>242</v>
      </c>
      <c r="D217">
        <v>2</v>
      </c>
      <c r="E217">
        <v>11</v>
      </c>
      <c r="F217">
        <v>275</v>
      </c>
      <c r="G217">
        <v>19.3</v>
      </c>
      <c r="H217">
        <v>45.9</v>
      </c>
      <c r="I217">
        <v>11.7</v>
      </c>
      <c r="J217">
        <v>0</v>
      </c>
      <c r="K217">
        <v>38</v>
      </c>
      <c r="L217">
        <f t="shared" si="1"/>
        <v>275</v>
      </c>
    </row>
    <row r="218" spans="1:12" x14ac:dyDescent="0.25">
      <c r="A218" t="s">
        <v>193</v>
      </c>
      <c r="B218" t="s">
        <v>202</v>
      </c>
      <c r="C218" t="s">
        <v>242</v>
      </c>
      <c r="D218">
        <v>2</v>
      </c>
      <c r="E218">
        <v>11</v>
      </c>
      <c r="F218">
        <v>250</v>
      </c>
      <c r="G218">
        <v>19.3</v>
      </c>
      <c r="H218">
        <v>45.9</v>
      </c>
      <c r="I218">
        <v>11.7</v>
      </c>
      <c r="J218">
        <v>0</v>
      </c>
      <c r="K218">
        <v>38</v>
      </c>
      <c r="L218">
        <f t="shared" si="1"/>
        <v>250</v>
      </c>
    </row>
    <row r="219" spans="1:12" x14ac:dyDescent="0.25">
      <c r="A219" t="s">
        <v>193</v>
      </c>
      <c r="B219" t="s">
        <v>202</v>
      </c>
      <c r="C219" t="s">
        <v>242</v>
      </c>
      <c r="D219">
        <v>2</v>
      </c>
      <c r="E219">
        <v>11</v>
      </c>
      <c r="F219">
        <v>225</v>
      </c>
      <c r="G219">
        <v>19.3</v>
      </c>
      <c r="H219">
        <v>45.9</v>
      </c>
      <c r="I219">
        <v>11.7</v>
      </c>
      <c r="J219">
        <v>0</v>
      </c>
      <c r="K219">
        <v>38</v>
      </c>
      <c r="L219">
        <f t="shared" si="1"/>
        <v>225</v>
      </c>
    </row>
    <row r="220" spans="1:12" x14ac:dyDescent="0.25">
      <c r="A220" t="s">
        <v>193</v>
      </c>
      <c r="B220" t="s">
        <v>202</v>
      </c>
      <c r="C220" t="s">
        <v>242</v>
      </c>
      <c r="D220">
        <v>2</v>
      </c>
      <c r="E220">
        <v>11</v>
      </c>
      <c r="F220">
        <v>200</v>
      </c>
      <c r="G220">
        <v>19.3</v>
      </c>
      <c r="H220">
        <v>45.9</v>
      </c>
      <c r="I220">
        <v>11.7</v>
      </c>
      <c r="J220">
        <v>0</v>
      </c>
      <c r="K220">
        <v>38</v>
      </c>
      <c r="L220">
        <f t="shared" si="1"/>
        <v>200</v>
      </c>
    </row>
    <row r="221" spans="1:12" x14ac:dyDescent="0.25">
      <c r="A221" t="s">
        <v>193</v>
      </c>
      <c r="B221" t="s">
        <v>202</v>
      </c>
      <c r="C221" t="s">
        <v>242</v>
      </c>
      <c r="D221">
        <v>2</v>
      </c>
      <c r="E221">
        <v>11</v>
      </c>
      <c r="F221">
        <v>175</v>
      </c>
      <c r="G221">
        <v>19.3</v>
      </c>
      <c r="H221">
        <v>45.9</v>
      </c>
      <c r="I221">
        <v>11.7</v>
      </c>
      <c r="J221">
        <v>0</v>
      </c>
      <c r="K221">
        <v>38</v>
      </c>
      <c r="L221">
        <f t="shared" si="1"/>
        <v>175</v>
      </c>
    </row>
    <row r="222" spans="1:12" x14ac:dyDescent="0.25">
      <c r="A222" t="s">
        <v>193</v>
      </c>
      <c r="B222" t="s">
        <v>202</v>
      </c>
      <c r="C222" t="s">
        <v>242</v>
      </c>
      <c r="D222">
        <v>2</v>
      </c>
      <c r="E222">
        <v>11</v>
      </c>
      <c r="F222">
        <v>150</v>
      </c>
      <c r="G222">
        <v>19.3</v>
      </c>
      <c r="H222">
        <v>45.9</v>
      </c>
      <c r="I222">
        <v>11.7</v>
      </c>
      <c r="J222">
        <v>0</v>
      </c>
      <c r="K222">
        <v>38</v>
      </c>
      <c r="L222">
        <f t="shared" si="1"/>
        <v>150</v>
      </c>
    </row>
    <row r="223" spans="1:12" x14ac:dyDescent="0.25">
      <c r="A223" t="s">
        <v>193</v>
      </c>
      <c r="B223" t="s">
        <v>202</v>
      </c>
      <c r="C223" t="s">
        <v>242</v>
      </c>
      <c r="D223">
        <v>2</v>
      </c>
      <c r="E223">
        <v>11</v>
      </c>
      <c r="F223">
        <v>125</v>
      </c>
      <c r="G223">
        <v>19.3</v>
      </c>
      <c r="H223">
        <v>45.9</v>
      </c>
      <c r="I223">
        <v>11.7</v>
      </c>
      <c r="J223">
        <v>0</v>
      </c>
      <c r="K223">
        <v>38</v>
      </c>
      <c r="L223">
        <f t="shared" si="1"/>
        <v>125</v>
      </c>
    </row>
    <row r="224" spans="1:12" x14ac:dyDescent="0.25">
      <c r="A224" t="s">
        <v>193</v>
      </c>
      <c r="B224" t="s">
        <v>202</v>
      </c>
      <c r="C224" t="s">
        <v>242</v>
      </c>
      <c r="D224">
        <v>2</v>
      </c>
      <c r="E224">
        <v>11</v>
      </c>
      <c r="F224">
        <v>100</v>
      </c>
      <c r="G224">
        <v>19.3</v>
      </c>
      <c r="H224">
        <v>45.9</v>
      </c>
      <c r="I224">
        <v>11.7</v>
      </c>
      <c r="J224">
        <v>0</v>
      </c>
      <c r="K224">
        <v>38</v>
      </c>
      <c r="L224">
        <f t="shared" si="1"/>
        <v>100</v>
      </c>
    </row>
    <row r="225" spans="1:12" x14ac:dyDescent="0.25">
      <c r="A225" t="s">
        <v>193</v>
      </c>
      <c r="B225" t="s">
        <v>202</v>
      </c>
      <c r="C225" t="s">
        <v>242</v>
      </c>
      <c r="D225">
        <v>2</v>
      </c>
      <c r="E225">
        <v>9</v>
      </c>
      <c r="F225">
        <v>520</v>
      </c>
      <c r="G225">
        <v>16</v>
      </c>
      <c r="H225">
        <v>27.2</v>
      </c>
      <c r="I225">
        <v>11.7</v>
      </c>
      <c r="J225">
        <v>0</v>
      </c>
      <c r="K225">
        <v>25.4</v>
      </c>
      <c r="L225">
        <f t="shared" si="1"/>
        <v>520</v>
      </c>
    </row>
    <row r="226" spans="1:12" x14ac:dyDescent="0.25">
      <c r="A226" t="s">
        <v>193</v>
      </c>
      <c r="B226" t="s">
        <v>202</v>
      </c>
      <c r="C226" t="s">
        <v>242</v>
      </c>
      <c r="D226">
        <v>2</v>
      </c>
      <c r="E226">
        <v>9</v>
      </c>
      <c r="F226">
        <v>480</v>
      </c>
      <c r="G226">
        <v>16</v>
      </c>
      <c r="H226">
        <v>27.2</v>
      </c>
      <c r="I226">
        <v>11.7</v>
      </c>
      <c r="J226">
        <v>0</v>
      </c>
      <c r="K226">
        <v>25.4</v>
      </c>
      <c r="L226">
        <f t="shared" si="1"/>
        <v>480</v>
      </c>
    </row>
    <row r="227" spans="1:12" x14ac:dyDescent="0.25">
      <c r="A227" t="s">
        <v>193</v>
      </c>
      <c r="B227" t="s">
        <v>202</v>
      </c>
      <c r="C227" t="s">
        <v>242</v>
      </c>
      <c r="D227">
        <v>2</v>
      </c>
      <c r="E227">
        <v>9</v>
      </c>
      <c r="F227">
        <v>440</v>
      </c>
      <c r="G227">
        <v>16</v>
      </c>
      <c r="H227">
        <v>27.2</v>
      </c>
      <c r="I227">
        <v>11.7</v>
      </c>
      <c r="J227">
        <v>0</v>
      </c>
      <c r="K227">
        <v>25.4</v>
      </c>
      <c r="L227">
        <f t="shared" si="1"/>
        <v>440</v>
      </c>
    </row>
    <row r="228" spans="1:12" x14ac:dyDescent="0.25">
      <c r="A228" t="s">
        <v>193</v>
      </c>
      <c r="B228" t="s">
        <v>202</v>
      </c>
      <c r="C228" t="s">
        <v>242</v>
      </c>
      <c r="D228">
        <v>2</v>
      </c>
      <c r="E228">
        <v>9</v>
      </c>
      <c r="F228">
        <v>400</v>
      </c>
      <c r="G228">
        <v>16</v>
      </c>
      <c r="H228">
        <v>27.2</v>
      </c>
      <c r="I228">
        <v>11.7</v>
      </c>
      <c r="J228">
        <v>0</v>
      </c>
      <c r="K228">
        <v>25.4</v>
      </c>
      <c r="L228">
        <f t="shared" si="1"/>
        <v>400</v>
      </c>
    </row>
    <row r="229" spans="1:12" x14ac:dyDescent="0.25">
      <c r="A229" t="s">
        <v>193</v>
      </c>
      <c r="B229" t="s">
        <v>202</v>
      </c>
      <c r="C229" t="s">
        <v>242</v>
      </c>
      <c r="D229">
        <v>2</v>
      </c>
      <c r="E229">
        <v>9</v>
      </c>
      <c r="F229">
        <v>380</v>
      </c>
      <c r="G229">
        <v>16</v>
      </c>
      <c r="H229">
        <v>27.2</v>
      </c>
      <c r="I229">
        <v>11.7</v>
      </c>
      <c r="J229">
        <v>0</v>
      </c>
      <c r="K229">
        <v>25.4</v>
      </c>
      <c r="L229">
        <f t="shared" si="1"/>
        <v>380</v>
      </c>
    </row>
    <row r="230" spans="1:12" x14ac:dyDescent="0.25">
      <c r="A230" t="s">
        <v>193</v>
      </c>
      <c r="B230" t="s">
        <v>202</v>
      </c>
      <c r="C230" t="s">
        <v>242</v>
      </c>
      <c r="D230">
        <v>2</v>
      </c>
      <c r="E230">
        <v>9</v>
      </c>
      <c r="F230">
        <v>360</v>
      </c>
      <c r="G230">
        <v>16</v>
      </c>
      <c r="H230">
        <v>27.2</v>
      </c>
      <c r="I230">
        <v>11.7</v>
      </c>
      <c r="J230">
        <v>0</v>
      </c>
      <c r="K230">
        <v>25.4</v>
      </c>
      <c r="L230">
        <f t="shared" si="1"/>
        <v>360</v>
      </c>
    </row>
    <row r="231" spans="1:12" x14ac:dyDescent="0.25">
      <c r="A231" t="s">
        <v>193</v>
      </c>
      <c r="B231" t="s">
        <v>202</v>
      </c>
      <c r="C231" t="s">
        <v>242</v>
      </c>
      <c r="D231">
        <v>2</v>
      </c>
      <c r="E231">
        <v>9</v>
      </c>
      <c r="F231">
        <v>340</v>
      </c>
      <c r="G231">
        <v>16</v>
      </c>
      <c r="H231">
        <v>27.2</v>
      </c>
      <c r="I231">
        <v>11.7</v>
      </c>
      <c r="J231">
        <v>0</v>
      </c>
      <c r="K231">
        <v>25.4</v>
      </c>
      <c r="L231">
        <f t="shared" si="1"/>
        <v>340</v>
      </c>
    </row>
    <row r="232" spans="1:12" x14ac:dyDescent="0.25">
      <c r="A232" t="s">
        <v>193</v>
      </c>
      <c r="B232" t="s">
        <v>202</v>
      </c>
      <c r="C232" t="s">
        <v>242</v>
      </c>
      <c r="D232">
        <v>2</v>
      </c>
      <c r="E232">
        <v>9</v>
      </c>
      <c r="F232">
        <v>320</v>
      </c>
      <c r="G232">
        <v>16</v>
      </c>
      <c r="H232">
        <v>27.2</v>
      </c>
      <c r="I232">
        <v>11.7</v>
      </c>
      <c r="J232">
        <v>0</v>
      </c>
      <c r="K232">
        <v>25.4</v>
      </c>
      <c r="L232">
        <f t="shared" si="1"/>
        <v>320</v>
      </c>
    </row>
    <row r="233" spans="1:12" x14ac:dyDescent="0.25">
      <c r="A233" t="s">
        <v>193</v>
      </c>
      <c r="B233" t="s">
        <v>202</v>
      </c>
      <c r="C233" t="s">
        <v>242</v>
      </c>
      <c r="D233">
        <v>2</v>
      </c>
      <c r="E233">
        <v>9</v>
      </c>
      <c r="F233">
        <v>300</v>
      </c>
      <c r="G233">
        <v>16</v>
      </c>
      <c r="H233">
        <v>27.2</v>
      </c>
      <c r="I233">
        <v>11.7</v>
      </c>
      <c r="J233">
        <v>0</v>
      </c>
      <c r="K233">
        <v>25.4</v>
      </c>
      <c r="L233">
        <f t="shared" si="1"/>
        <v>300</v>
      </c>
    </row>
    <row r="234" spans="1:12" x14ac:dyDescent="0.25">
      <c r="A234" t="s">
        <v>193</v>
      </c>
      <c r="B234" t="s">
        <v>202</v>
      </c>
      <c r="C234" t="s">
        <v>242</v>
      </c>
      <c r="D234">
        <v>2</v>
      </c>
      <c r="E234">
        <v>9</v>
      </c>
      <c r="F234">
        <v>280</v>
      </c>
      <c r="G234">
        <v>16</v>
      </c>
      <c r="H234">
        <v>27.2</v>
      </c>
      <c r="I234">
        <v>11.7</v>
      </c>
      <c r="J234">
        <v>0</v>
      </c>
      <c r="K234">
        <v>25.4</v>
      </c>
      <c r="L234">
        <f t="shared" si="1"/>
        <v>280</v>
      </c>
    </row>
    <row r="235" spans="1:12" x14ac:dyDescent="0.25">
      <c r="A235" t="s">
        <v>193</v>
      </c>
      <c r="B235" t="s">
        <v>202</v>
      </c>
      <c r="C235" t="s">
        <v>242</v>
      </c>
      <c r="D235">
        <v>2</v>
      </c>
      <c r="E235">
        <v>9</v>
      </c>
      <c r="F235">
        <v>260</v>
      </c>
      <c r="G235">
        <v>16</v>
      </c>
      <c r="H235">
        <v>27.2</v>
      </c>
      <c r="I235">
        <v>11.7</v>
      </c>
      <c r="J235">
        <v>0</v>
      </c>
      <c r="K235">
        <v>25.4</v>
      </c>
      <c r="L235">
        <f t="shared" si="1"/>
        <v>260</v>
      </c>
    </row>
    <row r="236" spans="1:12" x14ac:dyDescent="0.25">
      <c r="A236" t="s">
        <v>193</v>
      </c>
      <c r="B236" t="s">
        <v>202</v>
      </c>
      <c r="C236" t="s">
        <v>242</v>
      </c>
      <c r="D236">
        <v>2</v>
      </c>
      <c r="E236">
        <v>9</v>
      </c>
      <c r="F236">
        <v>240</v>
      </c>
      <c r="G236">
        <v>16</v>
      </c>
      <c r="H236">
        <v>27.2</v>
      </c>
      <c r="I236">
        <v>11.7</v>
      </c>
      <c r="J236">
        <v>0</v>
      </c>
      <c r="K236">
        <v>25.4</v>
      </c>
      <c r="L236">
        <f t="shared" si="1"/>
        <v>240</v>
      </c>
    </row>
    <row r="237" spans="1:12" x14ac:dyDescent="0.25">
      <c r="A237" t="s">
        <v>193</v>
      </c>
      <c r="B237" t="s">
        <v>202</v>
      </c>
      <c r="C237" t="s">
        <v>242</v>
      </c>
      <c r="D237">
        <v>2</v>
      </c>
      <c r="E237">
        <v>9</v>
      </c>
      <c r="F237">
        <v>220</v>
      </c>
      <c r="G237">
        <v>16</v>
      </c>
      <c r="H237">
        <v>27.2</v>
      </c>
      <c r="I237">
        <v>11.7</v>
      </c>
      <c r="J237">
        <v>0</v>
      </c>
      <c r="K237">
        <v>25.4</v>
      </c>
      <c r="L237">
        <f t="shared" si="1"/>
        <v>220</v>
      </c>
    </row>
    <row r="238" spans="1:12" x14ac:dyDescent="0.25">
      <c r="A238" t="s">
        <v>193</v>
      </c>
      <c r="B238" t="s">
        <v>202</v>
      </c>
      <c r="C238" t="s">
        <v>242</v>
      </c>
      <c r="D238">
        <v>2</v>
      </c>
      <c r="E238">
        <v>9</v>
      </c>
      <c r="F238">
        <v>200</v>
      </c>
      <c r="G238">
        <v>16</v>
      </c>
      <c r="H238">
        <v>27.2</v>
      </c>
      <c r="I238">
        <v>11.7</v>
      </c>
      <c r="J238">
        <v>0</v>
      </c>
      <c r="K238">
        <v>25.4</v>
      </c>
      <c r="L238">
        <f t="shared" si="1"/>
        <v>200</v>
      </c>
    </row>
    <row r="239" spans="1:12" x14ac:dyDescent="0.25">
      <c r="A239" t="s">
        <v>193</v>
      </c>
      <c r="B239" t="s">
        <v>202</v>
      </c>
      <c r="C239" t="s">
        <v>242</v>
      </c>
      <c r="D239">
        <v>2</v>
      </c>
      <c r="E239">
        <v>9</v>
      </c>
      <c r="F239">
        <v>180</v>
      </c>
      <c r="G239">
        <v>16</v>
      </c>
      <c r="H239">
        <v>27.2</v>
      </c>
      <c r="I239">
        <v>11.7</v>
      </c>
      <c r="J239">
        <v>0</v>
      </c>
      <c r="K239">
        <v>25.4</v>
      </c>
      <c r="L239">
        <f t="shared" si="1"/>
        <v>180</v>
      </c>
    </row>
    <row r="240" spans="1:12" x14ac:dyDescent="0.25">
      <c r="A240" t="s">
        <v>193</v>
      </c>
      <c r="B240" t="s">
        <v>202</v>
      </c>
      <c r="C240" t="s">
        <v>242</v>
      </c>
      <c r="D240">
        <v>2</v>
      </c>
      <c r="E240">
        <v>9</v>
      </c>
      <c r="F240">
        <v>160</v>
      </c>
      <c r="G240">
        <v>16</v>
      </c>
      <c r="H240">
        <v>27.2</v>
      </c>
      <c r="I240">
        <v>11.7</v>
      </c>
      <c r="J240">
        <v>0</v>
      </c>
      <c r="K240">
        <v>25.4</v>
      </c>
      <c r="L240">
        <f t="shared" si="1"/>
        <v>160</v>
      </c>
    </row>
    <row r="241" spans="1:12" x14ac:dyDescent="0.25">
      <c r="A241" t="s">
        <v>193</v>
      </c>
      <c r="B241" t="s">
        <v>202</v>
      </c>
      <c r="C241" t="s">
        <v>242</v>
      </c>
      <c r="D241">
        <v>2</v>
      </c>
      <c r="E241">
        <v>9</v>
      </c>
      <c r="F241">
        <v>140</v>
      </c>
      <c r="G241">
        <v>16</v>
      </c>
      <c r="H241">
        <v>27.2</v>
      </c>
      <c r="I241">
        <v>11.7</v>
      </c>
      <c r="J241">
        <v>0</v>
      </c>
      <c r="K241">
        <v>25.4</v>
      </c>
      <c r="L241">
        <f t="shared" si="1"/>
        <v>140</v>
      </c>
    </row>
    <row r="242" spans="1:12" x14ac:dyDescent="0.25">
      <c r="A242" t="s">
        <v>193</v>
      </c>
      <c r="B242" t="s">
        <v>202</v>
      </c>
      <c r="C242" t="s">
        <v>242</v>
      </c>
      <c r="D242">
        <v>2</v>
      </c>
      <c r="E242">
        <v>9</v>
      </c>
      <c r="F242">
        <v>120</v>
      </c>
      <c r="G242">
        <v>16</v>
      </c>
      <c r="H242">
        <v>27.2</v>
      </c>
      <c r="I242">
        <v>11.7</v>
      </c>
      <c r="J242">
        <v>0</v>
      </c>
      <c r="K242">
        <v>25.4</v>
      </c>
      <c r="L242">
        <f t="shared" si="1"/>
        <v>120</v>
      </c>
    </row>
    <row r="243" spans="1:12" x14ac:dyDescent="0.25">
      <c r="A243" t="s">
        <v>193</v>
      </c>
      <c r="B243" t="s">
        <v>202</v>
      </c>
      <c r="C243" t="s">
        <v>242</v>
      </c>
      <c r="D243">
        <v>2</v>
      </c>
      <c r="E243">
        <v>9</v>
      </c>
      <c r="F243">
        <v>100</v>
      </c>
      <c r="G243">
        <v>16</v>
      </c>
      <c r="H243">
        <v>27.2</v>
      </c>
      <c r="I243">
        <v>11.7</v>
      </c>
      <c r="J243">
        <v>0</v>
      </c>
      <c r="K243">
        <v>25.4</v>
      </c>
      <c r="L243">
        <f t="shared" si="1"/>
        <v>100</v>
      </c>
    </row>
    <row r="244" spans="1:12" x14ac:dyDescent="0.25">
      <c r="A244" t="s">
        <v>193</v>
      </c>
      <c r="B244" t="s">
        <v>203</v>
      </c>
      <c r="C244" t="s">
        <v>243</v>
      </c>
      <c r="D244">
        <v>3</v>
      </c>
      <c r="E244">
        <v>9</v>
      </c>
      <c r="F244">
        <v>360</v>
      </c>
      <c r="G244">
        <v>11.5</v>
      </c>
      <c r="H244">
        <v>27.2</v>
      </c>
      <c r="I244">
        <v>11.7</v>
      </c>
      <c r="J244">
        <v>0</v>
      </c>
      <c r="K244">
        <v>25.4</v>
      </c>
      <c r="L244">
        <f t="shared" si="1"/>
        <v>360</v>
      </c>
    </row>
    <row r="245" spans="1:12" x14ac:dyDescent="0.25">
      <c r="A245" t="s">
        <v>193</v>
      </c>
      <c r="B245" t="s">
        <v>203</v>
      </c>
      <c r="C245" t="s">
        <v>243</v>
      </c>
      <c r="D245">
        <v>3</v>
      </c>
      <c r="E245">
        <v>9</v>
      </c>
      <c r="F245">
        <v>320</v>
      </c>
      <c r="G245">
        <v>11.5</v>
      </c>
      <c r="H245">
        <v>27.2</v>
      </c>
      <c r="I245">
        <v>11.7</v>
      </c>
      <c r="J245">
        <v>0</v>
      </c>
      <c r="K245">
        <v>25.4</v>
      </c>
      <c r="L245">
        <f t="shared" si="1"/>
        <v>320</v>
      </c>
    </row>
    <row r="246" spans="1:12" x14ac:dyDescent="0.25">
      <c r="A246" t="s">
        <v>193</v>
      </c>
      <c r="B246" t="s">
        <v>203</v>
      </c>
      <c r="C246" t="s">
        <v>243</v>
      </c>
      <c r="D246">
        <v>3</v>
      </c>
      <c r="E246">
        <v>9</v>
      </c>
      <c r="F246">
        <v>280</v>
      </c>
      <c r="G246">
        <v>11.5</v>
      </c>
      <c r="H246">
        <v>27.2</v>
      </c>
      <c r="I246">
        <v>11.7</v>
      </c>
      <c r="J246">
        <v>0</v>
      </c>
      <c r="K246">
        <v>25.4</v>
      </c>
      <c r="L246">
        <f t="shared" si="1"/>
        <v>280</v>
      </c>
    </row>
    <row r="247" spans="1:12" x14ac:dyDescent="0.25">
      <c r="A247" t="s">
        <v>193</v>
      </c>
      <c r="B247" t="s">
        <v>203</v>
      </c>
      <c r="C247" t="s">
        <v>243</v>
      </c>
      <c r="D247">
        <v>3</v>
      </c>
      <c r="E247">
        <v>9</v>
      </c>
      <c r="F247">
        <v>240</v>
      </c>
      <c r="G247">
        <v>11.5</v>
      </c>
      <c r="H247">
        <v>27.2</v>
      </c>
      <c r="I247">
        <v>11.7</v>
      </c>
      <c r="J247">
        <v>0</v>
      </c>
      <c r="K247">
        <v>25.4</v>
      </c>
      <c r="L247">
        <f t="shared" si="1"/>
        <v>240</v>
      </c>
    </row>
    <row r="248" spans="1:12" x14ac:dyDescent="0.25">
      <c r="A248" t="s">
        <v>193</v>
      </c>
      <c r="B248" t="s">
        <v>203</v>
      </c>
      <c r="C248" t="s">
        <v>243</v>
      </c>
      <c r="D248">
        <v>3</v>
      </c>
      <c r="E248">
        <v>9</v>
      </c>
      <c r="F248">
        <v>200</v>
      </c>
      <c r="G248">
        <v>11.5</v>
      </c>
      <c r="H248">
        <v>27.2</v>
      </c>
      <c r="I248">
        <v>11.7</v>
      </c>
      <c r="J248">
        <v>0</v>
      </c>
      <c r="K248">
        <v>25.4</v>
      </c>
      <c r="L248">
        <f t="shared" si="1"/>
        <v>200</v>
      </c>
    </row>
    <row r="249" spans="1:12" x14ac:dyDescent="0.25">
      <c r="A249" t="s">
        <v>193</v>
      </c>
      <c r="B249" t="s">
        <v>203</v>
      </c>
      <c r="C249" t="s">
        <v>243</v>
      </c>
      <c r="D249">
        <v>3</v>
      </c>
      <c r="E249">
        <v>7</v>
      </c>
      <c r="F249">
        <v>300</v>
      </c>
      <c r="G249">
        <v>9.5</v>
      </c>
      <c r="H249">
        <v>14.2</v>
      </c>
      <c r="I249">
        <v>11.7</v>
      </c>
      <c r="J249">
        <v>0</v>
      </c>
      <c r="K249">
        <v>15.4</v>
      </c>
      <c r="L249">
        <f t="shared" si="1"/>
        <v>300</v>
      </c>
    </row>
    <row r="250" spans="1:12" x14ac:dyDescent="0.25">
      <c r="A250" t="s">
        <v>193</v>
      </c>
      <c r="B250" t="s">
        <v>203</v>
      </c>
      <c r="C250" t="s">
        <v>243</v>
      </c>
      <c r="D250">
        <v>3</v>
      </c>
      <c r="E250">
        <v>7</v>
      </c>
      <c r="F250">
        <v>260</v>
      </c>
      <c r="G250">
        <v>9.5</v>
      </c>
      <c r="H250">
        <v>14.2</v>
      </c>
      <c r="I250">
        <v>11.7</v>
      </c>
      <c r="J250">
        <v>0</v>
      </c>
      <c r="K250">
        <v>15.4</v>
      </c>
      <c r="L250">
        <f t="shared" si="1"/>
        <v>260</v>
      </c>
    </row>
    <row r="251" spans="1:12" x14ac:dyDescent="0.25">
      <c r="A251" t="s">
        <v>193</v>
      </c>
      <c r="B251" t="s">
        <v>203</v>
      </c>
      <c r="C251" t="s">
        <v>243</v>
      </c>
      <c r="D251">
        <v>3</v>
      </c>
      <c r="E251">
        <v>7</v>
      </c>
      <c r="F251">
        <v>220</v>
      </c>
      <c r="G251">
        <v>9.5</v>
      </c>
      <c r="H251">
        <v>14.2</v>
      </c>
      <c r="I251">
        <v>11.7</v>
      </c>
      <c r="J251">
        <v>0</v>
      </c>
      <c r="K251">
        <v>15.4</v>
      </c>
      <c r="L251">
        <f t="shared" si="1"/>
        <v>220</v>
      </c>
    </row>
    <row r="252" spans="1:12" x14ac:dyDescent="0.25">
      <c r="A252" t="s">
        <v>193</v>
      </c>
      <c r="B252" t="s">
        <v>203</v>
      </c>
      <c r="C252" t="s">
        <v>243</v>
      </c>
      <c r="D252">
        <v>3</v>
      </c>
      <c r="E252">
        <v>7</v>
      </c>
      <c r="F252">
        <v>180</v>
      </c>
      <c r="G252">
        <v>9.5</v>
      </c>
      <c r="H252">
        <v>14.2</v>
      </c>
      <c r="I252">
        <v>11.7</v>
      </c>
      <c r="J252">
        <v>0</v>
      </c>
      <c r="K252">
        <v>15.4</v>
      </c>
      <c r="L252">
        <f t="shared" si="1"/>
        <v>180</v>
      </c>
    </row>
    <row r="253" spans="1:12" x14ac:dyDescent="0.25">
      <c r="A253" t="s">
        <v>193</v>
      </c>
      <c r="B253" t="s">
        <v>203</v>
      </c>
      <c r="C253" t="s">
        <v>243</v>
      </c>
      <c r="D253">
        <v>3</v>
      </c>
      <c r="E253">
        <v>7</v>
      </c>
      <c r="F253">
        <v>140</v>
      </c>
      <c r="G253">
        <v>9.5</v>
      </c>
      <c r="H253">
        <v>14.2</v>
      </c>
      <c r="I253">
        <v>11.7</v>
      </c>
      <c r="J253">
        <v>0</v>
      </c>
      <c r="K253">
        <v>15.4</v>
      </c>
      <c r="L253">
        <f t="shared" si="1"/>
        <v>140</v>
      </c>
    </row>
    <row r="254" spans="1:12" x14ac:dyDescent="0.25">
      <c r="A254" t="s">
        <v>193</v>
      </c>
      <c r="B254" t="s">
        <v>203</v>
      </c>
      <c r="C254" t="s">
        <v>243</v>
      </c>
      <c r="D254">
        <v>3</v>
      </c>
      <c r="E254">
        <v>5.6</v>
      </c>
      <c r="F254">
        <v>160</v>
      </c>
      <c r="G254">
        <v>8</v>
      </c>
      <c r="H254">
        <v>10.6</v>
      </c>
      <c r="I254">
        <v>11.7</v>
      </c>
      <c r="J254">
        <v>0</v>
      </c>
      <c r="K254">
        <v>12.3</v>
      </c>
      <c r="L254">
        <f t="shared" si="1"/>
        <v>160</v>
      </c>
    </row>
    <row r="255" spans="1:12" x14ac:dyDescent="0.25">
      <c r="A255" t="s">
        <v>193</v>
      </c>
      <c r="B255" t="s">
        <v>203</v>
      </c>
      <c r="C255" t="s">
        <v>243</v>
      </c>
      <c r="D255">
        <v>3</v>
      </c>
      <c r="E255">
        <v>5.6</v>
      </c>
      <c r="F255">
        <v>140</v>
      </c>
      <c r="G255">
        <v>8</v>
      </c>
      <c r="H255">
        <v>10.6</v>
      </c>
      <c r="I255">
        <v>11.7</v>
      </c>
      <c r="J255">
        <v>0</v>
      </c>
      <c r="K255">
        <v>12.3</v>
      </c>
      <c r="L255">
        <f t="shared" si="1"/>
        <v>140</v>
      </c>
    </row>
    <row r="256" spans="1:12" x14ac:dyDescent="0.25">
      <c r="A256" t="s">
        <v>193</v>
      </c>
      <c r="B256" t="s">
        <v>203</v>
      </c>
      <c r="C256" t="s">
        <v>243</v>
      </c>
      <c r="D256">
        <v>3</v>
      </c>
      <c r="E256">
        <v>5.3</v>
      </c>
      <c r="F256">
        <v>120</v>
      </c>
      <c r="G256">
        <v>8</v>
      </c>
      <c r="H256">
        <v>9.1999999999999993</v>
      </c>
      <c r="I256">
        <v>11.7</v>
      </c>
      <c r="J256">
        <v>0</v>
      </c>
      <c r="K256">
        <v>11</v>
      </c>
      <c r="L256">
        <f t="shared" si="1"/>
        <v>120</v>
      </c>
    </row>
    <row r="257" spans="1:12" x14ac:dyDescent="0.25">
      <c r="A257" t="s">
        <v>193</v>
      </c>
      <c r="B257" t="s">
        <v>203</v>
      </c>
      <c r="C257" t="s">
        <v>243</v>
      </c>
      <c r="D257">
        <v>3</v>
      </c>
      <c r="E257">
        <v>5.3</v>
      </c>
      <c r="F257">
        <v>100</v>
      </c>
      <c r="G257">
        <v>8</v>
      </c>
      <c r="H257">
        <v>9.1999999999999993</v>
      </c>
      <c r="I257">
        <v>11.7</v>
      </c>
      <c r="J257">
        <v>0</v>
      </c>
      <c r="K257">
        <v>11</v>
      </c>
      <c r="L257">
        <f t="shared" si="1"/>
        <v>100</v>
      </c>
    </row>
    <row r="258" spans="1:12" x14ac:dyDescent="0.25">
      <c r="A258" t="s">
        <v>193</v>
      </c>
      <c r="B258" t="s">
        <v>203</v>
      </c>
      <c r="C258" t="s">
        <v>243</v>
      </c>
      <c r="D258">
        <v>3</v>
      </c>
      <c r="E258">
        <v>5.3</v>
      </c>
      <c r="F258">
        <v>80</v>
      </c>
      <c r="G258">
        <v>8</v>
      </c>
      <c r="H258">
        <v>9.1999999999999993</v>
      </c>
      <c r="I258">
        <v>11.7</v>
      </c>
      <c r="J258">
        <v>0</v>
      </c>
      <c r="K258">
        <v>11</v>
      </c>
      <c r="L258">
        <f t="shared" ref="L258:L309" si="2">F258</f>
        <v>80</v>
      </c>
    </row>
    <row r="259" spans="1:12" x14ac:dyDescent="0.25">
      <c r="A259" t="s">
        <v>193</v>
      </c>
      <c r="B259" t="s">
        <v>204</v>
      </c>
      <c r="C259" t="s">
        <v>244</v>
      </c>
      <c r="D259">
        <v>2</v>
      </c>
      <c r="E259">
        <v>8</v>
      </c>
      <c r="F259">
        <v>320</v>
      </c>
      <c r="G259">
        <v>11.5</v>
      </c>
      <c r="H259">
        <v>33.4</v>
      </c>
      <c r="I259">
        <v>42</v>
      </c>
      <c r="J259">
        <v>0</v>
      </c>
      <c r="K259">
        <v>32</v>
      </c>
      <c r="L259">
        <f t="shared" si="2"/>
        <v>320</v>
      </c>
    </row>
    <row r="260" spans="1:12" x14ac:dyDescent="0.25">
      <c r="A260" t="s">
        <v>193</v>
      </c>
      <c r="B260" t="s">
        <v>204</v>
      </c>
      <c r="C260" t="s">
        <v>244</v>
      </c>
      <c r="D260">
        <v>2</v>
      </c>
      <c r="E260">
        <v>8</v>
      </c>
      <c r="F260">
        <v>280</v>
      </c>
      <c r="G260">
        <v>11.5</v>
      </c>
      <c r="H260">
        <v>33.4</v>
      </c>
      <c r="I260">
        <v>42</v>
      </c>
      <c r="J260">
        <v>0</v>
      </c>
      <c r="K260">
        <v>32</v>
      </c>
      <c r="L260">
        <f t="shared" si="2"/>
        <v>280</v>
      </c>
    </row>
    <row r="261" spans="1:12" x14ac:dyDescent="0.25">
      <c r="A261" t="s">
        <v>193</v>
      </c>
      <c r="B261" t="s">
        <v>204</v>
      </c>
      <c r="C261" t="s">
        <v>244</v>
      </c>
      <c r="D261">
        <v>2</v>
      </c>
      <c r="E261">
        <v>8</v>
      </c>
      <c r="F261">
        <v>240</v>
      </c>
      <c r="G261">
        <v>11.5</v>
      </c>
      <c r="H261">
        <v>33.4</v>
      </c>
      <c r="I261">
        <v>42</v>
      </c>
      <c r="J261">
        <v>0</v>
      </c>
      <c r="K261">
        <v>32</v>
      </c>
      <c r="L261">
        <f t="shared" si="2"/>
        <v>240</v>
      </c>
    </row>
    <row r="262" spans="1:12" x14ac:dyDescent="0.25">
      <c r="A262" t="s">
        <v>193</v>
      </c>
      <c r="B262" t="s">
        <v>204</v>
      </c>
      <c r="C262" t="s">
        <v>244</v>
      </c>
      <c r="D262">
        <v>2</v>
      </c>
      <c r="E262">
        <v>8</v>
      </c>
      <c r="F262">
        <v>200</v>
      </c>
      <c r="G262">
        <v>11.5</v>
      </c>
      <c r="H262">
        <v>33.4</v>
      </c>
      <c r="I262">
        <v>42</v>
      </c>
      <c r="J262">
        <v>0</v>
      </c>
      <c r="K262">
        <v>32</v>
      </c>
      <c r="L262">
        <f t="shared" si="2"/>
        <v>200</v>
      </c>
    </row>
    <row r="263" spans="1:12" x14ac:dyDescent="0.25">
      <c r="A263" t="s">
        <v>193</v>
      </c>
      <c r="B263" t="s">
        <v>204</v>
      </c>
      <c r="C263" t="s">
        <v>244</v>
      </c>
      <c r="D263">
        <v>2</v>
      </c>
      <c r="E263">
        <v>6</v>
      </c>
      <c r="F263">
        <v>260</v>
      </c>
      <c r="G263">
        <v>9.5</v>
      </c>
      <c r="H263">
        <v>15.8</v>
      </c>
      <c r="I263">
        <v>42</v>
      </c>
      <c r="J263">
        <v>0</v>
      </c>
      <c r="K263">
        <v>18</v>
      </c>
      <c r="L263">
        <f t="shared" si="2"/>
        <v>260</v>
      </c>
    </row>
    <row r="264" spans="1:12" x14ac:dyDescent="0.25">
      <c r="A264" t="s">
        <v>193</v>
      </c>
      <c r="B264" t="s">
        <v>204</v>
      </c>
      <c r="C264" t="s">
        <v>244</v>
      </c>
      <c r="D264">
        <v>2</v>
      </c>
      <c r="E264">
        <v>6</v>
      </c>
      <c r="F264">
        <v>220</v>
      </c>
      <c r="G264">
        <v>9.5</v>
      </c>
      <c r="H264">
        <v>15.8</v>
      </c>
      <c r="I264">
        <v>42</v>
      </c>
      <c r="J264">
        <v>0</v>
      </c>
      <c r="K264">
        <v>18</v>
      </c>
      <c r="L264">
        <f t="shared" si="2"/>
        <v>220</v>
      </c>
    </row>
    <row r="265" spans="1:12" x14ac:dyDescent="0.25">
      <c r="A265" t="s">
        <v>193</v>
      </c>
      <c r="B265" t="s">
        <v>204</v>
      </c>
      <c r="C265" t="s">
        <v>244</v>
      </c>
      <c r="D265">
        <v>2</v>
      </c>
      <c r="E265">
        <v>6</v>
      </c>
      <c r="F265">
        <v>180</v>
      </c>
      <c r="G265">
        <v>9.5</v>
      </c>
      <c r="H265">
        <v>15.8</v>
      </c>
      <c r="I265">
        <v>42</v>
      </c>
      <c r="J265">
        <v>0</v>
      </c>
      <c r="K265">
        <v>18</v>
      </c>
      <c r="L265">
        <f t="shared" si="2"/>
        <v>180</v>
      </c>
    </row>
    <row r="266" spans="1:12" x14ac:dyDescent="0.25">
      <c r="A266" t="s">
        <v>193</v>
      </c>
      <c r="B266" t="s">
        <v>204</v>
      </c>
      <c r="C266" t="s">
        <v>244</v>
      </c>
      <c r="D266">
        <v>2</v>
      </c>
      <c r="E266">
        <v>6</v>
      </c>
      <c r="F266">
        <v>140</v>
      </c>
      <c r="G266">
        <v>9.5</v>
      </c>
      <c r="H266">
        <v>15.8</v>
      </c>
      <c r="I266">
        <v>42</v>
      </c>
      <c r="J266">
        <v>0</v>
      </c>
      <c r="K266">
        <v>18</v>
      </c>
      <c r="L266">
        <f t="shared" si="2"/>
        <v>140</v>
      </c>
    </row>
    <row r="267" spans="1:12" x14ac:dyDescent="0.25">
      <c r="A267" t="s">
        <v>193</v>
      </c>
      <c r="B267" t="s">
        <v>205</v>
      </c>
      <c r="C267" t="s">
        <v>243</v>
      </c>
      <c r="D267">
        <v>2</v>
      </c>
      <c r="E267">
        <v>11</v>
      </c>
      <c r="F267">
        <v>600</v>
      </c>
      <c r="G267">
        <v>13.5</v>
      </c>
      <c r="H267">
        <v>45.9</v>
      </c>
      <c r="I267">
        <v>11.7</v>
      </c>
      <c r="J267">
        <v>0</v>
      </c>
      <c r="K267">
        <v>38</v>
      </c>
      <c r="L267">
        <f t="shared" si="2"/>
        <v>600</v>
      </c>
    </row>
    <row r="268" spans="1:12" x14ac:dyDescent="0.25">
      <c r="A268" t="s">
        <v>193</v>
      </c>
      <c r="B268" t="s">
        <v>205</v>
      </c>
      <c r="C268" t="s">
        <v>243</v>
      </c>
      <c r="D268">
        <v>2</v>
      </c>
      <c r="E268">
        <v>11</v>
      </c>
      <c r="F268">
        <v>550</v>
      </c>
      <c r="G268">
        <v>13.5</v>
      </c>
      <c r="H268">
        <v>45.9</v>
      </c>
      <c r="I268">
        <v>11.7</v>
      </c>
      <c r="J268">
        <v>0</v>
      </c>
      <c r="K268">
        <v>38</v>
      </c>
      <c r="L268">
        <f t="shared" si="2"/>
        <v>550</v>
      </c>
    </row>
    <row r="269" spans="1:12" x14ac:dyDescent="0.25">
      <c r="A269" t="s">
        <v>193</v>
      </c>
      <c r="B269" t="s">
        <v>205</v>
      </c>
      <c r="C269" t="s">
        <v>243</v>
      </c>
      <c r="D269">
        <v>2</v>
      </c>
      <c r="E269">
        <v>11</v>
      </c>
      <c r="F269">
        <v>500</v>
      </c>
      <c r="G269">
        <v>13.5</v>
      </c>
      <c r="H269">
        <v>45.9</v>
      </c>
      <c r="I269">
        <v>11.7</v>
      </c>
      <c r="J269">
        <v>0</v>
      </c>
      <c r="K269">
        <v>38</v>
      </c>
      <c r="L269">
        <f t="shared" si="2"/>
        <v>500</v>
      </c>
    </row>
    <row r="270" spans="1:12" x14ac:dyDescent="0.25">
      <c r="A270" t="s">
        <v>193</v>
      </c>
      <c r="B270" t="s">
        <v>205</v>
      </c>
      <c r="C270" t="s">
        <v>243</v>
      </c>
      <c r="D270">
        <v>2</v>
      </c>
      <c r="E270">
        <v>11</v>
      </c>
      <c r="F270">
        <v>450</v>
      </c>
      <c r="G270">
        <v>13.5</v>
      </c>
      <c r="H270">
        <v>45.9</v>
      </c>
      <c r="I270">
        <v>11.7</v>
      </c>
      <c r="J270">
        <v>0</v>
      </c>
      <c r="K270">
        <v>38</v>
      </c>
      <c r="L270">
        <f t="shared" si="2"/>
        <v>450</v>
      </c>
    </row>
    <row r="271" spans="1:12" x14ac:dyDescent="0.25">
      <c r="A271" t="s">
        <v>193</v>
      </c>
      <c r="B271" t="s">
        <v>205</v>
      </c>
      <c r="C271" t="s">
        <v>243</v>
      </c>
      <c r="D271">
        <v>2</v>
      </c>
      <c r="E271">
        <v>11</v>
      </c>
      <c r="F271">
        <v>400</v>
      </c>
      <c r="G271">
        <v>13.5</v>
      </c>
      <c r="H271">
        <v>45.9</v>
      </c>
      <c r="I271">
        <v>11.7</v>
      </c>
      <c r="J271">
        <v>0</v>
      </c>
      <c r="K271">
        <v>38</v>
      </c>
      <c r="L271">
        <f t="shared" si="2"/>
        <v>400</v>
      </c>
    </row>
    <row r="272" spans="1:12" x14ac:dyDescent="0.25">
      <c r="A272" t="s">
        <v>193</v>
      </c>
      <c r="B272" t="s">
        <v>205</v>
      </c>
      <c r="C272" t="s">
        <v>243</v>
      </c>
      <c r="D272">
        <v>2</v>
      </c>
      <c r="E272">
        <v>11</v>
      </c>
      <c r="F272">
        <v>350</v>
      </c>
      <c r="G272">
        <v>13.5</v>
      </c>
      <c r="H272">
        <v>45.9</v>
      </c>
      <c r="I272">
        <v>11.7</v>
      </c>
      <c r="J272">
        <v>0</v>
      </c>
      <c r="K272">
        <v>38</v>
      </c>
      <c r="L272">
        <f t="shared" si="2"/>
        <v>350</v>
      </c>
    </row>
    <row r="273" spans="1:12" x14ac:dyDescent="0.25">
      <c r="A273" t="s">
        <v>193</v>
      </c>
      <c r="B273" t="s">
        <v>205</v>
      </c>
      <c r="C273" t="s">
        <v>243</v>
      </c>
      <c r="D273">
        <v>2</v>
      </c>
      <c r="E273">
        <v>11</v>
      </c>
      <c r="F273">
        <v>300</v>
      </c>
      <c r="G273">
        <v>13.5</v>
      </c>
      <c r="H273">
        <v>45.9</v>
      </c>
      <c r="I273">
        <v>11.7</v>
      </c>
      <c r="J273">
        <v>0</v>
      </c>
      <c r="K273">
        <v>38</v>
      </c>
      <c r="L273">
        <f t="shared" si="2"/>
        <v>300</v>
      </c>
    </row>
    <row r="274" spans="1:12" x14ac:dyDescent="0.25">
      <c r="A274" t="s">
        <v>193</v>
      </c>
      <c r="B274" t="s">
        <v>205</v>
      </c>
      <c r="C274" t="s">
        <v>243</v>
      </c>
      <c r="D274">
        <v>2</v>
      </c>
      <c r="E274">
        <v>11</v>
      </c>
      <c r="F274">
        <v>250</v>
      </c>
      <c r="G274">
        <v>13.5</v>
      </c>
      <c r="H274">
        <v>45.9</v>
      </c>
      <c r="I274">
        <v>11.7</v>
      </c>
      <c r="J274">
        <v>0</v>
      </c>
      <c r="K274">
        <v>38</v>
      </c>
      <c r="L274">
        <f t="shared" si="2"/>
        <v>250</v>
      </c>
    </row>
    <row r="275" spans="1:12" x14ac:dyDescent="0.25">
      <c r="A275" t="s">
        <v>193</v>
      </c>
      <c r="B275" t="s">
        <v>205</v>
      </c>
      <c r="C275" t="s">
        <v>243</v>
      </c>
      <c r="D275">
        <v>2</v>
      </c>
      <c r="E275">
        <v>9</v>
      </c>
      <c r="F275">
        <v>520</v>
      </c>
      <c r="G275">
        <v>11.5</v>
      </c>
      <c r="H275">
        <v>27.2</v>
      </c>
      <c r="I275">
        <v>11.7</v>
      </c>
      <c r="J275">
        <v>0</v>
      </c>
      <c r="K275">
        <v>25.4</v>
      </c>
      <c r="L275">
        <f t="shared" si="2"/>
        <v>520</v>
      </c>
    </row>
    <row r="276" spans="1:12" x14ac:dyDescent="0.25">
      <c r="A276" t="s">
        <v>193</v>
      </c>
      <c r="B276" t="s">
        <v>205</v>
      </c>
      <c r="C276" t="s">
        <v>243</v>
      </c>
      <c r="D276">
        <v>2</v>
      </c>
      <c r="E276">
        <v>9</v>
      </c>
      <c r="F276">
        <v>480</v>
      </c>
      <c r="G276">
        <v>11.5</v>
      </c>
      <c r="H276">
        <v>27.2</v>
      </c>
      <c r="I276">
        <v>11.7</v>
      </c>
      <c r="J276">
        <v>0</v>
      </c>
      <c r="K276">
        <v>25.4</v>
      </c>
      <c r="L276">
        <f t="shared" si="2"/>
        <v>480</v>
      </c>
    </row>
    <row r="277" spans="1:12" x14ac:dyDescent="0.25">
      <c r="A277" t="s">
        <v>193</v>
      </c>
      <c r="B277" t="s">
        <v>205</v>
      </c>
      <c r="C277" t="s">
        <v>243</v>
      </c>
      <c r="D277">
        <v>2</v>
      </c>
      <c r="E277">
        <v>9</v>
      </c>
      <c r="F277">
        <v>440</v>
      </c>
      <c r="G277">
        <v>11.5</v>
      </c>
      <c r="H277">
        <v>27.2</v>
      </c>
      <c r="I277">
        <v>11.7</v>
      </c>
      <c r="J277">
        <v>0</v>
      </c>
      <c r="K277">
        <v>25.4</v>
      </c>
      <c r="L277">
        <f t="shared" si="2"/>
        <v>440</v>
      </c>
    </row>
    <row r="278" spans="1:12" x14ac:dyDescent="0.25">
      <c r="A278" t="s">
        <v>193</v>
      </c>
      <c r="B278" t="s">
        <v>205</v>
      </c>
      <c r="C278" t="s">
        <v>243</v>
      </c>
      <c r="D278">
        <v>2</v>
      </c>
      <c r="E278">
        <v>9</v>
      </c>
      <c r="F278">
        <v>400</v>
      </c>
      <c r="G278">
        <v>11.5</v>
      </c>
      <c r="H278">
        <v>27.2</v>
      </c>
      <c r="I278">
        <v>11.7</v>
      </c>
      <c r="J278">
        <v>0</v>
      </c>
      <c r="K278">
        <v>25.4</v>
      </c>
      <c r="L278">
        <f t="shared" si="2"/>
        <v>400</v>
      </c>
    </row>
    <row r="279" spans="1:12" x14ac:dyDescent="0.25">
      <c r="A279" t="s">
        <v>193</v>
      </c>
      <c r="B279" t="s">
        <v>205</v>
      </c>
      <c r="C279" t="s">
        <v>243</v>
      </c>
      <c r="D279">
        <v>2</v>
      </c>
      <c r="E279">
        <v>9</v>
      </c>
      <c r="F279">
        <v>380</v>
      </c>
      <c r="G279">
        <v>11.5</v>
      </c>
      <c r="H279">
        <v>27.2</v>
      </c>
      <c r="I279">
        <v>11.7</v>
      </c>
      <c r="J279">
        <v>0</v>
      </c>
      <c r="K279">
        <v>25.4</v>
      </c>
      <c r="L279">
        <f t="shared" si="2"/>
        <v>380</v>
      </c>
    </row>
    <row r="280" spans="1:12" x14ac:dyDescent="0.25">
      <c r="A280" t="s">
        <v>193</v>
      </c>
      <c r="B280" t="s">
        <v>205</v>
      </c>
      <c r="C280" t="s">
        <v>243</v>
      </c>
      <c r="D280">
        <v>2</v>
      </c>
      <c r="E280">
        <v>9</v>
      </c>
      <c r="F280">
        <v>360</v>
      </c>
      <c r="G280">
        <v>11.5</v>
      </c>
      <c r="H280">
        <v>27.2</v>
      </c>
      <c r="I280">
        <v>11.7</v>
      </c>
      <c r="J280">
        <v>0</v>
      </c>
      <c r="K280">
        <v>25.4</v>
      </c>
      <c r="L280">
        <f t="shared" si="2"/>
        <v>360</v>
      </c>
    </row>
    <row r="281" spans="1:12" x14ac:dyDescent="0.25">
      <c r="A281" t="s">
        <v>193</v>
      </c>
      <c r="B281" t="s">
        <v>205</v>
      </c>
      <c r="C281" t="s">
        <v>243</v>
      </c>
      <c r="D281">
        <v>2</v>
      </c>
      <c r="E281">
        <v>9</v>
      </c>
      <c r="F281">
        <v>340</v>
      </c>
      <c r="G281">
        <v>11.5</v>
      </c>
      <c r="H281">
        <v>27.2</v>
      </c>
      <c r="I281">
        <v>11.7</v>
      </c>
      <c r="J281">
        <v>0</v>
      </c>
      <c r="K281">
        <v>25.4</v>
      </c>
      <c r="L281">
        <f t="shared" si="2"/>
        <v>340</v>
      </c>
    </row>
    <row r="282" spans="1:12" x14ac:dyDescent="0.25">
      <c r="A282" t="s">
        <v>193</v>
      </c>
      <c r="B282" t="s">
        <v>205</v>
      </c>
      <c r="C282" t="s">
        <v>243</v>
      </c>
      <c r="D282">
        <v>2</v>
      </c>
      <c r="E282">
        <v>9</v>
      </c>
      <c r="F282">
        <v>320</v>
      </c>
      <c r="G282">
        <v>11.5</v>
      </c>
      <c r="H282">
        <v>27.2</v>
      </c>
      <c r="I282">
        <v>11.7</v>
      </c>
      <c r="J282">
        <v>0</v>
      </c>
      <c r="K282">
        <v>25.4</v>
      </c>
      <c r="L282">
        <f t="shared" si="2"/>
        <v>320</v>
      </c>
    </row>
    <row r="283" spans="1:12" x14ac:dyDescent="0.25">
      <c r="A283" t="s">
        <v>193</v>
      </c>
      <c r="B283" t="s">
        <v>205</v>
      </c>
      <c r="C283" t="s">
        <v>243</v>
      </c>
      <c r="D283">
        <v>2</v>
      </c>
      <c r="E283">
        <v>9</v>
      </c>
      <c r="F283">
        <v>300</v>
      </c>
      <c r="G283">
        <v>11.5</v>
      </c>
      <c r="H283">
        <v>27.2</v>
      </c>
      <c r="I283">
        <v>11.7</v>
      </c>
      <c r="J283">
        <v>0</v>
      </c>
      <c r="K283">
        <v>25.4</v>
      </c>
      <c r="L283">
        <f t="shared" si="2"/>
        <v>300</v>
      </c>
    </row>
    <row r="284" spans="1:12" x14ac:dyDescent="0.25">
      <c r="A284" t="s">
        <v>193</v>
      </c>
      <c r="B284" t="s">
        <v>205</v>
      </c>
      <c r="C284" t="s">
        <v>243</v>
      </c>
      <c r="D284">
        <v>2</v>
      </c>
      <c r="E284">
        <v>9</v>
      </c>
      <c r="F284">
        <v>280</v>
      </c>
      <c r="G284">
        <v>11.5</v>
      </c>
      <c r="H284">
        <v>27.2</v>
      </c>
      <c r="I284">
        <v>11.7</v>
      </c>
      <c r="J284">
        <v>0</v>
      </c>
      <c r="K284">
        <v>25.4</v>
      </c>
      <c r="L284">
        <f t="shared" si="2"/>
        <v>280</v>
      </c>
    </row>
    <row r="285" spans="1:12" x14ac:dyDescent="0.25">
      <c r="A285" t="s">
        <v>193</v>
      </c>
      <c r="B285" t="s">
        <v>205</v>
      </c>
      <c r="C285" t="s">
        <v>243</v>
      </c>
      <c r="D285">
        <v>2</v>
      </c>
      <c r="E285">
        <v>9</v>
      </c>
      <c r="F285">
        <v>260</v>
      </c>
      <c r="G285">
        <v>11.5</v>
      </c>
      <c r="H285">
        <v>27.2</v>
      </c>
      <c r="I285">
        <v>11.7</v>
      </c>
      <c r="J285">
        <v>0</v>
      </c>
      <c r="K285">
        <v>25.4</v>
      </c>
      <c r="L285">
        <f t="shared" si="2"/>
        <v>260</v>
      </c>
    </row>
    <row r="286" spans="1:12" x14ac:dyDescent="0.25">
      <c r="A286" t="s">
        <v>193</v>
      </c>
      <c r="B286" t="s">
        <v>205</v>
      </c>
      <c r="C286" t="s">
        <v>243</v>
      </c>
      <c r="D286">
        <v>2</v>
      </c>
      <c r="E286">
        <v>9</v>
      </c>
      <c r="F286">
        <v>240</v>
      </c>
      <c r="G286">
        <v>11.5</v>
      </c>
      <c r="H286">
        <v>27.2</v>
      </c>
      <c r="I286">
        <v>11.7</v>
      </c>
      <c r="J286">
        <v>0</v>
      </c>
      <c r="K286">
        <v>25.4</v>
      </c>
      <c r="L286">
        <f t="shared" si="2"/>
        <v>240</v>
      </c>
    </row>
    <row r="287" spans="1:12" x14ac:dyDescent="0.25">
      <c r="A287" t="s">
        <v>193</v>
      </c>
      <c r="B287" t="s">
        <v>205</v>
      </c>
      <c r="C287" t="s">
        <v>243</v>
      </c>
      <c r="D287">
        <v>2</v>
      </c>
      <c r="E287">
        <v>9</v>
      </c>
      <c r="F287">
        <v>220</v>
      </c>
      <c r="G287">
        <v>11.5</v>
      </c>
      <c r="H287">
        <v>27.2</v>
      </c>
      <c r="I287">
        <v>11.7</v>
      </c>
      <c r="J287">
        <v>0</v>
      </c>
      <c r="K287">
        <v>25.4</v>
      </c>
      <c r="L287">
        <f t="shared" si="2"/>
        <v>220</v>
      </c>
    </row>
    <row r="288" spans="1:12" x14ac:dyDescent="0.25">
      <c r="A288" t="s">
        <v>193</v>
      </c>
      <c r="B288" t="s">
        <v>205</v>
      </c>
      <c r="C288" t="s">
        <v>243</v>
      </c>
      <c r="D288">
        <v>2</v>
      </c>
      <c r="E288">
        <v>9</v>
      </c>
      <c r="F288">
        <v>200</v>
      </c>
      <c r="G288">
        <v>11.5</v>
      </c>
      <c r="H288">
        <v>27.2</v>
      </c>
      <c r="I288">
        <v>11.7</v>
      </c>
      <c r="J288">
        <v>0</v>
      </c>
      <c r="K288">
        <v>25.4</v>
      </c>
      <c r="L288">
        <f t="shared" si="2"/>
        <v>200</v>
      </c>
    </row>
    <row r="289" spans="1:12" x14ac:dyDescent="0.25">
      <c r="A289" t="s">
        <v>193</v>
      </c>
      <c r="B289" t="s">
        <v>205</v>
      </c>
      <c r="C289" t="s">
        <v>243</v>
      </c>
      <c r="D289">
        <v>2</v>
      </c>
      <c r="E289">
        <v>9</v>
      </c>
      <c r="F289">
        <v>180</v>
      </c>
      <c r="G289">
        <v>11.5</v>
      </c>
      <c r="H289">
        <v>27.2</v>
      </c>
      <c r="I289">
        <v>11.7</v>
      </c>
      <c r="J289">
        <v>0</v>
      </c>
      <c r="K289">
        <v>25.4</v>
      </c>
      <c r="L289">
        <f t="shared" si="2"/>
        <v>180</v>
      </c>
    </row>
    <row r="290" spans="1:12" x14ac:dyDescent="0.25">
      <c r="A290" t="s">
        <v>193</v>
      </c>
      <c r="B290" t="s">
        <v>205</v>
      </c>
      <c r="C290" t="s">
        <v>243</v>
      </c>
      <c r="D290">
        <v>2</v>
      </c>
      <c r="E290">
        <v>9</v>
      </c>
      <c r="F290">
        <v>160</v>
      </c>
      <c r="G290">
        <v>11.5</v>
      </c>
      <c r="H290">
        <v>27.2</v>
      </c>
      <c r="I290">
        <v>11.7</v>
      </c>
      <c r="J290">
        <v>0</v>
      </c>
      <c r="K290">
        <v>25.4</v>
      </c>
      <c r="L290">
        <f t="shared" si="2"/>
        <v>160</v>
      </c>
    </row>
    <row r="291" spans="1:12" x14ac:dyDescent="0.25">
      <c r="A291" t="s">
        <v>193</v>
      </c>
      <c r="B291" t="s">
        <v>205</v>
      </c>
      <c r="C291" t="s">
        <v>243</v>
      </c>
      <c r="D291">
        <v>2</v>
      </c>
      <c r="E291">
        <v>7</v>
      </c>
      <c r="F291">
        <v>380</v>
      </c>
      <c r="G291">
        <v>9.5</v>
      </c>
      <c r="H291">
        <v>14.2</v>
      </c>
      <c r="I291">
        <v>11.7</v>
      </c>
      <c r="J291">
        <v>0</v>
      </c>
      <c r="K291">
        <v>15.4</v>
      </c>
      <c r="L291">
        <f t="shared" si="2"/>
        <v>380</v>
      </c>
    </row>
    <row r="292" spans="1:12" x14ac:dyDescent="0.25">
      <c r="A292" t="s">
        <v>193</v>
      </c>
      <c r="B292" t="s">
        <v>205</v>
      </c>
      <c r="C292" t="s">
        <v>243</v>
      </c>
      <c r="D292">
        <v>2</v>
      </c>
      <c r="E292">
        <v>7</v>
      </c>
      <c r="F292">
        <v>340</v>
      </c>
      <c r="G292">
        <v>9.5</v>
      </c>
      <c r="H292">
        <v>14.2</v>
      </c>
      <c r="I292">
        <v>11.7</v>
      </c>
      <c r="J292">
        <v>0</v>
      </c>
      <c r="K292">
        <v>15.4</v>
      </c>
      <c r="L292">
        <f t="shared" si="2"/>
        <v>340</v>
      </c>
    </row>
    <row r="293" spans="1:12" x14ac:dyDescent="0.25">
      <c r="A293" t="s">
        <v>193</v>
      </c>
      <c r="B293" t="s">
        <v>205</v>
      </c>
      <c r="C293" t="s">
        <v>243</v>
      </c>
      <c r="D293">
        <v>2</v>
      </c>
      <c r="E293">
        <v>7</v>
      </c>
      <c r="F293">
        <v>300</v>
      </c>
      <c r="G293">
        <v>9.5</v>
      </c>
      <c r="H293">
        <v>14.2</v>
      </c>
      <c r="I293">
        <v>11.7</v>
      </c>
      <c r="J293">
        <v>0</v>
      </c>
      <c r="K293">
        <v>15.4</v>
      </c>
      <c r="L293">
        <f t="shared" si="2"/>
        <v>300</v>
      </c>
    </row>
    <row r="294" spans="1:12" x14ac:dyDescent="0.25">
      <c r="A294" t="s">
        <v>193</v>
      </c>
      <c r="B294" t="s">
        <v>205</v>
      </c>
      <c r="C294" t="s">
        <v>243</v>
      </c>
      <c r="D294">
        <v>2</v>
      </c>
      <c r="E294">
        <v>7</v>
      </c>
      <c r="F294">
        <v>280</v>
      </c>
      <c r="G294">
        <v>9.5</v>
      </c>
      <c r="H294">
        <v>14.2</v>
      </c>
      <c r="I294">
        <v>11.7</v>
      </c>
      <c r="J294">
        <v>0</v>
      </c>
      <c r="K294">
        <v>15.4</v>
      </c>
      <c r="L294">
        <f t="shared" si="2"/>
        <v>280</v>
      </c>
    </row>
    <row r="295" spans="1:12" x14ac:dyDescent="0.25">
      <c r="A295" t="s">
        <v>193</v>
      </c>
      <c r="B295" t="s">
        <v>205</v>
      </c>
      <c r="C295" t="s">
        <v>243</v>
      </c>
      <c r="D295">
        <v>2</v>
      </c>
      <c r="E295">
        <v>7</v>
      </c>
      <c r="F295">
        <v>260</v>
      </c>
      <c r="G295">
        <v>9.5</v>
      </c>
      <c r="H295">
        <v>14.2</v>
      </c>
      <c r="I295">
        <v>11.7</v>
      </c>
      <c r="J295">
        <v>0</v>
      </c>
      <c r="K295">
        <v>15.4</v>
      </c>
      <c r="L295">
        <f t="shared" si="2"/>
        <v>260</v>
      </c>
    </row>
    <row r="296" spans="1:12" x14ac:dyDescent="0.25">
      <c r="A296" t="s">
        <v>193</v>
      </c>
      <c r="B296" t="s">
        <v>205</v>
      </c>
      <c r="C296" t="s">
        <v>243</v>
      </c>
      <c r="D296">
        <v>2</v>
      </c>
      <c r="E296">
        <v>7</v>
      </c>
      <c r="F296">
        <v>240</v>
      </c>
      <c r="G296">
        <v>9.5</v>
      </c>
      <c r="H296">
        <v>14.2</v>
      </c>
      <c r="I296">
        <v>11.7</v>
      </c>
      <c r="J296">
        <v>0</v>
      </c>
      <c r="K296">
        <v>15.4</v>
      </c>
      <c r="L296">
        <f t="shared" si="2"/>
        <v>240</v>
      </c>
    </row>
    <row r="297" spans="1:12" x14ac:dyDescent="0.25">
      <c r="A297" t="s">
        <v>193</v>
      </c>
      <c r="B297" t="s">
        <v>205</v>
      </c>
      <c r="C297" t="s">
        <v>243</v>
      </c>
      <c r="D297">
        <v>2</v>
      </c>
      <c r="E297">
        <v>7</v>
      </c>
      <c r="F297">
        <v>220</v>
      </c>
      <c r="G297">
        <v>9.5</v>
      </c>
      <c r="H297">
        <v>14.2</v>
      </c>
      <c r="I297">
        <v>11.7</v>
      </c>
      <c r="J297">
        <v>0</v>
      </c>
      <c r="K297">
        <v>15.4</v>
      </c>
      <c r="L297">
        <f t="shared" si="2"/>
        <v>220</v>
      </c>
    </row>
    <row r="298" spans="1:12" x14ac:dyDescent="0.25">
      <c r="A298" t="s">
        <v>193</v>
      </c>
      <c r="B298" t="s">
        <v>205</v>
      </c>
      <c r="C298" t="s">
        <v>243</v>
      </c>
      <c r="D298">
        <v>2</v>
      </c>
      <c r="E298">
        <v>7</v>
      </c>
      <c r="F298">
        <v>200</v>
      </c>
      <c r="G298">
        <v>9.5</v>
      </c>
      <c r="H298">
        <v>14.2</v>
      </c>
      <c r="I298">
        <v>11.7</v>
      </c>
      <c r="J298">
        <v>0</v>
      </c>
      <c r="K298">
        <v>15.4</v>
      </c>
      <c r="L298">
        <f t="shared" si="2"/>
        <v>200</v>
      </c>
    </row>
    <row r="299" spans="1:12" x14ac:dyDescent="0.25">
      <c r="A299" t="s">
        <v>193</v>
      </c>
      <c r="B299" t="s">
        <v>205</v>
      </c>
      <c r="C299" t="s">
        <v>243</v>
      </c>
      <c r="D299">
        <v>2</v>
      </c>
      <c r="E299">
        <v>7</v>
      </c>
      <c r="F299">
        <v>180</v>
      </c>
      <c r="G299">
        <v>9.5</v>
      </c>
      <c r="H299">
        <v>14.2</v>
      </c>
      <c r="I299">
        <v>11.7</v>
      </c>
      <c r="J299">
        <v>0</v>
      </c>
      <c r="K299">
        <v>15.4</v>
      </c>
      <c r="L299">
        <f t="shared" si="2"/>
        <v>180</v>
      </c>
    </row>
    <row r="300" spans="1:12" x14ac:dyDescent="0.25">
      <c r="A300" t="s">
        <v>193</v>
      </c>
      <c r="B300" t="s">
        <v>205</v>
      </c>
      <c r="C300" t="s">
        <v>243</v>
      </c>
      <c r="D300">
        <v>2</v>
      </c>
      <c r="E300">
        <v>7</v>
      </c>
      <c r="F300">
        <v>160</v>
      </c>
      <c r="G300">
        <v>9.5</v>
      </c>
      <c r="H300">
        <v>14.2</v>
      </c>
      <c r="I300">
        <v>11.7</v>
      </c>
      <c r="J300">
        <v>0</v>
      </c>
      <c r="K300">
        <v>15.4</v>
      </c>
      <c r="L300">
        <f t="shared" si="2"/>
        <v>160</v>
      </c>
    </row>
    <row r="301" spans="1:12" x14ac:dyDescent="0.25">
      <c r="A301" t="s">
        <v>193</v>
      </c>
      <c r="B301" t="s">
        <v>205</v>
      </c>
      <c r="C301" t="s">
        <v>243</v>
      </c>
      <c r="D301">
        <v>2</v>
      </c>
      <c r="E301">
        <v>7</v>
      </c>
      <c r="F301">
        <v>140</v>
      </c>
      <c r="G301">
        <v>9.5</v>
      </c>
      <c r="H301">
        <v>14.2</v>
      </c>
      <c r="I301">
        <v>11.7</v>
      </c>
      <c r="J301">
        <v>0</v>
      </c>
      <c r="K301">
        <v>15.4</v>
      </c>
      <c r="L301">
        <f t="shared" si="2"/>
        <v>140</v>
      </c>
    </row>
    <row r="302" spans="1:12" x14ac:dyDescent="0.25">
      <c r="A302" t="s">
        <v>193</v>
      </c>
      <c r="B302" t="s">
        <v>205</v>
      </c>
      <c r="C302" t="s">
        <v>243</v>
      </c>
      <c r="D302">
        <v>2</v>
      </c>
      <c r="E302">
        <v>7</v>
      </c>
      <c r="F302">
        <v>120</v>
      </c>
      <c r="G302">
        <v>9.5</v>
      </c>
      <c r="H302">
        <v>14.2</v>
      </c>
      <c r="I302">
        <v>11.7</v>
      </c>
      <c r="J302">
        <v>0</v>
      </c>
      <c r="K302">
        <v>15.4</v>
      </c>
      <c r="L302">
        <f t="shared" si="2"/>
        <v>120</v>
      </c>
    </row>
    <row r="303" spans="1:12" x14ac:dyDescent="0.25">
      <c r="A303" t="s">
        <v>193</v>
      </c>
      <c r="B303" t="s">
        <v>205</v>
      </c>
      <c r="C303" t="s">
        <v>243</v>
      </c>
      <c r="D303">
        <v>2</v>
      </c>
      <c r="E303">
        <v>7</v>
      </c>
      <c r="F303">
        <v>100</v>
      </c>
      <c r="G303">
        <v>9.5</v>
      </c>
      <c r="H303">
        <v>14.2</v>
      </c>
      <c r="I303">
        <v>11.7</v>
      </c>
      <c r="J303">
        <v>0</v>
      </c>
      <c r="K303">
        <v>15.4</v>
      </c>
      <c r="L303">
        <f t="shared" si="2"/>
        <v>100</v>
      </c>
    </row>
    <row r="304" spans="1:12" x14ac:dyDescent="0.25">
      <c r="A304" t="s">
        <v>193</v>
      </c>
      <c r="B304" t="s">
        <v>205</v>
      </c>
      <c r="C304" t="s">
        <v>243</v>
      </c>
      <c r="D304">
        <v>2</v>
      </c>
      <c r="E304">
        <v>7</v>
      </c>
      <c r="F304">
        <v>80</v>
      </c>
      <c r="G304">
        <v>9.5</v>
      </c>
      <c r="H304">
        <v>14.2</v>
      </c>
      <c r="I304">
        <v>11.7</v>
      </c>
      <c r="J304">
        <v>0</v>
      </c>
      <c r="K304">
        <v>15.4</v>
      </c>
      <c r="L304">
        <f t="shared" si="2"/>
        <v>80</v>
      </c>
    </row>
    <row r="305" spans="1:12" x14ac:dyDescent="0.25">
      <c r="A305" t="s">
        <v>193</v>
      </c>
      <c r="B305" t="s">
        <v>205</v>
      </c>
      <c r="C305" t="s">
        <v>243</v>
      </c>
      <c r="D305">
        <v>2</v>
      </c>
      <c r="E305">
        <v>5.6</v>
      </c>
      <c r="F305">
        <v>160</v>
      </c>
      <c r="G305">
        <v>8</v>
      </c>
      <c r="H305">
        <v>10.6</v>
      </c>
      <c r="I305">
        <v>11.7</v>
      </c>
      <c r="J305">
        <v>0</v>
      </c>
      <c r="K305">
        <v>12.3</v>
      </c>
      <c r="L305">
        <f t="shared" si="2"/>
        <v>160</v>
      </c>
    </row>
    <row r="306" spans="1:12" x14ac:dyDescent="0.25">
      <c r="A306" t="s">
        <v>193</v>
      </c>
      <c r="B306" t="s">
        <v>205</v>
      </c>
      <c r="C306" t="s">
        <v>243</v>
      </c>
      <c r="D306">
        <v>2</v>
      </c>
      <c r="E306">
        <v>5.6</v>
      </c>
      <c r="F306">
        <v>140</v>
      </c>
      <c r="G306">
        <v>8</v>
      </c>
      <c r="H306">
        <v>10.6</v>
      </c>
      <c r="I306">
        <v>11.7</v>
      </c>
      <c r="J306">
        <v>0</v>
      </c>
      <c r="K306">
        <v>12.3</v>
      </c>
      <c r="L306">
        <f t="shared" si="2"/>
        <v>140</v>
      </c>
    </row>
    <row r="307" spans="1:12" x14ac:dyDescent="0.25">
      <c r="A307" t="s">
        <v>193</v>
      </c>
      <c r="B307" t="s">
        <v>205</v>
      </c>
      <c r="C307" t="s">
        <v>243</v>
      </c>
      <c r="D307">
        <v>2</v>
      </c>
      <c r="E307">
        <v>5.3</v>
      </c>
      <c r="F307">
        <v>120</v>
      </c>
      <c r="G307">
        <v>8</v>
      </c>
      <c r="H307">
        <v>9.1999999999999993</v>
      </c>
      <c r="I307">
        <v>11.7</v>
      </c>
      <c r="J307">
        <v>0</v>
      </c>
      <c r="K307">
        <v>11</v>
      </c>
      <c r="L307">
        <f t="shared" si="2"/>
        <v>120</v>
      </c>
    </row>
    <row r="308" spans="1:12" x14ac:dyDescent="0.25">
      <c r="A308" t="s">
        <v>193</v>
      </c>
      <c r="B308" t="s">
        <v>205</v>
      </c>
      <c r="C308" t="s">
        <v>243</v>
      </c>
      <c r="D308">
        <v>2</v>
      </c>
      <c r="E308">
        <v>5.3</v>
      </c>
      <c r="F308">
        <v>100</v>
      </c>
      <c r="G308">
        <v>8</v>
      </c>
      <c r="H308">
        <v>9.1999999999999993</v>
      </c>
      <c r="I308">
        <v>11.7</v>
      </c>
      <c r="J308">
        <v>0</v>
      </c>
      <c r="K308">
        <v>11</v>
      </c>
      <c r="L308">
        <f t="shared" si="2"/>
        <v>100</v>
      </c>
    </row>
    <row r="309" spans="1:12" x14ac:dyDescent="0.25">
      <c r="A309" t="s">
        <v>193</v>
      </c>
      <c r="B309" t="s">
        <v>205</v>
      </c>
      <c r="C309" t="s">
        <v>243</v>
      </c>
      <c r="D309">
        <v>2</v>
      </c>
      <c r="E309">
        <v>5.3</v>
      </c>
      <c r="F309">
        <v>80</v>
      </c>
      <c r="G309">
        <v>8</v>
      </c>
      <c r="H309">
        <v>9.1999999999999993</v>
      </c>
      <c r="I309">
        <v>11.7</v>
      </c>
      <c r="J309">
        <v>0</v>
      </c>
      <c r="K309">
        <v>11</v>
      </c>
      <c r="L309">
        <f t="shared" si="2"/>
        <v>80</v>
      </c>
    </row>
    <row r="310" spans="1:12" x14ac:dyDescent="0.25">
      <c r="A310" t="s">
        <v>193</v>
      </c>
      <c r="B310" t="s">
        <v>328</v>
      </c>
      <c r="C310" t="s">
        <v>329</v>
      </c>
      <c r="D310">
        <v>2</v>
      </c>
      <c r="E310">
        <v>6</v>
      </c>
      <c r="F310">
        <v>60</v>
      </c>
      <c r="G310">
        <v>15.5</v>
      </c>
      <c r="H310">
        <v>9.4937000000000005</v>
      </c>
      <c r="I310">
        <v>11.7</v>
      </c>
      <c r="J310">
        <v>10.5</v>
      </c>
      <c r="K310">
        <v>11.3</v>
      </c>
      <c r="L310">
        <v>40</v>
      </c>
    </row>
    <row r="311" spans="1:12" x14ac:dyDescent="0.25">
      <c r="A311" t="s">
        <v>193</v>
      </c>
      <c r="B311" t="s">
        <v>328</v>
      </c>
      <c r="C311" t="s">
        <v>329</v>
      </c>
      <c r="D311">
        <v>2</v>
      </c>
      <c r="E311">
        <v>6</v>
      </c>
      <c r="F311">
        <v>70</v>
      </c>
      <c r="G311">
        <v>15.5</v>
      </c>
      <c r="H311">
        <v>9.4937000000000005</v>
      </c>
      <c r="I311">
        <v>11.7</v>
      </c>
      <c r="J311">
        <v>10.5</v>
      </c>
      <c r="K311">
        <v>11.3</v>
      </c>
      <c r="L311">
        <v>40</v>
      </c>
    </row>
    <row r="312" spans="1:12" x14ac:dyDescent="0.25">
      <c r="A312" t="s">
        <v>193</v>
      </c>
      <c r="B312" t="s">
        <v>328</v>
      </c>
      <c r="C312" t="s">
        <v>329</v>
      </c>
      <c r="D312">
        <v>2</v>
      </c>
      <c r="E312">
        <v>6</v>
      </c>
      <c r="F312">
        <v>80</v>
      </c>
      <c r="G312">
        <v>15.5</v>
      </c>
      <c r="H312">
        <v>9.4937000000000005</v>
      </c>
      <c r="I312">
        <v>11.7</v>
      </c>
      <c r="J312">
        <v>10.5</v>
      </c>
      <c r="K312">
        <v>11.3</v>
      </c>
      <c r="L312">
        <v>50</v>
      </c>
    </row>
    <row r="313" spans="1:12" x14ac:dyDescent="0.25">
      <c r="A313" t="s">
        <v>193</v>
      </c>
      <c r="B313" t="s">
        <v>328</v>
      </c>
      <c r="C313" t="s">
        <v>329</v>
      </c>
      <c r="D313">
        <v>2</v>
      </c>
      <c r="E313">
        <v>6</v>
      </c>
      <c r="F313">
        <v>90</v>
      </c>
      <c r="G313">
        <v>15.5</v>
      </c>
      <c r="H313">
        <v>9.4937000000000005</v>
      </c>
      <c r="I313">
        <v>11.7</v>
      </c>
      <c r="J313">
        <v>10.5</v>
      </c>
      <c r="K313">
        <v>11.3</v>
      </c>
      <c r="L313">
        <v>50</v>
      </c>
    </row>
    <row r="314" spans="1:12" x14ac:dyDescent="0.25">
      <c r="A314" t="s">
        <v>193</v>
      </c>
      <c r="B314" t="s">
        <v>328</v>
      </c>
      <c r="C314" t="s">
        <v>329</v>
      </c>
      <c r="D314">
        <v>2</v>
      </c>
      <c r="E314">
        <v>6</v>
      </c>
      <c r="F314">
        <v>100</v>
      </c>
      <c r="G314">
        <v>15.5</v>
      </c>
      <c r="H314">
        <v>9.4937000000000005</v>
      </c>
      <c r="I314">
        <v>11.7</v>
      </c>
      <c r="J314">
        <v>10.5</v>
      </c>
      <c r="K314">
        <v>11.3</v>
      </c>
      <c r="L314">
        <v>60</v>
      </c>
    </row>
    <row r="315" spans="1:12" x14ac:dyDescent="0.25">
      <c r="A315" t="s">
        <v>193</v>
      </c>
      <c r="B315" t="s">
        <v>328</v>
      </c>
      <c r="C315" t="s">
        <v>329</v>
      </c>
      <c r="D315">
        <v>2</v>
      </c>
      <c r="E315">
        <v>6</v>
      </c>
      <c r="F315">
        <v>120</v>
      </c>
      <c r="G315">
        <v>15.5</v>
      </c>
      <c r="H315">
        <v>9.4937000000000005</v>
      </c>
      <c r="I315">
        <v>11.7</v>
      </c>
      <c r="J315">
        <v>10.5</v>
      </c>
      <c r="K315">
        <v>11.3</v>
      </c>
      <c r="L315">
        <v>75</v>
      </c>
    </row>
    <row r="316" spans="1:12" x14ac:dyDescent="0.25">
      <c r="A316" t="s">
        <v>193</v>
      </c>
      <c r="B316" t="s">
        <v>328</v>
      </c>
      <c r="C316" t="s">
        <v>329</v>
      </c>
      <c r="D316">
        <v>2</v>
      </c>
      <c r="E316">
        <v>6</v>
      </c>
      <c r="F316">
        <v>140</v>
      </c>
      <c r="G316">
        <v>15.5</v>
      </c>
      <c r="H316">
        <v>9.4937000000000005</v>
      </c>
      <c r="I316">
        <v>11.7</v>
      </c>
      <c r="J316">
        <v>10.5</v>
      </c>
      <c r="K316">
        <v>11.3</v>
      </c>
      <c r="L316">
        <v>75</v>
      </c>
    </row>
    <row r="317" spans="1:12" x14ac:dyDescent="0.25">
      <c r="A317" t="s">
        <v>193</v>
      </c>
      <c r="B317" t="s">
        <v>328</v>
      </c>
      <c r="C317" t="s">
        <v>329</v>
      </c>
      <c r="D317">
        <v>2</v>
      </c>
      <c r="E317">
        <v>6</v>
      </c>
      <c r="F317">
        <v>160</v>
      </c>
      <c r="G317">
        <v>15.5</v>
      </c>
      <c r="H317">
        <v>9.4937000000000005</v>
      </c>
      <c r="I317">
        <v>11.7</v>
      </c>
      <c r="J317">
        <v>10.5</v>
      </c>
      <c r="K317">
        <v>11.3</v>
      </c>
      <c r="L317">
        <v>75</v>
      </c>
    </row>
    <row r="318" spans="1:12" x14ac:dyDescent="0.25">
      <c r="A318" t="s">
        <v>193</v>
      </c>
      <c r="B318" t="s">
        <v>328</v>
      </c>
      <c r="C318" t="s">
        <v>329</v>
      </c>
      <c r="D318">
        <v>2</v>
      </c>
      <c r="E318">
        <v>6</v>
      </c>
      <c r="F318">
        <v>180</v>
      </c>
      <c r="G318">
        <v>15.5</v>
      </c>
      <c r="H318">
        <v>9.4937000000000005</v>
      </c>
      <c r="I318">
        <v>11.7</v>
      </c>
      <c r="J318">
        <v>10.5</v>
      </c>
      <c r="K318">
        <v>11.3</v>
      </c>
      <c r="L318">
        <v>75</v>
      </c>
    </row>
    <row r="319" spans="1:12" x14ac:dyDescent="0.25">
      <c r="A319" t="s">
        <v>193</v>
      </c>
      <c r="B319" t="s">
        <v>328</v>
      </c>
      <c r="C319" t="s">
        <v>329</v>
      </c>
      <c r="D319">
        <v>2</v>
      </c>
      <c r="E319">
        <v>6</v>
      </c>
      <c r="F319">
        <v>200</v>
      </c>
      <c r="G319">
        <v>15.5</v>
      </c>
      <c r="H319">
        <v>9.4937000000000005</v>
      </c>
      <c r="I319">
        <v>11.7</v>
      </c>
      <c r="J319">
        <v>10.5</v>
      </c>
      <c r="K319">
        <v>11.3</v>
      </c>
      <c r="L319">
        <v>75</v>
      </c>
    </row>
    <row r="320" spans="1:12" x14ac:dyDescent="0.25">
      <c r="A320" t="s">
        <v>193</v>
      </c>
      <c r="B320" t="s">
        <v>328</v>
      </c>
      <c r="C320" t="s">
        <v>329</v>
      </c>
      <c r="D320">
        <v>2</v>
      </c>
      <c r="E320">
        <v>6</v>
      </c>
      <c r="F320">
        <v>220</v>
      </c>
      <c r="G320">
        <v>15.5</v>
      </c>
      <c r="H320">
        <v>9.4937000000000005</v>
      </c>
      <c r="I320">
        <v>11.7</v>
      </c>
      <c r="J320">
        <v>10.5</v>
      </c>
      <c r="K320">
        <v>11.3</v>
      </c>
      <c r="L320">
        <v>100</v>
      </c>
    </row>
    <row r="321" spans="1:12" x14ac:dyDescent="0.25">
      <c r="A321" t="s">
        <v>193</v>
      </c>
      <c r="B321" t="s">
        <v>328</v>
      </c>
      <c r="C321" t="s">
        <v>329</v>
      </c>
      <c r="D321">
        <v>2</v>
      </c>
      <c r="E321">
        <v>6</v>
      </c>
      <c r="F321">
        <v>240</v>
      </c>
      <c r="G321">
        <v>15.5</v>
      </c>
      <c r="H321">
        <v>9.4937000000000005</v>
      </c>
      <c r="I321">
        <v>11.7</v>
      </c>
      <c r="J321">
        <v>10.5</v>
      </c>
      <c r="K321">
        <v>11.3</v>
      </c>
      <c r="L321">
        <v>100</v>
      </c>
    </row>
    <row r="322" spans="1:12" x14ac:dyDescent="0.25">
      <c r="A322" t="s">
        <v>193</v>
      </c>
      <c r="B322" t="s">
        <v>328</v>
      </c>
      <c r="C322" t="s">
        <v>329</v>
      </c>
      <c r="D322">
        <v>2</v>
      </c>
      <c r="E322">
        <v>6</v>
      </c>
      <c r="F322">
        <v>260</v>
      </c>
      <c r="G322">
        <v>15.5</v>
      </c>
      <c r="H322">
        <v>9.4937000000000005</v>
      </c>
      <c r="I322">
        <v>11.7</v>
      </c>
      <c r="J322">
        <v>10.5</v>
      </c>
      <c r="K322">
        <v>11.3</v>
      </c>
      <c r="L322">
        <v>100</v>
      </c>
    </row>
    <row r="323" spans="1:12" x14ac:dyDescent="0.25">
      <c r="A323" t="s">
        <v>193</v>
      </c>
      <c r="B323" t="s">
        <v>328</v>
      </c>
      <c r="C323" t="s">
        <v>329</v>
      </c>
      <c r="D323">
        <v>2</v>
      </c>
      <c r="E323">
        <v>6</v>
      </c>
      <c r="F323">
        <v>280</v>
      </c>
      <c r="G323">
        <v>15.5</v>
      </c>
      <c r="H323">
        <v>9.4937000000000005</v>
      </c>
      <c r="I323">
        <v>11.7</v>
      </c>
      <c r="J323">
        <v>10.5</v>
      </c>
      <c r="K323">
        <v>11.3</v>
      </c>
      <c r="L323">
        <v>100</v>
      </c>
    </row>
    <row r="324" spans="1:12" x14ac:dyDescent="0.25">
      <c r="A324" t="s">
        <v>193</v>
      </c>
      <c r="B324" t="s">
        <v>328</v>
      </c>
      <c r="C324" t="s">
        <v>329</v>
      </c>
      <c r="D324">
        <v>2</v>
      </c>
      <c r="E324">
        <v>6</v>
      </c>
      <c r="F324">
        <v>300</v>
      </c>
      <c r="G324">
        <v>15.5</v>
      </c>
      <c r="H324">
        <v>9.4937000000000005</v>
      </c>
      <c r="I324">
        <v>11.7</v>
      </c>
      <c r="J324">
        <v>10.5</v>
      </c>
      <c r="K324">
        <v>11.3</v>
      </c>
      <c r="L324">
        <v>100</v>
      </c>
    </row>
    <row r="325" spans="1:12" x14ac:dyDescent="0.25">
      <c r="A325" t="s">
        <v>193</v>
      </c>
      <c r="B325" t="s">
        <v>328</v>
      </c>
      <c r="C325" t="s">
        <v>329</v>
      </c>
      <c r="D325">
        <v>2</v>
      </c>
      <c r="E325">
        <v>8</v>
      </c>
      <c r="F325">
        <v>40</v>
      </c>
      <c r="G325">
        <v>19</v>
      </c>
      <c r="H325">
        <v>20.057500000000001</v>
      </c>
      <c r="I325">
        <v>11.7</v>
      </c>
      <c r="J325">
        <v>10.5</v>
      </c>
      <c r="K325">
        <v>20.100000000000001</v>
      </c>
      <c r="L325">
        <v>32</v>
      </c>
    </row>
    <row r="326" spans="1:12" x14ac:dyDescent="0.25">
      <c r="A326" t="s">
        <v>193</v>
      </c>
      <c r="B326" t="s">
        <v>328</v>
      </c>
      <c r="C326" t="s">
        <v>329</v>
      </c>
      <c r="D326">
        <v>2</v>
      </c>
      <c r="E326">
        <v>8</v>
      </c>
      <c r="F326">
        <v>60</v>
      </c>
      <c r="G326">
        <v>19</v>
      </c>
      <c r="H326">
        <v>20.057500000000001</v>
      </c>
      <c r="I326">
        <v>11.7</v>
      </c>
      <c r="J326">
        <v>10.5</v>
      </c>
      <c r="K326">
        <v>20.100000000000001</v>
      </c>
      <c r="L326">
        <v>52</v>
      </c>
    </row>
    <row r="327" spans="1:12" x14ac:dyDescent="0.25">
      <c r="A327" t="s">
        <v>193</v>
      </c>
      <c r="B327" t="s">
        <v>328</v>
      </c>
      <c r="C327" t="s">
        <v>329</v>
      </c>
      <c r="D327">
        <v>2</v>
      </c>
      <c r="E327">
        <v>8</v>
      </c>
      <c r="F327">
        <v>80</v>
      </c>
      <c r="G327">
        <v>19</v>
      </c>
      <c r="H327">
        <v>20.057500000000001</v>
      </c>
      <c r="I327">
        <v>11.7</v>
      </c>
      <c r="J327">
        <v>10.5</v>
      </c>
      <c r="K327">
        <v>20.100000000000001</v>
      </c>
      <c r="L327">
        <v>52</v>
      </c>
    </row>
    <row r="328" spans="1:12" x14ac:dyDescent="0.25">
      <c r="A328" t="s">
        <v>193</v>
      </c>
      <c r="B328" t="s">
        <v>328</v>
      </c>
      <c r="C328" t="s">
        <v>329</v>
      </c>
      <c r="D328">
        <v>2</v>
      </c>
      <c r="E328">
        <v>8</v>
      </c>
      <c r="F328">
        <v>100</v>
      </c>
      <c r="G328">
        <v>19</v>
      </c>
      <c r="H328">
        <v>20.057500000000001</v>
      </c>
      <c r="I328">
        <v>11.7</v>
      </c>
      <c r="J328">
        <v>10.5</v>
      </c>
      <c r="K328">
        <v>20.100000000000001</v>
      </c>
      <c r="L328">
        <v>52</v>
      </c>
    </row>
    <row r="329" spans="1:12" x14ac:dyDescent="0.25">
      <c r="A329" t="s">
        <v>193</v>
      </c>
      <c r="B329" t="s">
        <v>328</v>
      </c>
      <c r="C329" t="s">
        <v>329</v>
      </c>
      <c r="D329">
        <v>2</v>
      </c>
      <c r="E329">
        <v>8</v>
      </c>
      <c r="F329">
        <v>120</v>
      </c>
      <c r="G329">
        <v>19</v>
      </c>
      <c r="H329">
        <v>20.057500000000001</v>
      </c>
      <c r="I329">
        <v>11.7</v>
      </c>
      <c r="J329">
        <v>10.5</v>
      </c>
      <c r="K329">
        <v>20.100000000000001</v>
      </c>
      <c r="L329">
        <v>80</v>
      </c>
    </row>
    <row r="330" spans="1:12" x14ac:dyDescent="0.25">
      <c r="A330" t="s">
        <v>193</v>
      </c>
      <c r="B330" t="s">
        <v>328</v>
      </c>
      <c r="C330" t="s">
        <v>329</v>
      </c>
      <c r="D330">
        <v>2</v>
      </c>
      <c r="E330">
        <v>8</v>
      </c>
      <c r="F330">
        <v>140</v>
      </c>
      <c r="G330">
        <v>19</v>
      </c>
      <c r="H330">
        <v>20.057500000000001</v>
      </c>
      <c r="I330">
        <v>11.7</v>
      </c>
      <c r="J330">
        <v>10.5</v>
      </c>
      <c r="K330">
        <v>20.100000000000001</v>
      </c>
      <c r="L330">
        <v>80</v>
      </c>
    </row>
    <row r="331" spans="1:12" x14ac:dyDescent="0.25">
      <c r="A331" t="s">
        <v>193</v>
      </c>
      <c r="B331" t="s">
        <v>328</v>
      </c>
      <c r="C331" t="s">
        <v>329</v>
      </c>
      <c r="D331">
        <v>2</v>
      </c>
      <c r="E331">
        <v>8</v>
      </c>
      <c r="F331">
        <v>160</v>
      </c>
      <c r="G331">
        <v>19</v>
      </c>
      <c r="H331">
        <v>20.057500000000001</v>
      </c>
      <c r="I331">
        <v>11.7</v>
      </c>
      <c r="J331">
        <v>10.5</v>
      </c>
      <c r="K331">
        <v>20.100000000000001</v>
      </c>
      <c r="L331">
        <v>100</v>
      </c>
    </row>
    <row r="332" spans="1:12" x14ac:dyDescent="0.25">
      <c r="A332" t="s">
        <v>193</v>
      </c>
      <c r="B332" t="s">
        <v>328</v>
      </c>
      <c r="C332" t="s">
        <v>329</v>
      </c>
      <c r="D332">
        <v>2</v>
      </c>
      <c r="E332">
        <v>8</v>
      </c>
      <c r="F332">
        <v>180</v>
      </c>
      <c r="G332">
        <v>19</v>
      </c>
      <c r="H332">
        <v>20.057500000000001</v>
      </c>
      <c r="I332">
        <v>11.7</v>
      </c>
      <c r="J332">
        <v>10.5</v>
      </c>
      <c r="K332">
        <v>20.100000000000001</v>
      </c>
      <c r="L332">
        <v>100</v>
      </c>
    </row>
    <row r="333" spans="1:12" x14ac:dyDescent="0.25">
      <c r="A333" t="s">
        <v>193</v>
      </c>
      <c r="B333" t="s">
        <v>328</v>
      </c>
      <c r="C333" t="s">
        <v>329</v>
      </c>
      <c r="D333">
        <v>2</v>
      </c>
      <c r="E333">
        <v>8</v>
      </c>
      <c r="F333">
        <v>200</v>
      </c>
      <c r="G333">
        <v>19</v>
      </c>
      <c r="H333">
        <v>20.057500000000001</v>
      </c>
      <c r="I333">
        <v>11.7</v>
      </c>
      <c r="J333">
        <v>10.5</v>
      </c>
      <c r="K333">
        <v>20.100000000000001</v>
      </c>
      <c r="L333">
        <v>100</v>
      </c>
    </row>
    <row r="334" spans="1:12" x14ac:dyDescent="0.25">
      <c r="A334" t="s">
        <v>193</v>
      </c>
      <c r="B334" t="s">
        <v>328</v>
      </c>
      <c r="C334" t="s">
        <v>329</v>
      </c>
      <c r="D334">
        <v>2</v>
      </c>
      <c r="E334">
        <v>8</v>
      </c>
      <c r="F334">
        <v>220</v>
      </c>
      <c r="G334">
        <v>19</v>
      </c>
      <c r="H334">
        <v>20.057500000000001</v>
      </c>
      <c r="I334">
        <v>11.7</v>
      </c>
      <c r="J334">
        <v>10.5</v>
      </c>
      <c r="K334">
        <v>20.100000000000001</v>
      </c>
      <c r="L334">
        <v>100</v>
      </c>
    </row>
    <row r="335" spans="1:12" x14ac:dyDescent="0.25">
      <c r="A335" t="s">
        <v>193</v>
      </c>
      <c r="B335" t="s">
        <v>328</v>
      </c>
      <c r="C335" t="s">
        <v>329</v>
      </c>
      <c r="D335">
        <v>2</v>
      </c>
      <c r="E335">
        <v>8</v>
      </c>
      <c r="F335">
        <v>240</v>
      </c>
      <c r="G335">
        <v>19</v>
      </c>
      <c r="H335">
        <v>20.057500000000001</v>
      </c>
      <c r="I335">
        <v>11.7</v>
      </c>
      <c r="J335">
        <v>10.5</v>
      </c>
      <c r="K335">
        <v>20.100000000000001</v>
      </c>
      <c r="L335">
        <v>100</v>
      </c>
    </row>
    <row r="336" spans="1:12" x14ac:dyDescent="0.25">
      <c r="A336" t="s">
        <v>193</v>
      </c>
      <c r="B336" t="s">
        <v>328</v>
      </c>
      <c r="C336" t="s">
        <v>329</v>
      </c>
      <c r="D336">
        <v>2</v>
      </c>
      <c r="E336">
        <v>8</v>
      </c>
      <c r="F336">
        <v>260</v>
      </c>
      <c r="G336">
        <v>19</v>
      </c>
      <c r="H336">
        <v>20.057500000000001</v>
      </c>
      <c r="I336">
        <v>11.7</v>
      </c>
      <c r="J336">
        <v>10.5</v>
      </c>
      <c r="K336">
        <v>20.100000000000001</v>
      </c>
      <c r="L336">
        <v>100</v>
      </c>
    </row>
    <row r="337" spans="1:12" x14ac:dyDescent="0.25">
      <c r="A337" t="s">
        <v>193</v>
      </c>
      <c r="B337" t="s">
        <v>328</v>
      </c>
      <c r="C337" t="s">
        <v>329</v>
      </c>
      <c r="D337">
        <v>2</v>
      </c>
      <c r="E337">
        <v>8</v>
      </c>
      <c r="F337">
        <v>280</v>
      </c>
      <c r="G337">
        <v>19</v>
      </c>
      <c r="H337">
        <v>20.057500000000001</v>
      </c>
      <c r="I337">
        <v>11.7</v>
      </c>
      <c r="J337">
        <v>10.5</v>
      </c>
      <c r="K337">
        <v>20.100000000000001</v>
      </c>
      <c r="L337">
        <v>100</v>
      </c>
    </row>
    <row r="338" spans="1:12" x14ac:dyDescent="0.25">
      <c r="A338" t="s">
        <v>193</v>
      </c>
      <c r="B338" t="s">
        <v>328</v>
      </c>
      <c r="C338" t="s">
        <v>329</v>
      </c>
      <c r="D338">
        <v>2</v>
      </c>
      <c r="E338">
        <v>8</v>
      </c>
      <c r="F338">
        <v>300</v>
      </c>
      <c r="G338">
        <v>19</v>
      </c>
      <c r="H338">
        <v>20.057500000000001</v>
      </c>
      <c r="I338">
        <v>11.7</v>
      </c>
      <c r="J338">
        <v>10.5</v>
      </c>
      <c r="K338">
        <v>20.100000000000001</v>
      </c>
      <c r="L338">
        <v>100</v>
      </c>
    </row>
    <row r="339" spans="1:12" x14ac:dyDescent="0.25">
      <c r="A339" t="s">
        <v>193</v>
      </c>
      <c r="B339" t="s">
        <v>328</v>
      </c>
      <c r="C339" t="s">
        <v>329</v>
      </c>
      <c r="D339">
        <v>2</v>
      </c>
      <c r="E339">
        <v>8</v>
      </c>
      <c r="F339">
        <v>320</v>
      </c>
      <c r="G339">
        <v>19</v>
      </c>
      <c r="H339">
        <v>20.057500000000001</v>
      </c>
      <c r="I339">
        <v>11.7</v>
      </c>
      <c r="J339">
        <v>10.5</v>
      </c>
      <c r="K339">
        <v>20.100000000000001</v>
      </c>
      <c r="L339">
        <v>100</v>
      </c>
    </row>
    <row r="340" spans="1:12" x14ac:dyDescent="0.25">
      <c r="A340" t="s">
        <v>193</v>
      </c>
      <c r="B340" t="s">
        <v>328</v>
      </c>
      <c r="C340" t="s">
        <v>329</v>
      </c>
      <c r="D340">
        <v>2</v>
      </c>
      <c r="E340">
        <v>8</v>
      </c>
      <c r="F340">
        <v>340</v>
      </c>
      <c r="G340">
        <v>19</v>
      </c>
      <c r="H340">
        <v>20.057500000000001</v>
      </c>
      <c r="I340">
        <v>11.7</v>
      </c>
      <c r="J340">
        <v>10.5</v>
      </c>
      <c r="K340">
        <v>20.100000000000001</v>
      </c>
      <c r="L340">
        <v>100</v>
      </c>
    </row>
    <row r="341" spans="1:12" x14ac:dyDescent="0.25">
      <c r="A341" t="s">
        <v>193</v>
      </c>
      <c r="B341" t="s">
        <v>328</v>
      </c>
      <c r="C341" t="s">
        <v>329</v>
      </c>
      <c r="D341">
        <v>2</v>
      </c>
      <c r="E341">
        <v>8</v>
      </c>
      <c r="F341">
        <v>360</v>
      </c>
      <c r="G341">
        <v>19</v>
      </c>
      <c r="H341">
        <v>20.057500000000001</v>
      </c>
      <c r="I341">
        <v>11.7</v>
      </c>
      <c r="J341">
        <v>10.5</v>
      </c>
      <c r="K341">
        <v>20.100000000000001</v>
      </c>
      <c r="L341">
        <v>100</v>
      </c>
    </row>
    <row r="342" spans="1:12" x14ac:dyDescent="0.25">
      <c r="A342" t="s">
        <v>193</v>
      </c>
      <c r="B342" t="s">
        <v>328</v>
      </c>
      <c r="C342" t="s">
        <v>329</v>
      </c>
      <c r="D342">
        <v>2</v>
      </c>
      <c r="E342">
        <v>8</v>
      </c>
      <c r="F342">
        <v>380</v>
      </c>
      <c r="G342">
        <v>19</v>
      </c>
      <c r="H342">
        <v>20.057500000000001</v>
      </c>
      <c r="I342">
        <v>11.7</v>
      </c>
      <c r="J342">
        <v>10.5</v>
      </c>
      <c r="K342">
        <v>20.100000000000001</v>
      </c>
      <c r="L342">
        <v>100</v>
      </c>
    </row>
    <row r="343" spans="1:12" x14ac:dyDescent="0.25">
      <c r="A343" t="s">
        <v>193</v>
      </c>
      <c r="B343" t="s">
        <v>328</v>
      </c>
      <c r="C343" t="s">
        <v>329</v>
      </c>
      <c r="D343">
        <v>2</v>
      </c>
      <c r="E343">
        <v>8</v>
      </c>
      <c r="F343">
        <v>400</v>
      </c>
      <c r="G343">
        <v>19</v>
      </c>
      <c r="H343">
        <v>20.057500000000001</v>
      </c>
      <c r="I343">
        <v>11.7</v>
      </c>
      <c r="J343">
        <v>10.5</v>
      </c>
      <c r="K343">
        <v>20.100000000000001</v>
      </c>
      <c r="L343">
        <v>100</v>
      </c>
    </row>
    <row r="344" spans="1:12" x14ac:dyDescent="0.25">
      <c r="A344" t="s">
        <v>193</v>
      </c>
      <c r="B344" t="s">
        <v>328</v>
      </c>
      <c r="C344" t="s">
        <v>329</v>
      </c>
      <c r="D344">
        <v>2</v>
      </c>
      <c r="E344">
        <v>8</v>
      </c>
      <c r="F344">
        <v>440</v>
      </c>
      <c r="G344">
        <v>19</v>
      </c>
      <c r="H344">
        <v>20.057500000000001</v>
      </c>
      <c r="I344">
        <v>11.7</v>
      </c>
      <c r="J344">
        <v>10.5</v>
      </c>
      <c r="K344">
        <v>20.100000000000001</v>
      </c>
      <c r="L344">
        <v>100</v>
      </c>
    </row>
    <row r="345" spans="1:12" x14ac:dyDescent="0.25">
      <c r="A345" t="s">
        <v>193</v>
      </c>
      <c r="B345" t="s">
        <v>328</v>
      </c>
      <c r="C345" t="s">
        <v>329</v>
      </c>
      <c r="D345">
        <v>2</v>
      </c>
      <c r="E345">
        <v>8</v>
      </c>
      <c r="F345">
        <v>480</v>
      </c>
      <c r="G345">
        <v>19</v>
      </c>
      <c r="H345">
        <v>20.057500000000001</v>
      </c>
      <c r="I345">
        <v>11.7</v>
      </c>
      <c r="J345">
        <v>10.5</v>
      </c>
      <c r="K345">
        <v>20.100000000000001</v>
      </c>
      <c r="L345">
        <v>100</v>
      </c>
    </row>
    <row r="346" spans="1:12" x14ac:dyDescent="0.25">
      <c r="A346" t="s">
        <v>193</v>
      </c>
      <c r="B346" t="s">
        <v>328</v>
      </c>
      <c r="C346" t="s">
        <v>329</v>
      </c>
      <c r="D346">
        <v>2</v>
      </c>
      <c r="E346">
        <v>8</v>
      </c>
      <c r="F346">
        <v>520</v>
      </c>
      <c r="G346">
        <v>19</v>
      </c>
      <c r="H346">
        <v>20.057500000000001</v>
      </c>
      <c r="I346">
        <v>11.7</v>
      </c>
      <c r="J346">
        <v>10.5</v>
      </c>
      <c r="K346">
        <v>20.100000000000001</v>
      </c>
      <c r="L346">
        <v>100</v>
      </c>
    </row>
    <row r="347" spans="1:12" x14ac:dyDescent="0.25">
      <c r="A347" t="s">
        <v>193</v>
      </c>
      <c r="B347" t="s">
        <v>328</v>
      </c>
      <c r="C347" t="s">
        <v>329</v>
      </c>
      <c r="D347">
        <v>2</v>
      </c>
      <c r="E347">
        <v>8</v>
      </c>
      <c r="F347">
        <v>200</v>
      </c>
      <c r="G347">
        <v>24.5</v>
      </c>
      <c r="H347">
        <v>20.057500000000001</v>
      </c>
      <c r="I347">
        <v>11.7</v>
      </c>
      <c r="J347">
        <v>16</v>
      </c>
      <c r="K347">
        <v>20.100000000000001</v>
      </c>
      <c r="L347">
        <v>120</v>
      </c>
    </row>
    <row r="348" spans="1:12" x14ac:dyDescent="0.25">
      <c r="A348" t="s">
        <v>193</v>
      </c>
      <c r="B348" t="s">
        <v>328</v>
      </c>
      <c r="C348" t="s">
        <v>329</v>
      </c>
      <c r="D348">
        <v>2</v>
      </c>
      <c r="E348">
        <v>8</v>
      </c>
      <c r="F348">
        <v>220</v>
      </c>
      <c r="G348">
        <v>24.5</v>
      </c>
      <c r="H348">
        <v>20.057500000000001</v>
      </c>
      <c r="I348">
        <v>11.7</v>
      </c>
      <c r="J348">
        <v>16</v>
      </c>
      <c r="K348">
        <v>20.100000000000001</v>
      </c>
      <c r="L348">
        <v>120</v>
      </c>
    </row>
    <row r="349" spans="1:12" x14ac:dyDescent="0.25">
      <c r="A349" t="s">
        <v>193</v>
      </c>
      <c r="B349" t="s">
        <v>328</v>
      </c>
      <c r="C349" t="s">
        <v>329</v>
      </c>
      <c r="D349">
        <v>2</v>
      </c>
      <c r="E349">
        <v>8</v>
      </c>
      <c r="F349">
        <v>240</v>
      </c>
      <c r="G349">
        <v>24.5</v>
      </c>
      <c r="H349">
        <v>20.057500000000001</v>
      </c>
      <c r="I349">
        <v>11.7</v>
      </c>
      <c r="J349">
        <v>16</v>
      </c>
      <c r="K349">
        <v>20.100000000000001</v>
      </c>
      <c r="L349">
        <v>120</v>
      </c>
    </row>
    <row r="350" spans="1:12" x14ac:dyDescent="0.25">
      <c r="A350" t="s">
        <v>193</v>
      </c>
      <c r="B350" t="s">
        <v>328</v>
      </c>
      <c r="C350" t="s">
        <v>329</v>
      </c>
      <c r="D350">
        <v>2</v>
      </c>
      <c r="E350">
        <v>10</v>
      </c>
      <c r="F350">
        <v>100</v>
      </c>
      <c r="G350">
        <v>25</v>
      </c>
      <c r="H350">
        <v>35.829599999999999</v>
      </c>
      <c r="I350">
        <v>11.7</v>
      </c>
      <c r="J350">
        <v>10.5</v>
      </c>
      <c r="K350">
        <v>31.4</v>
      </c>
      <c r="L350">
        <v>52</v>
      </c>
    </row>
    <row r="351" spans="1:12" x14ac:dyDescent="0.25">
      <c r="A351" t="s">
        <v>193</v>
      </c>
      <c r="B351" t="s">
        <v>328</v>
      </c>
      <c r="C351" t="s">
        <v>329</v>
      </c>
      <c r="D351">
        <v>2</v>
      </c>
      <c r="E351">
        <v>10</v>
      </c>
      <c r="F351">
        <v>120</v>
      </c>
      <c r="G351">
        <v>25</v>
      </c>
      <c r="H351">
        <v>35.829599999999999</v>
      </c>
      <c r="I351">
        <v>11.7</v>
      </c>
      <c r="J351">
        <v>10.5</v>
      </c>
      <c r="K351">
        <v>31.4</v>
      </c>
      <c r="L351">
        <v>60</v>
      </c>
    </row>
    <row r="352" spans="1:12" x14ac:dyDescent="0.25">
      <c r="A352" t="s">
        <v>193</v>
      </c>
      <c r="B352" t="s">
        <v>328</v>
      </c>
      <c r="C352" t="s">
        <v>329</v>
      </c>
      <c r="D352">
        <v>2</v>
      </c>
      <c r="E352">
        <v>10</v>
      </c>
      <c r="F352">
        <v>140</v>
      </c>
      <c r="G352">
        <v>25</v>
      </c>
      <c r="H352">
        <v>35.829599999999999</v>
      </c>
      <c r="I352">
        <v>11.7</v>
      </c>
      <c r="J352">
        <v>10.5</v>
      </c>
      <c r="K352">
        <v>31.4</v>
      </c>
      <c r="L352">
        <v>60</v>
      </c>
    </row>
    <row r="353" spans="1:12" x14ac:dyDescent="0.25">
      <c r="A353" t="s">
        <v>193</v>
      </c>
      <c r="B353" t="s">
        <v>328</v>
      </c>
      <c r="C353" t="s">
        <v>329</v>
      </c>
      <c r="D353">
        <v>2</v>
      </c>
      <c r="E353">
        <v>10</v>
      </c>
      <c r="F353">
        <v>160</v>
      </c>
      <c r="G353">
        <v>25</v>
      </c>
      <c r="H353">
        <v>35.829599999999999</v>
      </c>
      <c r="I353">
        <v>11.7</v>
      </c>
      <c r="J353">
        <v>10.5</v>
      </c>
      <c r="K353">
        <v>31.4</v>
      </c>
      <c r="L353">
        <v>80</v>
      </c>
    </row>
    <row r="354" spans="1:12" x14ac:dyDescent="0.25">
      <c r="A354" t="s">
        <v>193</v>
      </c>
      <c r="B354" t="s">
        <v>328</v>
      </c>
      <c r="C354" t="s">
        <v>329</v>
      </c>
      <c r="D354">
        <v>2</v>
      </c>
      <c r="E354">
        <v>10</v>
      </c>
      <c r="F354">
        <v>180</v>
      </c>
      <c r="G354">
        <v>25</v>
      </c>
      <c r="H354">
        <v>35.829599999999999</v>
      </c>
      <c r="I354">
        <v>11.7</v>
      </c>
      <c r="J354">
        <v>10.5</v>
      </c>
      <c r="K354">
        <v>31.4</v>
      </c>
      <c r="L354">
        <v>80</v>
      </c>
    </row>
    <row r="355" spans="1:12" x14ac:dyDescent="0.25">
      <c r="A355" t="s">
        <v>193</v>
      </c>
      <c r="B355" t="s">
        <v>328</v>
      </c>
      <c r="C355" t="s">
        <v>329</v>
      </c>
      <c r="D355">
        <v>2</v>
      </c>
      <c r="E355">
        <v>10</v>
      </c>
      <c r="F355">
        <v>200</v>
      </c>
      <c r="G355">
        <v>25</v>
      </c>
      <c r="H355">
        <v>35.829599999999999</v>
      </c>
      <c r="I355">
        <v>11.7</v>
      </c>
      <c r="J355">
        <v>10.5</v>
      </c>
      <c r="K355">
        <v>31.4</v>
      </c>
      <c r="L355">
        <v>100</v>
      </c>
    </row>
    <row r="356" spans="1:12" x14ac:dyDescent="0.25">
      <c r="A356" t="s">
        <v>193</v>
      </c>
      <c r="B356" t="s">
        <v>328</v>
      </c>
      <c r="C356" t="s">
        <v>329</v>
      </c>
      <c r="D356">
        <v>2</v>
      </c>
      <c r="E356">
        <v>10</v>
      </c>
      <c r="F356">
        <v>220</v>
      </c>
      <c r="G356">
        <v>25</v>
      </c>
      <c r="H356">
        <v>35.829599999999999</v>
      </c>
      <c r="I356">
        <v>11.7</v>
      </c>
      <c r="J356">
        <v>10.5</v>
      </c>
      <c r="K356">
        <v>31.4</v>
      </c>
      <c r="L356">
        <v>100</v>
      </c>
    </row>
    <row r="357" spans="1:12" x14ac:dyDescent="0.25">
      <c r="A357" t="s">
        <v>193</v>
      </c>
      <c r="B357" t="s">
        <v>328</v>
      </c>
      <c r="C357" t="s">
        <v>329</v>
      </c>
      <c r="D357">
        <v>2</v>
      </c>
      <c r="E357">
        <v>10</v>
      </c>
      <c r="F357">
        <v>240</v>
      </c>
      <c r="G357">
        <v>25</v>
      </c>
      <c r="H357">
        <v>35.829599999999999</v>
      </c>
      <c r="I357">
        <v>11.7</v>
      </c>
      <c r="J357">
        <v>10.5</v>
      </c>
      <c r="K357">
        <v>31.4</v>
      </c>
      <c r="L357">
        <v>100</v>
      </c>
    </row>
    <row r="358" spans="1:12" x14ac:dyDescent="0.25">
      <c r="A358" t="s">
        <v>193</v>
      </c>
      <c r="B358" t="s">
        <v>328</v>
      </c>
      <c r="C358" t="s">
        <v>329</v>
      </c>
      <c r="D358">
        <v>2</v>
      </c>
      <c r="E358">
        <v>10</v>
      </c>
      <c r="F358">
        <v>260</v>
      </c>
      <c r="G358">
        <v>25</v>
      </c>
      <c r="H358">
        <v>35.829599999999999</v>
      </c>
      <c r="I358">
        <v>11.7</v>
      </c>
      <c r="J358">
        <v>10.5</v>
      </c>
      <c r="K358">
        <v>31.4</v>
      </c>
      <c r="L358">
        <v>100</v>
      </c>
    </row>
    <row r="359" spans="1:12" x14ac:dyDescent="0.25">
      <c r="A359" t="s">
        <v>193</v>
      </c>
      <c r="B359" t="s">
        <v>328</v>
      </c>
      <c r="C359" t="s">
        <v>329</v>
      </c>
      <c r="D359">
        <v>2</v>
      </c>
      <c r="E359">
        <v>10</v>
      </c>
      <c r="F359">
        <v>280</v>
      </c>
      <c r="G359">
        <v>25</v>
      </c>
      <c r="H359">
        <v>35.829599999999999</v>
      </c>
      <c r="I359">
        <v>11.7</v>
      </c>
      <c r="J359">
        <v>10.5</v>
      </c>
      <c r="K359">
        <v>31.4</v>
      </c>
      <c r="L359">
        <v>100</v>
      </c>
    </row>
    <row r="360" spans="1:12" x14ac:dyDescent="0.25">
      <c r="A360" t="s">
        <v>193</v>
      </c>
      <c r="B360" t="s">
        <v>328</v>
      </c>
      <c r="C360" t="s">
        <v>329</v>
      </c>
      <c r="D360">
        <v>2</v>
      </c>
      <c r="E360">
        <v>10</v>
      </c>
      <c r="F360">
        <v>300</v>
      </c>
      <c r="G360">
        <v>25</v>
      </c>
      <c r="H360">
        <v>35.829599999999999</v>
      </c>
      <c r="I360">
        <v>11.7</v>
      </c>
      <c r="J360">
        <v>10.5</v>
      </c>
      <c r="K360">
        <v>31.4</v>
      </c>
      <c r="L360">
        <v>100</v>
      </c>
    </row>
    <row r="361" spans="1:12" x14ac:dyDescent="0.25">
      <c r="A361" t="s">
        <v>193</v>
      </c>
      <c r="B361" t="s">
        <v>328</v>
      </c>
      <c r="C361" t="s">
        <v>329</v>
      </c>
      <c r="D361">
        <v>2</v>
      </c>
      <c r="E361">
        <v>10</v>
      </c>
      <c r="F361">
        <v>320</v>
      </c>
      <c r="G361">
        <v>25</v>
      </c>
      <c r="H361">
        <v>35.829599999999999</v>
      </c>
      <c r="I361">
        <v>11.7</v>
      </c>
      <c r="J361">
        <v>10.5</v>
      </c>
      <c r="K361">
        <v>31.4</v>
      </c>
      <c r="L361">
        <v>120</v>
      </c>
    </row>
    <row r="362" spans="1:12" x14ac:dyDescent="0.25">
      <c r="A362" t="s">
        <v>193</v>
      </c>
      <c r="B362" t="s">
        <v>328</v>
      </c>
      <c r="C362" t="s">
        <v>329</v>
      </c>
      <c r="D362">
        <v>2</v>
      </c>
      <c r="E362">
        <v>10</v>
      </c>
      <c r="F362">
        <v>340</v>
      </c>
      <c r="G362">
        <v>25</v>
      </c>
      <c r="H362">
        <v>35.829599999999999</v>
      </c>
      <c r="I362">
        <v>11.7</v>
      </c>
      <c r="J362">
        <v>10.5</v>
      </c>
      <c r="K362">
        <v>31.4</v>
      </c>
      <c r="L362">
        <v>120</v>
      </c>
    </row>
    <row r="363" spans="1:12" x14ac:dyDescent="0.25">
      <c r="A363" t="s">
        <v>193</v>
      </c>
      <c r="B363" t="s">
        <v>328</v>
      </c>
      <c r="C363" t="s">
        <v>329</v>
      </c>
      <c r="D363">
        <v>2</v>
      </c>
      <c r="E363">
        <v>10</v>
      </c>
      <c r="F363">
        <v>360</v>
      </c>
      <c r="G363">
        <v>25</v>
      </c>
      <c r="H363">
        <v>35.829599999999999</v>
      </c>
      <c r="I363">
        <v>11.7</v>
      </c>
      <c r="J363">
        <v>10.5</v>
      </c>
      <c r="K363">
        <v>31.4</v>
      </c>
      <c r="L363">
        <v>120</v>
      </c>
    </row>
    <row r="364" spans="1:12" x14ac:dyDescent="0.25">
      <c r="A364" t="s">
        <v>193</v>
      </c>
      <c r="B364" t="s">
        <v>328</v>
      </c>
      <c r="C364" t="s">
        <v>329</v>
      </c>
      <c r="D364">
        <v>2</v>
      </c>
      <c r="E364">
        <v>10</v>
      </c>
      <c r="F364">
        <v>380</v>
      </c>
      <c r="G364">
        <v>25</v>
      </c>
      <c r="H364">
        <v>35.829599999999999</v>
      </c>
      <c r="I364">
        <v>11.7</v>
      </c>
      <c r="J364">
        <v>10.5</v>
      </c>
      <c r="K364">
        <v>31.4</v>
      </c>
      <c r="L364">
        <v>120</v>
      </c>
    </row>
    <row r="365" spans="1:12" x14ac:dyDescent="0.25">
      <c r="A365" t="s">
        <v>193</v>
      </c>
      <c r="B365" t="s">
        <v>328</v>
      </c>
      <c r="C365" t="s">
        <v>329</v>
      </c>
      <c r="D365">
        <v>2</v>
      </c>
      <c r="E365">
        <v>10</v>
      </c>
      <c r="F365">
        <v>400</v>
      </c>
      <c r="G365">
        <v>25</v>
      </c>
      <c r="H365">
        <v>35.829599999999999</v>
      </c>
      <c r="I365">
        <v>11.7</v>
      </c>
      <c r="J365">
        <v>10.5</v>
      </c>
      <c r="K365">
        <v>31.4</v>
      </c>
      <c r="L365">
        <v>120</v>
      </c>
    </row>
    <row r="366" spans="1:12" x14ac:dyDescent="0.25">
      <c r="A366" t="s">
        <v>193</v>
      </c>
      <c r="B366" t="s">
        <v>328</v>
      </c>
      <c r="C366" t="s">
        <v>329</v>
      </c>
      <c r="D366">
        <v>2</v>
      </c>
      <c r="E366">
        <v>10</v>
      </c>
      <c r="F366">
        <v>440</v>
      </c>
      <c r="G366">
        <v>25</v>
      </c>
      <c r="H366">
        <v>35.829599999999999</v>
      </c>
      <c r="I366">
        <v>11.7</v>
      </c>
      <c r="J366">
        <v>10.5</v>
      </c>
      <c r="K366">
        <v>31.4</v>
      </c>
      <c r="L366">
        <v>120</v>
      </c>
    </row>
    <row r="367" spans="1:12" x14ac:dyDescent="0.25">
      <c r="A367" t="s">
        <v>193</v>
      </c>
      <c r="B367" t="s">
        <v>328</v>
      </c>
      <c r="C367" t="s">
        <v>329</v>
      </c>
      <c r="D367">
        <v>2</v>
      </c>
      <c r="E367">
        <v>10</v>
      </c>
      <c r="F367">
        <v>480</v>
      </c>
      <c r="G367">
        <v>25</v>
      </c>
      <c r="H367">
        <v>35.829599999999999</v>
      </c>
      <c r="I367">
        <v>11.7</v>
      </c>
      <c r="J367">
        <v>10.5</v>
      </c>
      <c r="K367">
        <v>31.4</v>
      </c>
      <c r="L367">
        <v>120</v>
      </c>
    </row>
    <row r="368" spans="1:12" x14ac:dyDescent="0.25">
      <c r="A368" t="s">
        <v>193</v>
      </c>
      <c r="B368" t="s">
        <v>328</v>
      </c>
      <c r="C368" t="s">
        <v>329</v>
      </c>
      <c r="D368">
        <v>2</v>
      </c>
      <c r="E368">
        <v>10</v>
      </c>
      <c r="F368">
        <v>520</v>
      </c>
      <c r="G368">
        <v>25</v>
      </c>
      <c r="H368">
        <v>35.829599999999999</v>
      </c>
      <c r="I368">
        <v>11.7</v>
      </c>
      <c r="J368">
        <v>10.5</v>
      </c>
      <c r="K368">
        <v>31.4</v>
      </c>
      <c r="L368">
        <v>120</v>
      </c>
    </row>
    <row r="369" spans="1:12" x14ac:dyDescent="0.25">
      <c r="A369" t="s">
        <v>193</v>
      </c>
      <c r="B369" t="s">
        <v>330</v>
      </c>
      <c r="C369" t="s">
        <v>329</v>
      </c>
      <c r="D369">
        <v>3</v>
      </c>
      <c r="E369">
        <v>6</v>
      </c>
      <c r="F369">
        <v>60</v>
      </c>
      <c r="G369">
        <v>15.5</v>
      </c>
      <c r="H369">
        <v>9.4937000000000005</v>
      </c>
      <c r="I369">
        <v>11.7</v>
      </c>
      <c r="J369">
        <v>10.5</v>
      </c>
      <c r="K369">
        <v>11.3</v>
      </c>
      <c r="L369">
        <v>40</v>
      </c>
    </row>
    <row r="370" spans="1:12" x14ac:dyDescent="0.25">
      <c r="A370" t="s">
        <v>193</v>
      </c>
      <c r="B370" t="s">
        <v>330</v>
      </c>
      <c r="C370" t="s">
        <v>329</v>
      </c>
      <c r="D370">
        <v>3</v>
      </c>
      <c r="E370">
        <v>6</v>
      </c>
      <c r="F370">
        <v>80</v>
      </c>
      <c r="G370">
        <v>15.5</v>
      </c>
      <c r="H370">
        <v>9.4937000000000005</v>
      </c>
      <c r="I370">
        <v>11.7</v>
      </c>
      <c r="J370">
        <v>10.5</v>
      </c>
      <c r="K370">
        <v>11.3</v>
      </c>
      <c r="L370">
        <v>50</v>
      </c>
    </row>
    <row r="371" spans="1:12" x14ac:dyDescent="0.25">
      <c r="A371" t="s">
        <v>193</v>
      </c>
      <c r="B371" t="s">
        <v>330</v>
      </c>
      <c r="C371" t="s">
        <v>329</v>
      </c>
      <c r="D371">
        <v>3</v>
      </c>
      <c r="E371">
        <v>6</v>
      </c>
      <c r="F371">
        <v>100</v>
      </c>
      <c r="G371">
        <v>15.5</v>
      </c>
      <c r="H371">
        <v>9.4937000000000005</v>
      </c>
      <c r="I371">
        <v>11.7</v>
      </c>
      <c r="J371">
        <v>10.5</v>
      </c>
      <c r="K371">
        <v>11.3</v>
      </c>
      <c r="L371">
        <v>60</v>
      </c>
    </row>
    <row r="372" spans="1:12" x14ac:dyDescent="0.25">
      <c r="A372" t="s">
        <v>193</v>
      </c>
      <c r="B372" t="s">
        <v>330</v>
      </c>
      <c r="C372" t="s">
        <v>329</v>
      </c>
      <c r="D372">
        <v>3</v>
      </c>
      <c r="E372">
        <v>6</v>
      </c>
      <c r="F372">
        <v>120</v>
      </c>
      <c r="G372">
        <v>15.5</v>
      </c>
      <c r="H372">
        <v>9.4937000000000005</v>
      </c>
      <c r="I372">
        <v>11.7</v>
      </c>
      <c r="J372">
        <v>10.5</v>
      </c>
      <c r="K372">
        <v>11.3</v>
      </c>
      <c r="L372">
        <v>75</v>
      </c>
    </row>
    <row r="373" spans="1:12" x14ac:dyDescent="0.25">
      <c r="A373" t="s">
        <v>193</v>
      </c>
      <c r="B373" t="s">
        <v>330</v>
      </c>
      <c r="C373" t="s">
        <v>329</v>
      </c>
      <c r="D373">
        <v>3</v>
      </c>
      <c r="E373">
        <v>6</v>
      </c>
      <c r="F373">
        <v>140</v>
      </c>
      <c r="G373">
        <v>15.5</v>
      </c>
      <c r="H373">
        <v>9.4937000000000005</v>
      </c>
      <c r="I373">
        <v>11.7</v>
      </c>
      <c r="J373">
        <v>10.5</v>
      </c>
      <c r="K373">
        <v>11.3</v>
      </c>
      <c r="L373">
        <v>75</v>
      </c>
    </row>
    <row r="374" spans="1:12" x14ac:dyDescent="0.25">
      <c r="A374" t="s">
        <v>193</v>
      </c>
      <c r="B374" t="s">
        <v>330</v>
      </c>
      <c r="C374" t="s">
        <v>329</v>
      </c>
      <c r="D374">
        <v>3</v>
      </c>
      <c r="E374">
        <v>6</v>
      </c>
      <c r="F374">
        <v>160</v>
      </c>
      <c r="G374">
        <v>15.5</v>
      </c>
      <c r="H374">
        <v>9.4937000000000005</v>
      </c>
      <c r="I374">
        <v>11.7</v>
      </c>
      <c r="J374">
        <v>10.5</v>
      </c>
      <c r="K374">
        <v>11.3</v>
      </c>
      <c r="L374">
        <v>75</v>
      </c>
    </row>
    <row r="375" spans="1:12" x14ac:dyDescent="0.25">
      <c r="A375" t="s">
        <v>193</v>
      </c>
      <c r="B375" t="s">
        <v>330</v>
      </c>
      <c r="C375" t="s">
        <v>329</v>
      </c>
      <c r="D375">
        <v>3</v>
      </c>
      <c r="E375">
        <v>6</v>
      </c>
      <c r="F375">
        <v>180</v>
      </c>
      <c r="G375">
        <v>15.5</v>
      </c>
      <c r="H375">
        <v>9.4937000000000005</v>
      </c>
      <c r="I375">
        <v>11.7</v>
      </c>
      <c r="J375">
        <v>10.5</v>
      </c>
      <c r="K375">
        <v>11.3</v>
      </c>
      <c r="L375">
        <v>75</v>
      </c>
    </row>
    <row r="376" spans="1:12" x14ac:dyDescent="0.25">
      <c r="A376" t="s">
        <v>193</v>
      </c>
      <c r="B376" t="s">
        <v>330</v>
      </c>
      <c r="C376" t="s">
        <v>329</v>
      </c>
      <c r="D376">
        <v>3</v>
      </c>
      <c r="E376">
        <v>6</v>
      </c>
      <c r="F376">
        <v>200</v>
      </c>
      <c r="G376">
        <v>15.5</v>
      </c>
      <c r="H376">
        <v>9.4937000000000005</v>
      </c>
      <c r="I376">
        <v>11.7</v>
      </c>
      <c r="J376">
        <v>10.5</v>
      </c>
      <c r="K376">
        <v>11.3</v>
      </c>
      <c r="L376">
        <v>75</v>
      </c>
    </row>
    <row r="377" spans="1:12" x14ac:dyDescent="0.25">
      <c r="A377" t="s">
        <v>193</v>
      </c>
      <c r="B377" t="s">
        <v>330</v>
      </c>
      <c r="C377" t="s">
        <v>329</v>
      </c>
      <c r="D377">
        <v>3</v>
      </c>
      <c r="E377">
        <v>8</v>
      </c>
      <c r="F377">
        <v>100</v>
      </c>
      <c r="G377">
        <v>19</v>
      </c>
      <c r="H377">
        <v>20.057500000000001</v>
      </c>
      <c r="I377">
        <v>11.7</v>
      </c>
      <c r="J377">
        <v>10.5</v>
      </c>
      <c r="K377">
        <v>20.100000000000001</v>
      </c>
      <c r="L377">
        <v>52</v>
      </c>
    </row>
    <row r="378" spans="1:12" x14ac:dyDescent="0.25">
      <c r="A378" t="s">
        <v>193</v>
      </c>
      <c r="B378" t="s">
        <v>330</v>
      </c>
      <c r="C378" t="s">
        <v>329</v>
      </c>
      <c r="D378">
        <v>3</v>
      </c>
      <c r="E378">
        <v>8</v>
      </c>
      <c r="F378">
        <v>120</v>
      </c>
      <c r="G378">
        <v>19</v>
      </c>
      <c r="H378">
        <v>20.057500000000001</v>
      </c>
      <c r="I378">
        <v>11.7</v>
      </c>
      <c r="J378">
        <v>10.5</v>
      </c>
      <c r="K378">
        <v>20.100000000000001</v>
      </c>
      <c r="L378">
        <v>80</v>
      </c>
    </row>
    <row r="379" spans="1:12" x14ac:dyDescent="0.25">
      <c r="A379" t="s">
        <v>193</v>
      </c>
      <c r="B379" t="s">
        <v>330</v>
      </c>
      <c r="C379" t="s">
        <v>329</v>
      </c>
      <c r="D379">
        <v>3</v>
      </c>
      <c r="E379">
        <v>8</v>
      </c>
      <c r="F379">
        <v>140</v>
      </c>
      <c r="G379">
        <v>19</v>
      </c>
      <c r="H379">
        <v>20.057500000000001</v>
      </c>
      <c r="I379">
        <v>11.7</v>
      </c>
      <c r="J379">
        <v>10.5</v>
      </c>
      <c r="K379">
        <v>20.100000000000001</v>
      </c>
      <c r="L379">
        <v>80</v>
      </c>
    </row>
    <row r="380" spans="1:12" x14ac:dyDescent="0.25">
      <c r="A380" t="s">
        <v>193</v>
      </c>
      <c r="B380" t="s">
        <v>330</v>
      </c>
      <c r="C380" t="s">
        <v>329</v>
      </c>
      <c r="D380">
        <v>3</v>
      </c>
      <c r="E380">
        <v>8</v>
      </c>
      <c r="F380">
        <v>160</v>
      </c>
      <c r="G380">
        <v>19</v>
      </c>
      <c r="H380">
        <v>20.057500000000001</v>
      </c>
      <c r="I380">
        <v>11.7</v>
      </c>
      <c r="J380">
        <v>10.5</v>
      </c>
      <c r="K380">
        <v>20.100000000000001</v>
      </c>
      <c r="L380">
        <v>100</v>
      </c>
    </row>
    <row r="381" spans="1:12" x14ac:dyDescent="0.25">
      <c r="A381" t="s">
        <v>193</v>
      </c>
      <c r="B381" t="s">
        <v>330</v>
      </c>
      <c r="C381" t="s">
        <v>329</v>
      </c>
      <c r="D381">
        <v>3</v>
      </c>
      <c r="E381">
        <v>8</v>
      </c>
      <c r="F381">
        <v>180</v>
      </c>
      <c r="G381">
        <v>19</v>
      </c>
      <c r="H381">
        <v>20.057500000000001</v>
      </c>
      <c r="I381">
        <v>11.7</v>
      </c>
      <c r="J381">
        <v>10.5</v>
      </c>
      <c r="K381">
        <v>20.100000000000001</v>
      </c>
      <c r="L381">
        <v>100</v>
      </c>
    </row>
    <row r="382" spans="1:12" x14ac:dyDescent="0.25">
      <c r="A382" t="s">
        <v>193</v>
      </c>
      <c r="B382" t="s">
        <v>330</v>
      </c>
      <c r="C382" t="s">
        <v>329</v>
      </c>
      <c r="D382">
        <v>3</v>
      </c>
      <c r="E382">
        <v>8</v>
      </c>
      <c r="F382">
        <v>200</v>
      </c>
      <c r="G382">
        <v>19</v>
      </c>
      <c r="H382">
        <v>20.057500000000001</v>
      </c>
      <c r="I382">
        <v>11.7</v>
      </c>
      <c r="J382">
        <v>10.5</v>
      </c>
      <c r="K382">
        <v>20.100000000000001</v>
      </c>
      <c r="L382">
        <v>100</v>
      </c>
    </row>
    <row r="383" spans="1:12" x14ac:dyDescent="0.25">
      <c r="A383" t="s">
        <v>193</v>
      </c>
      <c r="B383" t="s">
        <v>330</v>
      </c>
      <c r="C383" t="s">
        <v>329</v>
      </c>
      <c r="D383">
        <v>3</v>
      </c>
      <c r="E383">
        <v>8</v>
      </c>
      <c r="F383">
        <v>220</v>
      </c>
      <c r="G383">
        <v>19</v>
      </c>
      <c r="H383">
        <v>20.057500000000001</v>
      </c>
      <c r="I383">
        <v>11.7</v>
      </c>
      <c r="J383">
        <v>10.5</v>
      </c>
      <c r="K383">
        <v>20.100000000000001</v>
      </c>
      <c r="L383">
        <v>100</v>
      </c>
    </row>
    <row r="384" spans="1:12" x14ac:dyDescent="0.25">
      <c r="A384" t="s">
        <v>193</v>
      </c>
      <c r="B384" t="s">
        <v>330</v>
      </c>
      <c r="C384" t="s">
        <v>329</v>
      </c>
      <c r="D384">
        <v>3</v>
      </c>
      <c r="E384">
        <v>8</v>
      </c>
      <c r="F384">
        <v>240</v>
      </c>
      <c r="G384">
        <v>19</v>
      </c>
      <c r="H384">
        <v>20.057500000000001</v>
      </c>
      <c r="I384">
        <v>11.7</v>
      </c>
      <c r="J384">
        <v>10.5</v>
      </c>
      <c r="K384">
        <v>20.100000000000001</v>
      </c>
      <c r="L384">
        <v>100</v>
      </c>
    </row>
  </sheetData>
  <autoFilter ref="A1:P309" xr:uid="{00000000-0009-0000-0000-000006000000}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Q168"/>
  <sheetViews>
    <sheetView workbookViewId="0">
      <pane ySplit="600" activePane="bottomLeft"/>
      <selection activeCell="J36" sqref="J36"/>
      <selection pane="bottomLeft" activeCell="J36" sqref="J36"/>
    </sheetView>
  </sheetViews>
  <sheetFormatPr baseColWidth="10" defaultRowHeight="15" x14ac:dyDescent="0.25"/>
  <cols>
    <col min="1" max="1" width="12.85546875" bestFit="1" customWidth="1"/>
    <col min="3" max="3" width="19.42578125" bestFit="1" customWidth="1"/>
    <col min="4" max="4" width="19.140625" bestFit="1" customWidth="1"/>
    <col min="8" max="11" width="13.5703125" customWidth="1"/>
  </cols>
  <sheetData>
    <row r="1" spans="1:16" x14ac:dyDescent="0.25">
      <c r="A1" t="s">
        <v>0</v>
      </c>
      <c r="B1" t="s">
        <v>1</v>
      </c>
      <c r="C1" t="s">
        <v>231</v>
      </c>
      <c r="D1" t="s">
        <v>232</v>
      </c>
      <c r="E1" t="s">
        <v>18</v>
      </c>
      <c r="F1" t="s">
        <v>20</v>
      </c>
      <c r="G1" t="s">
        <v>22</v>
      </c>
      <c r="H1" t="s">
        <v>215</v>
      </c>
      <c r="I1" t="s">
        <v>214</v>
      </c>
      <c r="J1" t="s">
        <v>171</v>
      </c>
      <c r="K1" t="s">
        <v>172</v>
      </c>
      <c r="L1" t="s">
        <v>314</v>
      </c>
      <c r="M1" t="s">
        <v>315</v>
      </c>
      <c r="N1" t="s">
        <v>322</v>
      </c>
      <c r="O1" t="s">
        <v>316</v>
      </c>
    </row>
    <row r="2" spans="1:16" x14ac:dyDescent="0.25">
      <c r="A2" t="s">
        <v>193</v>
      </c>
      <c r="B2" t="s">
        <v>207</v>
      </c>
      <c r="C2" t="s">
        <v>260</v>
      </c>
      <c r="E2">
        <v>24</v>
      </c>
      <c r="F2">
        <v>85</v>
      </c>
      <c r="G2">
        <v>39.979999999999997</v>
      </c>
      <c r="H2" s="53">
        <f t="shared" ref="H2:H7" si="0">0.3*L2*N2^2.6/1000</f>
        <v>603.6884559200339</v>
      </c>
      <c r="K2">
        <v>254.2</v>
      </c>
      <c r="L2">
        <v>800</v>
      </c>
      <c r="M2">
        <f t="shared" ref="M2:M7" si="1">L2*0.8</f>
        <v>640</v>
      </c>
      <c r="N2">
        <v>20.32</v>
      </c>
      <c r="O2" s="54">
        <f t="shared" ref="O2:O7" si="2">N2^2*PI()/4</f>
        <v>324.29278662239852</v>
      </c>
      <c r="P2" s="54">
        <f t="shared" ref="P2:P7" si="3">L2*O2/1000</f>
        <v>259.43422929791882</v>
      </c>
    </row>
    <row r="3" spans="1:16" x14ac:dyDescent="0.25">
      <c r="A3" t="s">
        <v>193</v>
      </c>
      <c r="B3" t="s">
        <v>207</v>
      </c>
      <c r="C3" t="s">
        <v>260</v>
      </c>
      <c r="E3">
        <v>24</v>
      </c>
      <c r="F3">
        <v>80</v>
      </c>
      <c r="G3">
        <v>39.979999999999997</v>
      </c>
      <c r="H3" s="53">
        <f t="shared" si="0"/>
        <v>603.6884559200339</v>
      </c>
      <c r="K3">
        <v>254.2</v>
      </c>
      <c r="L3">
        <v>800</v>
      </c>
      <c r="M3">
        <f t="shared" si="1"/>
        <v>640</v>
      </c>
      <c r="N3">
        <v>20.32</v>
      </c>
      <c r="O3" s="54">
        <f t="shared" si="2"/>
        <v>324.29278662239852</v>
      </c>
      <c r="P3" s="54">
        <f t="shared" si="3"/>
        <v>259.43422929791882</v>
      </c>
    </row>
    <row r="4" spans="1:16" x14ac:dyDescent="0.25">
      <c r="A4" t="s">
        <v>193</v>
      </c>
      <c r="B4" t="s">
        <v>207</v>
      </c>
      <c r="C4" t="s">
        <v>260</v>
      </c>
      <c r="E4">
        <v>24</v>
      </c>
      <c r="F4">
        <v>70</v>
      </c>
      <c r="G4">
        <v>39.979999999999997</v>
      </c>
      <c r="H4" s="53">
        <f t="shared" si="0"/>
        <v>603.6884559200339</v>
      </c>
      <c r="K4">
        <v>254.2</v>
      </c>
      <c r="L4">
        <v>800</v>
      </c>
      <c r="M4">
        <f t="shared" si="1"/>
        <v>640</v>
      </c>
      <c r="N4">
        <v>20.32</v>
      </c>
      <c r="O4" s="54">
        <f t="shared" si="2"/>
        <v>324.29278662239852</v>
      </c>
      <c r="P4" s="54">
        <f t="shared" si="3"/>
        <v>259.43422929791882</v>
      </c>
    </row>
    <row r="5" spans="1:16" x14ac:dyDescent="0.25">
      <c r="A5" t="s">
        <v>193</v>
      </c>
      <c r="B5" t="s">
        <v>207</v>
      </c>
      <c r="C5" t="s">
        <v>260</v>
      </c>
      <c r="E5">
        <v>24</v>
      </c>
      <c r="F5">
        <v>65</v>
      </c>
      <c r="G5">
        <v>39.979999999999997</v>
      </c>
      <c r="H5" s="53">
        <f t="shared" si="0"/>
        <v>603.6884559200339</v>
      </c>
      <c r="K5">
        <v>254.2</v>
      </c>
      <c r="L5">
        <v>800</v>
      </c>
      <c r="M5">
        <f t="shared" si="1"/>
        <v>640</v>
      </c>
      <c r="N5">
        <v>20.32</v>
      </c>
      <c r="O5" s="54">
        <f t="shared" si="2"/>
        <v>324.29278662239852</v>
      </c>
      <c r="P5" s="54">
        <f t="shared" si="3"/>
        <v>259.43422929791882</v>
      </c>
    </row>
    <row r="6" spans="1:16" x14ac:dyDescent="0.25">
      <c r="A6" t="s">
        <v>193</v>
      </c>
      <c r="B6" t="s">
        <v>207</v>
      </c>
      <c r="C6" t="s">
        <v>260</v>
      </c>
      <c r="E6">
        <v>24</v>
      </c>
      <c r="F6">
        <v>60</v>
      </c>
      <c r="G6">
        <v>39.979999999999997</v>
      </c>
      <c r="H6" s="53">
        <f t="shared" si="0"/>
        <v>603.6884559200339</v>
      </c>
      <c r="K6">
        <v>254.2</v>
      </c>
      <c r="L6">
        <v>800</v>
      </c>
      <c r="M6">
        <f t="shared" si="1"/>
        <v>640</v>
      </c>
      <c r="N6">
        <v>20.32</v>
      </c>
      <c r="O6" s="54">
        <f t="shared" si="2"/>
        <v>324.29278662239852</v>
      </c>
      <c r="P6" s="54">
        <f t="shared" si="3"/>
        <v>259.43422929791882</v>
      </c>
    </row>
    <row r="7" spans="1:16" x14ac:dyDescent="0.25">
      <c r="A7" t="s">
        <v>193</v>
      </c>
      <c r="B7" t="s">
        <v>207</v>
      </c>
      <c r="C7" t="s">
        <v>260</v>
      </c>
      <c r="E7">
        <v>24</v>
      </c>
      <c r="F7">
        <v>50</v>
      </c>
      <c r="G7">
        <v>39.979999999999997</v>
      </c>
      <c r="H7" s="53">
        <f t="shared" si="0"/>
        <v>603.6884559200339</v>
      </c>
      <c r="K7">
        <v>254.2</v>
      </c>
      <c r="L7">
        <v>800</v>
      </c>
      <c r="M7">
        <f t="shared" si="1"/>
        <v>640</v>
      </c>
      <c r="N7">
        <v>20.32</v>
      </c>
      <c r="O7" s="54">
        <f t="shared" si="2"/>
        <v>324.29278662239852</v>
      </c>
      <c r="P7" s="54">
        <f t="shared" si="3"/>
        <v>259.43422929791882</v>
      </c>
    </row>
    <row r="8" spans="1:16" x14ac:dyDescent="0.25">
      <c r="A8" t="s">
        <v>193</v>
      </c>
      <c r="B8" t="s">
        <v>207</v>
      </c>
      <c r="C8" t="s">
        <v>260</v>
      </c>
      <c r="E8">
        <v>24</v>
      </c>
      <c r="F8">
        <v>40</v>
      </c>
      <c r="G8">
        <v>39.979999999999997</v>
      </c>
      <c r="H8" s="53">
        <f>0.3*L8*N8^2.6/1000</f>
        <v>603.6884559200339</v>
      </c>
      <c r="K8">
        <v>254.2</v>
      </c>
      <c r="L8">
        <v>800</v>
      </c>
      <c r="M8">
        <f t="shared" ref="M8:M13" si="4">L8*0.8</f>
        <v>640</v>
      </c>
      <c r="N8">
        <v>20.32</v>
      </c>
      <c r="O8" s="54">
        <f t="shared" ref="O8" si="5">N8^2*PI()/4</f>
        <v>324.29278662239852</v>
      </c>
      <c r="P8" s="54">
        <f t="shared" ref="P8" si="6">L8*O8/1000</f>
        <v>259.43422929791882</v>
      </c>
    </row>
    <row r="9" spans="1:16" x14ac:dyDescent="0.25">
      <c r="A9" t="s">
        <v>193</v>
      </c>
      <c r="B9" t="s">
        <v>207</v>
      </c>
      <c r="C9" t="s">
        <v>260</v>
      </c>
      <c r="E9">
        <v>20</v>
      </c>
      <c r="F9">
        <v>100</v>
      </c>
      <c r="G9">
        <v>33.53</v>
      </c>
      <c r="H9" s="53">
        <f t="shared" ref="H9:H13" si="7">0.3*L9*N9^2.6/1000</f>
        <v>375.59459402917901</v>
      </c>
      <c r="K9">
        <v>176.4</v>
      </c>
      <c r="L9">
        <v>800</v>
      </c>
      <c r="M9">
        <f t="shared" si="4"/>
        <v>640</v>
      </c>
      <c r="N9">
        <v>16.93</v>
      </c>
      <c r="O9" s="54">
        <f t="shared" ref="O9:O13" si="8">N9^2*PI()/4</f>
        <v>225.11467004397724</v>
      </c>
      <c r="P9" s="54">
        <f t="shared" ref="P9:P13" si="9">L9*O9/1000</f>
        <v>180.09173603518178</v>
      </c>
    </row>
    <row r="10" spans="1:16" x14ac:dyDescent="0.25">
      <c r="A10" t="s">
        <v>193</v>
      </c>
      <c r="B10" t="s">
        <v>207</v>
      </c>
      <c r="C10" t="s">
        <v>260</v>
      </c>
      <c r="E10">
        <v>20</v>
      </c>
      <c r="F10">
        <v>80</v>
      </c>
      <c r="G10">
        <v>33.53</v>
      </c>
      <c r="H10" s="53">
        <f t="shared" si="7"/>
        <v>375.59459402917901</v>
      </c>
      <c r="K10">
        <v>176.4</v>
      </c>
      <c r="L10">
        <v>800</v>
      </c>
      <c r="M10">
        <f t="shared" si="4"/>
        <v>640</v>
      </c>
      <c r="N10">
        <v>16.93</v>
      </c>
      <c r="O10" s="54">
        <f t="shared" si="8"/>
        <v>225.11467004397724</v>
      </c>
      <c r="P10" s="54">
        <f t="shared" si="9"/>
        <v>180.09173603518178</v>
      </c>
    </row>
    <row r="11" spans="1:16" x14ac:dyDescent="0.25">
      <c r="A11" t="s">
        <v>193</v>
      </c>
      <c r="B11" t="s">
        <v>207</v>
      </c>
      <c r="C11" t="s">
        <v>260</v>
      </c>
      <c r="E11">
        <v>20</v>
      </c>
      <c r="F11">
        <v>70</v>
      </c>
      <c r="G11">
        <v>33.53</v>
      </c>
      <c r="H11" s="53">
        <f t="shared" si="7"/>
        <v>375.59459402917901</v>
      </c>
      <c r="K11">
        <v>176.4</v>
      </c>
      <c r="L11">
        <v>800</v>
      </c>
      <c r="M11">
        <f t="shared" si="4"/>
        <v>640</v>
      </c>
      <c r="N11">
        <v>16.93</v>
      </c>
      <c r="O11" s="54">
        <f t="shared" si="8"/>
        <v>225.11467004397724</v>
      </c>
      <c r="P11" s="54">
        <f t="shared" si="9"/>
        <v>180.09173603518178</v>
      </c>
    </row>
    <row r="12" spans="1:16" x14ac:dyDescent="0.25">
      <c r="A12" t="s">
        <v>193</v>
      </c>
      <c r="B12" t="s">
        <v>207</v>
      </c>
      <c r="C12" t="s">
        <v>260</v>
      </c>
      <c r="E12">
        <v>20</v>
      </c>
      <c r="F12">
        <v>60</v>
      </c>
      <c r="G12">
        <v>33.53</v>
      </c>
      <c r="H12" s="53">
        <f t="shared" si="7"/>
        <v>375.59459402917901</v>
      </c>
      <c r="K12">
        <v>176.4</v>
      </c>
      <c r="L12">
        <v>800</v>
      </c>
      <c r="M12">
        <f t="shared" si="4"/>
        <v>640</v>
      </c>
      <c r="N12">
        <v>16.93</v>
      </c>
      <c r="O12" s="54">
        <f t="shared" si="8"/>
        <v>225.11467004397724</v>
      </c>
      <c r="P12" s="54">
        <f t="shared" si="9"/>
        <v>180.09173603518178</v>
      </c>
    </row>
    <row r="13" spans="1:16" x14ac:dyDescent="0.25">
      <c r="A13" t="s">
        <v>193</v>
      </c>
      <c r="B13" t="s">
        <v>207</v>
      </c>
      <c r="C13" t="s">
        <v>260</v>
      </c>
      <c r="E13">
        <v>20</v>
      </c>
      <c r="F13">
        <v>50</v>
      </c>
      <c r="G13">
        <v>33.53</v>
      </c>
      <c r="H13" s="53">
        <f t="shared" si="7"/>
        <v>375.59459402917901</v>
      </c>
      <c r="K13">
        <v>176.4</v>
      </c>
      <c r="L13">
        <v>800</v>
      </c>
      <c r="M13">
        <f t="shared" si="4"/>
        <v>640</v>
      </c>
      <c r="N13">
        <v>16.93</v>
      </c>
      <c r="O13" s="54">
        <f t="shared" si="8"/>
        <v>225.11467004397724</v>
      </c>
      <c r="P13" s="54">
        <f t="shared" si="9"/>
        <v>180.09173603518178</v>
      </c>
    </row>
    <row r="14" spans="1:16" x14ac:dyDescent="0.25">
      <c r="A14" t="s">
        <v>193</v>
      </c>
      <c r="B14" t="s">
        <v>207</v>
      </c>
      <c r="C14" t="s">
        <v>260</v>
      </c>
      <c r="E14">
        <v>20</v>
      </c>
      <c r="F14">
        <v>40</v>
      </c>
      <c r="G14">
        <v>33.53</v>
      </c>
      <c r="H14" s="53">
        <f>0.3*L14*N14^2.6/1000</f>
        <v>375.59459402917901</v>
      </c>
      <c r="K14">
        <v>176.4</v>
      </c>
      <c r="L14">
        <v>800</v>
      </c>
      <c r="M14">
        <f t="shared" ref="M14" si="10">L14*0.8</f>
        <v>640</v>
      </c>
      <c r="N14">
        <v>16.93</v>
      </c>
      <c r="O14" s="54">
        <f t="shared" ref="O14" si="11">N14^2*PI()/4</f>
        <v>225.11467004397724</v>
      </c>
      <c r="P14" s="54">
        <f t="shared" ref="P14" si="12">L14*O14/1000</f>
        <v>180.09173603518178</v>
      </c>
    </row>
    <row r="15" spans="1:16" x14ac:dyDescent="0.25">
      <c r="A15" t="s">
        <v>193</v>
      </c>
      <c r="B15" t="s">
        <v>208</v>
      </c>
      <c r="C15" t="s">
        <v>261</v>
      </c>
      <c r="D15">
        <v>3</v>
      </c>
      <c r="E15">
        <v>12</v>
      </c>
      <c r="F15">
        <v>300</v>
      </c>
      <c r="G15">
        <v>20.03</v>
      </c>
      <c r="H15" s="53">
        <f t="shared" ref="H15:H61" si="13">0.3*L15*E15^2.6/1000</f>
        <v>76.745423286936145</v>
      </c>
      <c r="K15">
        <v>30.3</v>
      </c>
      <c r="L15">
        <v>400</v>
      </c>
      <c r="M15">
        <f t="shared" ref="M15:M60" si="14">L15*0.8</f>
        <v>320</v>
      </c>
    </row>
    <row r="16" spans="1:16" x14ac:dyDescent="0.25">
      <c r="A16" t="s">
        <v>193</v>
      </c>
      <c r="B16" t="s">
        <v>208</v>
      </c>
      <c r="C16" t="s">
        <v>261</v>
      </c>
      <c r="D16">
        <v>3</v>
      </c>
      <c r="E16">
        <v>12</v>
      </c>
      <c r="F16">
        <v>280</v>
      </c>
      <c r="G16">
        <v>20.03</v>
      </c>
      <c r="H16" s="53">
        <f t="shared" si="13"/>
        <v>76.745423286936145</v>
      </c>
      <c r="K16">
        <v>30.3</v>
      </c>
      <c r="L16">
        <v>400</v>
      </c>
      <c r="M16">
        <f t="shared" si="14"/>
        <v>320</v>
      </c>
    </row>
    <row r="17" spans="1:13" x14ac:dyDescent="0.25">
      <c r="A17" t="s">
        <v>193</v>
      </c>
      <c r="B17" t="s">
        <v>208</v>
      </c>
      <c r="C17" t="s">
        <v>261</v>
      </c>
      <c r="D17">
        <v>3</v>
      </c>
      <c r="E17">
        <v>12</v>
      </c>
      <c r="F17">
        <v>240</v>
      </c>
      <c r="G17">
        <v>20.03</v>
      </c>
      <c r="H17" s="53">
        <f t="shared" si="13"/>
        <v>76.745423286936145</v>
      </c>
      <c r="K17">
        <v>30.3</v>
      </c>
      <c r="L17">
        <v>400</v>
      </c>
      <c r="M17">
        <f t="shared" si="14"/>
        <v>320</v>
      </c>
    </row>
    <row r="18" spans="1:13" x14ac:dyDescent="0.25">
      <c r="A18" t="s">
        <v>193</v>
      </c>
      <c r="B18" t="s">
        <v>208</v>
      </c>
      <c r="C18" t="s">
        <v>261</v>
      </c>
      <c r="D18">
        <v>3</v>
      </c>
      <c r="E18">
        <v>12</v>
      </c>
      <c r="F18">
        <v>220</v>
      </c>
      <c r="G18">
        <v>20.03</v>
      </c>
      <c r="H18" s="53">
        <f t="shared" si="13"/>
        <v>76.745423286936145</v>
      </c>
      <c r="K18">
        <v>30.3</v>
      </c>
      <c r="L18">
        <v>400</v>
      </c>
      <c r="M18">
        <f t="shared" si="14"/>
        <v>320</v>
      </c>
    </row>
    <row r="19" spans="1:13" x14ac:dyDescent="0.25">
      <c r="A19" t="s">
        <v>193</v>
      </c>
      <c r="B19" t="s">
        <v>208</v>
      </c>
      <c r="C19" t="s">
        <v>261</v>
      </c>
      <c r="D19">
        <v>3</v>
      </c>
      <c r="E19">
        <v>12</v>
      </c>
      <c r="F19">
        <v>200</v>
      </c>
      <c r="G19">
        <v>20.03</v>
      </c>
      <c r="H19" s="53">
        <f t="shared" si="13"/>
        <v>76.745423286936145</v>
      </c>
      <c r="K19">
        <v>30.3</v>
      </c>
      <c r="L19">
        <v>400</v>
      </c>
      <c r="M19">
        <f t="shared" si="14"/>
        <v>320</v>
      </c>
    </row>
    <row r="20" spans="1:13" x14ac:dyDescent="0.25">
      <c r="A20" t="s">
        <v>193</v>
      </c>
      <c r="B20" t="s">
        <v>208</v>
      </c>
      <c r="C20" t="s">
        <v>261</v>
      </c>
      <c r="D20">
        <v>3</v>
      </c>
      <c r="E20">
        <v>12</v>
      </c>
      <c r="F20">
        <v>180</v>
      </c>
      <c r="G20">
        <v>20.03</v>
      </c>
      <c r="H20" s="53">
        <f t="shared" si="13"/>
        <v>76.745423286936145</v>
      </c>
      <c r="K20">
        <v>30.3</v>
      </c>
      <c r="L20">
        <v>400</v>
      </c>
      <c r="M20">
        <f t="shared" si="14"/>
        <v>320</v>
      </c>
    </row>
    <row r="21" spans="1:13" x14ac:dyDescent="0.25">
      <c r="A21" t="s">
        <v>193</v>
      </c>
      <c r="B21" t="s">
        <v>208</v>
      </c>
      <c r="C21" t="s">
        <v>261</v>
      </c>
      <c r="D21">
        <v>3</v>
      </c>
      <c r="E21">
        <v>12</v>
      </c>
      <c r="F21">
        <v>160</v>
      </c>
      <c r="G21">
        <v>20.03</v>
      </c>
      <c r="H21" s="53">
        <f t="shared" si="13"/>
        <v>76.745423286936145</v>
      </c>
      <c r="K21">
        <v>30.3</v>
      </c>
      <c r="L21">
        <v>400</v>
      </c>
      <c r="M21">
        <f t="shared" si="14"/>
        <v>320</v>
      </c>
    </row>
    <row r="22" spans="1:13" x14ac:dyDescent="0.25">
      <c r="A22" t="s">
        <v>193</v>
      </c>
      <c r="B22" t="s">
        <v>208</v>
      </c>
      <c r="C22" t="s">
        <v>261</v>
      </c>
      <c r="D22">
        <v>3</v>
      </c>
      <c r="E22">
        <v>12</v>
      </c>
      <c r="F22">
        <v>140</v>
      </c>
      <c r="G22">
        <v>20.03</v>
      </c>
      <c r="H22" s="53">
        <f t="shared" si="13"/>
        <v>76.745423286936145</v>
      </c>
      <c r="K22">
        <v>30.3</v>
      </c>
      <c r="L22">
        <v>400</v>
      </c>
      <c r="M22">
        <f t="shared" si="14"/>
        <v>320</v>
      </c>
    </row>
    <row r="23" spans="1:13" x14ac:dyDescent="0.25">
      <c r="A23" t="s">
        <v>193</v>
      </c>
      <c r="B23" t="s">
        <v>208</v>
      </c>
      <c r="C23" t="s">
        <v>261</v>
      </c>
      <c r="D23">
        <v>3</v>
      </c>
      <c r="E23">
        <v>10</v>
      </c>
      <c r="F23">
        <v>220</v>
      </c>
      <c r="G23">
        <v>17.77</v>
      </c>
      <c r="H23" s="53">
        <f t="shared" si="13"/>
        <v>47.772860466419715</v>
      </c>
      <c r="K23">
        <v>20.9</v>
      </c>
      <c r="L23">
        <v>400</v>
      </c>
      <c r="M23">
        <f t="shared" si="14"/>
        <v>320</v>
      </c>
    </row>
    <row r="24" spans="1:13" x14ac:dyDescent="0.25">
      <c r="A24" t="s">
        <v>193</v>
      </c>
      <c r="B24" t="s">
        <v>208</v>
      </c>
      <c r="C24" t="s">
        <v>261</v>
      </c>
      <c r="D24">
        <v>3</v>
      </c>
      <c r="E24">
        <v>10</v>
      </c>
      <c r="F24">
        <v>200</v>
      </c>
      <c r="G24">
        <v>17.77</v>
      </c>
      <c r="H24" s="53">
        <f t="shared" si="13"/>
        <v>47.772860466419715</v>
      </c>
      <c r="K24">
        <v>20.9</v>
      </c>
      <c r="L24">
        <v>400</v>
      </c>
      <c r="M24">
        <f t="shared" si="14"/>
        <v>320</v>
      </c>
    </row>
    <row r="25" spans="1:13" x14ac:dyDescent="0.25">
      <c r="A25" t="s">
        <v>193</v>
      </c>
      <c r="B25" t="s">
        <v>208</v>
      </c>
      <c r="C25" t="s">
        <v>261</v>
      </c>
      <c r="D25">
        <v>3</v>
      </c>
      <c r="E25">
        <v>10</v>
      </c>
      <c r="F25">
        <v>180</v>
      </c>
      <c r="G25">
        <v>17.77</v>
      </c>
      <c r="H25" s="53">
        <f t="shared" si="13"/>
        <v>47.772860466419715</v>
      </c>
      <c r="K25">
        <v>20.9</v>
      </c>
      <c r="L25">
        <v>400</v>
      </c>
      <c r="M25">
        <f t="shared" si="14"/>
        <v>320</v>
      </c>
    </row>
    <row r="26" spans="1:13" x14ac:dyDescent="0.25">
      <c r="A26" t="s">
        <v>193</v>
      </c>
      <c r="B26" t="s">
        <v>208</v>
      </c>
      <c r="C26" t="s">
        <v>261</v>
      </c>
      <c r="D26">
        <v>3</v>
      </c>
      <c r="E26">
        <v>10</v>
      </c>
      <c r="F26">
        <v>160</v>
      </c>
      <c r="G26">
        <v>17.77</v>
      </c>
      <c r="H26" s="53">
        <f t="shared" si="13"/>
        <v>47.772860466419715</v>
      </c>
      <c r="K26">
        <v>20.9</v>
      </c>
      <c r="L26">
        <v>400</v>
      </c>
      <c r="M26">
        <f t="shared" si="14"/>
        <v>320</v>
      </c>
    </row>
    <row r="27" spans="1:13" x14ac:dyDescent="0.25">
      <c r="A27" t="s">
        <v>193</v>
      </c>
      <c r="B27" t="s">
        <v>208</v>
      </c>
      <c r="C27" t="s">
        <v>261</v>
      </c>
      <c r="D27">
        <v>3</v>
      </c>
      <c r="E27">
        <v>10</v>
      </c>
      <c r="F27">
        <v>150</v>
      </c>
      <c r="G27">
        <v>17.77</v>
      </c>
      <c r="H27" s="53">
        <f t="shared" si="13"/>
        <v>47.772860466419715</v>
      </c>
      <c r="K27">
        <v>20.9</v>
      </c>
      <c r="L27">
        <v>400</v>
      </c>
      <c r="M27">
        <f t="shared" si="14"/>
        <v>320</v>
      </c>
    </row>
    <row r="28" spans="1:13" x14ac:dyDescent="0.25">
      <c r="A28" t="s">
        <v>193</v>
      </c>
      <c r="B28" t="s">
        <v>208</v>
      </c>
      <c r="C28" t="s">
        <v>261</v>
      </c>
      <c r="D28">
        <v>3</v>
      </c>
      <c r="E28">
        <v>10</v>
      </c>
      <c r="F28">
        <v>140</v>
      </c>
      <c r="G28">
        <v>17.77</v>
      </c>
      <c r="H28" s="53">
        <f t="shared" si="13"/>
        <v>47.772860466419715</v>
      </c>
      <c r="K28">
        <v>20.9</v>
      </c>
      <c r="L28">
        <v>400</v>
      </c>
      <c r="M28">
        <f t="shared" si="14"/>
        <v>320</v>
      </c>
    </row>
    <row r="29" spans="1:13" x14ac:dyDescent="0.25">
      <c r="A29" t="s">
        <v>193</v>
      </c>
      <c r="B29" t="s">
        <v>208</v>
      </c>
      <c r="C29" t="s">
        <v>261</v>
      </c>
      <c r="D29">
        <v>3</v>
      </c>
      <c r="E29">
        <v>10</v>
      </c>
      <c r="F29">
        <v>130</v>
      </c>
      <c r="G29">
        <v>17.77</v>
      </c>
      <c r="H29" s="53">
        <f t="shared" si="13"/>
        <v>47.772860466419715</v>
      </c>
      <c r="K29">
        <v>20.9</v>
      </c>
      <c r="L29">
        <v>400</v>
      </c>
      <c r="M29">
        <f t="shared" si="14"/>
        <v>320</v>
      </c>
    </row>
    <row r="30" spans="1:13" x14ac:dyDescent="0.25">
      <c r="A30" t="s">
        <v>193</v>
      </c>
      <c r="B30" t="s">
        <v>208</v>
      </c>
      <c r="C30" t="s">
        <v>261</v>
      </c>
      <c r="D30">
        <v>3</v>
      </c>
      <c r="E30">
        <v>10</v>
      </c>
      <c r="F30">
        <v>120</v>
      </c>
      <c r="G30">
        <v>17.77</v>
      </c>
      <c r="H30" s="53">
        <f t="shared" si="13"/>
        <v>47.772860466419715</v>
      </c>
      <c r="K30">
        <v>20.9</v>
      </c>
      <c r="L30">
        <v>400</v>
      </c>
      <c r="M30">
        <f t="shared" si="14"/>
        <v>320</v>
      </c>
    </row>
    <row r="31" spans="1:13" x14ac:dyDescent="0.25">
      <c r="A31" t="s">
        <v>193</v>
      </c>
      <c r="B31" t="s">
        <v>208</v>
      </c>
      <c r="C31" t="s">
        <v>261</v>
      </c>
      <c r="D31">
        <v>3</v>
      </c>
      <c r="E31">
        <v>8</v>
      </c>
      <c r="F31">
        <v>140</v>
      </c>
      <c r="G31">
        <v>14.38</v>
      </c>
      <c r="H31" s="53">
        <f t="shared" si="13"/>
        <v>26.74331330445693</v>
      </c>
      <c r="K31">
        <v>13.2</v>
      </c>
      <c r="L31">
        <v>400</v>
      </c>
      <c r="M31">
        <f t="shared" si="14"/>
        <v>320</v>
      </c>
    </row>
    <row r="32" spans="1:13" x14ac:dyDescent="0.25">
      <c r="A32" t="s">
        <v>193</v>
      </c>
      <c r="B32" t="s">
        <v>208</v>
      </c>
      <c r="C32" t="s">
        <v>261</v>
      </c>
      <c r="D32">
        <v>3</v>
      </c>
      <c r="E32">
        <v>8</v>
      </c>
      <c r="F32">
        <v>120</v>
      </c>
      <c r="G32">
        <v>14.38</v>
      </c>
      <c r="H32" s="53">
        <f t="shared" si="13"/>
        <v>26.74331330445693</v>
      </c>
      <c r="K32">
        <v>13.2</v>
      </c>
      <c r="L32">
        <v>400</v>
      </c>
      <c r="M32">
        <f t="shared" si="14"/>
        <v>320</v>
      </c>
    </row>
    <row r="33" spans="1:13" x14ac:dyDescent="0.25">
      <c r="A33" t="s">
        <v>193</v>
      </c>
      <c r="B33" t="s">
        <v>208</v>
      </c>
      <c r="C33" t="s">
        <v>261</v>
      </c>
      <c r="D33">
        <v>3</v>
      </c>
      <c r="E33">
        <v>8</v>
      </c>
      <c r="F33">
        <v>100</v>
      </c>
      <c r="G33">
        <v>14.38</v>
      </c>
      <c r="H33" s="53">
        <f t="shared" si="13"/>
        <v>26.74331330445693</v>
      </c>
      <c r="K33">
        <v>13.2</v>
      </c>
      <c r="L33">
        <v>400</v>
      </c>
      <c r="M33">
        <f t="shared" si="14"/>
        <v>320</v>
      </c>
    </row>
    <row r="34" spans="1:13" x14ac:dyDescent="0.25">
      <c r="A34" t="s">
        <v>193</v>
      </c>
      <c r="B34" t="s">
        <v>208</v>
      </c>
      <c r="C34" t="s">
        <v>261</v>
      </c>
      <c r="D34">
        <v>3</v>
      </c>
      <c r="E34">
        <v>8</v>
      </c>
      <c r="F34">
        <v>90</v>
      </c>
      <c r="G34">
        <v>14.38</v>
      </c>
      <c r="H34" s="53">
        <f t="shared" si="13"/>
        <v>26.74331330445693</v>
      </c>
      <c r="K34">
        <v>13.2</v>
      </c>
      <c r="L34">
        <v>400</v>
      </c>
      <c r="M34">
        <f t="shared" si="14"/>
        <v>320</v>
      </c>
    </row>
    <row r="35" spans="1:13" x14ac:dyDescent="0.25">
      <c r="A35" t="s">
        <v>193</v>
      </c>
      <c r="B35" t="s">
        <v>208</v>
      </c>
      <c r="C35" t="s">
        <v>261</v>
      </c>
      <c r="D35">
        <v>3</v>
      </c>
      <c r="E35">
        <v>8</v>
      </c>
      <c r="F35">
        <v>80</v>
      </c>
      <c r="G35">
        <v>14.38</v>
      </c>
      <c r="H35" s="53">
        <f t="shared" si="13"/>
        <v>26.74331330445693</v>
      </c>
      <c r="K35">
        <v>13.2</v>
      </c>
      <c r="L35">
        <v>400</v>
      </c>
      <c r="M35">
        <f t="shared" si="14"/>
        <v>320</v>
      </c>
    </row>
    <row r="36" spans="1:13" x14ac:dyDescent="0.25">
      <c r="A36" t="s">
        <v>193</v>
      </c>
      <c r="B36" t="s">
        <v>208</v>
      </c>
      <c r="C36" t="s">
        <v>261</v>
      </c>
      <c r="D36">
        <v>3</v>
      </c>
      <c r="E36">
        <v>8</v>
      </c>
      <c r="F36">
        <v>70</v>
      </c>
      <c r="G36">
        <v>14.38</v>
      </c>
      <c r="H36" s="53">
        <f t="shared" si="13"/>
        <v>26.74331330445693</v>
      </c>
      <c r="K36">
        <v>13.2</v>
      </c>
      <c r="L36">
        <v>400</v>
      </c>
      <c r="M36">
        <f t="shared" si="14"/>
        <v>320</v>
      </c>
    </row>
    <row r="37" spans="1:13" x14ac:dyDescent="0.25">
      <c r="A37" t="s">
        <v>193</v>
      </c>
      <c r="B37" t="s">
        <v>208</v>
      </c>
      <c r="C37" t="s">
        <v>261</v>
      </c>
      <c r="D37">
        <v>3</v>
      </c>
      <c r="E37">
        <v>8</v>
      </c>
      <c r="F37">
        <v>60</v>
      </c>
      <c r="G37">
        <v>14.38</v>
      </c>
      <c r="H37" s="53">
        <f t="shared" si="13"/>
        <v>26.74331330445693</v>
      </c>
      <c r="K37">
        <v>13.2</v>
      </c>
      <c r="L37">
        <v>400</v>
      </c>
      <c r="M37">
        <f t="shared" si="14"/>
        <v>320</v>
      </c>
    </row>
    <row r="38" spans="1:13" x14ac:dyDescent="0.25">
      <c r="A38" t="s">
        <v>193</v>
      </c>
      <c r="B38" t="s">
        <v>208</v>
      </c>
      <c r="C38" t="s">
        <v>261</v>
      </c>
      <c r="D38">
        <v>3</v>
      </c>
      <c r="E38">
        <v>8</v>
      </c>
      <c r="F38">
        <v>50</v>
      </c>
      <c r="G38">
        <v>14.38</v>
      </c>
      <c r="H38" s="53">
        <f t="shared" si="13"/>
        <v>26.74331330445693</v>
      </c>
      <c r="K38">
        <v>13.2</v>
      </c>
      <c r="L38">
        <v>400</v>
      </c>
      <c r="M38">
        <f t="shared" si="14"/>
        <v>320</v>
      </c>
    </row>
    <row r="39" spans="1:13" x14ac:dyDescent="0.25">
      <c r="A39" t="s">
        <v>193</v>
      </c>
      <c r="B39" t="s">
        <v>209</v>
      </c>
      <c r="C39" t="s">
        <v>261</v>
      </c>
      <c r="D39">
        <v>1</v>
      </c>
      <c r="E39">
        <v>12</v>
      </c>
      <c r="F39">
        <v>300</v>
      </c>
      <c r="G39">
        <v>20.03</v>
      </c>
      <c r="H39" s="53">
        <f t="shared" si="13"/>
        <v>76.745423286936145</v>
      </c>
      <c r="K39">
        <v>30.3</v>
      </c>
      <c r="L39">
        <v>400</v>
      </c>
      <c r="M39">
        <f t="shared" si="14"/>
        <v>320</v>
      </c>
    </row>
    <row r="40" spans="1:13" x14ac:dyDescent="0.25">
      <c r="A40" t="s">
        <v>193</v>
      </c>
      <c r="B40" t="s">
        <v>209</v>
      </c>
      <c r="C40" t="s">
        <v>261</v>
      </c>
      <c r="D40">
        <v>1</v>
      </c>
      <c r="E40">
        <v>12</v>
      </c>
      <c r="F40">
        <v>280</v>
      </c>
      <c r="G40">
        <v>20.03</v>
      </c>
      <c r="H40" s="53">
        <f t="shared" si="13"/>
        <v>76.745423286936145</v>
      </c>
      <c r="K40">
        <v>30.3</v>
      </c>
      <c r="L40">
        <v>400</v>
      </c>
      <c r="M40">
        <f t="shared" si="14"/>
        <v>320</v>
      </c>
    </row>
    <row r="41" spans="1:13" x14ac:dyDescent="0.25">
      <c r="A41" t="s">
        <v>193</v>
      </c>
      <c r="B41" t="s">
        <v>209</v>
      </c>
      <c r="C41" t="s">
        <v>261</v>
      </c>
      <c r="D41">
        <v>1</v>
      </c>
      <c r="E41">
        <v>12</v>
      </c>
      <c r="F41">
        <v>260</v>
      </c>
      <c r="G41">
        <v>20.03</v>
      </c>
      <c r="H41" s="53">
        <f t="shared" si="13"/>
        <v>76.745423286936145</v>
      </c>
      <c r="K41">
        <v>30.3</v>
      </c>
      <c r="L41">
        <v>400</v>
      </c>
      <c r="M41">
        <f t="shared" si="14"/>
        <v>320</v>
      </c>
    </row>
    <row r="42" spans="1:13" x14ac:dyDescent="0.25">
      <c r="A42" t="s">
        <v>193</v>
      </c>
      <c r="B42" t="s">
        <v>209</v>
      </c>
      <c r="C42" t="s">
        <v>261</v>
      </c>
      <c r="D42">
        <v>1</v>
      </c>
      <c r="E42">
        <v>12</v>
      </c>
      <c r="F42">
        <v>240</v>
      </c>
      <c r="G42">
        <v>20.03</v>
      </c>
      <c r="H42" s="53">
        <f t="shared" si="13"/>
        <v>76.745423286936145</v>
      </c>
      <c r="K42">
        <v>30.3</v>
      </c>
      <c r="L42">
        <v>400</v>
      </c>
      <c r="M42">
        <f t="shared" si="14"/>
        <v>320</v>
      </c>
    </row>
    <row r="43" spans="1:13" x14ac:dyDescent="0.25">
      <c r="A43" t="s">
        <v>193</v>
      </c>
      <c r="B43" t="s">
        <v>209</v>
      </c>
      <c r="C43" t="s">
        <v>261</v>
      </c>
      <c r="D43">
        <v>1</v>
      </c>
      <c r="E43">
        <v>12</v>
      </c>
      <c r="F43">
        <v>220</v>
      </c>
      <c r="G43">
        <v>20.03</v>
      </c>
      <c r="H43" s="53">
        <f t="shared" si="13"/>
        <v>76.745423286936145</v>
      </c>
      <c r="K43">
        <v>30.3</v>
      </c>
      <c r="L43">
        <v>400</v>
      </c>
      <c r="M43">
        <f t="shared" si="14"/>
        <v>320</v>
      </c>
    </row>
    <row r="44" spans="1:13" x14ac:dyDescent="0.25">
      <c r="A44" t="s">
        <v>193</v>
      </c>
      <c r="B44" t="s">
        <v>209</v>
      </c>
      <c r="C44" t="s">
        <v>261</v>
      </c>
      <c r="D44">
        <v>1</v>
      </c>
      <c r="E44">
        <v>12</v>
      </c>
      <c r="F44">
        <v>200</v>
      </c>
      <c r="G44">
        <v>20.03</v>
      </c>
      <c r="H44" s="53">
        <f t="shared" si="13"/>
        <v>76.745423286936145</v>
      </c>
      <c r="K44">
        <v>30.3</v>
      </c>
      <c r="L44">
        <v>400</v>
      </c>
      <c r="M44">
        <f t="shared" si="14"/>
        <v>320</v>
      </c>
    </row>
    <row r="45" spans="1:13" x14ac:dyDescent="0.25">
      <c r="A45" t="s">
        <v>193</v>
      </c>
      <c r="B45" t="s">
        <v>209</v>
      </c>
      <c r="C45" t="s">
        <v>261</v>
      </c>
      <c r="D45">
        <v>1</v>
      </c>
      <c r="E45">
        <v>10</v>
      </c>
      <c r="F45">
        <v>220</v>
      </c>
      <c r="G45">
        <v>17.77</v>
      </c>
      <c r="H45" s="53">
        <f t="shared" si="13"/>
        <v>47.772860466419715</v>
      </c>
      <c r="K45">
        <v>20.9</v>
      </c>
      <c r="L45">
        <v>400</v>
      </c>
      <c r="M45">
        <f t="shared" si="14"/>
        <v>320</v>
      </c>
    </row>
    <row r="46" spans="1:13" x14ac:dyDescent="0.25">
      <c r="A46" t="s">
        <v>193</v>
      </c>
      <c r="B46" t="s">
        <v>209</v>
      </c>
      <c r="C46" t="s">
        <v>261</v>
      </c>
      <c r="D46">
        <v>1</v>
      </c>
      <c r="E46">
        <v>10</v>
      </c>
      <c r="F46">
        <v>200</v>
      </c>
      <c r="G46">
        <v>17.77</v>
      </c>
      <c r="H46" s="53">
        <f t="shared" si="13"/>
        <v>47.772860466419715</v>
      </c>
      <c r="K46">
        <v>20.9</v>
      </c>
      <c r="L46">
        <v>400</v>
      </c>
      <c r="M46">
        <f t="shared" si="14"/>
        <v>320</v>
      </c>
    </row>
    <row r="47" spans="1:13" x14ac:dyDescent="0.25">
      <c r="A47" t="s">
        <v>193</v>
      </c>
      <c r="B47" t="s">
        <v>209</v>
      </c>
      <c r="C47" t="s">
        <v>261</v>
      </c>
      <c r="D47">
        <v>1</v>
      </c>
      <c r="E47">
        <v>10</v>
      </c>
      <c r="F47">
        <v>180</v>
      </c>
      <c r="G47">
        <v>17.77</v>
      </c>
      <c r="H47" s="53">
        <f t="shared" si="13"/>
        <v>47.772860466419715</v>
      </c>
      <c r="K47">
        <v>20.9</v>
      </c>
      <c r="L47">
        <v>400</v>
      </c>
      <c r="M47">
        <f t="shared" si="14"/>
        <v>320</v>
      </c>
    </row>
    <row r="48" spans="1:13" x14ac:dyDescent="0.25">
      <c r="A48" t="s">
        <v>193</v>
      </c>
      <c r="B48" t="s">
        <v>209</v>
      </c>
      <c r="C48" t="s">
        <v>261</v>
      </c>
      <c r="D48">
        <v>1</v>
      </c>
      <c r="E48">
        <v>10</v>
      </c>
      <c r="F48">
        <v>160</v>
      </c>
      <c r="G48">
        <v>17.77</v>
      </c>
      <c r="H48" s="53">
        <f t="shared" si="13"/>
        <v>47.772860466419715</v>
      </c>
      <c r="K48">
        <v>20.9</v>
      </c>
      <c r="L48">
        <v>400</v>
      </c>
      <c r="M48">
        <f t="shared" si="14"/>
        <v>320</v>
      </c>
    </row>
    <row r="49" spans="1:13" x14ac:dyDescent="0.25">
      <c r="A49" t="s">
        <v>193</v>
      </c>
      <c r="B49" t="s">
        <v>209</v>
      </c>
      <c r="C49" t="s">
        <v>261</v>
      </c>
      <c r="D49">
        <v>1</v>
      </c>
      <c r="E49">
        <v>10</v>
      </c>
      <c r="F49">
        <v>150</v>
      </c>
      <c r="G49">
        <v>17.77</v>
      </c>
      <c r="H49" s="53">
        <f t="shared" si="13"/>
        <v>47.772860466419715</v>
      </c>
      <c r="K49">
        <v>20.9</v>
      </c>
      <c r="L49">
        <v>400</v>
      </c>
      <c r="M49">
        <f t="shared" si="14"/>
        <v>320</v>
      </c>
    </row>
    <row r="50" spans="1:13" x14ac:dyDescent="0.25">
      <c r="A50" t="s">
        <v>193</v>
      </c>
      <c r="B50" t="s">
        <v>209</v>
      </c>
      <c r="C50" t="s">
        <v>261</v>
      </c>
      <c r="D50">
        <v>1</v>
      </c>
      <c r="E50">
        <v>10</v>
      </c>
      <c r="F50">
        <v>140</v>
      </c>
      <c r="G50">
        <v>17.77</v>
      </c>
      <c r="H50" s="53">
        <f t="shared" si="13"/>
        <v>47.772860466419715</v>
      </c>
      <c r="K50">
        <v>20.9</v>
      </c>
      <c r="L50">
        <v>400</v>
      </c>
      <c r="M50">
        <f t="shared" si="14"/>
        <v>320</v>
      </c>
    </row>
    <row r="51" spans="1:13" x14ac:dyDescent="0.25">
      <c r="A51" t="s">
        <v>193</v>
      </c>
      <c r="B51" t="s">
        <v>209</v>
      </c>
      <c r="C51" t="s">
        <v>261</v>
      </c>
      <c r="D51">
        <v>1</v>
      </c>
      <c r="E51">
        <v>10</v>
      </c>
      <c r="F51">
        <v>130</v>
      </c>
      <c r="G51">
        <v>17.77</v>
      </c>
      <c r="H51" s="53">
        <f t="shared" si="13"/>
        <v>47.772860466419715</v>
      </c>
      <c r="K51">
        <v>20.9</v>
      </c>
      <c r="L51">
        <v>400</v>
      </c>
      <c r="M51">
        <f t="shared" si="14"/>
        <v>320</v>
      </c>
    </row>
    <row r="52" spans="1:13" x14ac:dyDescent="0.25">
      <c r="A52" t="s">
        <v>193</v>
      </c>
      <c r="B52" t="s">
        <v>209</v>
      </c>
      <c r="C52" t="s">
        <v>261</v>
      </c>
      <c r="D52">
        <v>1</v>
      </c>
      <c r="E52">
        <v>10</v>
      </c>
      <c r="F52">
        <v>120</v>
      </c>
      <c r="G52">
        <v>17.77</v>
      </c>
      <c r="H52" s="53">
        <f t="shared" si="13"/>
        <v>47.772860466419715</v>
      </c>
      <c r="K52">
        <v>20.9</v>
      </c>
      <c r="L52">
        <v>400</v>
      </c>
      <c r="M52">
        <f t="shared" si="14"/>
        <v>320</v>
      </c>
    </row>
    <row r="53" spans="1:13" x14ac:dyDescent="0.25">
      <c r="A53" t="s">
        <v>193</v>
      </c>
      <c r="B53" t="s">
        <v>209</v>
      </c>
      <c r="C53" t="s">
        <v>261</v>
      </c>
      <c r="D53">
        <v>1</v>
      </c>
      <c r="E53">
        <v>10</v>
      </c>
      <c r="F53">
        <v>100</v>
      </c>
      <c r="G53">
        <v>17.77</v>
      </c>
      <c r="H53" s="53">
        <f t="shared" si="13"/>
        <v>47.772860466419715</v>
      </c>
      <c r="K53">
        <v>20.9</v>
      </c>
      <c r="L53">
        <v>400</v>
      </c>
      <c r="M53">
        <f t="shared" si="14"/>
        <v>320</v>
      </c>
    </row>
    <row r="54" spans="1:13" x14ac:dyDescent="0.25">
      <c r="A54" t="s">
        <v>193</v>
      </c>
      <c r="B54" t="s">
        <v>209</v>
      </c>
      <c r="C54" t="s">
        <v>261</v>
      </c>
      <c r="D54">
        <v>1</v>
      </c>
      <c r="E54">
        <v>8</v>
      </c>
      <c r="F54">
        <v>140</v>
      </c>
      <c r="G54">
        <v>14.38</v>
      </c>
      <c r="H54" s="53">
        <f t="shared" si="13"/>
        <v>26.74331330445693</v>
      </c>
      <c r="K54">
        <v>13.2</v>
      </c>
      <c r="L54">
        <v>400</v>
      </c>
      <c r="M54">
        <f t="shared" si="14"/>
        <v>320</v>
      </c>
    </row>
    <row r="55" spans="1:13" x14ac:dyDescent="0.25">
      <c r="A55" t="s">
        <v>193</v>
      </c>
      <c r="B55" t="s">
        <v>209</v>
      </c>
      <c r="C55" t="s">
        <v>261</v>
      </c>
      <c r="D55">
        <v>1</v>
      </c>
      <c r="E55">
        <v>8</v>
      </c>
      <c r="F55">
        <v>120</v>
      </c>
      <c r="G55">
        <v>14.38</v>
      </c>
      <c r="H55" s="53">
        <f t="shared" si="13"/>
        <v>26.74331330445693</v>
      </c>
      <c r="K55">
        <v>13.2</v>
      </c>
      <c r="L55">
        <v>400</v>
      </c>
      <c r="M55">
        <f t="shared" si="14"/>
        <v>320</v>
      </c>
    </row>
    <row r="56" spans="1:13" x14ac:dyDescent="0.25">
      <c r="A56" t="s">
        <v>193</v>
      </c>
      <c r="B56" t="s">
        <v>209</v>
      </c>
      <c r="C56" t="s">
        <v>261</v>
      </c>
      <c r="D56">
        <v>1</v>
      </c>
      <c r="E56">
        <v>8</v>
      </c>
      <c r="F56">
        <v>100</v>
      </c>
      <c r="G56">
        <v>14.38</v>
      </c>
      <c r="H56" s="53">
        <f t="shared" si="13"/>
        <v>26.74331330445693</v>
      </c>
      <c r="K56">
        <v>13.2</v>
      </c>
      <c r="L56">
        <v>400</v>
      </c>
      <c r="M56">
        <f t="shared" si="14"/>
        <v>320</v>
      </c>
    </row>
    <row r="57" spans="1:13" x14ac:dyDescent="0.25">
      <c r="A57" t="s">
        <v>193</v>
      </c>
      <c r="B57" t="s">
        <v>209</v>
      </c>
      <c r="C57" t="s">
        <v>261</v>
      </c>
      <c r="D57">
        <v>1</v>
      </c>
      <c r="E57">
        <v>8</v>
      </c>
      <c r="F57">
        <v>90</v>
      </c>
      <c r="G57">
        <v>14.38</v>
      </c>
      <c r="H57" s="53">
        <f t="shared" si="13"/>
        <v>26.74331330445693</v>
      </c>
      <c r="K57">
        <v>13.2</v>
      </c>
      <c r="L57">
        <v>400</v>
      </c>
      <c r="M57">
        <f t="shared" si="14"/>
        <v>320</v>
      </c>
    </row>
    <row r="58" spans="1:13" x14ac:dyDescent="0.25">
      <c r="A58" t="s">
        <v>193</v>
      </c>
      <c r="B58" t="s">
        <v>209</v>
      </c>
      <c r="C58" t="s">
        <v>261</v>
      </c>
      <c r="D58">
        <v>1</v>
      </c>
      <c r="E58">
        <v>8</v>
      </c>
      <c r="F58">
        <v>80</v>
      </c>
      <c r="G58">
        <v>14.38</v>
      </c>
      <c r="H58" s="53">
        <f t="shared" si="13"/>
        <v>26.74331330445693</v>
      </c>
      <c r="K58">
        <v>13.2</v>
      </c>
      <c r="L58">
        <v>400</v>
      </c>
      <c r="M58">
        <f t="shared" si="14"/>
        <v>320</v>
      </c>
    </row>
    <row r="59" spans="1:13" x14ac:dyDescent="0.25">
      <c r="A59" t="s">
        <v>193</v>
      </c>
      <c r="B59" t="s">
        <v>209</v>
      </c>
      <c r="C59" t="s">
        <v>261</v>
      </c>
      <c r="D59">
        <v>1</v>
      </c>
      <c r="E59">
        <v>8</v>
      </c>
      <c r="F59">
        <v>70</v>
      </c>
      <c r="G59">
        <v>14.38</v>
      </c>
      <c r="H59" s="53">
        <f t="shared" si="13"/>
        <v>26.74331330445693</v>
      </c>
      <c r="K59">
        <v>13.2</v>
      </c>
      <c r="L59">
        <v>400</v>
      </c>
      <c r="M59">
        <f t="shared" si="14"/>
        <v>320</v>
      </c>
    </row>
    <row r="60" spans="1:13" x14ac:dyDescent="0.25">
      <c r="A60" t="s">
        <v>193</v>
      </c>
      <c r="B60" t="s">
        <v>209</v>
      </c>
      <c r="C60" t="s">
        <v>261</v>
      </c>
      <c r="D60">
        <v>1</v>
      </c>
      <c r="E60">
        <v>8</v>
      </c>
      <c r="F60">
        <v>60</v>
      </c>
      <c r="G60">
        <v>14.38</v>
      </c>
      <c r="H60" s="53">
        <f t="shared" si="13"/>
        <v>26.74331330445693</v>
      </c>
      <c r="K60">
        <v>13.2</v>
      </c>
      <c r="L60">
        <v>400</v>
      </c>
      <c r="M60">
        <f t="shared" si="14"/>
        <v>320</v>
      </c>
    </row>
    <row r="61" spans="1:13" x14ac:dyDescent="0.25">
      <c r="A61" t="s">
        <v>193</v>
      </c>
      <c r="B61" t="s">
        <v>209</v>
      </c>
      <c r="C61" t="s">
        <v>261</v>
      </c>
      <c r="D61">
        <v>1</v>
      </c>
      <c r="E61">
        <v>8</v>
      </c>
      <c r="F61">
        <v>50</v>
      </c>
      <c r="G61">
        <v>14.38</v>
      </c>
      <c r="H61" s="53">
        <f t="shared" si="13"/>
        <v>26.74331330445693</v>
      </c>
      <c r="K61">
        <v>13.2</v>
      </c>
      <c r="L61">
        <v>400</v>
      </c>
      <c r="M61">
        <f>L61*0.8</f>
        <v>320</v>
      </c>
    </row>
    <row r="62" spans="1:13" x14ac:dyDescent="0.25">
      <c r="A62" t="s">
        <v>193</v>
      </c>
      <c r="B62" t="s">
        <v>210</v>
      </c>
      <c r="C62" t="s">
        <v>260</v>
      </c>
      <c r="D62">
        <v>3</v>
      </c>
      <c r="E62">
        <v>20</v>
      </c>
      <c r="F62">
        <v>400</v>
      </c>
      <c r="G62">
        <v>32.950000000000003</v>
      </c>
      <c r="H62">
        <v>579</v>
      </c>
      <c r="K62">
        <v>176.4</v>
      </c>
      <c r="L62">
        <v>800</v>
      </c>
      <c r="M62">
        <f t="shared" ref="M62:M94" si="15">L62*0.8</f>
        <v>640</v>
      </c>
    </row>
    <row r="63" spans="1:13" x14ac:dyDescent="0.25">
      <c r="A63" t="s">
        <v>193</v>
      </c>
      <c r="B63" t="s">
        <v>210</v>
      </c>
      <c r="C63" t="s">
        <v>260</v>
      </c>
      <c r="D63">
        <v>3</v>
      </c>
      <c r="E63">
        <v>20</v>
      </c>
      <c r="F63">
        <v>380</v>
      </c>
      <c r="G63">
        <v>32.950000000000003</v>
      </c>
      <c r="H63">
        <v>579</v>
      </c>
      <c r="K63">
        <v>176.4</v>
      </c>
      <c r="L63">
        <v>800</v>
      </c>
      <c r="M63">
        <f t="shared" si="15"/>
        <v>640</v>
      </c>
    </row>
    <row r="64" spans="1:13" x14ac:dyDescent="0.25">
      <c r="A64" t="s">
        <v>193</v>
      </c>
      <c r="B64" t="s">
        <v>210</v>
      </c>
      <c r="C64" t="s">
        <v>260</v>
      </c>
      <c r="D64">
        <v>3</v>
      </c>
      <c r="E64">
        <v>20</v>
      </c>
      <c r="F64">
        <v>360</v>
      </c>
      <c r="G64">
        <v>32.950000000000003</v>
      </c>
      <c r="H64">
        <v>579</v>
      </c>
      <c r="K64">
        <v>176.4</v>
      </c>
      <c r="L64">
        <v>800</v>
      </c>
      <c r="M64">
        <f t="shared" si="15"/>
        <v>640</v>
      </c>
    </row>
    <row r="65" spans="1:13" x14ac:dyDescent="0.25">
      <c r="A65" t="s">
        <v>193</v>
      </c>
      <c r="B65" t="s">
        <v>210</v>
      </c>
      <c r="C65" t="s">
        <v>260</v>
      </c>
      <c r="D65">
        <v>3</v>
      </c>
      <c r="E65">
        <v>20</v>
      </c>
      <c r="F65">
        <v>340</v>
      </c>
      <c r="G65">
        <v>32.950000000000003</v>
      </c>
      <c r="H65">
        <v>579</v>
      </c>
      <c r="K65">
        <v>176.4</v>
      </c>
      <c r="L65">
        <v>800</v>
      </c>
      <c r="M65">
        <f t="shared" si="15"/>
        <v>640</v>
      </c>
    </row>
    <row r="66" spans="1:13" x14ac:dyDescent="0.25">
      <c r="A66" t="s">
        <v>193</v>
      </c>
      <c r="B66" t="s">
        <v>210</v>
      </c>
      <c r="C66" t="s">
        <v>260</v>
      </c>
      <c r="D66">
        <v>3</v>
      </c>
      <c r="E66">
        <v>20</v>
      </c>
      <c r="F66">
        <v>320</v>
      </c>
      <c r="G66">
        <v>32.950000000000003</v>
      </c>
      <c r="H66">
        <v>579</v>
      </c>
      <c r="K66">
        <v>176.4</v>
      </c>
      <c r="L66">
        <v>800</v>
      </c>
      <c r="M66">
        <f t="shared" si="15"/>
        <v>640</v>
      </c>
    </row>
    <row r="67" spans="1:13" x14ac:dyDescent="0.25">
      <c r="A67" t="s">
        <v>193</v>
      </c>
      <c r="B67" t="s">
        <v>210</v>
      </c>
      <c r="C67" t="s">
        <v>260</v>
      </c>
      <c r="D67">
        <v>3</v>
      </c>
      <c r="E67">
        <v>20</v>
      </c>
      <c r="F67">
        <v>300</v>
      </c>
      <c r="G67">
        <v>32.950000000000003</v>
      </c>
      <c r="H67">
        <v>579</v>
      </c>
      <c r="K67">
        <v>176.4</v>
      </c>
      <c r="L67">
        <v>800</v>
      </c>
      <c r="M67">
        <f t="shared" si="15"/>
        <v>640</v>
      </c>
    </row>
    <row r="68" spans="1:13" x14ac:dyDescent="0.25">
      <c r="A68" t="s">
        <v>193</v>
      </c>
      <c r="B68" t="s">
        <v>210</v>
      </c>
      <c r="C68" t="s">
        <v>260</v>
      </c>
      <c r="D68">
        <v>3</v>
      </c>
      <c r="E68">
        <v>20</v>
      </c>
      <c r="F68">
        <v>280</v>
      </c>
      <c r="G68">
        <v>32.950000000000003</v>
      </c>
      <c r="H68">
        <v>579</v>
      </c>
      <c r="K68">
        <v>176.4</v>
      </c>
      <c r="L68">
        <v>800</v>
      </c>
      <c r="M68">
        <f t="shared" si="15"/>
        <v>640</v>
      </c>
    </row>
    <row r="69" spans="1:13" x14ac:dyDescent="0.25">
      <c r="A69" t="s">
        <v>193</v>
      </c>
      <c r="B69" t="s">
        <v>210</v>
      </c>
      <c r="C69" t="s">
        <v>260</v>
      </c>
      <c r="D69">
        <v>3</v>
      </c>
      <c r="E69">
        <v>20</v>
      </c>
      <c r="F69">
        <v>260</v>
      </c>
      <c r="G69">
        <v>32.950000000000003</v>
      </c>
      <c r="H69">
        <v>579</v>
      </c>
      <c r="K69">
        <v>176.4</v>
      </c>
      <c r="L69">
        <v>800</v>
      </c>
      <c r="M69">
        <f t="shared" si="15"/>
        <v>640</v>
      </c>
    </row>
    <row r="70" spans="1:13" x14ac:dyDescent="0.25">
      <c r="A70" t="s">
        <v>193</v>
      </c>
      <c r="B70" t="s">
        <v>210</v>
      </c>
      <c r="C70" t="s">
        <v>260</v>
      </c>
      <c r="D70">
        <v>3</v>
      </c>
      <c r="E70">
        <v>20</v>
      </c>
      <c r="F70">
        <v>240</v>
      </c>
      <c r="G70">
        <v>32.950000000000003</v>
      </c>
      <c r="H70">
        <v>579</v>
      </c>
      <c r="K70">
        <v>176.4</v>
      </c>
      <c r="L70">
        <v>800</v>
      </c>
      <c r="M70">
        <f t="shared" si="15"/>
        <v>640</v>
      </c>
    </row>
    <row r="71" spans="1:13" x14ac:dyDescent="0.25">
      <c r="A71" t="s">
        <v>193</v>
      </c>
      <c r="B71" t="s">
        <v>210</v>
      </c>
      <c r="C71" t="s">
        <v>260</v>
      </c>
      <c r="D71">
        <v>3</v>
      </c>
      <c r="E71">
        <v>20</v>
      </c>
      <c r="F71">
        <v>220</v>
      </c>
      <c r="G71">
        <v>32.950000000000003</v>
      </c>
      <c r="H71">
        <v>579</v>
      </c>
      <c r="K71">
        <v>176.4</v>
      </c>
      <c r="L71">
        <v>800</v>
      </c>
      <c r="M71">
        <f t="shared" si="15"/>
        <v>640</v>
      </c>
    </row>
    <row r="72" spans="1:13" x14ac:dyDescent="0.25">
      <c r="A72" t="s">
        <v>193</v>
      </c>
      <c r="B72" t="s">
        <v>210</v>
      </c>
      <c r="C72" t="s">
        <v>260</v>
      </c>
      <c r="D72">
        <v>3</v>
      </c>
      <c r="E72">
        <v>20</v>
      </c>
      <c r="F72">
        <v>200</v>
      </c>
      <c r="G72">
        <v>32.950000000000003</v>
      </c>
      <c r="H72">
        <v>579</v>
      </c>
      <c r="K72">
        <v>176.4</v>
      </c>
      <c r="L72">
        <v>800</v>
      </c>
      <c r="M72">
        <f t="shared" si="15"/>
        <v>640</v>
      </c>
    </row>
    <row r="73" spans="1:13" x14ac:dyDescent="0.25">
      <c r="A73" t="s">
        <v>193</v>
      </c>
      <c r="B73" t="s">
        <v>210</v>
      </c>
      <c r="C73" t="s">
        <v>260</v>
      </c>
      <c r="D73">
        <v>3</v>
      </c>
      <c r="E73">
        <v>20</v>
      </c>
      <c r="F73">
        <v>180</v>
      </c>
      <c r="G73">
        <v>32.950000000000003</v>
      </c>
      <c r="H73">
        <v>579</v>
      </c>
      <c r="K73">
        <v>176.4</v>
      </c>
      <c r="L73">
        <v>800</v>
      </c>
      <c r="M73">
        <f t="shared" si="15"/>
        <v>640</v>
      </c>
    </row>
    <row r="74" spans="1:13" x14ac:dyDescent="0.25">
      <c r="A74" t="s">
        <v>193</v>
      </c>
      <c r="B74" t="s">
        <v>210</v>
      </c>
      <c r="C74" t="s">
        <v>260</v>
      </c>
      <c r="D74">
        <v>3</v>
      </c>
      <c r="E74">
        <v>20</v>
      </c>
      <c r="F74">
        <v>160</v>
      </c>
      <c r="G74">
        <v>32.950000000000003</v>
      </c>
      <c r="H74">
        <v>579</v>
      </c>
      <c r="K74">
        <v>176.4</v>
      </c>
      <c r="L74">
        <v>800</v>
      </c>
      <c r="M74">
        <f t="shared" si="15"/>
        <v>640</v>
      </c>
    </row>
    <row r="75" spans="1:13" x14ac:dyDescent="0.25">
      <c r="A75" t="s">
        <v>193</v>
      </c>
      <c r="B75" t="s">
        <v>210</v>
      </c>
      <c r="C75" t="s">
        <v>260</v>
      </c>
      <c r="D75">
        <v>3</v>
      </c>
      <c r="E75">
        <v>16</v>
      </c>
      <c r="F75">
        <v>300</v>
      </c>
      <c r="G75">
        <v>26.17</v>
      </c>
      <c r="H75">
        <v>324</v>
      </c>
      <c r="K75">
        <v>113</v>
      </c>
      <c r="L75">
        <v>800</v>
      </c>
      <c r="M75">
        <f t="shared" si="15"/>
        <v>640</v>
      </c>
    </row>
    <row r="76" spans="1:13" x14ac:dyDescent="0.25">
      <c r="A76" t="s">
        <v>193</v>
      </c>
      <c r="B76" t="s">
        <v>210</v>
      </c>
      <c r="C76" t="s">
        <v>260</v>
      </c>
      <c r="D76">
        <v>3</v>
      </c>
      <c r="E76">
        <v>16</v>
      </c>
      <c r="F76">
        <v>280</v>
      </c>
      <c r="G76">
        <v>26.17</v>
      </c>
      <c r="H76">
        <v>324</v>
      </c>
      <c r="K76">
        <v>113</v>
      </c>
      <c r="L76">
        <v>800</v>
      </c>
      <c r="M76">
        <f t="shared" si="15"/>
        <v>640</v>
      </c>
    </row>
    <row r="77" spans="1:13" x14ac:dyDescent="0.25">
      <c r="A77" t="s">
        <v>193</v>
      </c>
      <c r="B77" t="s">
        <v>210</v>
      </c>
      <c r="C77" t="s">
        <v>260</v>
      </c>
      <c r="D77">
        <v>3</v>
      </c>
      <c r="E77">
        <v>16</v>
      </c>
      <c r="F77">
        <v>260</v>
      </c>
      <c r="G77">
        <v>26.17</v>
      </c>
      <c r="H77">
        <v>324</v>
      </c>
      <c r="K77">
        <v>113</v>
      </c>
      <c r="L77">
        <v>800</v>
      </c>
      <c r="M77">
        <f t="shared" si="15"/>
        <v>640</v>
      </c>
    </row>
    <row r="78" spans="1:13" x14ac:dyDescent="0.25">
      <c r="A78" t="s">
        <v>193</v>
      </c>
      <c r="B78" t="s">
        <v>210</v>
      </c>
      <c r="C78" t="s">
        <v>260</v>
      </c>
      <c r="D78">
        <v>3</v>
      </c>
      <c r="E78">
        <v>16</v>
      </c>
      <c r="F78">
        <v>240</v>
      </c>
      <c r="G78">
        <v>26.17</v>
      </c>
      <c r="H78">
        <v>324</v>
      </c>
      <c r="K78">
        <v>113</v>
      </c>
      <c r="L78">
        <v>800</v>
      </c>
      <c r="M78">
        <f t="shared" si="15"/>
        <v>640</v>
      </c>
    </row>
    <row r="79" spans="1:13" x14ac:dyDescent="0.25">
      <c r="A79" t="s">
        <v>193</v>
      </c>
      <c r="B79" t="s">
        <v>210</v>
      </c>
      <c r="C79" t="s">
        <v>260</v>
      </c>
      <c r="D79">
        <v>3</v>
      </c>
      <c r="E79">
        <v>16</v>
      </c>
      <c r="F79">
        <v>220</v>
      </c>
      <c r="G79">
        <v>26.17</v>
      </c>
      <c r="H79">
        <v>324</v>
      </c>
      <c r="K79">
        <v>113</v>
      </c>
      <c r="L79">
        <v>800</v>
      </c>
      <c r="M79">
        <f t="shared" si="15"/>
        <v>640</v>
      </c>
    </row>
    <row r="80" spans="1:13" x14ac:dyDescent="0.25">
      <c r="A80" t="s">
        <v>193</v>
      </c>
      <c r="B80" t="s">
        <v>210</v>
      </c>
      <c r="C80" t="s">
        <v>260</v>
      </c>
      <c r="D80">
        <v>3</v>
      </c>
      <c r="E80">
        <v>16</v>
      </c>
      <c r="F80">
        <v>200</v>
      </c>
      <c r="G80">
        <v>26.17</v>
      </c>
      <c r="H80">
        <v>324</v>
      </c>
      <c r="K80">
        <v>113</v>
      </c>
      <c r="L80">
        <v>800</v>
      </c>
      <c r="M80">
        <f t="shared" si="15"/>
        <v>640</v>
      </c>
    </row>
    <row r="81" spans="1:13" x14ac:dyDescent="0.25">
      <c r="A81" t="s">
        <v>193</v>
      </c>
      <c r="B81" t="s">
        <v>210</v>
      </c>
      <c r="C81" t="s">
        <v>260</v>
      </c>
      <c r="D81">
        <v>3</v>
      </c>
      <c r="E81">
        <v>16</v>
      </c>
      <c r="F81">
        <v>180</v>
      </c>
      <c r="G81">
        <v>26.17</v>
      </c>
      <c r="H81">
        <v>324</v>
      </c>
      <c r="K81">
        <v>113</v>
      </c>
      <c r="L81">
        <v>800</v>
      </c>
      <c r="M81">
        <f t="shared" si="15"/>
        <v>640</v>
      </c>
    </row>
    <row r="82" spans="1:13" x14ac:dyDescent="0.25">
      <c r="A82" t="s">
        <v>193</v>
      </c>
      <c r="B82" t="s">
        <v>210</v>
      </c>
      <c r="C82" t="s">
        <v>260</v>
      </c>
      <c r="D82">
        <v>3</v>
      </c>
      <c r="E82">
        <v>16</v>
      </c>
      <c r="F82">
        <v>160</v>
      </c>
      <c r="G82">
        <v>26.17</v>
      </c>
      <c r="H82">
        <v>324</v>
      </c>
      <c r="K82">
        <v>113</v>
      </c>
      <c r="L82">
        <v>800</v>
      </c>
      <c r="M82">
        <f t="shared" si="15"/>
        <v>640</v>
      </c>
    </row>
    <row r="83" spans="1:13" x14ac:dyDescent="0.25">
      <c r="A83" t="s">
        <v>193</v>
      </c>
      <c r="B83" t="s">
        <v>210</v>
      </c>
      <c r="C83" t="s">
        <v>260</v>
      </c>
      <c r="D83">
        <v>3</v>
      </c>
      <c r="E83">
        <v>16</v>
      </c>
      <c r="F83">
        <v>150</v>
      </c>
      <c r="G83">
        <v>26.75</v>
      </c>
      <c r="H83">
        <v>324</v>
      </c>
      <c r="K83">
        <v>113</v>
      </c>
      <c r="L83">
        <v>800</v>
      </c>
      <c r="M83">
        <f t="shared" si="15"/>
        <v>640</v>
      </c>
    </row>
    <row r="84" spans="1:13" x14ac:dyDescent="0.25">
      <c r="A84" t="s">
        <v>193</v>
      </c>
      <c r="B84" t="s">
        <v>210</v>
      </c>
      <c r="C84" t="s">
        <v>260</v>
      </c>
      <c r="D84">
        <v>3</v>
      </c>
      <c r="E84">
        <v>16</v>
      </c>
      <c r="F84">
        <v>140</v>
      </c>
      <c r="G84">
        <v>26.75</v>
      </c>
      <c r="H84">
        <v>324</v>
      </c>
      <c r="K84">
        <v>113</v>
      </c>
      <c r="L84">
        <v>800</v>
      </c>
      <c r="M84">
        <f t="shared" si="15"/>
        <v>640</v>
      </c>
    </row>
    <row r="85" spans="1:13" x14ac:dyDescent="0.25">
      <c r="A85" t="s">
        <v>193</v>
      </c>
      <c r="B85" t="s">
        <v>210</v>
      </c>
      <c r="C85" t="s">
        <v>260</v>
      </c>
      <c r="D85">
        <v>3</v>
      </c>
      <c r="E85">
        <v>16</v>
      </c>
      <c r="F85">
        <v>120</v>
      </c>
      <c r="G85">
        <v>26.75</v>
      </c>
      <c r="H85">
        <v>324</v>
      </c>
      <c r="K85">
        <v>113</v>
      </c>
      <c r="L85">
        <v>800</v>
      </c>
      <c r="M85">
        <f t="shared" si="15"/>
        <v>640</v>
      </c>
    </row>
    <row r="86" spans="1:13" x14ac:dyDescent="0.25">
      <c r="A86" t="s">
        <v>193</v>
      </c>
      <c r="B86" t="s">
        <v>210</v>
      </c>
      <c r="C86" t="s">
        <v>260</v>
      </c>
      <c r="D86">
        <v>3</v>
      </c>
      <c r="E86">
        <v>12</v>
      </c>
      <c r="F86">
        <v>260</v>
      </c>
      <c r="G86">
        <v>20.03</v>
      </c>
      <c r="H86">
        <v>153</v>
      </c>
      <c r="K86">
        <v>60.7</v>
      </c>
      <c r="L86">
        <v>800</v>
      </c>
      <c r="M86">
        <f t="shared" si="15"/>
        <v>640</v>
      </c>
    </row>
    <row r="87" spans="1:13" x14ac:dyDescent="0.25">
      <c r="A87" t="s">
        <v>193</v>
      </c>
      <c r="B87" t="s">
        <v>210</v>
      </c>
      <c r="C87" t="s">
        <v>260</v>
      </c>
      <c r="D87">
        <v>3</v>
      </c>
      <c r="E87">
        <v>12</v>
      </c>
      <c r="F87">
        <v>240</v>
      </c>
      <c r="G87">
        <v>20.03</v>
      </c>
      <c r="H87">
        <v>153</v>
      </c>
      <c r="K87">
        <v>60.7</v>
      </c>
      <c r="L87">
        <v>800</v>
      </c>
      <c r="M87">
        <f t="shared" si="15"/>
        <v>640</v>
      </c>
    </row>
    <row r="88" spans="1:13" x14ac:dyDescent="0.25">
      <c r="A88" t="s">
        <v>193</v>
      </c>
      <c r="B88" t="s">
        <v>210</v>
      </c>
      <c r="C88" t="s">
        <v>260</v>
      </c>
      <c r="D88">
        <v>3</v>
      </c>
      <c r="E88">
        <v>12</v>
      </c>
      <c r="F88">
        <v>220</v>
      </c>
      <c r="G88">
        <v>20.03</v>
      </c>
      <c r="H88">
        <v>153</v>
      </c>
      <c r="K88">
        <v>60.7</v>
      </c>
      <c r="L88">
        <v>800</v>
      </c>
      <c r="M88">
        <f t="shared" si="15"/>
        <v>640</v>
      </c>
    </row>
    <row r="89" spans="1:13" x14ac:dyDescent="0.25">
      <c r="A89" t="s">
        <v>193</v>
      </c>
      <c r="B89" t="s">
        <v>210</v>
      </c>
      <c r="C89" t="s">
        <v>260</v>
      </c>
      <c r="D89">
        <v>3</v>
      </c>
      <c r="E89">
        <v>12</v>
      </c>
      <c r="F89">
        <v>160</v>
      </c>
      <c r="G89">
        <v>20.03</v>
      </c>
      <c r="H89">
        <v>153</v>
      </c>
      <c r="K89">
        <v>60.7</v>
      </c>
      <c r="L89">
        <v>800</v>
      </c>
      <c r="M89">
        <f t="shared" si="15"/>
        <v>640</v>
      </c>
    </row>
    <row r="90" spans="1:13" x14ac:dyDescent="0.25">
      <c r="A90" t="s">
        <v>193</v>
      </c>
      <c r="B90" t="s">
        <v>210</v>
      </c>
      <c r="C90" t="s">
        <v>260</v>
      </c>
      <c r="D90">
        <v>3</v>
      </c>
      <c r="E90">
        <v>12</v>
      </c>
      <c r="F90">
        <v>180</v>
      </c>
      <c r="G90">
        <v>20.03</v>
      </c>
      <c r="H90">
        <v>153</v>
      </c>
      <c r="K90">
        <v>60.7</v>
      </c>
      <c r="L90">
        <v>800</v>
      </c>
      <c r="M90">
        <f t="shared" si="15"/>
        <v>640</v>
      </c>
    </row>
    <row r="91" spans="1:13" x14ac:dyDescent="0.25">
      <c r="A91" t="s">
        <v>193</v>
      </c>
      <c r="B91" t="s">
        <v>210</v>
      </c>
      <c r="C91" t="s">
        <v>260</v>
      </c>
      <c r="D91">
        <v>3</v>
      </c>
      <c r="E91">
        <v>12</v>
      </c>
      <c r="F91">
        <v>200</v>
      </c>
      <c r="G91">
        <v>20.03</v>
      </c>
      <c r="H91">
        <v>153</v>
      </c>
      <c r="K91">
        <v>60.7</v>
      </c>
      <c r="L91">
        <v>800</v>
      </c>
      <c r="M91">
        <f t="shared" si="15"/>
        <v>640</v>
      </c>
    </row>
    <row r="92" spans="1:13" x14ac:dyDescent="0.25">
      <c r="A92" t="s">
        <v>193</v>
      </c>
      <c r="B92" t="s">
        <v>210</v>
      </c>
      <c r="C92" t="s">
        <v>260</v>
      </c>
      <c r="D92">
        <v>3</v>
      </c>
      <c r="E92">
        <v>12</v>
      </c>
      <c r="F92">
        <v>140</v>
      </c>
      <c r="G92">
        <v>20.03</v>
      </c>
      <c r="H92">
        <v>153</v>
      </c>
      <c r="K92">
        <v>60.7</v>
      </c>
      <c r="L92">
        <v>800</v>
      </c>
      <c r="M92">
        <f t="shared" si="15"/>
        <v>640</v>
      </c>
    </row>
    <row r="93" spans="1:13" x14ac:dyDescent="0.25">
      <c r="A93" t="s">
        <v>193</v>
      </c>
      <c r="B93" t="s">
        <v>210</v>
      </c>
      <c r="C93" t="s">
        <v>260</v>
      </c>
      <c r="D93">
        <v>3</v>
      </c>
      <c r="E93">
        <v>12</v>
      </c>
      <c r="F93">
        <v>120</v>
      </c>
      <c r="G93">
        <v>20.03</v>
      </c>
      <c r="H93">
        <v>153</v>
      </c>
      <c r="K93">
        <v>60.7</v>
      </c>
      <c r="L93">
        <v>800</v>
      </c>
      <c r="M93">
        <f t="shared" si="15"/>
        <v>640</v>
      </c>
    </row>
    <row r="94" spans="1:13" x14ac:dyDescent="0.25">
      <c r="A94" t="s">
        <v>193</v>
      </c>
      <c r="B94" t="s">
        <v>210</v>
      </c>
      <c r="C94" t="s">
        <v>260</v>
      </c>
      <c r="D94">
        <v>3</v>
      </c>
      <c r="E94">
        <v>12</v>
      </c>
      <c r="F94">
        <v>100</v>
      </c>
      <c r="G94">
        <v>20.03</v>
      </c>
      <c r="H94">
        <v>153</v>
      </c>
      <c r="K94">
        <v>60.7</v>
      </c>
      <c r="L94">
        <v>800</v>
      </c>
      <c r="M94">
        <f t="shared" si="15"/>
        <v>640</v>
      </c>
    </row>
    <row r="95" spans="1:13" x14ac:dyDescent="0.25">
      <c r="A95" t="s">
        <v>193</v>
      </c>
      <c r="B95" t="s">
        <v>211</v>
      </c>
      <c r="C95" t="s">
        <v>260</v>
      </c>
      <c r="D95">
        <v>1</v>
      </c>
      <c r="E95">
        <v>20</v>
      </c>
      <c r="F95">
        <v>460</v>
      </c>
      <c r="G95">
        <v>32.950000000000003</v>
      </c>
      <c r="H95">
        <v>579</v>
      </c>
      <c r="K95">
        <v>176.4</v>
      </c>
      <c r="L95">
        <v>800</v>
      </c>
      <c r="M95">
        <f t="shared" ref="M95:M146" si="16">L95*0.8</f>
        <v>640</v>
      </c>
    </row>
    <row r="96" spans="1:13" x14ac:dyDescent="0.25">
      <c r="A96" t="s">
        <v>193</v>
      </c>
      <c r="B96" t="s">
        <v>211</v>
      </c>
      <c r="C96" t="s">
        <v>260</v>
      </c>
      <c r="D96">
        <v>1</v>
      </c>
      <c r="E96">
        <v>20</v>
      </c>
      <c r="F96">
        <v>440</v>
      </c>
      <c r="G96">
        <v>32.950000000000003</v>
      </c>
      <c r="H96">
        <v>579</v>
      </c>
      <c r="K96">
        <v>176.4</v>
      </c>
      <c r="L96">
        <v>800</v>
      </c>
      <c r="M96">
        <f t="shared" si="16"/>
        <v>640</v>
      </c>
    </row>
    <row r="97" spans="1:13" x14ac:dyDescent="0.25">
      <c r="A97" t="s">
        <v>193</v>
      </c>
      <c r="B97" t="s">
        <v>211</v>
      </c>
      <c r="C97" t="s">
        <v>260</v>
      </c>
      <c r="D97">
        <v>1</v>
      </c>
      <c r="E97">
        <v>20</v>
      </c>
      <c r="F97">
        <v>420</v>
      </c>
      <c r="G97">
        <v>32.950000000000003</v>
      </c>
      <c r="H97">
        <v>579</v>
      </c>
      <c r="K97">
        <v>176.4</v>
      </c>
      <c r="L97">
        <v>800</v>
      </c>
      <c r="M97">
        <f t="shared" si="16"/>
        <v>640</v>
      </c>
    </row>
    <row r="98" spans="1:13" x14ac:dyDescent="0.25">
      <c r="A98" t="s">
        <v>193</v>
      </c>
      <c r="B98" t="s">
        <v>211</v>
      </c>
      <c r="C98" t="s">
        <v>260</v>
      </c>
      <c r="D98">
        <v>1</v>
      </c>
      <c r="E98">
        <v>20</v>
      </c>
      <c r="F98">
        <v>400</v>
      </c>
      <c r="G98">
        <v>32.950000000000003</v>
      </c>
      <c r="H98">
        <v>579</v>
      </c>
      <c r="K98">
        <v>176.4</v>
      </c>
      <c r="L98">
        <v>800</v>
      </c>
      <c r="M98">
        <f t="shared" si="16"/>
        <v>640</v>
      </c>
    </row>
    <row r="99" spans="1:13" x14ac:dyDescent="0.25">
      <c r="A99" t="s">
        <v>193</v>
      </c>
      <c r="B99" t="s">
        <v>211</v>
      </c>
      <c r="C99" t="s">
        <v>260</v>
      </c>
      <c r="D99">
        <v>1</v>
      </c>
      <c r="E99">
        <v>20</v>
      </c>
      <c r="F99">
        <v>380</v>
      </c>
      <c r="G99">
        <v>32.950000000000003</v>
      </c>
      <c r="H99">
        <v>579</v>
      </c>
      <c r="K99">
        <v>176.4</v>
      </c>
      <c r="L99">
        <v>800</v>
      </c>
      <c r="M99">
        <f t="shared" si="16"/>
        <v>640</v>
      </c>
    </row>
    <row r="100" spans="1:13" x14ac:dyDescent="0.25">
      <c r="A100" t="s">
        <v>193</v>
      </c>
      <c r="B100" t="s">
        <v>211</v>
      </c>
      <c r="C100" t="s">
        <v>260</v>
      </c>
      <c r="D100">
        <v>1</v>
      </c>
      <c r="E100">
        <v>20</v>
      </c>
      <c r="F100">
        <v>360</v>
      </c>
      <c r="G100">
        <v>32.950000000000003</v>
      </c>
      <c r="H100">
        <v>579</v>
      </c>
      <c r="K100">
        <v>176.4</v>
      </c>
      <c r="L100">
        <v>800</v>
      </c>
      <c r="M100">
        <f t="shared" si="16"/>
        <v>640</v>
      </c>
    </row>
    <row r="101" spans="1:13" x14ac:dyDescent="0.25">
      <c r="A101" t="s">
        <v>193</v>
      </c>
      <c r="B101" t="s">
        <v>211</v>
      </c>
      <c r="C101" t="s">
        <v>260</v>
      </c>
      <c r="D101">
        <v>1</v>
      </c>
      <c r="E101">
        <v>20</v>
      </c>
      <c r="F101">
        <v>340</v>
      </c>
      <c r="G101">
        <v>32.950000000000003</v>
      </c>
      <c r="H101">
        <v>579</v>
      </c>
      <c r="K101">
        <v>176.4</v>
      </c>
      <c r="L101">
        <v>800</v>
      </c>
      <c r="M101">
        <f t="shared" si="16"/>
        <v>640</v>
      </c>
    </row>
    <row r="102" spans="1:13" x14ac:dyDescent="0.25">
      <c r="A102" t="s">
        <v>193</v>
      </c>
      <c r="B102" t="s">
        <v>211</v>
      </c>
      <c r="C102" t="s">
        <v>260</v>
      </c>
      <c r="D102">
        <v>1</v>
      </c>
      <c r="E102">
        <v>20</v>
      </c>
      <c r="F102">
        <v>320</v>
      </c>
      <c r="G102">
        <v>32.950000000000003</v>
      </c>
      <c r="H102">
        <v>579</v>
      </c>
      <c r="K102">
        <v>176.4</v>
      </c>
      <c r="L102">
        <v>800</v>
      </c>
      <c r="M102">
        <f t="shared" si="16"/>
        <v>640</v>
      </c>
    </row>
    <row r="103" spans="1:13" x14ac:dyDescent="0.25">
      <c r="A103" t="s">
        <v>193</v>
      </c>
      <c r="B103" t="s">
        <v>211</v>
      </c>
      <c r="C103" t="s">
        <v>260</v>
      </c>
      <c r="D103">
        <v>1</v>
      </c>
      <c r="E103">
        <v>20</v>
      </c>
      <c r="F103">
        <v>300</v>
      </c>
      <c r="G103">
        <v>32.950000000000003</v>
      </c>
      <c r="H103">
        <v>579</v>
      </c>
      <c r="K103">
        <v>176.4</v>
      </c>
      <c r="L103">
        <v>800</v>
      </c>
      <c r="M103">
        <f t="shared" si="16"/>
        <v>640</v>
      </c>
    </row>
    <row r="104" spans="1:13" x14ac:dyDescent="0.25">
      <c r="A104" t="s">
        <v>193</v>
      </c>
      <c r="B104" t="s">
        <v>211</v>
      </c>
      <c r="C104" t="s">
        <v>260</v>
      </c>
      <c r="D104">
        <v>1</v>
      </c>
      <c r="E104">
        <v>20</v>
      </c>
      <c r="F104">
        <v>280</v>
      </c>
      <c r="G104">
        <v>32.950000000000003</v>
      </c>
      <c r="H104">
        <v>579</v>
      </c>
      <c r="K104">
        <v>176.4</v>
      </c>
      <c r="L104">
        <v>800</v>
      </c>
      <c r="M104">
        <f t="shared" si="16"/>
        <v>640</v>
      </c>
    </row>
    <row r="105" spans="1:13" x14ac:dyDescent="0.25">
      <c r="A105" t="s">
        <v>193</v>
      </c>
      <c r="B105" t="s">
        <v>211</v>
      </c>
      <c r="C105" t="s">
        <v>260</v>
      </c>
      <c r="D105">
        <v>1</v>
      </c>
      <c r="E105">
        <v>20</v>
      </c>
      <c r="F105">
        <v>260</v>
      </c>
      <c r="G105">
        <v>32.950000000000003</v>
      </c>
      <c r="H105">
        <v>579</v>
      </c>
      <c r="K105">
        <v>176.4</v>
      </c>
      <c r="L105">
        <v>800</v>
      </c>
      <c r="M105">
        <f t="shared" si="16"/>
        <v>640</v>
      </c>
    </row>
    <row r="106" spans="1:13" x14ac:dyDescent="0.25">
      <c r="A106" t="s">
        <v>193</v>
      </c>
      <c r="B106" t="s">
        <v>211</v>
      </c>
      <c r="C106" t="s">
        <v>260</v>
      </c>
      <c r="D106">
        <v>1</v>
      </c>
      <c r="E106">
        <v>20</v>
      </c>
      <c r="F106">
        <v>240</v>
      </c>
      <c r="G106">
        <v>32.950000000000003</v>
      </c>
      <c r="H106">
        <v>579</v>
      </c>
      <c r="K106">
        <v>176.4</v>
      </c>
      <c r="L106">
        <v>800</v>
      </c>
      <c r="M106">
        <f t="shared" si="16"/>
        <v>640</v>
      </c>
    </row>
    <row r="107" spans="1:13" x14ac:dyDescent="0.25">
      <c r="A107" t="s">
        <v>193</v>
      </c>
      <c r="B107" t="s">
        <v>211</v>
      </c>
      <c r="C107" t="s">
        <v>260</v>
      </c>
      <c r="D107">
        <v>1</v>
      </c>
      <c r="E107">
        <v>20</v>
      </c>
      <c r="F107">
        <v>220</v>
      </c>
      <c r="G107">
        <v>32.950000000000003</v>
      </c>
      <c r="H107">
        <v>579</v>
      </c>
      <c r="K107">
        <v>176.4</v>
      </c>
      <c r="L107">
        <v>800</v>
      </c>
      <c r="M107">
        <f t="shared" si="16"/>
        <v>640</v>
      </c>
    </row>
    <row r="108" spans="1:13" x14ac:dyDescent="0.25">
      <c r="A108" t="s">
        <v>193</v>
      </c>
      <c r="B108" t="s">
        <v>211</v>
      </c>
      <c r="C108" t="s">
        <v>260</v>
      </c>
      <c r="D108">
        <v>1</v>
      </c>
      <c r="E108">
        <v>20</v>
      </c>
      <c r="F108">
        <v>200</v>
      </c>
      <c r="G108">
        <v>32.950000000000003</v>
      </c>
      <c r="H108">
        <v>579</v>
      </c>
      <c r="K108">
        <v>176.4</v>
      </c>
      <c r="L108">
        <v>800</v>
      </c>
      <c r="M108">
        <f t="shared" si="16"/>
        <v>640</v>
      </c>
    </row>
    <row r="109" spans="1:13" x14ac:dyDescent="0.25">
      <c r="A109" t="s">
        <v>193</v>
      </c>
      <c r="B109" t="s">
        <v>211</v>
      </c>
      <c r="C109" t="s">
        <v>260</v>
      </c>
      <c r="D109">
        <v>1</v>
      </c>
      <c r="E109">
        <v>20</v>
      </c>
      <c r="F109">
        <v>180</v>
      </c>
      <c r="G109">
        <v>32.950000000000003</v>
      </c>
      <c r="H109">
        <v>579</v>
      </c>
      <c r="K109">
        <v>176.4</v>
      </c>
      <c r="L109">
        <v>800</v>
      </c>
      <c r="M109">
        <f t="shared" si="16"/>
        <v>640</v>
      </c>
    </row>
    <row r="110" spans="1:13" x14ac:dyDescent="0.25">
      <c r="A110" t="s">
        <v>193</v>
      </c>
      <c r="B110" t="s">
        <v>211</v>
      </c>
      <c r="C110" t="s">
        <v>260</v>
      </c>
      <c r="D110">
        <v>1</v>
      </c>
      <c r="E110">
        <v>20</v>
      </c>
      <c r="F110">
        <v>160</v>
      </c>
      <c r="G110">
        <v>32.950000000000003</v>
      </c>
      <c r="H110">
        <v>579</v>
      </c>
      <c r="K110">
        <v>176.4</v>
      </c>
      <c r="L110">
        <v>800</v>
      </c>
      <c r="M110">
        <f t="shared" si="16"/>
        <v>640</v>
      </c>
    </row>
    <row r="111" spans="1:13" x14ac:dyDescent="0.25">
      <c r="A111" t="s">
        <v>193</v>
      </c>
      <c r="B111" t="s">
        <v>211</v>
      </c>
      <c r="C111" t="s">
        <v>260</v>
      </c>
      <c r="D111">
        <v>1</v>
      </c>
      <c r="E111">
        <v>20</v>
      </c>
      <c r="F111">
        <v>140</v>
      </c>
      <c r="G111">
        <v>33.53</v>
      </c>
      <c r="H111">
        <v>579</v>
      </c>
      <c r="K111">
        <v>176.4</v>
      </c>
      <c r="L111">
        <v>800</v>
      </c>
      <c r="M111">
        <f t="shared" si="16"/>
        <v>640</v>
      </c>
    </row>
    <row r="112" spans="1:13" x14ac:dyDescent="0.25">
      <c r="A112" t="s">
        <v>193</v>
      </c>
      <c r="B112" t="s">
        <v>211</v>
      </c>
      <c r="C112" t="s">
        <v>260</v>
      </c>
      <c r="D112">
        <v>1</v>
      </c>
      <c r="E112">
        <v>20</v>
      </c>
      <c r="F112">
        <v>120</v>
      </c>
      <c r="G112">
        <v>33.53</v>
      </c>
      <c r="H112">
        <v>579</v>
      </c>
      <c r="K112">
        <v>176.4</v>
      </c>
      <c r="L112">
        <v>800</v>
      </c>
      <c r="M112">
        <f t="shared" si="16"/>
        <v>640</v>
      </c>
    </row>
    <row r="113" spans="1:13" x14ac:dyDescent="0.25">
      <c r="A113" t="s">
        <v>193</v>
      </c>
      <c r="B113" t="s">
        <v>211</v>
      </c>
      <c r="C113" t="s">
        <v>260</v>
      </c>
      <c r="D113">
        <v>1</v>
      </c>
      <c r="E113">
        <v>16</v>
      </c>
      <c r="F113">
        <v>500</v>
      </c>
      <c r="G113">
        <v>26.17</v>
      </c>
      <c r="H113">
        <v>324</v>
      </c>
      <c r="K113">
        <v>113</v>
      </c>
      <c r="L113">
        <v>800</v>
      </c>
      <c r="M113">
        <f t="shared" si="16"/>
        <v>640</v>
      </c>
    </row>
    <row r="114" spans="1:13" x14ac:dyDescent="0.25">
      <c r="A114" t="s">
        <v>193</v>
      </c>
      <c r="B114" t="s">
        <v>211</v>
      </c>
      <c r="C114" t="s">
        <v>260</v>
      </c>
      <c r="D114">
        <v>1</v>
      </c>
      <c r="E114">
        <v>16</v>
      </c>
      <c r="F114">
        <v>460</v>
      </c>
      <c r="G114">
        <v>26.17</v>
      </c>
      <c r="H114">
        <v>324</v>
      </c>
      <c r="K114">
        <v>113</v>
      </c>
      <c r="L114">
        <v>800</v>
      </c>
      <c r="M114">
        <f t="shared" si="16"/>
        <v>640</v>
      </c>
    </row>
    <row r="115" spans="1:13" x14ac:dyDescent="0.25">
      <c r="A115" t="s">
        <v>193</v>
      </c>
      <c r="B115" t="s">
        <v>211</v>
      </c>
      <c r="C115" t="s">
        <v>260</v>
      </c>
      <c r="D115">
        <v>1</v>
      </c>
      <c r="E115">
        <v>16</v>
      </c>
      <c r="F115">
        <v>440</v>
      </c>
      <c r="G115">
        <v>26.17</v>
      </c>
      <c r="H115">
        <v>324</v>
      </c>
      <c r="K115">
        <v>113</v>
      </c>
      <c r="L115">
        <v>800</v>
      </c>
      <c r="M115">
        <f t="shared" si="16"/>
        <v>640</v>
      </c>
    </row>
    <row r="116" spans="1:13" x14ac:dyDescent="0.25">
      <c r="A116" t="s">
        <v>193</v>
      </c>
      <c r="B116" t="s">
        <v>211</v>
      </c>
      <c r="C116" t="s">
        <v>260</v>
      </c>
      <c r="D116">
        <v>1</v>
      </c>
      <c r="E116">
        <v>16</v>
      </c>
      <c r="F116">
        <v>420</v>
      </c>
      <c r="G116">
        <v>26.17</v>
      </c>
      <c r="H116">
        <v>324</v>
      </c>
      <c r="K116">
        <v>113</v>
      </c>
      <c r="L116">
        <v>800</v>
      </c>
      <c r="M116">
        <f t="shared" si="16"/>
        <v>640</v>
      </c>
    </row>
    <row r="117" spans="1:13" x14ac:dyDescent="0.25">
      <c r="A117" t="s">
        <v>193</v>
      </c>
      <c r="B117" t="s">
        <v>211</v>
      </c>
      <c r="C117" t="s">
        <v>260</v>
      </c>
      <c r="D117">
        <v>1</v>
      </c>
      <c r="E117">
        <v>16</v>
      </c>
      <c r="F117">
        <v>400</v>
      </c>
      <c r="G117">
        <v>26.17</v>
      </c>
      <c r="H117">
        <v>324</v>
      </c>
      <c r="K117">
        <v>113</v>
      </c>
      <c r="L117">
        <v>800</v>
      </c>
      <c r="M117">
        <f t="shared" si="16"/>
        <v>640</v>
      </c>
    </row>
    <row r="118" spans="1:13" x14ac:dyDescent="0.25">
      <c r="A118" t="s">
        <v>193</v>
      </c>
      <c r="B118" t="s">
        <v>211</v>
      </c>
      <c r="C118" t="s">
        <v>260</v>
      </c>
      <c r="D118">
        <v>1</v>
      </c>
      <c r="E118">
        <v>16</v>
      </c>
      <c r="F118">
        <v>380</v>
      </c>
      <c r="G118">
        <v>26.17</v>
      </c>
      <c r="H118">
        <v>324</v>
      </c>
      <c r="K118">
        <v>113</v>
      </c>
      <c r="L118">
        <v>800</v>
      </c>
      <c r="M118">
        <f t="shared" si="16"/>
        <v>640</v>
      </c>
    </row>
    <row r="119" spans="1:13" x14ac:dyDescent="0.25">
      <c r="A119" t="s">
        <v>193</v>
      </c>
      <c r="B119" t="s">
        <v>211</v>
      </c>
      <c r="C119" t="s">
        <v>260</v>
      </c>
      <c r="D119">
        <v>1</v>
      </c>
      <c r="E119">
        <v>16</v>
      </c>
      <c r="F119">
        <v>360</v>
      </c>
      <c r="G119">
        <v>26.17</v>
      </c>
      <c r="H119">
        <v>324</v>
      </c>
      <c r="K119">
        <v>113</v>
      </c>
      <c r="L119">
        <v>800</v>
      </c>
      <c r="M119">
        <f t="shared" si="16"/>
        <v>640</v>
      </c>
    </row>
    <row r="120" spans="1:13" x14ac:dyDescent="0.25">
      <c r="A120" t="s">
        <v>193</v>
      </c>
      <c r="B120" t="s">
        <v>211</v>
      </c>
      <c r="C120" t="s">
        <v>260</v>
      </c>
      <c r="D120">
        <v>1</v>
      </c>
      <c r="E120">
        <v>16</v>
      </c>
      <c r="F120">
        <v>340</v>
      </c>
      <c r="G120">
        <v>26.17</v>
      </c>
      <c r="H120">
        <v>324</v>
      </c>
      <c r="K120">
        <v>113</v>
      </c>
      <c r="L120">
        <v>800</v>
      </c>
      <c r="M120">
        <f t="shared" si="16"/>
        <v>640</v>
      </c>
    </row>
    <row r="121" spans="1:13" x14ac:dyDescent="0.25">
      <c r="A121" t="s">
        <v>193</v>
      </c>
      <c r="B121" t="s">
        <v>211</v>
      </c>
      <c r="C121" t="s">
        <v>260</v>
      </c>
      <c r="D121">
        <v>1</v>
      </c>
      <c r="E121">
        <v>16</v>
      </c>
      <c r="F121">
        <v>320</v>
      </c>
      <c r="G121">
        <v>26.17</v>
      </c>
      <c r="H121">
        <v>324</v>
      </c>
      <c r="K121">
        <v>113</v>
      </c>
      <c r="L121">
        <v>800</v>
      </c>
      <c r="M121">
        <f t="shared" si="16"/>
        <v>640</v>
      </c>
    </row>
    <row r="122" spans="1:13" x14ac:dyDescent="0.25">
      <c r="A122" t="s">
        <v>193</v>
      </c>
      <c r="B122" t="s">
        <v>211</v>
      </c>
      <c r="C122" t="s">
        <v>260</v>
      </c>
      <c r="D122">
        <v>1</v>
      </c>
      <c r="E122">
        <v>16</v>
      </c>
      <c r="F122">
        <v>300</v>
      </c>
      <c r="G122">
        <v>26.17</v>
      </c>
      <c r="H122">
        <v>324</v>
      </c>
      <c r="K122">
        <v>113</v>
      </c>
      <c r="L122">
        <v>800</v>
      </c>
      <c r="M122">
        <f t="shared" si="16"/>
        <v>640</v>
      </c>
    </row>
    <row r="123" spans="1:13" x14ac:dyDescent="0.25">
      <c r="A123" t="s">
        <v>193</v>
      </c>
      <c r="B123" t="s">
        <v>211</v>
      </c>
      <c r="C123" t="s">
        <v>260</v>
      </c>
      <c r="D123">
        <v>1</v>
      </c>
      <c r="E123">
        <v>16</v>
      </c>
      <c r="F123">
        <v>280</v>
      </c>
      <c r="G123">
        <v>26.17</v>
      </c>
      <c r="H123">
        <v>324</v>
      </c>
      <c r="K123">
        <v>113</v>
      </c>
      <c r="L123">
        <v>800</v>
      </c>
      <c r="M123">
        <f t="shared" si="16"/>
        <v>640</v>
      </c>
    </row>
    <row r="124" spans="1:13" x14ac:dyDescent="0.25">
      <c r="A124" t="s">
        <v>193</v>
      </c>
      <c r="B124" t="s">
        <v>211</v>
      </c>
      <c r="C124" t="s">
        <v>260</v>
      </c>
      <c r="D124">
        <v>1</v>
      </c>
      <c r="E124">
        <v>16</v>
      </c>
      <c r="F124">
        <v>260</v>
      </c>
      <c r="G124">
        <v>26.17</v>
      </c>
      <c r="H124">
        <v>324</v>
      </c>
      <c r="K124">
        <v>113</v>
      </c>
      <c r="L124">
        <v>800</v>
      </c>
      <c r="M124">
        <f t="shared" si="16"/>
        <v>640</v>
      </c>
    </row>
    <row r="125" spans="1:13" x14ac:dyDescent="0.25">
      <c r="A125" t="s">
        <v>193</v>
      </c>
      <c r="B125" t="s">
        <v>211</v>
      </c>
      <c r="C125" t="s">
        <v>260</v>
      </c>
      <c r="D125">
        <v>1</v>
      </c>
      <c r="E125">
        <v>16</v>
      </c>
      <c r="F125">
        <v>240</v>
      </c>
      <c r="G125">
        <v>26.17</v>
      </c>
      <c r="H125">
        <v>324</v>
      </c>
      <c r="K125">
        <v>113</v>
      </c>
      <c r="L125">
        <v>800</v>
      </c>
      <c r="M125">
        <f t="shared" si="16"/>
        <v>640</v>
      </c>
    </row>
    <row r="126" spans="1:13" x14ac:dyDescent="0.25">
      <c r="A126" t="s">
        <v>193</v>
      </c>
      <c r="B126" t="s">
        <v>211</v>
      </c>
      <c r="C126" t="s">
        <v>260</v>
      </c>
      <c r="D126">
        <v>1</v>
      </c>
      <c r="E126">
        <v>16</v>
      </c>
      <c r="F126">
        <v>220</v>
      </c>
      <c r="G126">
        <v>26.17</v>
      </c>
      <c r="H126">
        <v>324</v>
      </c>
      <c r="K126">
        <v>113</v>
      </c>
      <c r="L126">
        <v>800</v>
      </c>
      <c r="M126">
        <f t="shared" si="16"/>
        <v>640</v>
      </c>
    </row>
    <row r="127" spans="1:13" x14ac:dyDescent="0.25">
      <c r="A127" t="s">
        <v>193</v>
      </c>
      <c r="B127" t="s">
        <v>211</v>
      </c>
      <c r="C127" t="s">
        <v>260</v>
      </c>
      <c r="D127">
        <v>1</v>
      </c>
      <c r="E127">
        <v>16</v>
      </c>
      <c r="F127">
        <v>200</v>
      </c>
      <c r="G127">
        <v>26.17</v>
      </c>
      <c r="H127">
        <v>324</v>
      </c>
      <c r="K127">
        <v>113</v>
      </c>
      <c r="L127">
        <v>800</v>
      </c>
      <c r="M127">
        <f t="shared" si="16"/>
        <v>640</v>
      </c>
    </row>
    <row r="128" spans="1:13" x14ac:dyDescent="0.25">
      <c r="A128" t="s">
        <v>193</v>
      </c>
      <c r="B128" t="s">
        <v>211</v>
      </c>
      <c r="C128" t="s">
        <v>260</v>
      </c>
      <c r="D128">
        <v>1</v>
      </c>
      <c r="E128">
        <v>16</v>
      </c>
      <c r="F128">
        <v>180</v>
      </c>
      <c r="G128">
        <v>26.17</v>
      </c>
      <c r="H128">
        <v>324</v>
      </c>
      <c r="K128">
        <v>113</v>
      </c>
      <c r="L128">
        <v>800</v>
      </c>
      <c r="M128">
        <f t="shared" si="16"/>
        <v>640</v>
      </c>
    </row>
    <row r="129" spans="1:13" x14ac:dyDescent="0.25">
      <c r="A129" t="s">
        <v>193</v>
      </c>
      <c r="B129" t="s">
        <v>211</v>
      </c>
      <c r="C129" t="s">
        <v>260</v>
      </c>
      <c r="D129">
        <v>1</v>
      </c>
      <c r="E129">
        <v>16</v>
      </c>
      <c r="F129">
        <v>160</v>
      </c>
      <c r="G129">
        <v>26.17</v>
      </c>
      <c r="H129">
        <v>324</v>
      </c>
      <c r="K129">
        <v>113</v>
      </c>
      <c r="L129">
        <v>800</v>
      </c>
      <c r="M129">
        <f t="shared" si="16"/>
        <v>640</v>
      </c>
    </row>
    <row r="130" spans="1:13" x14ac:dyDescent="0.25">
      <c r="A130" t="s">
        <v>193</v>
      </c>
      <c r="B130" t="s">
        <v>211</v>
      </c>
      <c r="C130" t="s">
        <v>260</v>
      </c>
      <c r="D130">
        <v>1</v>
      </c>
      <c r="E130">
        <v>16</v>
      </c>
      <c r="F130">
        <v>140</v>
      </c>
      <c r="G130">
        <v>26.75</v>
      </c>
      <c r="H130">
        <v>324</v>
      </c>
      <c r="K130">
        <v>113</v>
      </c>
      <c r="L130">
        <v>800</v>
      </c>
      <c r="M130">
        <f t="shared" si="16"/>
        <v>640</v>
      </c>
    </row>
    <row r="131" spans="1:13" x14ac:dyDescent="0.25">
      <c r="A131" t="s">
        <v>193</v>
      </c>
      <c r="B131" t="s">
        <v>211</v>
      </c>
      <c r="C131" t="s">
        <v>260</v>
      </c>
      <c r="D131">
        <v>1</v>
      </c>
      <c r="E131">
        <v>12</v>
      </c>
      <c r="F131">
        <v>400</v>
      </c>
      <c r="G131">
        <v>20.03</v>
      </c>
      <c r="H131">
        <v>153</v>
      </c>
      <c r="K131">
        <v>60.7</v>
      </c>
      <c r="L131">
        <v>800</v>
      </c>
      <c r="M131">
        <f t="shared" si="16"/>
        <v>640</v>
      </c>
    </row>
    <row r="132" spans="1:13" x14ac:dyDescent="0.25">
      <c r="A132" t="s">
        <v>193</v>
      </c>
      <c r="B132" t="s">
        <v>211</v>
      </c>
      <c r="C132" t="s">
        <v>260</v>
      </c>
      <c r="D132">
        <v>1</v>
      </c>
      <c r="E132">
        <v>12</v>
      </c>
      <c r="F132">
        <v>380</v>
      </c>
      <c r="G132">
        <v>20.03</v>
      </c>
      <c r="H132">
        <v>153</v>
      </c>
      <c r="K132">
        <v>60.7</v>
      </c>
      <c r="L132">
        <v>800</v>
      </c>
      <c r="M132">
        <f t="shared" si="16"/>
        <v>640</v>
      </c>
    </row>
    <row r="133" spans="1:13" x14ac:dyDescent="0.25">
      <c r="A133" t="s">
        <v>193</v>
      </c>
      <c r="B133" t="s">
        <v>211</v>
      </c>
      <c r="C133" t="s">
        <v>260</v>
      </c>
      <c r="D133">
        <v>1</v>
      </c>
      <c r="E133">
        <v>12</v>
      </c>
      <c r="F133">
        <v>360</v>
      </c>
      <c r="G133">
        <v>20.03</v>
      </c>
      <c r="H133">
        <v>153</v>
      </c>
      <c r="K133">
        <v>60.7</v>
      </c>
      <c r="L133">
        <v>800</v>
      </c>
      <c r="M133">
        <f t="shared" si="16"/>
        <v>640</v>
      </c>
    </row>
    <row r="134" spans="1:13" x14ac:dyDescent="0.25">
      <c r="A134" t="s">
        <v>193</v>
      </c>
      <c r="B134" t="s">
        <v>211</v>
      </c>
      <c r="C134" t="s">
        <v>260</v>
      </c>
      <c r="D134">
        <v>1</v>
      </c>
      <c r="E134">
        <v>12</v>
      </c>
      <c r="F134">
        <v>340</v>
      </c>
      <c r="G134">
        <v>20.03</v>
      </c>
      <c r="H134">
        <v>153</v>
      </c>
      <c r="K134">
        <v>60.7</v>
      </c>
      <c r="L134">
        <v>800</v>
      </c>
      <c r="M134">
        <f t="shared" si="16"/>
        <v>640</v>
      </c>
    </row>
    <row r="135" spans="1:13" x14ac:dyDescent="0.25">
      <c r="A135" t="s">
        <v>193</v>
      </c>
      <c r="B135" t="s">
        <v>211</v>
      </c>
      <c r="C135" t="s">
        <v>260</v>
      </c>
      <c r="D135">
        <v>1</v>
      </c>
      <c r="E135">
        <v>12</v>
      </c>
      <c r="F135">
        <v>320</v>
      </c>
      <c r="G135">
        <v>20.03</v>
      </c>
      <c r="H135">
        <v>153</v>
      </c>
      <c r="K135">
        <v>60.7</v>
      </c>
      <c r="L135">
        <v>800</v>
      </c>
      <c r="M135">
        <f t="shared" si="16"/>
        <v>640</v>
      </c>
    </row>
    <row r="136" spans="1:13" x14ac:dyDescent="0.25">
      <c r="A136" t="s">
        <v>193</v>
      </c>
      <c r="B136" t="s">
        <v>211</v>
      </c>
      <c r="C136" t="s">
        <v>260</v>
      </c>
      <c r="D136">
        <v>1</v>
      </c>
      <c r="E136">
        <v>12</v>
      </c>
      <c r="F136">
        <v>300</v>
      </c>
      <c r="G136">
        <v>20.03</v>
      </c>
      <c r="H136">
        <v>153</v>
      </c>
      <c r="K136">
        <v>60.7</v>
      </c>
      <c r="L136">
        <v>800</v>
      </c>
      <c r="M136">
        <f t="shared" si="16"/>
        <v>640</v>
      </c>
    </row>
    <row r="137" spans="1:13" x14ac:dyDescent="0.25">
      <c r="A137" t="s">
        <v>193</v>
      </c>
      <c r="B137" t="s">
        <v>211</v>
      </c>
      <c r="C137" t="s">
        <v>260</v>
      </c>
      <c r="D137">
        <v>1</v>
      </c>
      <c r="E137">
        <v>12</v>
      </c>
      <c r="F137">
        <v>280</v>
      </c>
      <c r="G137">
        <v>20.03</v>
      </c>
      <c r="H137">
        <v>153</v>
      </c>
      <c r="K137">
        <v>60.7</v>
      </c>
      <c r="L137">
        <v>800</v>
      </c>
      <c r="M137">
        <f t="shared" si="16"/>
        <v>640</v>
      </c>
    </row>
    <row r="138" spans="1:13" x14ac:dyDescent="0.25">
      <c r="A138" t="s">
        <v>193</v>
      </c>
      <c r="B138" t="s">
        <v>211</v>
      </c>
      <c r="C138" t="s">
        <v>260</v>
      </c>
      <c r="D138">
        <v>1</v>
      </c>
      <c r="E138">
        <v>12</v>
      </c>
      <c r="F138">
        <v>260</v>
      </c>
      <c r="G138">
        <v>20.03</v>
      </c>
      <c r="H138">
        <v>153</v>
      </c>
      <c r="K138">
        <v>60.7</v>
      </c>
      <c r="L138">
        <v>800</v>
      </c>
      <c r="M138">
        <f t="shared" si="16"/>
        <v>640</v>
      </c>
    </row>
    <row r="139" spans="1:13" x14ac:dyDescent="0.25">
      <c r="A139" t="s">
        <v>193</v>
      </c>
      <c r="B139" t="s">
        <v>211</v>
      </c>
      <c r="C139" t="s">
        <v>260</v>
      </c>
      <c r="D139">
        <v>1</v>
      </c>
      <c r="E139">
        <v>12</v>
      </c>
      <c r="F139">
        <v>240</v>
      </c>
      <c r="G139">
        <v>20.03</v>
      </c>
      <c r="H139">
        <v>153</v>
      </c>
      <c r="K139">
        <v>60.7</v>
      </c>
      <c r="L139">
        <v>800</v>
      </c>
      <c r="M139">
        <f t="shared" si="16"/>
        <v>640</v>
      </c>
    </row>
    <row r="140" spans="1:13" x14ac:dyDescent="0.25">
      <c r="A140" t="s">
        <v>193</v>
      </c>
      <c r="B140" t="s">
        <v>211</v>
      </c>
      <c r="C140" t="s">
        <v>260</v>
      </c>
      <c r="D140">
        <v>1</v>
      </c>
      <c r="E140">
        <v>12</v>
      </c>
      <c r="F140">
        <v>220</v>
      </c>
      <c r="G140">
        <v>20.03</v>
      </c>
      <c r="H140">
        <v>153</v>
      </c>
      <c r="K140">
        <v>60.7</v>
      </c>
      <c r="L140">
        <v>800</v>
      </c>
      <c r="M140">
        <f t="shared" si="16"/>
        <v>640</v>
      </c>
    </row>
    <row r="141" spans="1:13" x14ac:dyDescent="0.25">
      <c r="A141" t="s">
        <v>193</v>
      </c>
      <c r="B141" t="s">
        <v>211</v>
      </c>
      <c r="C141" t="s">
        <v>260</v>
      </c>
      <c r="D141">
        <v>1</v>
      </c>
      <c r="E141">
        <v>12</v>
      </c>
      <c r="F141">
        <v>200</v>
      </c>
      <c r="G141">
        <v>20.03</v>
      </c>
      <c r="H141">
        <v>153</v>
      </c>
      <c r="K141">
        <v>60.7</v>
      </c>
      <c r="L141">
        <v>800</v>
      </c>
      <c r="M141">
        <f t="shared" si="16"/>
        <v>640</v>
      </c>
    </row>
    <row r="142" spans="1:13" x14ac:dyDescent="0.25">
      <c r="A142" t="s">
        <v>193</v>
      </c>
      <c r="B142" t="s">
        <v>211</v>
      </c>
      <c r="C142" t="s">
        <v>260</v>
      </c>
      <c r="D142">
        <v>1</v>
      </c>
      <c r="E142">
        <v>12</v>
      </c>
      <c r="F142">
        <v>180</v>
      </c>
      <c r="G142">
        <v>20.03</v>
      </c>
      <c r="H142">
        <v>153</v>
      </c>
      <c r="K142">
        <v>60.7</v>
      </c>
      <c r="L142">
        <v>800</v>
      </c>
      <c r="M142">
        <f t="shared" si="16"/>
        <v>640</v>
      </c>
    </row>
    <row r="143" spans="1:13" x14ac:dyDescent="0.25">
      <c r="A143" t="s">
        <v>193</v>
      </c>
      <c r="B143" t="s">
        <v>211</v>
      </c>
      <c r="C143" t="s">
        <v>260</v>
      </c>
      <c r="D143">
        <v>1</v>
      </c>
      <c r="E143">
        <v>12</v>
      </c>
      <c r="F143">
        <v>160</v>
      </c>
      <c r="G143">
        <v>20.03</v>
      </c>
      <c r="H143">
        <v>153</v>
      </c>
      <c r="K143">
        <v>60.7</v>
      </c>
      <c r="L143">
        <v>800</v>
      </c>
      <c r="M143">
        <f t="shared" si="16"/>
        <v>640</v>
      </c>
    </row>
    <row r="144" spans="1:13" x14ac:dyDescent="0.25">
      <c r="A144" t="s">
        <v>193</v>
      </c>
      <c r="B144" t="s">
        <v>211</v>
      </c>
      <c r="C144" t="s">
        <v>260</v>
      </c>
      <c r="D144">
        <v>1</v>
      </c>
      <c r="E144">
        <v>12</v>
      </c>
      <c r="F144">
        <v>140</v>
      </c>
      <c r="G144">
        <v>20.03</v>
      </c>
      <c r="H144">
        <v>153</v>
      </c>
      <c r="K144">
        <v>60.7</v>
      </c>
      <c r="L144">
        <v>800</v>
      </c>
      <c r="M144">
        <f t="shared" si="16"/>
        <v>640</v>
      </c>
    </row>
    <row r="145" spans="1:17" x14ac:dyDescent="0.25">
      <c r="A145" t="s">
        <v>193</v>
      </c>
      <c r="B145" t="s">
        <v>211</v>
      </c>
      <c r="C145" t="s">
        <v>260</v>
      </c>
      <c r="D145">
        <v>1</v>
      </c>
      <c r="E145">
        <v>12</v>
      </c>
      <c r="F145">
        <v>120</v>
      </c>
      <c r="G145">
        <v>20.03</v>
      </c>
      <c r="H145">
        <v>153</v>
      </c>
      <c r="K145">
        <v>60.7</v>
      </c>
      <c r="L145">
        <v>800</v>
      </c>
      <c r="M145">
        <f t="shared" si="16"/>
        <v>640</v>
      </c>
    </row>
    <row r="146" spans="1:17" x14ac:dyDescent="0.25">
      <c r="A146" t="s">
        <v>193</v>
      </c>
      <c r="B146" t="s">
        <v>211</v>
      </c>
      <c r="C146" t="s">
        <v>260</v>
      </c>
      <c r="D146">
        <v>1</v>
      </c>
      <c r="E146">
        <v>12</v>
      </c>
      <c r="F146">
        <v>100</v>
      </c>
      <c r="G146">
        <v>20.03</v>
      </c>
      <c r="H146">
        <v>153</v>
      </c>
      <c r="K146">
        <v>60.7</v>
      </c>
      <c r="L146">
        <v>800</v>
      </c>
      <c r="M146">
        <f t="shared" si="16"/>
        <v>640</v>
      </c>
      <c r="Q146">
        <f>0.3*L146*E146^2.6/1000</f>
        <v>153.49084657387229</v>
      </c>
    </row>
    <row r="147" spans="1:17" x14ac:dyDescent="0.25">
      <c r="A147" t="s">
        <v>193</v>
      </c>
      <c r="B147" t="s">
        <v>312</v>
      </c>
      <c r="C147" t="s">
        <v>311</v>
      </c>
      <c r="D147">
        <v>3</v>
      </c>
      <c r="E147">
        <v>8</v>
      </c>
      <c r="F147">
        <v>1000</v>
      </c>
      <c r="G147">
        <v>8</v>
      </c>
      <c r="H147" s="53">
        <f t="shared" ref="H147:H168" si="17">0.3*L147*N147^2.6/1000</f>
        <v>15.400413287855466</v>
      </c>
      <c r="K147">
        <v>13.2</v>
      </c>
      <c r="L147">
        <v>400</v>
      </c>
      <c r="M147">
        <f>L147*0.8</f>
        <v>320</v>
      </c>
      <c r="N147">
        <v>6.47</v>
      </c>
      <c r="O147" s="54">
        <f>N147^2*PI()/4</f>
        <v>32.87747397816424</v>
      </c>
      <c r="P147" s="54">
        <f>L147*O147/1000</f>
        <v>13.150989591265695</v>
      </c>
    </row>
    <row r="148" spans="1:17" x14ac:dyDescent="0.25">
      <c r="A148" t="s">
        <v>193</v>
      </c>
      <c r="B148" t="s">
        <v>312</v>
      </c>
      <c r="C148" t="s">
        <v>311</v>
      </c>
      <c r="D148">
        <v>3</v>
      </c>
      <c r="E148">
        <v>10</v>
      </c>
      <c r="F148">
        <v>1000</v>
      </c>
      <c r="G148">
        <v>10</v>
      </c>
      <c r="H148" s="53">
        <f t="shared" si="17"/>
        <v>28.15630485769011</v>
      </c>
      <c r="K148">
        <v>20.9</v>
      </c>
      <c r="L148">
        <v>400</v>
      </c>
      <c r="M148">
        <f t="shared" ref="M148:M168" si="18">L148*0.8</f>
        <v>320</v>
      </c>
      <c r="N148">
        <v>8.16</v>
      </c>
      <c r="O148" s="54">
        <f t="shared" ref="O148:O168" si="19">N148^2*PI()/4</f>
        <v>52.296207948717132</v>
      </c>
      <c r="P148" s="54">
        <f t="shared" ref="P148:P168" si="20">L148*O148/1000</f>
        <v>20.918483179486852</v>
      </c>
    </row>
    <row r="149" spans="1:17" x14ac:dyDescent="0.25">
      <c r="A149" t="s">
        <v>193</v>
      </c>
      <c r="B149" t="s">
        <v>312</v>
      </c>
      <c r="C149" t="s">
        <v>311</v>
      </c>
      <c r="D149">
        <v>3</v>
      </c>
      <c r="E149">
        <v>12</v>
      </c>
      <c r="F149">
        <v>1000</v>
      </c>
      <c r="G149">
        <v>12</v>
      </c>
      <c r="H149" s="53">
        <f t="shared" si="17"/>
        <v>45.932009432796761</v>
      </c>
      <c r="K149">
        <v>30.3</v>
      </c>
      <c r="L149">
        <v>400</v>
      </c>
      <c r="M149">
        <f t="shared" si="18"/>
        <v>320</v>
      </c>
      <c r="N149">
        <v>9.85</v>
      </c>
      <c r="O149" s="54">
        <f t="shared" si="19"/>
        <v>76.201293308228927</v>
      </c>
      <c r="P149" s="54">
        <f t="shared" si="20"/>
        <v>30.480517323291568</v>
      </c>
    </row>
    <row r="150" spans="1:17" x14ac:dyDescent="0.25">
      <c r="A150" t="s">
        <v>193</v>
      </c>
      <c r="B150" t="s">
        <v>312</v>
      </c>
      <c r="C150" t="s">
        <v>311</v>
      </c>
      <c r="D150">
        <v>3</v>
      </c>
      <c r="E150">
        <v>14</v>
      </c>
      <c r="F150">
        <v>1000</v>
      </c>
      <c r="G150">
        <v>14</v>
      </c>
      <c r="H150" s="53">
        <f t="shared" si="17"/>
        <v>69.485534896035929</v>
      </c>
      <c r="K150">
        <v>41.4</v>
      </c>
      <c r="L150">
        <v>400</v>
      </c>
      <c r="M150">
        <f t="shared" si="18"/>
        <v>320</v>
      </c>
      <c r="N150">
        <v>11.55</v>
      </c>
      <c r="O150" s="54">
        <f t="shared" si="19"/>
        <v>104.77407849262809</v>
      </c>
      <c r="P150" s="54">
        <f t="shared" si="20"/>
        <v>41.909631397051236</v>
      </c>
    </row>
    <row r="151" spans="1:17" x14ac:dyDescent="0.25">
      <c r="A151" t="s">
        <v>193</v>
      </c>
      <c r="B151" t="s">
        <v>312</v>
      </c>
      <c r="C151" t="s">
        <v>311</v>
      </c>
      <c r="D151">
        <v>3</v>
      </c>
      <c r="E151">
        <v>16</v>
      </c>
      <c r="F151">
        <v>1000</v>
      </c>
      <c r="G151">
        <v>16</v>
      </c>
      <c r="H151" s="53">
        <f t="shared" si="17"/>
        <v>105.25031725389707</v>
      </c>
      <c r="K151">
        <v>56.5</v>
      </c>
      <c r="L151">
        <v>400</v>
      </c>
      <c r="M151">
        <f t="shared" si="18"/>
        <v>320</v>
      </c>
      <c r="N151">
        <v>13.55</v>
      </c>
      <c r="O151" s="54">
        <f t="shared" si="19"/>
        <v>144.20106629518003</v>
      </c>
      <c r="P151" s="54">
        <f t="shared" si="20"/>
        <v>57.680426518072011</v>
      </c>
    </row>
    <row r="152" spans="1:17" x14ac:dyDescent="0.25">
      <c r="A152" t="s">
        <v>193</v>
      </c>
      <c r="B152" t="s">
        <v>312</v>
      </c>
      <c r="C152" t="s">
        <v>311</v>
      </c>
      <c r="D152">
        <v>3</v>
      </c>
      <c r="E152">
        <v>18</v>
      </c>
      <c r="F152">
        <v>1000</v>
      </c>
      <c r="G152">
        <v>18</v>
      </c>
      <c r="H152" s="53">
        <f t="shared" si="17"/>
        <v>135.43681936545528</v>
      </c>
      <c r="K152">
        <v>69.099999999999994</v>
      </c>
      <c r="L152">
        <v>400</v>
      </c>
      <c r="M152">
        <f t="shared" si="18"/>
        <v>320</v>
      </c>
      <c r="N152">
        <v>14.93</v>
      </c>
      <c r="O152" s="54">
        <f t="shared" si="19"/>
        <v>175.06909907229186</v>
      </c>
      <c r="P152" s="54">
        <f t="shared" si="20"/>
        <v>70.027639628916745</v>
      </c>
    </row>
    <row r="153" spans="1:17" x14ac:dyDescent="0.25">
      <c r="A153" t="s">
        <v>193</v>
      </c>
      <c r="B153" t="s">
        <v>312</v>
      </c>
      <c r="C153" t="s">
        <v>311</v>
      </c>
      <c r="D153">
        <v>3</v>
      </c>
      <c r="E153">
        <v>20</v>
      </c>
      <c r="F153">
        <v>1000</v>
      </c>
      <c r="G153">
        <v>20</v>
      </c>
      <c r="H153" s="53">
        <f t="shared" si="17"/>
        <v>187.7972970145895</v>
      </c>
      <c r="K153">
        <v>88.2</v>
      </c>
      <c r="L153">
        <v>400</v>
      </c>
      <c r="M153">
        <f t="shared" si="18"/>
        <v>320</v>
      </c>
      <c r="N153">
        <v>16.93</v>
      </c>
      <c r="O153" s="54">
        <f t="shared" si="19"/>
        <v>225.11467004397724</v>
      </c>
      <c r="P153" s="54">
        <f t="shared" si="20"/>
        <v>90.045868017590891</v>
      </c>
    </row>
    <row r="154" spans="1:17" x14ac:dyDescent="0.25">
      <c r="A154" t="s">
        <v>193</v>
      </c>
      <c r="B154" t="s">
        <v>312</v>
      </c>
      <c r="C154" t="s">
        <v>311</v>
      </c>
      <c r="D154">
        <v>3</v>
      </c>
      <c r="E154">
        <v>22</v>
      </c>
      <c r="F154">
        <v>1000</v>
      </c>
      <c r="G154">
        <v>22</v>
      </c>
      <c r="H154" s="53">
        <f t="shared" si="17"/>
        <v>251.05729333297666</v>
      </c>
      <c r="K154">
        <v>109.1</v>
      </c>
      <c r="L154">
        <v>400</v>
      </c>
      <c r="M154">
        <f t="shared" si="18"/>
        <v>320</v>
      </c>
      <c r="N154">
        <v>18.93</v>
      </c>
      <c r="O154" s="54">
        <f t="shared" si="19"/>
        <v>281.44342632284224</v>
      </c>
      <c r="P154" s="54">
        <f t="shared" si="20"/>
        <v>112.5773705291369</v>
      </c>
    </row>
    <row r="155" spans="1:17" x14ac:dyDescent="0.25">
      <c r="A155" t="s">
        <v>193</v>
      </c>
      <c r="B155" t="s">
        <v>312</v>
      </c>
      <c r="C155" t="s">
        <v>311</v>
      </c>
      <c r="D155">
        <v>3</v>
      </c>
      <c r="E155">
        <v>24</v>
      </c>
      <c r="F155">
        <v>1000</v>
      </c>
      <c r="G155">
        <v>24</v>
      </c>
      <c r="H155" s="53">
        <f t="shared" si="17"/>
        <v>301.84422796001695</v>
      </c>
      <c r="K155">
        <v>127.1</v>
      </c>
      <c r="L155">
        <v>400</v>
      </c>
      <c r="M155">
        <f t="shared" si="18"/>
        <v>320</v>
      </c>
      <c r="N155">
        <v>20.32</v>
      </c>
      <c r="O155" s="54">
        <f t="shared" si="19"/>
        <v>324.29278662239852</v>
      </c>
      <c r="P155" s="54">
        <f t="shared" si="20"/>
        <v>129.71711464895941</v>
      </c>
    </row>
    <row r="156" spans="1:17" x14ac:dyDescent="0.25">
      <c r="A156" t="s">
        <v>193</v>
      </c>
      <c r="B156" t="s">
        <v>312</v>
      </c>
      <c r="C156" t="s">
        <v>311</v>
      </c>
      <c r="D156">
        <v>3</v>
      </c>
      <c r="E156">
        <v>27</v>
      </c>
      <c r="F156">
        <v>1000</v>
      </c>
      <c r="G156">
        <v>27</v>
      </c>
      <c r="H156" s="53">
        <f t="shared" si="17"/>
        <v>431.79286912937238</v>
      </c>
      <c r="K156">
        <v>165.2</v>
      </c>
      <c r="L156">
        <v>400</v>
      </c>
      <c r="M156">
        <f t="shared" si="18"/>
        <v>320</v>
      </c>
      <c r="N156">
        <v>23.32</v>
      </c>
      <c r="O156" s="54">
        <f t="shared" si="19"/>
        <v>427.1171141743925</v>
      </c>
      <c r="P156" s="54">
        <f t="shared" si="20"/>
        <v>170.84684566975699</v>
      </c>
    </row>
    <row r="157" spans="1:17" x14ac:dyDescent="0.25">
      <c r="A157" t="s">
        <v>193</v>
      </c>
      <c r="B157" t="s">
        <v>312</v>
      </c>
      <c r="C157" t="s">
        <v>311</v>
      </c>
      <c r="D157">
        <v>3</v>
      </c>
      <c r="E157">
        <v>30</v>
      </c>
      <c r="F157">
        <v>1000</v>
      </c>
      <c r="G157">
        <v>30</v>
      </c>
      <c r="H157" s="53">
        <f t="shared" si="17"/>
        <v>556.47626489443803</v>
      </c>
      <c r="K157">
        <v>202</v>
      </c>
      <c r="L157">
        <v>400</v>
      </c>
      <c r="M157">
        <f t="shared" si="18"/>
        <v>320</v>
      </c>
      <c r="N157">
        <v>25.71</v>
      </c>
      <c r="O157" s="54">
        <f t="shared" si="19"/>
        <v>519.15140613818323</v>
      </c>
      <c r="P157" s="54">
        <f t="shared" si="20"/>
        <v>207.66056245527329</v>
      </c>
    </row>
    <row r="158" spans="1:17" x14ac:dyDescent="0.25">
      <c r="A158" t="s">
        <v>193</v>
      </c>
      <c r="B158" t="s">
        <v>313</v>
      </c>
      <c r="C158" t="s">
        <v>311</v>
      </c>
      <c r="D158">
        <v>3</v>
      </c>
      <c r="E158">
        <v>8</v>
      </c>
      <c r="F158">
        <v>1000</v>
      </c>
      <c r="G158">
        <v>8</v>
      </c>
      <c r="H158" s="53">
        <f t="shared" si="17"/>
        <v>30.800826575710932</v>
      </c>
      <c r="K158">
        <v>26.4</v>
      </c>
      <c r="L158">
        <v>800</v>
      </c>
      <c r="M158">
        <f>L158*0.8</f>
        <v>640</v>
      </c>
      <c r="N158">
        <v>6.47</v>
      </c>
      <c r="O158" s="54">
        <f t="shared" si="19"/>
        <v>32.87747397816424</v>
      </c>
      <c r="P158" s="54">
        <f t="shared" si="20"/>
        <v>26.30197918253139</v>
      </c>
    </row>
    <row r="159" spans="1:17" x14ac:dyDescent="0.25">
      <c r="A159" t="s">
        <v>193</v>
      </c>
      <c r="B159" t="s">
        <v>313</v>
      </c>
      <c r="C159" t="s">
        <v>311</v>
      </c>
      <c r="D159">
        <v>3</v>
      </c>
      <c r="E159">
        <v>10</v>
      </c>
      <c r="F159">
        <v>1000</v>
      </c>
      <c r="G159">
        <v>10</v>
      </c>
      <c r="H159" s="53">
        <f t="shared" si="17"/>
        <v>56.312609715380219</v>
      </c>
      <c r="K159">
        <v>41.8</v>
      </c>
      <c r="L159">
        <v>800</v>
      </c>
      <c r="M159">
        <f t="shared" si="18"/>
        <v>640</v>
      </c>
      <c r="N159">
        <v>8.16</v>
      </c>
      <c r="O159" s="54">
        <f t="shared" si="19"/>
        <v>52.296207948717132</v>
      </c>
      <c r="P159" s="54">
        <f t="shared" si="20"/>
        <v>41.836966358973704</v>
      </c>
    </row>
    <row r="160" spans="1:17" x14ac:dyDescent="0.25">
      <c r="A160" t="s">
        <v>193</v>
      </c>
      <c r="B160" t="s">
        <v>313</v>
      </c>
      <c r="C160" t="s">
        <v>311</v>
      </c>
      <c r="D160">
        <v>3</v>
      </c>
      <c r="E160">
        <v>12</v>
      </c>
      <c r="F160">
        <v>1000</v>
      </c>
      <c r="G160">
        <v>12</v>
      </c>
      <c r="H160" s="53">
        <f t="shared" si="17"/>
        <v>91.864018865593522</v>
      </c>
      <c r="K160">
        <v>60.7</v>
      </c>
      <c r="L160">
        <v>800</v>
      </c>
      <c r="M160">
        <f t="shared" si="18"/>
        <v>640</v>
      </c>
      <c r="N160">
        <v>9.85</v>
      </c>
      <c r="O160" s="54">
        <f t="shared" si="19"/>
        <v>76.201293308228927</v>
      </c>
      <c r="P160" s="54">
        <f t="shared" si="20"/>
        <v>60.961034646583137</v>
      </c>
    </row>
    <row r="161" spans="1:16" x14ac:dyDescent="0.25">
      <c r="A161" t="s">
        <v>193</v>
      </c>
      <c r="B161" t="s">
        <v>313</v>
      </c>
      <c r="C161" t="s">
        <v>311</v>
      </c>
      <c r="D161">
        <v>3</v>
      </c>
      <c r="E161">
        <v>14</v>
      </c>
      <c r="F161">
        <v>1000</v>
      </c>
      <c r="G161">
        <v>14</v>
      </c>
      <c r="H161" s="53">
        <f t="shared" si="17"/>
        <v>138.97106979207186</v>
      </c>
      <c r="K161">
        <v>82.8</v>
      </c>
      <c r="L161">
        <v>800</v>
      </c>
      <c r="M161">
        <f t="shared" si="18"/>
        <v>640</v>
      </c>
      <c r="N161">
        <v>11.55</v>
      </c>
      <c r="O161" s="54">
        <f t="shared" si="19"/>
        <v>104.77407849262809</v>
      </c>
      <c r="P161" s="54">
        <f t="shared" si="20"/>
        <v>83.819262794102471</v>
      </c>
    </row>
    <row r="162" spans="1:16" x14ac:dyDescent="0.25">
      <c r="A162" t="s">
        <v>193</v>
      </c>
      <c r="B162" t="s">
        <v>313</v>
      </c>
      <c r="C162" t="s">
        <v>311</v>
      </c>
      <c r="D162">
        <v>3</v>
      </c>
      <c r="E162">
        <v>16</v>
      </c>
      <c r="F162">
        <v>1000</v>
      </c>
      <c r="G162">
        <v>16</v>
      </c>
      <c r="H162" s="53">
        <f t="shared" si="17"/>
        <v>210.50063450779413</v>
      </c>
      <c r="K162">
        <v>113</v>
      </c>
      <c r="L162">
        <v>800</v>
      </c>
      <c r="M162">
        <f t="shared" si="18"/>
        <v>640</v>
      </c>
      <c r="N162">
        <v>13.55</v>
      </c>
      <c r="O162" s="54">
        <f t="shared" si="19"/>
        <v>144.20106629518003</v>
      </c>
      <c r="P162" s="54">
        <f t="shared" si="20"/>
        <v>115.36085303614402</v>
      </c>
    </row>
    <row r="163" spans="1:16" x14ac:dyDescent="0.25">
      <c r="A163" t="s">
        <v>193</v>
      </c>
      <c r="B163" t="s">
        <v>313</v>
      </c>
      <c r="C163" t="s">
        <v>311</v>
      </c>
      <c r="D163">
        <v>3</v>
      </c>
      <c r="E163">
        <v>18</v>
      </c>
      <c r="F163">
        <v>1000</v>
      </c>
      <c r="G163">
        <v>18</v>
      </c>
      <c r="H163" s="53">
        <f t="shared" si="17"/>
        <v>270.87363873091056</v>
      </c>
      <c r="K163">
        <v>138.19999999999999</v>
      </c>
      <c r="L163">
        <v>800</v>
      </c>
      <c r="M163">
        <f t="shared" si="18"/>
        <v>640</v>
      </c>
      <c r="N163">
        <v>14.93</v>
      </c>
      <c r="O163" s="54">
        <f t="shared" si="19"/>
        <v>175.06909907229186</v>
      </c>
      <c r="P163" s="54">
        <f t="shared" si="20"/>
        <v>140.05527925783349</v>
      </c>
    </row>
    <row r="164" spans="1:16" x14ac:dyDescent="0.25">
      <c r="A164" t="s">
        <v>193</v>
      </c>
      <c r="B164" t="s">
        <v>313</v>
      </c>
      <c r="C164" t="s">
        <v>311</v>
      </c>
      <c r="D164">
        <v>3</v>
      </c>
      <c r="E164">
        <v>20</v>
      </c>
      <c r="F164">
        <v>1000</v>
      </c>
      <c r="G164">
        <v>20</v>
      </c>
      <c r="H164" s="53">
        <f t="shared" si="17"/>
        <v>375.59459402917901</v>
      </c>
      <c r="K164">
        <v>176.4</v>
      </c>
      <c r="L164">
        <v>800</v>
      </c>
      <c r="M164">
        <f t="shared" si="18"/>
        <v>640</v>
      </c>
      <c r="N164">
        <v>16.93</v>
      </c>
      <c r="O164" s="54">
        <f t="shared" si="19"/>
        <v>225.11467004397724</v>
      </c>
      <c r="P164" s="54">
        <f t="shared" si="20"/>
        <v>180.09173603518178</v>
      </c>
    </row>
    <row r="165" spans="1:16" x14ac:dyDescent="0.25">
      <c r="A165" t="s">
        <v>193</v>
      </c>
      <c r="B165" t="s">
        <v>313</v>
      </c>
      <c r="C165" t="s">
        <v>311</v>
      </c>
      <c r="D165">
        <v>3</v>
      </c>
      <c r="E165">
        <v>22</v>
      </c>
      <c r="F165">
        <v>1000</v>
      </c>
      <c r="G165">
        <v>22</v>
      </c>
      <c r="H165" s="53">
        <f t="shared" si="17"/>
        <v>502.11458666595331</v>
      </c>
      <c r="K165">
        <v>218.2</v>
      </c>
      <c r="L165">
        <v>800</v>
      </c>
      <c r="M165">
        <f t="shared" si="18"/>
        <v>640</v>
      </c>
      <c r="N165">
        <v>18.93</v>
      </c>
      <c r="O165" s="54">
        <f t="shared" si="19"/>
        <v>281.44342632284224</v>
      </c>
      <c r="P165" s="54">
        <f t="shared" si="20"/>
        <v>225.1547410582738</v>
      </c>
    </row>
    <row r="166" spans="1:16" x14ac:dyDescent="0.25">
      <c r="A166" t="s">
        <v>193</v>
      </c>
      <c r="B166" t="s">
        <v>313</v>
      </c>
      <c r="C166" t="s">
        <v>311</v>
      </c>
      <c r="D166">
        <v>3</v>
      </c>
      <c r="E166">
        <v>24</v>
      </c>
      <c r="F166">
        <v>1000</v>
      </c>
      <c r="G166">
        <v>24</v>
      </c>
      <c r="H166" s="53">
        <f t="shared" si="17"/>
        <v>603.6884559200339</v>
      </c>
      <c r="K166">
        <v>254.2</v>
      </c>
      <c r="L166">
        <v>800</v>
      </c>
      <c r="M166">
        <f t="shared" si="18"/>
        <v>640</v>
      </c>
      <c r="N166">
        <v>20.32</v>
      </c>
      <c r="O166" s="54">
        <f t="shared" si="19"/>
        <v>324.29278662239852</v>
      </c>
      <c r="P166" s="54">
        <f t="shared" si="20"/>
        <v>259.43422929791882</v>
      </c>
    </row>
    <row r="167" spans="1:16" x14ac:dyDescent="0.25">
      <c r="A167" t="s">
        <v>193</v>
      </c>
      <c r="B167" t="s">
        <v>313</v>
      </c>
      <c r="C167" t="s">
        <v>311</v>
      </c>
      <c r="D167">
        <v>3</v>
      </c>
      <c r="E167">
        <v>27</v>
      </c>
      <c r="F167">
        <v>1000</v>
      </c>
      <c r="G167">
        <v>27</v>
      </c>
      <c r="H167" s="53">
        <f t="shared" si="17"/>
        <v>863.58573825874475</v>
      </c>
      <c r="K167">
        <v>330.5</v>
      </c>
      <c r="L167">
        <v>800</v>
      </c>
      <c r="M167">
        <f t="shared" si="18"/>
        <v>640</v>
      </c>
      <c r="N167">
        <v>23.32</v>
      </c>
      <c r="O167" s="54">
        <f t="shared" si="19"/>
        <v>427.1171141743925</v>
      </c>
      <c r="P167" s="54">
        <f t="shared" si="20"/>
        <v>341.69369133951398</v>
      </c>
    </row>
    <row r="168" spans="1:16" x14ac:dyDescent="0.25">
      <c r="A168" t="s">
        <v>193</v>
      </c>
      <c r="B168" t="s">
        <v>313</v>
      </c>
      <c r="C168" t="s">
        <v>311</v>
      </c>
      <c r="D168">
        <v>3</v>
      </c>
      <c r="E168">
        <v>30</v>
      </c>
      <c r="F168">
        <v>1000</v>
      </c>
      <c r="G168">
        <v>30</v>
      </c>
      <c r="H168" s="53">
        <f t="shared" si="17"/>
        <v>1112.9525297888761</v>
      </c>
      <c r="K168">
        <v>403.9</v>
      </c>
      <c r="L168">
        <v>800</v>
      </c>
      <c r="M168">
        <f t="shared" si="18"/>
        <v>640</v>
      </c>
      <c r="N168">
        <v>25.71</v>
      </c>
      <c r="O168" s="54">
        <f t="shared" si="19"/>
        <v>519.15140613818323</v>
      </c>
      <c r="P168" s="54">
        <f t="shared" si="20"/>
        <v>415.32112491054659</v>
      </c>
    </row>
  </sheetData>
  <autoFilter ref="A1:Q168" xr:uid="{00000000-0001-0000-0700-00000000000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O30"/>
  <sheetViews>
    <sheetView workbookViewId="0">
      <selection activeCell="J33" sqref="J33"/>
    </sheetView>
  </sheetViews>
  <sheetFormatPr baseColWidth="10" defaultRowHeight="15" x14ac:dyDescent="0.25"/>
  <cols>
    <col min="1" max="1" width="12.85546875" bestFit="1" customWidth="1"/>
    <col min="2" max="2" width="21" customWidth="1"/>
    <col min="3" max="3" width="23.7109375" customWidth="1"/>
    <col min="8" max="8" width="13.28515625" bestFit="1" customWidth="1"/>
    <col min="10" max="10" width="16.140625" bestFit="1" customWidth="1"/>
  </cols>
  <sheetData>
    <row r="1" spans="1:15" x14ac:dyDescent="0.25">
      <c r="A1" s="1" t="s">
        <v>0</v>
      </c>
      <c r="B1" s="1" t="s">
        <v>1</v>
      </c>
      <c r="C1" s="1" t="s">
        <v>231</v>
      </c>
      <c r="D1" s="1" t="s">
        <v>303</v>
      </c>
      <c r="E1" s="1" t="s">
        <v>300</v>
      </c>
      <c r="F1" s="1" t="s">
        <v>301</v>
      </c>
      <c r="G1" s="1" t="s">
        <v>302</v>
      </c>
      <c r="H1" s="78" t="s">
        <v>308</v>
      </c>
      <c r="I1" s="78" t="s">
        <v>316</v>
      </c>
      <c r="J1" s="78" t="s">
        <v>317</v>
      </c>
      <c r="K1" s="78"/>
      <c r="L1" s="78"/>
      <c r="M1" s="78" t="s">
        <v>309</v>
      </c>
      <c r="N1" s="78" t="s">
        <v>310</v>
      </c>
      <c r="O1" s="78"/>
    </row>
    <row r="2" spans="1:15" x14ac:dyDescent="0.25">
      <c r="A2" t="s">
        <v>193</v>
      </c>
      <c r="B2" t="s">
        <v>318</v>
      </c>
      <c r="C2" t="s">
        <v>305</v>
      </c>
      <c r="D2">
        <v>8</v>
      </c>
      <c r="E2">
        <v>8.4</v>
      </c>
      <c r="F2">
        <v>24</v>
      </c>
      <c r="G2">
        <v>2</v>
      </c>
      <c r="H2" s="81">
        <f>7.5*I2/1000</f>
        <v>2.9772873578070471</v>
      </c>
      <c r="I2" s="82">
        <f>(F2^2-E2^2)*PI()/4</f>
        <v>396.97164770760628</v>
      </c>
      <c r="J2" s="80">
        <f>H2/I2*1000</f>
        <v>7.5</v>
      </c>
      <c r="K2" s="78"/>
      <c r="L2" s="78"/>
      <c r="M2" s="78">
        <f t="shared" ref="M2:M30" si="0">12*G2</f>
        <v>24</v>
      </c>
      <c r="N2" s="78">
        <f t="shared" ref="N2:N30" si="1">4*D2</f>
        <v>32</v>
      </c>
      <c r="O2" s="78">
        <f>MIN(M2,N2)</f>
        <v>24</v>
      </c>
    </row>
    <row r="3" spans="1:15" x14ac:dyDescent="0.25">
      <c r="A3" t="s">
        <v>193</v>
      </c>
      <c r="B3" t="s">
        <v>318</v>
      </c>
      <c r="C3" t="s">
        <v>305</v>
      </c>
      <c r="D3">
        <v>10</v>
      </c>
      <c r="E3">
        <v>10.5</v>
      </c>
      <c r="F3">
        <v>30</v>
      </c>
      <c r="G3">
        <v>2.5</v>
      </c>
      <c r="H3" s="78">
        <v>4.6500000000000004</v>
      </c>
      <c r="I3" s="82">
        <f t="shared" ref="I3:I30" si="2">(F3^2-E3^2)*PI()/4</f>
        <v>620.26819954313476</v>
      </c>
      <c r="J3" s="80">
        <f t="shared" ref="J3:J30" si="3">H3/I3*1000</f>
        <v>7.4967570535213772</v>
      </c>
      <c r="K3" s="78"/>
      <c r="L3" s="78"/>
      <c r="M3" s="78">
        <f t="shared" si="0"/>
        <v>30</v>
      </c>
      <c r="N3" s="78">
        <f t="shared" si="1"/>
        <v>40</v>
      </c>
      <c r="O3" s="78">
        <f t="shared" ref="O3:O30" si="4">MIN(M3,N3)</f>
        <v>30</v>
      </c>
    </row>
    <row r="4" spans="1:15" x14ac:dyDescent="0.25">
      <c r="A4" t="s">
        <v>193</v>
      </c>
      <c r="B4" t="s">
        <v>318</v>
      </c>
      <c r="C4" t="s">
        <v>305</v>
      </c>
      <c r="D4">
        <v>12</v>
      </c>
      <c r="E4">
        <v>13</v>
      </c>
      <c r="F4">
        <v>37</v>
      </c>
      <c r="G4">
        <v>3</v>
      </c>
      <c r="H4" s="78">
        <v>7.07</v>
      </c>
      <c r="I4" s="82">
        <f t="shared" si="2"/>
        <v>942.47779607693792</v>
      </c>
      <c r="J4" s="80">
        <f t="shared" si="3"/>
        <v>7.5015029843980008</v>
      </c>
      <c r="K4" s="78"/>
      <c r="L4" s="78"/>
      <c r="M4" s="78">
        <f t="shared" si="0"/>
        <v>36</v>
      </c>
      <c r="N4" s="78">
        <f t="shared" si="1"/>
        <v>48</v>
      </c>
      <c r="O4" s="78">
        <f t="shared" si="4"/>
        <v>36</v>
      </c>
    </row>
    <row r="5" spans="1:15" x14ac:dyDescent="0.25">
      <c r="A5" t="s">
        <v>193</v>
      </c>
      <c r="B5" t="s">
        <v>318</v>
      </c>
      <c r="C5" t="s">
        <v>305</v>
      </c>
      <c r="D5">
        <v>14</v>
      </c>
      <c r="E5">
        <v>15</v>
      </c>
      <c r="F5">
        <v>44</v>
      </c>
      <c r="G5">
        <v>3</v>
      </c>
      <c r="H5" s="81">
        <f>7.5*I5/1000</f>
        <v>10.078621931797754</v>
      </c>
      <c r="I5" s="82">
        <f t="shared" si="2"/>
        <v>1343.8162575730339</v>
      </c>
      <c r="J5" s="80">
        <f t="shared" si="3"/>
        <v>7.5</v>
      </c>
      <c r="K5" s="78"/>
      <c r="L5" s="78"/>
      <c r="M5" s="78">
        <f t="shared" si="0"/>
        <v>36</v>
      </c>
      <c r="N5" s="78">
        <f t="shared" si="1"/>
        <v>56</v>
      </c>
      <c r="O5" s="78">
        <f t="shared" si="4"/>
        <v>36</v>
      </c>
    </row>
    <row r="6" spans="1:15" x14ac:dyDescent="0.25">
      <c r="A6" t="s">
        <v>193</v>
      </c>
      <c r="B6" t="s">
        <v>318</v>
      </c>
      <c r="C6" t="s">
        <v>305</v>
      </c>
      <c r="D6">
        <v>16</v>
      </c>
      <c r="E6">
        <v>17</v>
      </c>
      <c r="F6">
        <v>50</v>
      </c>
      <c r="G6">
        <v>3</v>
      </c>
      <c r="H6" s="78">
        <v>13.02</v>
      </c>
      <c r="I6" s="82">
        <f t="shared" si="2"/>
        <v>1736.5153392717582</v>
      </c>
      <c r="J6" s="80">
        <f t="shared" si="3"/>
        <v>7.4977742525788411</v>
      </c>
      <c r="K6" s="78"/>
      <c r="L6" s="78"/>
      <c r="M6" s="78">
        <f t="shared" si="0"/>
        <v>36</v>
      </c>
      <c r="N6" s="78">
        <f t="shared" si="1"/>
        <v>64</v>
      </c>
      <c r="O6" s="78">
        <f t="shared" si="4"/>
        <v>36</v>
      </c>
    </row>
    <row r="7" spans="1:15" x14ac:dyDescent="0.25">
      <c r="A7" t="s">
        <v>193</v>
      </c>
      <c r="B7" t="s">
        <v>318</v>
      </c>
      <c r="C7" t="s">
        <v>305</v>
      </c>
      <c r="D7">
        <v>18</v>
      </c>
      <c r="E7">
        <v>20</v>
      </c>
      <c r="F7">
        <v>56</v>
      </c>
      <c r="G7">
        <v>4</v>
      </c>
      <c r="H7" s="81">
        <f>7.5*I7/1000</f>
        <v>16.116370312915638</v>
      </c>
      <c r="I7" s="82">
        <f t="shared" si="2"/>
        <v>2148.8493750554185</v>
      </c>
      <c r="J7" s="80">
        <f t="shared" si="3"/>
        <v>7.5</v>
      </c>
      <c r="K7" s="78"/>
      <c r="L7" s="78"/>
      <c r="M7" s="78">
        <f t="shared" si="0"/>
        <v>48</v>
      </c>
      <c r="N7" s="78">
        <f t="shared" si="1"/>
        <v>72</v>
      </c>
      <c r="O7" s="78">
        <f t="shared" si="4"/>
        <v>48</v>
      </c>
    </row>
    <row r="8" spans="1:15" x14ac:dyDescent="0.25">
      <c r="A8" t="s">
        <v>193</v>
      </c>
      <c r="B8" t="s">
        <v>318</v>
      </c>
      <c r="C8" t="s">
        <v>305</v>
      </c>
      <c r="D8">
        <v>20</v>
      </c>
      <c r="E8">
        <v>22</v>
      </c>
      <c r="F8">
        <v>60</v>
      </c>
      <c r="G8">
        <v>4</v>
      </c>
      <c r="H8" s="78">
        <v>18.350000000000001</v>
      </c>
      <c r="I8" s="82">
        <f t="shared" si="2"/>
        <v>2447.3006771464488</v>
      </c>
      <c r="J8" s="80">
        <f t="shared" si="3"/>
        <v>7.4980570108761997</v>
      </c>
      <c r="K8" s="78"/>
      <c r="L8" s="78"/>
      <c r="M8" s="78">
        <f t="shared" si="0"/>
        <v>48</v>
      </c>
      <c r="N8" s="78">
        <f t="shared" si="1"/>
        <v>80</v>
      </c>
      <c r="O8" s="78">
        <f t="shared" si="4"/>
        <v>48</v>
      </c>
    </row>
    <row r="9" spans="1:15" x14ac:dyDescent="0.25">
      <c r="A9" t="s">
        <v>193</v>
      </c>
      <c r="B9" t="s">
        <v>319</v>
      </c>
      <c r="C9" t="s">
        <v>306</v>
      </c>
      <c r="D9">
        <v>10</v>
      </c>
      <c r="E9">
        <v>11</v>
      </c>
      <c r="F9">
        <v>34</v>
      </c>
      <c r="G9">
        <v>3</v>
      </c>
      <c r="H9" s="78">
        <v>6.1</v>
      </c>
      <c r="I9" s="82">
        <f t="shared" si="2"/>
        <v>812.88709911635897</v>
      </c>
      <c r="J9" s="80">
        <f t="shared" si="3"/>
        <v>7.5041171235598965</v>
      </c>
      <c r="K9" s="78"/>
      <c r="L9" s="78"/>
      <c r="M9" s="78">
        <f t="shared" si="0"/>
        <v>36</v>
      </c>
      <c r="N9" s="78">
        <f t="shared" si="1"/>
        <v>40</v>
      </c>
      <c r="O9" s="78">
        <f t="shared" si="4"/>
        <v>36</v>
      </c>
    </row>
    <row r="10" spans="1:15" x14ac:dyDescent="0.25">
      <c r="A10" t="s">
        <v>193</v>
      </c>
      <c r="B10" t="s">
        <v>319</v>
      </c>
      <c r="C10" t="s">
        <v>306</v>
      </c>
      <c r="D10">
        <v>12</v>
      </c>
      <c r="E10">
        <v>13.5</v>
      </c>
      <c r="F10">
        <v>44</v>
      </c>
      <c r="G10">
        <v>4</v>
      </c>
      <c r="H10" s="78">
        <v>10.33</v>
      </c>
      <c r="I10" s="82">
        <f t="shared" si="2"/>
        <v>1377.3920290582748</v>
      </c>
      <c r="J10" s="80">
        <f t="shared" si="3"/>
        <v>7.4996803974992057</v>
      </c>
      <c r="K10" s="78"/>
      <c r="L10" s="78"/>
      <c r="M10" s="78">
        <f t="shared" si="0"/>
        <v>48</v>
      </c>
      <c r="N10" s="78">
        <f t="shared" si="1"/>
        <v>48</v>
      </c>
      <c r="O10" s="78">
        <f t="shared" si="4"/>
        <v>48</v>
      </c>
    </row>
    <row r="11" spans="1:15" x14ac:dyDescent="0.25">
      <c r="A11" t="s">
        <v>193</v>
      </c>
      <c r="B11" t="s">
        <v>319</v>
      </c>
      <c r="C11" t="s">
        <v>306</v>
      </c>
      <c r="D11">
        <v>16</v>
      </c>
      <c r="E11">
        <v>17.5</v>
      </c>
      <c r="F11">
        <v>56</v>
      </c>
      <c r="G11">
        <v>5</v>
      </c>
      <c r="H11" s="78">
        <v>16.670000000000002</v>
      </c>
      <c r="I11" s="82">
        <f t="shared" si="2"/>
        <v>2222.4804528739292</v>
      </c>
      <c r="J11" s="80">
        <f t="shared" si="3"/>
        <v>7.500628398528197</v>
      </c>
      <c r="K11" s="78"/>
      <c r="L11" s="78"/>
      <c r="M11" s="78">
        <f t="shared" si="0"/>
        <v>60</v>
      </c>
      <c r="N11" s="78">
        <f t="shared" si="1"/>
        <v>64</v>
      </c>
      <c r="O11" s="78">
        <f t="shared" si="4"/>
        <v>60</v>
      </c>
    </row>
    <row r="12" spans="1:15" x14ac:dyDescent="0.25">
      <c r="A12" t="s">
        <v>193</v>
      </c>
      <c r="B12" t="s">
        <v>319</v>
      </c>
      <c r="C12" t="s">
        <v>306</v>
      </c>
      <c r="D12">
        <v>20</v>
      </c>
      <c r="E12">
        <v>22</v>
      </c>
      <c r="F12">
        <v>72</v>
      </c>
      <c r="G12">
        <v>6</v>
      </c>
      <c r="H12" s="78">
        <v>27.69</v>
      </c>
      <c r="I12" s="82">
        <f t="shared" si="2"/>
        <v>3691.3713679680068</v>
      </c>
      <c r="J12" s="80">
        <f t="shared" si="3"/>
        <v>7.5012772327056725</v>
      </c>
      <c r="K12" s="78"/>
      <c r="L12" s="78"/>
      <c r="M12" s="78">
        <f t="shared" si="0"/>
        <v>72</v>
      </c>
      <c r="N12" s="78">
        <f t="shared" si="1"/>
        <v>80</v>
      </c>
      <c r="O12" s="78">
        <f t="shared" si="4"/>
        <v>72</v>
      </c>
    </row>
    <row r="13" spans="1:15" x14ac:dyDescent="0.25">
      <c r="A13" t="s">
        <v>193</v>
      </c>
      <c r="B13" t="s">
        <v>319</v>
      </c>
      <c r="C13" t="s">
        <v>306</v>
      </c>
      <c r="D13">
        <v>22</v>
      </c>
      <c r="E13">
        <v>24</v>
      </c>
      <c r="F13">
        <v>80</v>
      </c>
      <c r="G13">
        <v>6</v>
      </c>
      <c r="H13" s="78">
        <v>34.31</v>
      </c>
      <c r="I13" s="82">
        <f t="shared" si="2"/>
        <v>4574.1589036267387</v>
      </c>
      <c r="J13" s="80">
        <f t="shared" si="3"/>
        <v>7.50083255148754</v>
      </c>
      <c r="K13" s="78"/>
      <c r="L13" s="78"/>
      <c r="M13" s="78">
        <f t="shared" si="0"/>
        <v>72</v>
      </c>
      <c r="N13" s="78">
        <f t="shared" si="1"/>
        <v>88</v>
      </c>
      <c r="O13" s="78">
        <f t="shared" si="4"/>
        <v>72</v>
      </c>
    </row>
    <row r="14" spans="1:15" x14ac:dyDescent="0.25">
      <c r="A14" t="s">
        <v>193</v>
      </c>
      <c r="B14" t="s">
        <v>320</v>
      </c>
      <c r="C14" t="s">
        <v>304</v>
      </c>
      <c r="D14">
        <v>12</v>
      </c>
      <c r="E14">
        <v>14</v>
      </c>
      <c r="F14">
        <v>58</v>
      </c>
      <c r="G14">
        <v>6</v>
      </c>
      <c r="H14" s="78">
        <v>18.66</v>
      </c>
      <c r="I14" s="82">
        <f t="shared" si="2"/>
        <v>2488.1413816431163</v>
      </c>
      <c r="J14" s="80">
        <f t="shared" si="3"/>
        <v>7.4995738335726436</v>
      </c>
      <c r="K14" s="78"/>
      <c r="L14" s="78"/>
      <c r="M14" s="78">
        <f t="shared" si="0"/>
        <v>72</v>
      </c>
      <c r="N14" s="78">
        <f t="shared" si="1"/>
        <v>48</v>
      </c>
      <c r="O14" s="78">
        <f t="shared" si="4"/>
        <v>48</v>
      </c>
    </row>
    <row r="15" spans="1:15" x14ac:dyDescent="0.25">
      <c r="A15" t="s">
        <v>193</v>
      </c>
      <c r="B15" t="s">
        <v>320</v>
      </c>
      <c r="C15" t="s">
        <v>304</v>
      </c>
      <c r="D15">
        <v>16</v>
      </c>
      <c r="E15">
        <v>18</v>
      </c>
      <c r="F15">
        <v>68</v>
      </c>
      <c r="G15">
        <v>6</v>
      </c>
      <c r="H15" s="78">
        <v>25.33</v>
      </c>
      <c r="I15" s="82">
        <f t="shared" si="2"/>
        <v>3377.2121026090276</v>
      </c>
      <c r="J15" s="80">
        <f t="shared" si="3"/>
        <v>7.5002692251492249</v>
      </c>
      <c r="K15" s="78"/>
      <c r="L15" s="78"/>
      <c r="M15" s="78">
        <f t="shared" si="0"/>
        <v>72</v>
      </c>
      <c r="N15" s="78">
        <f t="shared" si="1"/>
        <v>64</v>
      </c>
      <c r="O15" s="78">
        <f t="shared" si="4"/>
        <v>64</v>
      </c>
    </row>
    <row r="16" spans="1:15" x14ac:dyDescent="0.25">
      <c r="A16" t="s">
        <v>193</v>
      </c>
      <c r="B16" t="s">
        <v>320</v>
      </c>
      <c r="C16" t="s">
        <v>304</v>
      </c>
      <c r="D16">
        <v>20</v>
      </c>
      <c r="E16">
        <v>22</v>
      </c>
      <c r="F16">
        <v>80</v>
      </c>
      <c r="G16">
        <v>8</v>
      </c>
      <c r="H16" s="78">
        <v>34.85</v>
      </c>
      <c r="I16" s="82">
        <f t="shared" si="2"/>
        <v>4646.4155346593043</v>
      </c>
      <c r="J16" s="80">
        <f t="shared" si="3"/>
        <v>7.5004053641008142</v>
      </c>
      <c r="K16" s="78"/>
      <c r="L16" s="78"/>
      <c r="M16" s="78">
        <f t="shared" si="0"/>
        <v>96</v>
      </c>
      <c r="N16" s="78">
        <f t="shared" si="1"/>
        <v>80</v>
      </c>
      <c r="O16" s="78">
        <f t="shared" si="4"/>
        <v>80</v>
      </c>
    </row>
    <row r="17" spans="1:15" x14ac:dyDescent="0.25">
      <c r="A17" t="s">
        <v>193</v>
      </c>
      <c r="B17" t="s">
        <v>320</v>
      </c>
      <c r="C17" t="s">
        <v>304</v>
      </c>
      <c r="D17">
        <v>22</v>
      </c>
      <c r="E17">
        <v>25</v>
      </c>
      <c r="F17">
        <v>92</v>
      </c>
      <c r="G17">
        <v>8</v>
      </c>
      <c r="H17" s="81">
        <f>7.5*I17/1000</f>
        <v>46.175521521544482</v>
      </c>
      <c r="I17" s="82">
        <f t="shared" si="2"/>
        <v>6156.7362028725975</v>
      </c>
      <c r="J17" s="80">
        <f t="shared" si="3"/>
        <v>7.5000000000000009</v>
      </c>
      <c r="K17" s="78"/>
      <c r="L17" s="78"/>
      <c r="M17" s="78">
        <f t="shared" si="0"/>
        <v>96</v>
      </c>
      <c r="N17" s="78">
        <f t="shared" si="1"/>
        <v>88</v>
      </c>
      <c r="O17" s="78">
        <f t="shared" si="4"/>
        <v>88</v>
      </c>
    </row>
    <row r="18" spans="1:15" x14ac:dyDescent="0.25">
      <c r="A18" t="s">
        <v>193</v>
      </c>
      <c r="B18" t="s">
        <v>320</v>
      </c>
      <c r="C18" t="s">
        <v>304</v>
      </c>
      <c r="D18">
        <v>24</v>
      </c>
      <c r="E18">
        <v>27</v>
      </c>
      <c r="F18">
        <v>105</v>
      </c>
      <c r="G18">
        <v>8</v>
      </c>
      <c r="H18" s="78">
        <v>60.65</v>
      </c>
      <c r="I18" s="82">
        <f t="shared" si="2"/>
        <v>8086.4594903401276</v>
      </c>
      <c r="J18" s="80">
        <f t="shared" si="3"/>
        <v>7.5001921511448737</v>
      </c>
      <c r="K18" s="78"/>
      <c r="L18" s="78"/>
      <c r="M18" s="78">
        <f t="shared" si="0"/>
        <v>96</v>
      </c>
      <c r="N18" s="78">
        <f t="shared" si="1"/>
        <v>96</v>
      </c>
      <c r="O18" s="78">
        <f t="shared" si="4"/>
        <v>96</v>
      </c>
    </row>
    <row r="19" spans="1:15" x14ac:dyDescent="0.25">
      <c r="A19" t="s">
        <v>193</v>
      </c>
      <c r="B19" t="s">
        <v>321</v>
      </c>
      <c r="C19" t="s">
        <v>307</v>
      </c>
      <c r="D19">
        <v>8</v>
      </c>
      <c r="E19">
        <v>8.4</v>
      </c>
      <c r="F19">
        <v>16</v>
      </c>
      <c r="G19">
        <v>1.6</v>
      </c>
      <c r="H19" s="81">
        <f>7.5*I19/1000</f>
        <v>1.092331765653171</v>
      </c>
      <c r="I19" s="82">
        <f t="shared" si="2"/>
        <v>145.6442354204228</v>
      </c>
      <c r="J19" s="80">
        <f t="shared" si="3"/>
        <v>7.5</v>
      </c>
      <c r="K19" s="78"/>
      <c r="L19" s="78"/>
      <c r="M19" s="78">
        <f t="shared" si="0"/>
        <v>19.200000000000003</v>
      </c>
      <c r="N19" s="78">
        <f t="shared" si="1"/>
        <v>32</v>
      </c>
      <c r="O19" s="78">
        <f t="shared" si="4"/>
        <v>19.200000000000003</v>
      </c>
    </row>
    <row r="20" spans="1:15" x14ac:dyDescent="0.25">
      <c r="A20" t="s">
        <v>193</v>
      </c>
      <c r="B20" t="s">
        <v>321</v>
      </c>
      <c r="C20" t="s">
        <v>307</v>
      </c>
      <c r="D20">
        <v>10</v>
      </c>
      <c r="E20">
        <v>10.5</v>
      </c>
      <c r="F20">
        <v>20</v>
      </c>
      <c r="G20">
        <v>2</v>
      </c>
      <c r="H20" s="78">
        <v>1.71</v>
      </c>
      <c r="I20" s="82">
        <f t="shared" si="2"/>
        <v>227.56911784441064</v>
      </c>
      <c r="J20" s="80">
        <f t="shared" si="3"/>
        <v>7.5142005918796491</v>
      </c>
      <c r="K20" s="78"/>
      <c r="L20" s="78"/>
      <c r="M20" s="78">
        <f t="shared" si="0"/>
        <v>24</v>
      </c>
      <c r="N20" s="78">
        <f t="shared" si="1"/>
        <v>40</v>
      </c>
      <c r="O20" s="78">
        <f t="shared" si="4"/>
        <v>24</v>
      </c>
    </row>
    <row r="21" spans="1:15" x14ac:dyDescent="0.25">
      <c r="A21" t="s">
        <v>193</v>
      </c>
      <c r="B21" t="s">
        <v>321</v>
      </c>
      <c r="C21" t="s">
        <v>307</v>
      </c>
      <c r="D21">
        <v>12</v>
      </c>
      <c r="E21">
        <v>13</v>
      </c>
      <c r="F21">
        <v>24</v>
      </c>
      <c r="G21">
        <v>2.5</v>
      </c>
      <c r="H21" s="78">
        <v>2.4</v>
      </c>
      <c r="I21" s="82">
        <f t="shared" si="2"/>
        <v>319.65705250276147</v>
      </c>
      <c r="J21" s="80">
        <f t="shared" si="3"/>
        <v>7.5080464554407627</v>
      </c>
      <c r="K21" s="78"/>
      <c r="L21" s="78"/>
      <c r="M21" s="78">
        <f t="shared" si="0"/>
        <v>30</v>
      </c>
      <c r="N21" s="78">
        <f t="shared" si="1"/>
        <v>48</v>
      </c>
      <c r="O21" s="78">
        <f t="shared" si="4"/>
        <v>30</v>
      </c>
    </row>
    <row r="22" spans="1:15" x14ac:dyDescent="0.25">
      <c r="A22" t="s">
        <v>193</v>
      </c>
      <c r="B22" t="s">
        <v>321</v>
      </c>
      <c r="C22" t="s">
        <v>307</v>
      </c>
      <c r="D22">
        <v>16</v>
      </c>
      <c r="E22">
        <v>17</v>
      </c>
      <c r="F22">
        <v>30</v>
      </c>
      <c r="G22">
        <v>3</v>
      </c>
      <c r="H22" s="78">
        <v>3.6</v>
      </c>
      <c r="I22" s="82">
        <f t="shared" si="2"/>
        <v>479.87827783584089</v>
      </c>
      <c r="J22" s="80">
        <f t="shared" si="3"/>
        <v>7.501902391238275</v>
      </c>
      <c r="K22" s="78"/>
      <c r="L22" s="78"/>
      <c r="M22" s="78">
        <f t="shared" si="0"/>
        <v>36</v>
      </c>
      <c r="N22" s="78">
        <f t="shared" si="1"/>
        <v>64</v>
      </c>
      <c r="O22" s="78">
        <f t="shared" si="4"/>
        <v>36</v>
      </c>
    </row>
    <row r="23" spans="1:15" x14ac:dyDescent="0.25">
      <c r="A23" t="s">
        <v>193</v>
      </c>
      <c r="B23" t="s">
        <v>321</v>
      </c>
      <c r="C23" t="s">
        <v>307</v>
      </c>
      <c r="D23">
        <v>20</v>
      </c>
      <c r="E23">
        <v>21</v>
      </c>
      <c r="F23">
        <v>37</v>
      </c>
      <c r="G23">
        <v>3</v>
      </c>
      <c r="H23" s="78">
        <v>5.47</v>
      </c>
      <c r="I23" s="82">
        <f t="shared" si="2"/>
        <v>728.84949563283203</v>
      </c>
      <c r="J23" s="80">
        <f t="shared" si="3"/>
        <v>7.5049787820057539</v>
      </c>
      <c r="K23" s="78"/>
      <c r="L23" s="78"/>
      <c r="M23" s="78">
        <f t="shared" si="0"/>
        <v>36</v>
      </c>
      <c r="N23" s="78">
        <f t="shared" si="1"/>
        <v>80</v>
      </c>
      <c r="O23" s="78">
        <f t="shared" si="4"/>
        <v>36</v>
      </c>
    </row>
    <row r="24" spans="1:15" x14ac:dyDescent="0.25">
      <c r="A24" t="s">
        <v>193</v>
      </c>
      <c r="B24" t="s">
        <v>321</v>
      </c>
      <c r="C24" t="s">
        <v>307</v>
      </c>
      <c r="D24">
        <v>24</v>
      </c>
      <c r="E24">
        <v>25</v>
      </c>
      <c r="F24">
        <v>44</v>
      </c>
      <c r="G24">
        <v>4</v>
      </c>
      <c r="H24" s="78">
        <v>7.72</v>
      </c>
      <c r="I24" s="82">
        <f t="shared" si="2"/>
        <v>1029.6569922140548</v>
      </c>
      <c r="J24" s="80">
        <f t="shared" si="3"/>
        <v>7.4976424754808964</v>
      </c>
      <c r="K24" s="78"/>
      <c r="L24" s="78"/>
      <c r="M24" s="78">
        <f t="shared" si="0"/>
        <v>48</v>
      </c>
      <c r="N24" s="78">
        <f t="shared" si="1"/>
        <v>96</v>
      </c>
      <c r="O24" s="78">
        <f t="shared" si="4"/>
        <v>48</v>
      </c>
    </row>
    <row r="25" spans="1:15" x14ac:dyDescent="0.25">
      <c r="A25" t="s">
        <v>193</v>
      </c>
      <c r="B25" t="s">
        <v>321</v>
      </c>
      <c r="C25" t="s">
        <v>307</v>
      </c>
      <c r="D25">
        <v>27</v>
      </c>
      <c r="E25">
        <v>28</v>
      </c>
      <c r="F25">
        <v>50</v>
      </c>
      <c r="G25">
        <v>4</v>
      </c>
      <c r="H25" s="81">
        <f t="shared" ref="H25:H30" si="5">7.5*I25/1000</f>
        <v>10.108074362925159</v>
      </c>
      <c r="I25" s="82">
        <f t="shared" si="2"/>
        <v>1347.7432483900213</v>
      </c>
      <c r="J25" s="80">
        <f t="shared" si="3"/>
        <v>7.4999999999999991</v>
      </c>
      <c r="K25" s="78"/>
      <c r="L25" s="78"/>
      <c r="M25" s="78">
        <f t="shared" si="0"/>
        <v>48</v>
      </c>
      <c r="N25" s="78">
        <f t="shared" si="1"/>
        <v>108</v>
      </c>
      <c r="O25" s="78">
        <f t="shared" si="4"/>
        <v>48</v>
      </c>
    </row>
    <row r="26" spans="1:15" x14ac:dyDescent="0.25">
      <c r="A26" t="s">
        <v>193</v>
      </c>
      <c r="B26" t="s">
        <v>321</v>
      </c>
      <c r="C26" t="s">
        <v>307</v>
      </c>
      <c r="D26">
        <v>30</v>
      </c>
      <c r="E26">
        <v>31</v>
      </c>
      <c r="F26">
        <v>56</v>
      </c>
      <c r="G26">
        <v>4</v>
      </c>
      <c r="H26" s="81">
        <f t="shared" si="5"/>
        <v>12.811807540420876</v>
      </c>
      <c r="I26" s="82">
        <f t="shared" si="2"/>
        <v>1708.24100538945</v>
      </c>
      <c r="J26" s="80">
        <f t="shared" si="3"/>
        <v>7.5000000000000009</v>
      </c>
      <c r="K26" s="78"/>
      <c r="L26" s="78"/>
      <c r="M26" s="78">
        <f t="shared" si="0"/>
        <v>48</v>
      </c>
      <c r="N26" s="78">
        <f t="shared" si="1"/>
        <v>120</v>
      </c>
      <c r="O26" s="78">
        <f t="shared" si="4"/>
        <v>48</v>
      </c>
    </row>
    <row r="27" spans="1:15" x14ac:dyDescent="0.25">
      <c r="A27" t="s">
        <v>193</v>
      </c>
      <c r="B27" t="s">
        <v>323</v>
      </c>
      <c r="C27" t="s">
        <v>196</v>
      </c>
      <c r="D27">
        <v>6</v>
      </c>
      <c r="E27">
        <v>7.5</v>
      </c>
      <c r="F27">
        <v>20</v>
      </c>
      <c r="G27">
        <v>4</v>
      </c>
      <c r="H27" s="81">
        <f t="shared" si="5"/>
        <v>2.0248546400090461</v>
      </c>
      <c r="I27" s="82">
        <f t="shared" si="2"/>
        <v>269.98061866787282</v>
      </c>
      <c r="J27" s="80">
        <f t="shared" si="3"/>
        <v>7.5</v>
      </c>
      <c r="K27" s="78"/>
      <c r="L27" s="78"/>
      <c r="M27" s="78">
        <f t="shared" si="0"/>
        <v>48</v>
      </c>
      <c r="N27" s="78">
        <f t="shared" si="1"/>
        <v>24</v>
      </c>
      <c r="O27" s="78">
        <f t="shared" si="4"/>
        <v>24</v>
      </c>
    </row>
    <row r="28" spans="1:15" x14ac:dyDescent="0.25">
      <c r="A28" t="s">
        <v>193</v>
      </c>
      <c r="B28" t="s">
        <v>323</v>
      </c>
      <c r="C28" t="s">
        <v>196</v>
      </c>
      <c r="D28">
        <v>8</v>
      </c>
      <c r="E28">
        <v>8.5</v>
      </c>
      <c r="F28">
        <v>25</v>
      </c>
      <c r="G28">
        <v>5</v>
      </c>
      <c r="H28" s="81">
        <f t="shared" si="5"/>
        <v>3.2559662611345468</v>
      </c>
      <c r="I28" s="82">
        <f t="shared" si="2"/>
        <v>434.12883481793955</v>
      </c>
      <c r="J28" s="80">
        <f t="shared" si="3"/>
        <v>7.5000000000000009</v>
      </c>
      <c r="K28" s="78"/>
      <c r="L28" s="78"/>
      <c r="M28" s="78">
        <f t="shared" si="0"/>
        <v>60</v>
      </c>
      <c r="N28" s="78">
        <f t="shared" si="1"/>
        <v>32</v>
      </c>
      <c r="O28" s="78">
        <f t="shared" si="4"/>
        <v>32</v>
      </c>
    </row>
    <row r="29" spans="1:15" x14ac:dyDescent="0.25">
      <c r="A29" t="s">
        <v>193</v>
      </c>
      <c r="B29" t="s">
        <v>323</v>
      </c>
      <c r="C29" t="s">
        <v>196</v>
      </c>
      <c r="D29">
        <v>10</v>
      </c>
      <c r="E29">
        <v>11</v>
      </c>
      <c r="F29">
        <v>32</v>
      </c>
      <c r="G29">
        <v>6</v>
      </c>
      <c r="H29" s="81">
        <f t="shared" si="5"/>
        <v>5.3191090616092191</v>
      </c>
      <c r="I29" s="82">
        <f t="shared" si="2"/>
        <v>709.21454154789581</v>
      </c>
      <c r="J29" s="80">
        <f t="shared" si="3"/>
        <v>7.5000000000000009</v>
      </c>
      <c r="K29" s="78"/>
      <c r="L29" s="78"/>
      <c r="M29" s="78">
        <f t="shared" si="0"/>
        <v>72</v>
      </c>
      <c r="N29" s="78">
        <f t="shared" si="1"/>
        <v>40</v>
      </c>
      <c r="O29" s="78">
        <f t="shared" si="4"/>
        <v>40</v>
      </c>
    </row>
    <row r="30" spans="1:15" x14ac:dyDescent="0.25">
      <c r="A30" t="s">
        <v>193</v>
      </c>
      <c r="B30" t="s">
        <v>323</v>
      </c>
      <c r="C30" t="s">
        <v>196</v>
      </c>
      <c r="D30">
        <v>12</v>
      </c>
      <c r="E30">
        <v>14</v>
      </c>
      <c r="F30">
        <v>37</v>
      </c>
      <c r="G30">
        <v>7.5</v>
      </c>
      <c r="H30" s="81">
        <f t="shared" si="5"/>
        <v>6.909540342489052</v>
      </c>
      <c r="I30" s="82">
        <f t="shared" si="2"/>
        <v>921.27204566520686</v>
      </c>
      <c r="J30" s="80">
        <f t="shared" si="3"/>
        <v>7.5000000000000009</v>
      </c>
      <c r="K30" s="78"/>
      <c r="L30" s="78"/>
      <c r="M30" s="78">
        <f t="shared" si="0"/>
        <v>90</v>
      </c>
      <c r="N30" s="78">
        <f t="shared" si="1"/>
        <v>48</v>
      </c>
      <c r="O30" s="78">
        <f t="shared" si="4"/>
        <v>48</v>
      </c>
    </row>
  </sheetData>
  <autoFilter ref="A1:O30" xr:uid="{00000000-0001-0000-0800-000000000000}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L5"/>
  <sheetViews>
    <sheetView workbookViewId="0">
      <selection activeCell="J36" sqref="J36"/>
    </sheetView>
  </sheetViews>
  <sheetFormatPr baseColWidth="10" defaultRowHeight="15" x14ac:dyDescent="0.25"/>
  <cols>
    <col min="1" max="1" width="12.85546875" bestFit="1" customWidth="1"/>
    <col min="2" max="2" width="12.140625" bestFit="1" customWidth="1"/>
    <col min="3" max="3" width="23" bestFit="1" customWidth="1"/>
    <col min="4" max="4" width="19.140625" bestFit="1" customWidth="1"/>
    <col min="5" max="5" width="6.5703125" bestFit="1" customWidth="1"/>
    <col min="6" max="6" width="11.140625" customWidth="1"/>
  </cols>
  <sheetData>
    <row r="1" spans="1:12" x14ac:dyDescent="0.25">
      <c r="A1" s="1" t="s">
        <v>0</v>
      </c>
      <c r="B1" s="1" t="s">
        <v>1</v>
      </c>
      <c r="C1" s="1" t="s">
        <v>231</v>
      </c>
      <c r="D1" s="1" t="s">
        <v>232</v>
      </c>
      <c r="E1" s="1" t="s">
        <v>339</v>
      </c>
      <c r="F1" s="1" t="s">
        <v>343</v>
      </c>
      <c r="G1" s="1" t="s">
        <v>333</v>
      </c>
      <c r="H1" s="1" t="s">
        <v>334</v>
      </c>
      <c r="I1" s="1" t="s">
        <v>335</v>
      </c>
      <c r="J1" s="1" t="s">
        <v>336</v>
      </c>
      <c r="K1" s="1" t="s">
        <v>337</v>
      </c>
      <c r="L1" s="1" t="s">
        <v>338</v>
      </c>
    </row>
    <row r="2" spans="1:12" x14ac:dyDescent="0.25">
      <c r="A2" t="s">
        <v>193</v>
      </c>
      <c r="B2" t="s">
        <v>340</v>
      </c>
      <c r="C2" t="s">
        <v>331</v>
      </c>
      <c r="D2">
        <v>2</v>
      </c>
      <c r="E2">
        <v>50</v>
      </c>
      <c r="F2" t="s">
        <v>347</v>
      </c>
      <c r="G2">
        <v>0.93</v>
      </c>
      <c r="H2">
        <v>0.2</v>
      </c>
      <c r="I2">
        <v>1.03</v>
      </c>
      <c r="J2">
        <v>3.13</v>
      </c>
      <c r="K2">
        <v>0.65</v>
      </c>
      <c r="L2">
        <v>4.1900000000000004</v>
      </c>
    </row>
    <row r="3" spans="1:12" x14ac:dyDescent="0.25">
      <c r="A3" t="s">
        <v>193</v>
      </c>
      <c r="B3" t="s">
        <v>341</v>
      </c>
      <c r="C3" t="s">
        <v>332</v>
      </c>
      <c r="D3">
        <v>2</v>
      </c>
      <c r="E3">
        <v>50</v>
      </c>
      <c r="F3" t="s">
        <v>347</v>
      </c>
      <c r="G3">
        <v>1.1499999999999999</v>
      </c>
      <c r="H3">
        <v>0.51</v>
      </c>
      <c r="I3">
        <v>1.03</v>
      </c>
      <c r="J3">
        <v>6.47</v>
      </c>
      <c r="K3">
        <v>0.9</v>
      </c>
      <c r="L3">
        <v>5</v>
      </c>
    </row>
    <row r="4" spans="1:12" x14ac:dyDescent="0.25">
      <c r="A4" t="s">
        <v>193</v>
      </c>
      <c r="B4" t="s">
        <v>340</v>
      </c>
      <c r="C4" t="s">
        <v>331</v>
      </c>
      <c r="D4">
        <v>2</v>
      </c>
      <c r="E4">
        <v>50</v>
      </c>
      <c r="F4" t="s">
        <v>348</v>
      </c>
      <c r="G4">
        <v>2.02</v>
      </c>
      <c r="H4">
        <v>2.11</v>
      </c>
      <c r="I4">
        <v>1.92</v>
      </c>
      <c r="J4">
        <v>3.13</v>
      </c>
      <c r="K4">
        <v>0.65</v>
      </c>
      <c r="L4">
        <v>4.1900000000000004</v>
      </c>
    </row>
    <row r="5" spans="1:12" x14ac:dyDescent="0.25">
      <c r="A5" t="s">
        <v>193</v>
      </c>
      <c r="B5" t="s">
        <v>341</v>
      </c>
      <c r="C5" t="s">
        <v>332</v>
      </c>
      <c r="D5">
        <v>2</v>
      </c>
      <c r="E5">
        <v>50</v>
      </c>
      <c r="F5" t="s">
        <v>348</v>
      </c>
      <c r="G5">
        <v>2.2400000000000002</v>
      </c>
      <c r="H5">
        <v>2.42</v>
      </c>
      <c r="I5">
        <v>1.92</v>
      </c>
      <c r="J5">
        <v>6.47</v>
      </c>
      <c r="K5">
        <v>0.9</v>
      </c>
      <c r="L5">
        <v>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8FA04-6AE4-4042-ADE1-C9D715D59BCC}">
  <sheetPr>
    <tabColor theme="6" tint="-0.249977111117893"/>
  </sheetPr>
  <dimension ref="A1:N9"/>
  <sheetViews>
    <sheetView topLeftCell="A2" workbookViewId="0">
      <pane ySplit="900" activePane="bottomLeft"/>
      <selection activeCell="E2" sqref="E1:E1048576"/>
      <selection pane="bottomLeft" activeCell="H24" sqref="H24"/>
    </sheetView>
  </sheetViews>
  <sheetFormatPr baseColWidth="10" defaultRowHeight="15" x14ac:dyDescent="0.25"/>
  <cols>
    <col min="2" max="2" width="7.5703125" bestFit="1" customWidth="1"/>
    <col min="3" max="3" width="11.5703125" bestFit="1" customWidth="1"/>
    <col min="4" max="4" width="21.42578125" bestFit="1" customWidth="1"/>
  </cols>
  <sheetData>
    <row r="1" spans="1:14" x14ac:dyDescent="0.25">
      <c r="A1" s="58" t="s">
        <v>424</v>
      </c>
      <c r="B1" s="58" t="s">
        <v>1</v>
      </c>
      <c r="C1" s="58" t="s">
        <v>433</v>
      </c>
      <c r="D1" s="58" t="s">
        <v>232</v>
      </c>
      <c r="E1" s="58" t="s">
        <v>425</v>
      </c>
      <c r="F1" s="58" t="s">
        <v>427</v>
      </c>
      <c r="G1" s="58" t="s">
        <v>428</v>
      </c>
      <c r="H1" s="58" t="s">
        <v>464</v>
      </c>
      <c r="I1" s="58" t="s">
        <v>431</v>
      </c>
      <c r="J1" s="58" t="s">
        <v>432</v>
      </c>
      <c r="K1" s="58" t="s">
        <v>438</v>
      </c>
      <c r="L1" s="58" t="s">
        <v>439</v>
      </c>
      <c r="M1" s="58" t="s">
        <v>440</v>
      </c>
      <c r="N1" s="58" t="s">
        <v>441</v>
      </c>
    </row>
    <row r="2" spans="1:14" x14ac:dyDescent="0.25">
      <c r="A2" s="58"/>
      <c r="B2" s="58"/>
      <c r="C2" s="58"/>
      <c r="D2" s="58"/>
      <c r="E2" s="58" t="s">
        <v>447</v>
      </c>
      <c r="F2" s="58" t="s">
        <v>450</v>
      </c>
      <c r="G2" s="58" t="s">
        <v>451</v>
      </c>
      <c r="H2" s="58" t="s">
        <v>465</v>
      </c>
      <c r="I2" s="58"/>
      <c r="J2" s="58"/>
      <c r="K2" s="58"/>
      <c r="L2" s="58"/>
      <c r="M2" s="58"/>
      <c r="N2" s="58"/>
    </row>
    <row r="3" spans="1:14" x14ac:dyDescent="0.25">
      <c r="A3" t="s">
        <v>420</v>
      </c>
      <c r="B3" t="s">
        <v>462</v>
      </c>
      <c r="C3" t="s">
        <v>463</v>
      </c>
      <c r="D3">
        <v>2</v>
      </c>
      <c r="E3">
        <v>65</v>
      </c>
      <c r="F3">
        <v>30</v>
      </c>
      <c r="G3">
        <v>5</v>
      </c>
      <c r="H3">
        <v>50</v>
      </c>
      <c r="I3">
        <v>130</v>
      </c>
      <c r="J3">
        <v>78</v>
      </c>
      <c r="K3">
        <v>130</v>
      </c>
      <c r="L3">
        <v>130</v>
      </c>
      <c r="M3">
        <v>52</v>
      </c>
      <c r="N3">
        <v>39</v>
      </c>
    </row>
    <row r="4" spans="1:14" x14ac:dyDescent="0.25">
      <c r="A4" t="s">
        <v>420</v>
      </c>
      <c r="B4" t="s">
        <v>462</v>
      </c>
      <c r="C4" t="s">
        <v>463</v>
      </c>
      <c r="D4">
        <v>2</v>
      </c>
      <c r="E4">
        <v>80</v>
      </c>
      <c r="F4">
        <v>30</v>
      </c>
      <c r="G4">
        <v>6</v>
      </c>
      <c r="H4">
        <v>50</v>
      </c>
      <c r="I4">
        <v>160</v>
      </c>
      <c r="J4">
        <v>96</v>
      </c>
      <c r="K4">
        <v>160</v>
      </c>
      <c r="L4">
        <v>160</v>
      </c>
      <c r="M4">
        <v>64</v>
      </c>
      <c r="N4">
        <v>48</v>
      </c>
    </row>
    <row r="5" spans="1:14" x14ac:dyDescent="0.25">
      <c r="A5" t="s">
        <v>420</v>
      </c>
      <c r="B5" t="s">
        <v>462</v>
      </c>
      <c r="C5" t="s">
        <v>463</v>
      </c>
      <c r="D5">
        <v>2</v>
      </c>
      <c r="E5">
        <v>95</v>
      </c>
      <c r="F5">
        <v>30</v>
      </c>
      <c r="G5">
        <v>6</v>
      </c>
      <c r="H5">
        <v>60</v>
      </c>
      <c r="I5">
        <v>190</v>
      </c>
      <c r="J5">
        <v>114</v>
      </c>
      <c r="K5">
        <v>190</v>
      </c>
      <c r="L5">
        <v>190</v>
      </c>
      <c r="M5">
        <v>76</v>
      </c>
      <c r="N5">
        <v>57</v>
      </c>
    </row>
    <row r="6" spans="1:14" x14ac:dyDescent="0.25">
      <c r="A6" t="s">
        <v>420</v>
      </c>
      <c r="B6" t="s">
        <v>462</v>
      </c>
      <c r="C6" t="s">
        <v>463</v>
      </c>
      <c r="D6">
        <v>2</v>
      </c>
      <c r="E6">
        <v>126</v>
      </c>
      <c r="F6">
        <v>30</v>
      </c>
      <c r="G6">
        <v>6</v>
      </c>
      <c r="H6">
        <v>60</v>
      </c>
      <c r="I6">
        <v>252</v>
      </c>
      <c r="J6">
        <v>152</v>
      </c>
      <c r="K6">
        <v>252</v>
      </c>
      <c r="L6">
        <v>252</v>
      </c>
      <c r="M6">
        <v>100.8</v>
      </c>
      <c r="N6">
        <v>75.599999999999994</v>
      </c>
    </row>
    <row r="7" spans="1:14" x14ac:dyDescent="0.25">
      <c r="A7" t="s">
        <v>420</v>
      </c>
      <c r="B7" t="s">
        <v>462</v>
      </c>
      <c r="C7" t="s">
        <v>463</v>
      </c>
      <c r="D7">
        <v>2</v>
      </c>
      <c r="E7">
        <v>128</v>
      </c>
      <c r="F7">
        <v>45</v>
      </c>
      <c r="G7">
        <v>8</v>
      </c>
      <c r="H7">
        <v>60</v>
      </c>
      <c r="I7">
        <v>256</v>
      </c>
      <c r="J7">
        <v>154</v>
      </c>
      <c r="K7">
        <v>256</v>
      </c>
      <c r="L7">
        <v>256</v>
      </c>
      <c r="M7">
        <v>103</v>
      </c>
      <c r="N7">
        <v>76.8</v>
      </c>
    </row>
    <row r="8" spans="1:14" x14ac:dyDescent="0.25">
      <c r="A8" t="s">
        <v>420</v>
      </c>
      <c r="B8" t="s">
        <v>462</v>
      </c>
      <c r="C8" t="s">
        <v>463</v>
      </c>
      <c r="D8">
        <v>2</v>
      </c>
      <c r="E8">
        <v>160</v>
      </c>
      <c r="F8">
        <v>45</v>
      </c>
      <c r="G8">
        <v>10</v>
      </c>
      <c r="H8">
        <v>60</v>
      </c>
      <c r="I8">
        <v>320</v>
      </c>
      <c r="J8">
        <v>192</v>
      </c>
      <c r="K8">
        <v>320</v>
      </c>
      <c r="L8">
        <v>320</v>
      </c>
      <c r="M8">
        <v>128</v>
      </c>
      <c r="N8">
        <v>96</v>
      </c>
    </row>
    <row r="9" spans="1:14" x14ac:dyDescent="0.25">
      <c r="A9" t="s">
        <v>420</v>
      </c>
      <c r="B9" t="s">
        <v>462</v>
      </c>
      <c r="C9" t="s">
        <v>463</v>
      </c>
      <c r="D9">
        <v>2</v>
      </c>
      <c r="E9">
        <v>190</v>
      </c>
      <c r="F9">
        <v>45</v>
      </c>
      <c r="G9">
        <v>10</v>
      </c>
      <c r="H9">
        <v>60</v>
      </c>
      <c r="I9">
        <v>380</v>
      </c>
      <c r="J9">
        <v>228</v>
      </c>
      <c r="K9">
        <v>380</v>
      </c>
      <c r="L9">
        <v>380</v>
      </c>
      <c r="M9">
        <v>152</v>
      </c>
      <c r="N9">
        <v>114</v>
      </c>
    </row>
  </sheetData>
  <autoFilter ref="A1:N3" xr:uid="{F6D090AC-BF65-4F8D-9773-C6E3049F0C7F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N1048575"/>
  <sheetViews>
    <sheetView zoomScale="115" zoomScaleNormal="115" workbookViewId="0">
      <pane ySplit="1" topLeftCell="A2" activePane="bottomLeft" state="frozen"/>
      <selection activeCell="L15" sqref="L15"/>
      <selection pane="bottomLeft" activeCell="B33" sqref="B33"/>
    </sheetView>
  </sheetViews>
  <sheetFormatPr baseColWidth="10" defaultColWidth="11.42578125" defaultRowHeight="15" x14ac:dyDescent="0.25"/>
  <cols>
    <col min="2" max="2" width="14.140625" bestFit="1" customWidth="1"/>
    <col min="3" max="3" width="15.140625" bestFit="1" customWidth="1"/>
    <col min="4" max="4" width="14.140625" customWidth="1"/>
    <col min="11" max="11" width="15.85546875" bestFit="1" customWidth="1"/>
    <col min="12" max="12" width="17" bestFit="1" customWidth="1"/>
    <col min="14" max="14" width="74.85546875" bestFit="1" customWidth="1"/>
  </cols>
  <sheetData>
    <row r="1" spans="1:14" x14ac:dyDescent="0.25">
      <c r="A1" t="s">
        <v>0</v>
      </c>
      <c r="B1" t="s">
        <v>1</v>
      </c>
      <c r="C1" t="s">
        <v>231</v>
      </c>
      <c r="D1" t="s">
        <v>232</v>
      </c>
      <c r="E1" t="s">
        <v>18</v>
      </c>
      <c r="F1" t="s">
        <v>20</v>
      </c>
      <c r="G1" t="s">
        <v>22</v>
      </c>
      <c r="H1" t="s">
        <v>168</v>
      </c>
      <c r="I1" t="s">
        <v>169</v>
      </c>
      <c r="J1" t="s">
        <v>216</v>
      </c>
      <c r="K1" t="s">
        <v>170</v>
      </c>
      <c r="L1" t="s">
        <v>171</v>
      </c>
      <c r="M1" t="s">
        <v>172</v>
      </c>
      <c r="N1" t="s">
        <v>173</v>
      </c>
    </row>
    <row r="2" spans="1:14" x14ac:dyDescent="0.25">
      <c r="A2" t="s">
        <v>174</v>
      </c>
      <c r="B2" t="s">
        <v>254</v>
      </c>
      <c r="C2" t="s">
        <v>253</v>
      </c>
      <c r="D2">
        <v>3</v>
      </c>
      <c r="E2">
        <v>2</v>
      </c>
      <c r="F2">
        <v>50</v>
      </c>
      <c r="G2">
        <v>5</v>
      </c>
      <c r="J2">
        <v>1.2889999999999999</v>
      </c>
      <c r="K2">
        <v>2.5</v>
      </c>
      <c r="L2">
        <v>8.6</v>
      </c>
      <c r="N2" s="49" t="s">
        <v>176</v>
      </c>
    </row>
    <row r="3" spans="1:14" x14ac:dyDescent="0.25">
      <c r="A3" s="72" t="s">
        <v>174</v>
      </c>
      <c r="B3" s="72" t="s">
        <v>177</v>
      </c>
      <c r="C3" s="72" t="s">
        <v>253</v>
      </c>
      <c r="D3" s="72">
        <v>3</v>
      </c>
      <c r="E3" s="72">
        <v>2</v>
      </c>
      <c r="F3" s="72">
        <v>50</v>
      </c>
      <c r="G3" s="72">
        <v>5</v>
      </c>
      <c r="H3" s="72">
        <v>19.63</v>
      </c>
      <c r="I3" s="72">
        <v>0.7</v>
      </c>
      <c r="J3" s="73"/>
      <c r="K3" s="73"/>
      <c r="L3" s="73"/>
      <c r="M3" s="73"/>
      <c r="N3" s="72" t="s">
        <v>178</v>
      </c>
    </row>
    <row r="4" spans="1:14" x14ac:dyDescent="0.25">
      <c r="A4" t="s">
        <v>174</v>
      </c>
      <c r="B4" t="s">
        <v>177</v>
      </c>
      <c r="C4" t="s">
        <v>253</v>
      </c>
      <c r="D4">
        <v>3</v>
      </c>
      <c r="E4">
        <v>2.2999999999999998</v>
      </c>
      <c r="F4">
        <v>60</v>
      </c>
      <c r="G4">
        <v>5.4</v>
      </c>
      <c r="H4">
        <v>22.9</v>
      </c>
      <c r="I4">
        <v>0.8</v>
      </c>
      <c r="J4">
        <v>2.5659999999999998</v>
      </c>
      <c r="K4">
        <v>2.5</v>
      </c>
      <c r="L4">
        <v>8.6</v>
      </c>
      <c r="M4" s="48"/>
    </row>
    <row r="5" spans="1:14" x14ac:dyDescent="0.25">
      <c r="A5" t="s">
        <v>174</v>
      </c>
      <c r="B5" t="s">
        <v>177</v>
      </c>
      <c r="C5" t="s">
        <v>253</v>
      </c>
      <c r="D5">
        <v>3</v>
      </c>
      <c r="E5">
        <v>2.8</v>
      </c>
      <c r="F5">
        <v>75</v>
      </c>
      <c r="G5">
        <v>6.4</v>
      </c>
      <c r="H5">
        <v>32.200000000000003</v>
      </c>
      <c r="I5">
        <v>1</v>
      </c>
      <c r="J5">
        <v>4.1440000000000001</v>
      </c>
      <c r="K5">
        <v>2.5</v>
      </c>
      <c r="L5">
        <v>8.6</v>
      </c>
      <c r="M5" s="48"/>
    </row>
    <row r="6" spans="1:14" x14ac:dyDescent="0.25">
      <c r="A6" s="72" t="s">
        <v>174</v>
      </c>
      <c r="B6" s="72" t="s">
        <v>179</v>
      </c>
      <c r="C6" s="72" t="s">
        <v>255</v>
      </c>
      <c r="D6" s="72">
        <v>3</v>
      </c>
      <c r="E6" s="72">
        <v>1.4</v>
      </c>
      <c r="F6" s="72">
        <v>25</v>
      </c>
      <c r="G6" s="72">
        <v>4</v>
      </c>
      <c r="H6" s="72"/>
      <c r="I6" s="72"/>
      <c r="J6" s="72"/>
      <c r="K6" s="72"/>
      <c r="L6" s="72"/>
      <c r="M6" s="72"/>
      <c r="N6" s="72" t="s">
        <v>180</v>
      </c>
    </row>
    <row r="7" spans="1:14" x14ac:dyDescent="0.25">
      <c r="A7" s="72" t="s">
        <v>174</v>
      </c>
      <c r="B7" s="72" t="s">
        <v>179</v>
      </c>
      <c r="C7" s="72" t="s">
        <v>255</v>
      </c>
      <c r="D7" s="72">
        <v>3</v>
      </c>
      <c r="E7" s="72">
        <v>1.7</v>
      </c>
      <c r="F7" s="72">
        <v>30</v>
      </c>
      <c r="G7" s="72">
        <v>4.2</v>
      </c>
      <c r="H7" s="72"/>
      <c r="I7" s="72"/>
      <c r="J7" s="72"/>
      <c r="K7" s="72"/>
      <c r="L7" s="72"/>
      <c r="M7" s="72"/>
      <c r="N7" s="72"/>
    </row>
    <row r="8" spans="1:14" x14ac:dyDescent="0.25">
      <c r="A8" s="72" t="s">
        <v>174</v>
      </c>
      <c r="B8" s="72" t="s">
        <v>179</v>
      </c>
      <c r="C8" s="72" t="s">
        <v>255</v>
      </c>
      <c r="D8" s="72">
        <v>3</v>
      </c>
      <c r="E8" s="72">
        <v>1.7</v>
      </c>
      <c r="F8" s="72">
        <v>35</v>
      </c>
      <c r="G8" s="72">
        <v>4.2</v>
      </c>
      <c r="H8" s="72"/>
      <c r="I8" s="72"/>
      <c r="J8" s="72"/>
      <c r="K8" s="72"/>
      <c r="L8" s="72"/>
      <c r="M8" s="72"/>
      <c r="N8" s="72"/>
    </row>
    <row r="9" spans="1:14" x14ac:dyDescent="0.25">
      <c r="A9" s="72" t="s">
        <v>174</v>
      </c>
      <c r="B9" s="72" t="s">
        <v>179</v>
      </c>
      <c r="C9" s="72" t="s">
        <v>255</v>
      </c>
      <c r="D9" s="72">
        <v>3</v>
      </c>
      <c r="E9" s="72">
        <v>1.7</v>
      </c>
      <c r="F9" s="72">
        <v>40</v>
      </c>
      <c r="G9" s="72">
        <v>4.2</v>
      </c>
      <c r="H9" s="72"/>
      <c r="I9" s="72"/>
      <c r="J9" s="72"/>
      <c r="K9" s="72"/>
      <c r="L9" s="72"/>
      <c r="M9" s="72"/>
      <c r="N9" s="72"/>
    </row>
    <row r="10" spans="1:14" x14ac:dyDescent="0.25">
      <c r="A10" s="72" t="s">
        <v>174</v>
      </c>
      <c r="B10" s="72" t="s">
        <v>179</v>
      </c>
      <c r="C10" s="72" t="s">
        <v>255</v>
      </c>
      <c r="D10" s="72">
        <v>3</v>
      </c>
      <c r="E10" s="72">
        <v>2</v>
      </c>
      <c r="F10" s="72">
        <v>40</v>
      </c>
      <c r="G10" s="72">
        <v>4.9000000000000004</v>
      </c>
      <c r="H10" s="72"/>
      <c r="I10" s="72"/>
      <c r="J10" s="72"/>
      <c r="K10" s="72"/>
      <c r="L10" s="72"/>
      <c r="M10" s="72"/>
      <c r="N10" s="72"/>
    </row>
    <row r="11" spans="1:14" x14ac:dyDescent="0.25">
      <c r="A11" s="72" t="s">
        <v>174</v>
      </c>
      <c r="B11" s="72" t="s">
        <v>179</v>
      </c>
      <c r="C11" s="72" t="s">
        <v>255</v>
      </c>
      <c r="D11" s="72">
        <v>3</v>
      </c>
      <c r="E11" s="72">
        <v>2</v>
      </c>
      <c r="F11" s="72">
        <v>50</v>
      </c>
      <c r="G11" s="72">
        <v>4.9000000000000004</v>
      </c>
      <c r="H11" s="72"/>
      <c r="I11" s="72"/>
      <c r="J11" s="72"/>
      <c r="K11" s="72"/>
      <c r="L11" s="72"/>
      <c r="M11" s="72"/>
      <c r="N11" s="72"/>
    </row>
    <row r="12" spans="1:14" x14ac:dyDescent="0.25">
      <c r="A12" s="72" t="s">
        <v>174</v>
      </c>
      <c r="B12" s="72" t="s">
        <v>179</v>
      </c>
      <c r="C12" s="72" t="s">
        <v>255</v>
      </c>
      <c r="D12" s="72">
        <v>3</v>
      </c>
      <c r="E12" s="72">
        <v>2.2000000000000002</v>
      </c>
      <c r="F12" s="72">
        <v>55</v>
      </c>
      <c r="G12" s="72">
        <v>5.3</v>
      </c>
      <c r="H12" s="72"/>
      <c r="I12" s="72"/>
      <c r="J12" s="72"/>
      <c r="K12" s="72"/>
      <c r="L12" s="72"/>
      <c r="M12" s="72"/>
      <c r="N12" s="72"/>
    </row>
    <row r="13" spans="1:14" x14ac:dyDescent="0.25">
      <c r="A13" t="s">
        <v>174</v>
      </c>
      <c r="B13" t="s">
        <v>179</v>
      </c>
      <c r="C13" t="s">
        <v>255</v>
      </c>
      <c r="D13">
        <v>3</v>
      </c>
      <c r="E13">
        <v>2.5</v>
      </c>
      <c r="F13">
        <v>65</v>
      </c>
      <c r="G13">
        <v>6</v>
      </c>
      <c r="J13">
        <v>3.3</v>
      </c>
      <c r="K13">
        <v>2.5</v>
      </c>
      <c r="L13">
        <v>8.6</v>
      </c>
    </row>
    <row r="14" spans="1:14" x14ac:dyDescent="0.25">
      <c r="A14" t="s">
        <v>174</v>
      </c>
      <c r="B14" t="s">
        <v>179</v>
      </c>
      <c r="C14" t="s">
        <v>255</v>
      </c>
      <c r="D14">
        <v>3</v>
      </c>
      <c r="E14">
        <v>2.8</v>
      </c>
      <c r="F14">
        <v>65</v>
      </c>
      <c r="G14">
        <v>6.8</v>
      </c>
      <c r="J14">
        <v>4.3</v>
      </c>
      <c r="K14">
        <v>2.5</v>
      </c>
      <c r="L14">
        <v>8.6</v>
      </c>
    </row>
    <row r="15" spans="1:14" x14ac:dyDescent="0.25">
      <c r="A15" t="s">
        <v>174</v>
      </c>
      <c r="B15" t="s">
        <v>179</v>
      </c>
      <c r="C15" t="s">
        <v>255</v>
      </c>
      <c r="D15">
        <v>3</v>
      </c>
      <c r="E15">
        <v>2.8</v>
      </c>
      <c r="F15">
        <v>75</v>
      </c>
      <c r="G15">
        <v>6.8</v>
      </c>
      <c r="J15">
        <v>4.3</v>
      </c>
      <c r="K15">
        <v>2.5</v>
      </c>
      <c r="L15">
        <v>8.6</v>
      </c>
    </row>
    <row r="16" spans="1:14" x14ac:dyDescent="0.25">
      <c r="A16" t="s">
        <v>174</v>
      </c>
      <c r="B16" t="s">
        <v>179</v>
      </c>
      <c r="C16" t="s">
        <v>255</v>
      </c>
      <c r="D16">
        <v>3</v>
      </c>
      <c r="E16">
        <v>2.8</v>
      </c>
      <c r="F16">
        <v>90</v>
      </c>
      <c r="G16">
        <v>6.8</v>
      </c>
      <c r="J16">
        <v>4.3</v>
      </c>
      <c r="K16">
        <v>2.5</v>
      </c>
      <c r="L16">
        <v>8.6</v>
      </c>
    </row>
    <row r="17" spans="1:14" x14ac:dyDescent="0.25">
      <c r="A17" t="s">
        <v>174</v>
      </c>
      <c r="B17" t="s">
        <v>179</v>
      </c>
      <c r="C17" t="s">
        <v>255</v>
      </c>
      <c r="D17">
        <v>3</v>
      </c>
      <c r="E17">
        <v>3.4</v>
      </c>
      <c r="F17">
        <v>95</v>
      </c>
      <c r="G17">
        <v>7.6</v>
      </c>
      <c r="J17">
        <v>7</v>
      </c>
      <c r="K17">
        <v>2.5</v>
      </c>
      <c r="L17">
        <v>8.6</v>
      </c>
    </row>
    <row r="18" spans="1:14" x14ac:dyDescent="0.25">
      <c r="A18" t="s">
        <v>174</v>
      </c>
      <c r="B18" t="s">
        <v>179</v>
      </c>
      <c r="C18" t="s">
        <v>255</v>
      </c>
      <c r="D18">
        <v>3</v>
      </c>
      <c r="E18">
        <v>3.8</v>
      </c>
      <c r="F18">
        <v>125</v>
      </c>
      <c r="G18">
        <v>8</v>
      </c>
      <c r="J18">
        <v>13.7</v>
      </c>
      <c r="K18">
        <v>2.5</v>
      </c>
      <c r="L18">
        <v>8.6</v>
      </c>
    </row>
    <row r="19" spans="1:14" x14ac:dyDescent="0.25">
      <c r="A19" t="s">
        <v>174</v>
      </c>
      <c r="B19" t="s">
        <v>179</v>
      </c>
      <c r="C19" t="s">
        <v>255</v>
      </c>
      <c r="D19">
        <v>3</v>
      </c>
      <c r="E19">
        <v>4.2</v>
      </c>
      <c r="F19">
        <v>125</v>
      </c>
      <c r="G19">
        <v>8.6999999999999993</v>
      </c>
      <c r="J19">
        <v>15.1</v>
      </c>
      <c r="K19">
        <v>2.5</v>
      </c>
      <c r="L19">
        <v>8.6</v>
      </c>
    </row>
    <row r="20" spans="1:14" x14ac:dyDescent="0.25">
      <c r="A20" t="s">
        <v>174</v>
      </c>
      <c r="B20" t="s">
        <v>179</v>
      </c>
      <c r="C20" t="s">
        <v>255</v>
      </c>
      <c r="D20">
        <v>3</v>
      </c>
      <c r="E20">
        <v>4.8</v>
      </c>
      <c r="F20">
        <v>150</v>
      </c>
      <c r="G20">
        <v>10</v>
      </c>
      <c r="J20">
        <v>29.3</v>
      </c>
      <c r="K20">
        <v>2.5</v>
      </c>
      <c r="L20">
        <v>8.6</v>
      </c>
    </row>
    <row r="21" spans="1:14" x14ac:dyDescent="0.25">
      <c r="A21" t="s">
        <v>174</v>
      </c>
      <c r="B21" t="s">
        <v>179</v>
      </c>
      <c r="C21" t="s">
        <v>255</v>
      </c>
      <c r="D21">
        <v>3</v>
      </c>
      <c r="E21">
        <v>5.5</v>
      </c>
      <c r="F21">
        <v>175</v>
      </c>
      <c r="G21">
        <v>11.5</v>
      </c>
      <c r="J21">
        <v>34</v>
      </c>
      <c r="K21">
        <v>2.5</v>
      </c>
      <c r="L21">
        <v>8.6</v>
      </c>
    </row>
    <row r="22" spans="1:14" x14ac:dyDescent="0.25">
      <c r="A22" t="s">
        <v>174</v>
      </c>
      <c r="B22" t="s">
        <v>179</v>
      </c>
      <c r="C22" t="s">
        <v>255</v>
      </c>
      <c r="D22">
        <v>3</v>
      </c>
      <c r="E22">
        <v>6</v>
      </c>
      <c r="F22">
        <v>190</v>
      </c>
      <c r="G22">
        <v>13</v>
      </c>
      <c r="J22">
        <v>35.1</v>
      </c>
      <c r="K22">
        <v>2.5</v>
      </c>
      <c r="L22">
        <v>8.6</v>
      </c>
    </row>
    <row r="23" spans="1:14" x14ac:dyDescent="0.25">
      <c r="A23" s="72" t="s">
        <v>174</v>
      </c>
      <c r="B23" s="72" t="s">
        <v>181</v>
      </c>
      <c r="C23" s="72" t="s">
        <v>255</v>
      </c>
      <c r="D23" s="72">
        <v>1</v>
      </c>
      <c r="E23" s="72">
        <v>2</v>
      </c>
      <c r="F23" s="72">
        <v>50</v>
      </c>
      <c r="G23" s="72">
        <v>11.5</v>
      </c>
      <c r="H23" s="72"/>
      <c r="I23" s="72"/>
      <c r="J23" s="72"/>
      <c r="K23" s="72"/>
      <c r="L23" s="72"/>
      <c r="M23" s="72"/>
      <c r="N23" s="72"/>
    </row>
    <row r="24" spans="1:14" x14ac:dyDescent="0.25">
      <c r="A24" s="72" t="s">
        <v>174</v>
      </c>
      <c r="B24" s="72" t="s">
        <v>181</v>
      </c>
      <c r="C24" s="72" t="s">
        <v>255</v>
      </c>
      <c r="D24" s="72">
        <v>1</v>
      </c>
      <c r="E24" s="72">
        <v>2.2000000000000002</v>
      </c>
      <c r="F24" s="72">
        <v>55</v>
      </c>
      <c r="G24" s="72">
        <v>11.5</v>
      </c>
      <c r="H24" s="72"/>
      <c r="I24" s="72"/>
      <c r="J24" s="72"/>
      <c r="K24" s="72"/>
      <c r="L24" s="72"/>
      <c r="M24" s="72"/>
      <c r="N24" s="72"/>
    </row>
    <row r="25" spans="1:14" x14ac:dyDescent="0.25">
      <c r="A25" t="s">
        <v>174</v>
      </c>
      <c r="B25" t="s">
        <v>181</v>
      </c>
      <c r="C25" t="s">
        <v>255</v>
      </c>
      <c r="D25">
        <v>1</v>
      </c>
      <c r="E25">
        <v>2.5</v>
      </c>
      <c r="F25">
        <v>65</v>
      </c>
      <c r="G25">
        <v>6</v>
      </c>
      <c r="J25">
        <v>3.3</v>
      </c>
      <c r="K25">
        <v>2.5</v>
      </c>
      <c r="L25">
        <v>8.6</v>
      </c>
    </row>
    <row r="26" spans="1:14" x14ac:dyDescent="0.25">
      <c r="A26" t="s">
        <v>174</v>
      </c>
      <c r="B26" t="s">
        <v>181</v>
      </c>
      <c r="C26" t="s">
        <v>255</v>
      </c>
      <c r="D26">
        <v>1</v>
      </c>
      <c r="E26">
        <v>2.8</v>
      </c>
      <c r="F26">
        <v>75</v>
      </c>
      <c r="G26">
        <v>6.8</v>
      </c>
      <c r="J26">
        <v>4.3</v>
      </c>
      <c r="K26">
        <v>2.5</v>
      </c>
      <c r="L26">
        <v>8.6</v>
      </c>
    </row>
    <row r="27" spans="1:14" x14ac:dyDescent="0.25">
      <c r="A27" t="s">
        <v>174</v>
      </c>
      <c r="B27" t="s">
        <v>181</v>
      </c>
      <c r="C27" t="s">
        <v>255</v>
      </c>
      <c r="D27">
        <v>1</v>
      </c>
      <c r="E27">
        <v>3.4</v>
      </c>
      <c r="F27">
        <v>95</v>
      </c>
      <c r="G27">
        <v>7.6</v>
      </c>
      <c r="J27">
        <v>7</v>
      </c>
      <c r="K27">
        <v>2.5</v>
      </c>
      <c r="L27">
        <v>8.6</v>
      </c>
    </row>
    <row r="28" spans="1:14" x14ac:dyDescent="0.25">
      <c r="A28" s="72" t="s">
        <v>174</v>
      </c>
      <c r="B28" s="72" t="s">
        <v>182</v>
      </c>
      <c r="C28" s="72" t="s">
        <v>256</v>
      </c>
      <c r="D28" s="72">
        <v>1</v>
      </c>
      <c r="E28" s="72">
        <v>3</v>
      </c>
      <c r="F28" s="72">
        <v>30</v>
      </c>
      <c r="G28" s="72">
        <v>6</v>
      </c>
      <c r="H28" s="72"/>
      <c r="I28" s="72"/>
      <c r="J28" s="72"/>
      <c r="K28" s="72"/>
      <c r="L28" s="72"/>
      <c r="M28" s="72"/>
      <c r="N28" s="72" t="s">
        <v>183</v>
      </c>
    </row>
    <row r="29" spans="1:14" x14ac:dyDescent="0.25">
      <c r="A29" s="72" t="s">
        <v>174</v>
      </c>
      <c r="B29" s="72" t="s">
        <v>182</v>
      </c>
      <c r="C29" s="72" t="s">
        <v>256</v>
      </c>
      <c r="D29" s="72">
        <v>1</v>
      </c>
      <c r="E29" s="72">
        <v>3</v>
      </c>
      <c r="F29" s="72">
        <v>40</v>
      </c>
      <c r="G29" s="72">
        <v>6</v>
      </c>
      <c r="H29" s="72"/>
      <c r="I29" s="72"/>
      <c r="J29" s="72"/>
      <c r="K29" s="72"/>
      <c r="L29" s="72"/>
      <c r="M29" s="72"/>
      <c r="N29" s="72"/>
    </row>
    <row r="30" spans="1:14" x14ac:dyDescent="0.25">
      <c r="A30" s="72" t="s">
        <v>174</v>
      </c>
      <c r="B30" s="72" t="s">
        <v>182</v>
      </c>
      <c r="C30" s="72" t="s">
        <v>256</v>
      </c>
      <c r="D30" s="72">
        <v>1</v>
      </c>
      <c r="E30" s="72">
        <v>3</v>
      </c>
      <c r="F30" s="72">
        <v>50</v>
      </c>
      <c r="G30" s="72">
        <v>6</v>
      </c>
      <c r="H30" s="72"/>
      <c r="I30" s="72"/>
      <c r="J30" s="72"/>
      <c r="K30" s="72"/>
      <c r="L30" s="72"/>
      <c r="M30" s="72"/>
      <c r="N30" s="72"/>
    </row>
    <row r="31" spans="1:14" x14ac:dyDescent="0.25">
      <c r="A31" s="72" t="s">
        <v>174</v>
      </c>
      <c r="B31" s="72" t="s">
        <v>182</v>
      </c>
      <c r="C31" s="72" t="s">
        <v>256</v>
      </c>
      <c r="D31" s="72">
        <v>1</v>
      </c>
      <c r="E31" s="72">
        <v>3</v>
      </c>
      <c r="F31" s="72">
        <v>60</v>
      </c>
      <c r="G31" s="72">
        <v>6</v>
      </c>
      <c r="H31" s="72"/>
      <c r="I31" s="72"/>
      <c r="J31" s="72"/>
      <c r="K31" s="72"/>
      <c r="L31" s="72"/>
      <c r="M31" s="72"/>
      <c r="N31" s="72"/>
    </row>
    <row r="32" spans="1:14" x14ac:dyDescent="0.25">
      <c r="A32" s="72" t="s">
        <v>174</v>
      </c>
      <c r="B32" s="72" t="s">
        <v>182</v>
      </c>
      <c r="C32" s="72" t="s">
        <v>256</v>
      </c>
      <c r="D32" s="72">
        <v>1</v>
      </c>
      <c r="E32" s="72">
        <v>3</v>
      </c>
      <c r="F32" s="72">
        <v>70</v>
      </c>
      <c r="G32" s="72">
        <v>6</v>
      </c>
      <c r="H32" s="72"/>
      <c r="I32" s="72"/>
      <c r="J32" s="72"/>
      <c r="K32" s="72"/>
      <c r="L32" s="72"/>
      <c r="M32" s="72"/>
      <c r="N32" s="72"/>
    </row>
    <row r="33" spans="1:14" x14ac:dyDescent="0.25">
      <c r="A33" t="s">
        <v>174</v>
      </c>
      <c r="B33" s="72" t="s">
        <v>184</v>
      </c>
      <c r="C33" s="72" t="s">
        <v>257</v>
      </c>
      <c r="D33" s="72">
        <v>3</v>
      </c>
      <c r="E33" s="72">
        <v>4</v>
      </c>
      <c r="F33" s="72">
        <v>75</v>
      </c>
      <c r="G33" s="72">
        <v>7.5</v>
      </c>
      <c r="H33" s="72"/>
      <c r="I33" s="72"/>
      <c r="J33" s="72"/>
      <c r="K33" s="72"/>
      <c r="L33" s="72"/>
      <c r="M33" s="72"/>
      <c r="N33" s="72" t="s">
        <v>185</v>
      </c>
    </row>
    <row r="34" spans="1:14" x14ac:dyDescent="0.25">
      <c r="A34" t="s">
        <v>174</v>
      </c>
      <c r="B34" s="72" t="s">
        <v>184</v>
      </c>
      <c r="C34" s="72" t="s">
        <v>257</v>
      </c>
      <c r="D34" s="72">
        <v>3</v>
      </c>
      <c r="E34" s="72">
        <v>5</v>
      </c>
      <c r="F34" s="72">
        <v>100</v>
      </c>
      <c r="G34" s="72">
        <v>8.5</v>
      </c>
      <c r="H34" s="72"/>
      <c r="I34" s="72"/>
      <c r="J34" s="72"/>
      <c r="K34" s="72"/>
      <c r="L34" s="72"/>
      <c r="M34" s="72"/>
      <c r="N34" s="72"/>
    </row>
    <row r="35" spans="1:14" x14ac:dyDescent="0.25">
      <c r="A35" t="s">
        <v>174</v>
      </c>
      <c r="B35" s="72" t="s">
        <v>184</v>
      </c>
      <c r="C35" s="72" t="s">
        <v>257</v>
      </c>
      <c r="D35" s="72">
        <v>3</v>
      </c>
      <c r="E35" s="72">
        <v>8</v>
      </c>
      <c r="F35" s="72">
        <v>150</v>
      </c>
      <c r="G35" s="72">
        <v>9</v>
      </c>
      <c r="H35" s="72"/>
      <c r="I35" s="72"/>
      <c r="J35" s="72"/>
      <c r="K35" s="72"/>
      <c r="L35" s="72"/>
      <c r="M35" s="72"/>
      <c r="N35" s="72"/>
    </row>
    <row r="36" spans="1:14" x14ac:dyDescent="0.25">
      <c r="A36" t="s">
        <v>174</v>
      </c>
      <c r="B36" s="72" t="s">
        <v>184</v>
      </c>
      <c r="C36" s="72" t="s">
        <v>257</v>
      </c>
      <c r="D36" s="72">
        <v>3</v>
      </c>
      <c r="E36" s="72">
        <v>6</v>
      </c>
      <c r="F36" s="72">
        <v>125</v>
      </c>
      <c r="G36" s="72">
        <v>9</v>
      </c>
      <c r="H36" s="72"/>
      <c r="I36" s="72"/>
      <c r="J36" s="72"/>
      <c r="K36" s="72"/>
      <c r="L36" s="72"/>
      <c r="M36" s="72"/>
      <c r="N36" s="72"/>
    </row>
    <row r="37" spans="1:14" x14ac:dyDescent="0.25">
      <c r="A37" t="s">
        <v>174</v>
      </c>
      <c r="B37" t="s">
        <v>186</v>
      </c>
      <c r="C37" t="s">
        <v>258</v>
      </c>
      <c r="D37">
        <v>3</v>
      </c>
      <c r="E37">
        <v>2.8</v>
      </c>
      <c r="F37">
        <v>49.5</v>
      </c>
      <c r="G37">
        <v>6.6</v>
      </c>
      <c r="J37">
        <v>2.6</v>
      </c>
      <c r="K37">
        <v>4.9000000000000004</v>
      </c>
      <c r="L37">
        <v>22.6</v>
      </c>
      <c r="M37">
        <v>4</v>
      </c>
      <c r="N37" t="s">
        <v>187</v>
      </c>
    </row>
    <row r="38" spans="1:14" x14ac:dyDescent="0.25">
      <c r="A38" t="s">
        <v>174</v>
      </c>
      <c r="B38" t="s">
        <v>186</v>
      </c>
      <c r="C38" t="s">
        <v>258</v>
      </c>
      <c r="D38">
        <v>3</v>
      </c>
      <c r="E38">
        <v>2.8</v>
      </c>
      <c r="F38">
        <v>54.5</v>
      </c>
      <c r="G38">
        <v>6.6</v>
      </c>
      <c r="J38">
        <v>2.6</v>
      </c>
      <c r="K38">
        <v>4.9000000000000004</v>
      </c>
      <c r="L38">
        <v>22.6</v>
      </c>
      <c r="M38">
        <v>4</v>
      </c>
    </row>
    <row r="39" spans="1:14" x14ac:dyDescent="0.25">
      <c r="A39" t="s">
        <v>174</v>
      </c>
      <c r="B39" t="s">
        <v>186</v>
      </c>
      <c r="C39" t="s">
        <v>258</v>
      </c>
      <c r="D39">
        <v>3</v>
      </c>
      <c r="E39">
        <v>2.8</v>
      </c>
      <c r="F39">
        <v>63.5</v>
      </c>
      <c r="G39">
        <v>6.6</v>
      </c>
      <c r="J39">
        <v>2.6</v>
      </c>
      <c r="K39">
        <v>4.9000000000000004</v>
      </c>
      <c r="L39">
        <v>22.6</v>
      </c>
      <c r="M39">
        <v>4</v>
      </c>
    </row>
    <row r="40" spans="1:14" x14ac:dyDescent="0.25">
      <c r="A40" t="s">
        <v>174</v>
      </c>
      <c r="B40" t="s">
        <v>186</v>
      </c>
      <c r="C40" t="s">
        <v>258</v>
      </c>
      <c r="D40">
        <v>3</v>
      </c>
      <c r="E40">
        <v>2.8</v>
      </c>
      <c r="F40">
        <v>73.5</v>
      </c>
      <c r="G40">
        <v>6.6</v>
      </c>
      <c r="J40">
        <v>2.6</v>
      </c>
      <c r="K40">
        <v>4.9000000000000004</v>
      </c>
      <c r="L40">
        <v>22.6</v>
      </c>
      <c r="M40">
        <v>4</v>
      </c>
    </row>
    <row r="41" spans="1:14" x14ac:dyDescent="0.25">
      <c r="A41" t="s">
        <v>174</v>
      </c>
      <c r="B41" t="s">
        <v>186</v>
      </c>
      <c r="C41" t="s">
        <v>258</v>
      </c>
      <c r="D41">
        <v>3</v>
      </c>
      <c r="E41">
        <v>3</v>
      </c>
      <c r="F41">
        <v>88</v>
      </c>
      <c r="G41">
        <v>6.6</v>
      </c>
      <c r="J41">
        <v>3.9</v>
      </c>
      <c r="K41">
        <v>5.4</v>
      </c>
      <c r="L41">
        <v>20.9</v>
      </c>
      <c r="M41">
        <v>4.8</v>
      </c>
    </row>
    <row r="42" spans="1:14" x14ac:dyDescent="0.25">
      <c r="A42" t="s">
        <v>174</v>
      </c>
      <c r="B42" t="s">
        <v>188</v>
      </c>
      <c r="C42" t="s">
        <v>258</v>
      </c>
      <c r="D42">
        <v>3</v>
      </c>
      <c r="E42">
        <v>2.8</v>
      </c>
      <c r="F42">
        <v>64</v>
      </c>
      <c r="G42">
        <v>11.5</v>
      </c>
      <c r="J42">
        <v>3.7</v>
      </c>
      <c r="K42">
        <v>2.5</v>
      </c>
      <c r="L42">
        <v>20.5</v>
      </c>
    </row>
    <row r="43" spans="1:14" x14ac:dyDescent="0.25">
      <c r="A43" t="s">
        <v>174</v>
      </c>
      <c r="B43" t="s">
        <v>188</v>
      </c>
      <c r="C43" t="s">
        <v>258</v>
      </c>
      <c r="D43">
        <v>3</v>
      </c>
      <c r="E43">
        <v>2.8</v>
      </c>
      <c r="F43">
        <v>73</v>
      </c>
      <c r="G43">
        <v>11.5</v>
      </c>
      <c r="J43">
        <v>3.7</v>
      </c>
      <c r="K43">
        <v>2.5</v>
      </c>
      <c r="L43">
        <v>20.5</v>
      </c>
    </row>
    <row r="44" spans="1:14" x14ac:dyDescent="0.25">
      <c r="A44" t="s">
        <v>174</v>
      </c>
      <c r="B44" t="s">
        <v>188</v>
      </c>
      <c r="C44" t="s">
        <v>258</v>
      </c>
      <c r="D44">
        <v>3</v>
      </c>
      <c r="E44">
        <v>2.8</v>
      </c>
      <c r="F44">
        <v>87</v>
      </c>
      <c r="G44">
        <v>11.5</v>
      </c>
      <c r="J44">
        <v>3.7</v>
      </c>
      <c r="K44">
        <v>2.5</v>
      </c>
      <c r="L44">
        <v>20.5</v>
      </c>
    </row>
    <row r="45" spans="1:14" x14ac:dyDescent="0.25">
      <c r="A45" t="s">
        <v>174</v>
      </c>
      <c r="B45" t="s">
        <v>189</v>
      </c>
      <c r="C45" t="s">
        <v>258</v>
      </c>
      <c r="D45">
        <v>1</v>
      </c>
      <c r="E45">
        <v>2.8</v>
      </c>
      <c r="F45">
        <v>63.5</v>
      </c>
      <c r="G45">
        <v>6.2</v>
      </c>
      <c r="J45">
        <v>3.2</v>
      </c>
      <c r="K45">
        <v>8.9</v>
      </c>
      <c r="L45">
        <v>29.4</v>
      </c>
      <c r="M45">
        <v>3.4</v>
      </c>
    </row>
    <row r="46" spans="1:14" x14ac:dyDescent="0.25">
      <c r="A46" t="s">
        <v>174</v>
      </c>
      <c r="B46" t="s">
        <v>189</v>
      </c>
      <c r="C46" t="s">
        <v>258</v>
      </c>
      <c r="D46">
        <v>1</v>
      </c>
      <c r="E46">
        <v>2.8</v>
      </c>
      <c r="F46">
        <v>73.5</v>
      </c>
      <c r="G46">
        <v>6.9</v>
      </c>
      <c r="J46">
        <v>3.2</v>
      </c>
      <c r="K46">
        <v>8.9</v>
      </c>
      <c r="L46">
        <v>29.4</v>
      </c>
      <c r="M46">
        <v>3.4</v>
      </c>
    </row>
    <row r="47" spans="1:14" x14ac:dyDescent="0.25">
      <c r="A47" t="s">
        <v>174</v>
      </c>
      <c r="B47" t="s">
        <v>189</v>
      </c>
      <c r="C47" t="s">
        <v>258</v>
      </c>
      <c r="D47">
        <v>1</v>
      </c>
      <c r="E47">
        <v>3.1</v>
      </c>
      <c r="F47">
        <v>88</v>
      </c>
      <c r="G47">
        <v>6.9</v>
      </c>
      <c r="J47">
        <v>4.5999999999999996</v>
      </c>
      <c r="K47">
        <v>8.3000000000000007</v>
      </c>
      <c r="L47">
        <v>18.100000000000001</v>
      </c>
      <c r="M47">
        <v>3.8</v>
      </c>
    </row>
    <row r="48" spans="1:14" x14ac:dyDescent="0.25">
      <c r="A48" t="s">
        <v>174</v>
      </c>
      <c r="B48" t="s">
        <v>189</v>
      </c>
      <c r="C48" t="s">
        <v>258</v>
      </c>
      <c r="D48">
        <v>1</v>
      </c>
      <c r="E48">
        <v>3.1</v>
      </c>
      <c r="F48">
        <v>64.5</v>
      </c>
      <c r="G48">
        <v>6.9</v>
      </c>
      <c r="J48">
        <v>4.5999999999999996</v>
      </c>
      <c r="K48">
        <v>8.3000000000000007</v>
      </c>
      <c r="L48">
        <v>18.100000000000001</v>
      </c>
      <c r="M48">
        <v>3.8</v>
      </c>
    </row>
    <row r="49" spans="1:13" x14ac:dyDescent="0.25">
      <c r="A49" t="s">
        <v>174</v>
      </c>
      <c r="B49" t="s">
        <v>189</v>
      </c>
      <c r="C49" t="s">
        <v>258</v>
      </c>
      <c r="D49">
        <v>1</v>
      </c>
      <c r="E49">
        <v>2.8</v>
      </c>
      <c r="F49">
        <v>65</v>
      </c>
      <c r="G49">
        <v>6.5</v>
      </c>
      <c r="J49">
        <v>3.2</v>
      </c>
      <c r="K49">
        <v>10.7</v>
      </c>
      <c r="L49">
        <v>30.1</v>
      </c>
      <c r="M49">
        <v>3.1</v>
      </c>
    </row>
    <row r="50" spans="1:13" x14ac:dyDescent="0.25">
      <c r="A50" t="s">
        <v>174</v>
      </c>
      <c r="B50" t="s">
        <v>189</v>
      </c>
      <c r="C50" t="s">
        <v>258</v>
      </c>
      <c r="D50">
        <v>1</v>
      </c>
      <c r="E50">
        <v>2.8</v>
      </c>
      <c r="F50">
        <v>75</v>
      </c>
      <c r="G50">
        <v>6.5</v>
      </c>
      <c r="J50">
        <v>3.2</v>
      </c>
      <c r="K50">
        <v>10.7</v>
      </c>
      <c r="L50">
        <v>30.1</v>
      </c>
      <c r="M50">
        <v>3.1</v>
      </c>
    </row>
    <row r="51" spans="1:13" x14ac:dyDescent="0.25">
      <c r="A51" t="s">
        <v>174</v>
      </c>
      <c r="B51" t="s">
        <v>189</v>
      </c>
      <c r="C51" t="s">
        <v>258</v>
      </c>
      <c r="D51">
        <v>1</v>
      </c>
      <c r="E51">
        <v>3.1</v>
      </c>
      <c r="F51">
        <v>88</v>
      </c>
      <c r="G51">
        <v>6.5</v>
      </c>
      <c r="J51">
        <v>4.4000000000000004</v>
      </c>
      <c r="K51">
        <v>9.5</v>
      </c>
      <c r="L51">
        <v>20.8</v>
      </c>
      <c r="M51">
        <v>3.1</v>
      </c>
    </row>
    <row r="52" spans="1:13" x14ac:dyDescent="0.25">
      <c r="A52" t="s">
        <v>174</v>
      </c>
      <c r="B52" t="s">
        <v>190</v>
      </c>
      <c r="C52" t="s">
        <v>259</v>
      </c>
      <c r="D52">
        <v>1</v>
      </c>
      <c r="E52">
        <v>2.5</v>
      </c>
      <c r="F52">
        <v>32</v>
      </c>
      <c r="G52">
        <v>5.5</v>
      </c>
      <c r="J52">
        <v>3.9</v>
      </c>
      <c r="K52">
        <v>2.2999999999999998</v>
      </c>
      <c r="L52">
        <v>19.399999999999999</v>
      </c>
      <c r="M52">
        <v>6.4</v>
      </c>
    </row>
    <row r="53" spans="1:13" x14ac:dyDescent="0.25">
      <c r="A53" t="s">
        <v>174</v>
      </c>
      <c r="B53" t="s">
        <v>191</v>
      </c>
      <c r="C53" t="s">
        <v>259</v>
      </c>
      <c r="D53">
        <v>1</v>
      </c>
      <c r="E53">
        <v>2.5</v>
      </c>
      <c r="F53">
        <v>43.5</v>
      </c>
      <c r="G53">
        <v>5.7</v>
      </c>
      <c r="J53">
        <v>2</v>
      </c>
      <c r="K53">
        <v>5.0999999999999996</v>
      </c>
      <c r="L53">
        <v>22</v>
      </c>
      <c r="M53">
        <v>3</v>
      </c>
    </row>
    <row r="54" spans="1:13" x14ac:dyDescent="0.25">
      <c r="A54" t="s">
        <v>174</v>
      </c>
      <c r="B54" t="s">
        <v>191</v>
      </c>
      <c r="C54" t="s">
        <v>259</v>
      </c>
      <c r="D54">
        <v>1</v>
      </c>
      <c r="E54">
        <v>2.5</v>
      </c>
      <c r="F54">
        <v>53.5</v>
      </c>
      <c r="G54">
        <v>5.7</v>
      </c>
      <c r="J54">
        <v>2</v>
      </c>
      <c r="K54">
        <v>5.0999999999999996</v>
      </c>
      <c r="L54">
        <v>22</v>
      </c>
      <c r="M54">
        <v>3</v>
      </c>
    </row>
    <row r="55" spans="1:13" x14ac:dyDescent="0.25">
      <c r="A55" t="s">
        <v>174</v>
      </c>
      <c r="B55" t="s">
        <v>191</v>
      </c>
      <c r="C55" t="s">
        <v>259</v>
      </c>
      <c r="D55">
        <v>1</v>
      </c>
      <c r="E55">
        <v>2.5</v>
      </c>
      <c r="F55">
        <v>63.5</v>
      </c>
      <c r="G55">
        <v>5.7</v>
      </c>
      <c r="J55">
        <v>2</v>
      </c>
      <c r="K55">
        <v>5.0999999999999996</v>
      </c>
      <c r="L55">
        <v>22</v>
      </c>
      <c r="M55">
        <v>3</v>
      </c>
    </row>
    <row r="56" spans="1:13" x14ac:dyDescent="0.25">
      <c r="A56" t="s">
        <v>174</v>
      </c>
      <c r="B56" t="s">
        <v>191</v>
      </c>
      <c r="C56" t="s">
        <v>259</v>
      </c>
      <c r="D56">
        <v>1</v>
      </c>
      <c r="E56">
        <v>2.8</v>
      </c>
      <c r="F56">
        <v>73.5</v>
      </c>
      <c r="G56">
        <v>6.9</v>
      </c>
      <c r="J56">
        <v>3.2</v>
      </c>
      <c r="K56">
        <v>8.9</v>
      </c>
      <c r="L56">
        <v>29.4</v>
      </c>
      <c r="M56">
        <v>3.4</v>
      </c>
    </row>
    <row r="57" spans="1:13" x14ac:dyDescent="0.25">
      <c r="A57" t="s">
        <v>174</v>
      </c>
      <c r="B57" t="s">
        <v>191</v>
      </c>
      <c r="C57" t="s">
        <v>259</v>
      </c>
      <c r="D57">
        <v>1</v>
      </c>
      <c r="E57">
        <v>3.1</v>
      </c>
      <c r="F57">
        <v>88</v>
      </c>
      <c r="G57">
        <v>6.9</v>
      </c>
      <c r="J57">
        <v>4.5999999999999996</v>
      </c>
      <c r="K57">
        <v>8.3000000000000007</v>
      </c>
      <c r="L57">
        <v>18.100000000000001</v>
      </c>
      <c r="M57">
        <v>3.8</v>
      </c>
    </row>
    <row r="58" spans="1:13" x14ac:dyDescent="0.25">
      <c r="A58" t="s">
        <v>174</v>
      </c>
      <c r="B58" t="s">
        <v>191</v>
      </c>
      <c r="C58" t="s">
        <v>259</v>
      </c>
      <c r="D58">
        <v>1</v>
      </c>
      <c r="E58">
        <v>3.1</v>
      </c>
      <c r="F58">
        <v>64.5</v>
      </c>
      <c r="G58">
        <v>6.9</v>
      </c>
      <c r="J58">
        <v>4.5999999999999996</v>
      </c>
      <c r="K58">
        <v>8.3000000000000007</v>
      </c>
      <c r="L58">
        <v>18.100000000000001</v>
      </c>
      <c r="M58">
        <v>3.8</v>
      </c>
    </row>
    <row r="59" spans="1:13" x14ac:dyDescent="0.25">
      <c r="A59" t="s">
        <v>174</v>
      </c>
      <c r="B59" t="s">
        <v>262</v>
      </c>
      <c r="C59" t="s">
        <v>263</v>
      </c>
      <c r="D59">
        <v>3</v>
      </c>
      <c r="E59">
        <v>4</v>
      </c>
      <c r="F59">
        <v>50</v>
      </c>
      <c r="G59">
        <v>8</v>
      </c>
    </row>
    <row r="1048575" spans="2:2" x14ac:dyDescent="0.25">
      <c r="B1048575" t="s">
        <v>192</v>
      </c>
    </row>
  </sheetData>
  <hyperlinks>
    <hyperlink ref="N2" r:id="rId1" xr:uid="{00000000-0004-0000-0400-000000000000}"/>
    <hyperlink ref="N33" r:id="rId2" xr:uid="{064B7606-7EF0-4145-A428-8D8FCEE6B5A4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R244"/>
  <sheetViews>
    <sheetView workbookViewId="0">
      <pane ySplit="885" activePane="bottomLeft"/>
      <selection activeCell="L15" sqref="L15"/>
      <selection pane="bottomLeft" activeCell="L15" sqref="L15"/>
    </sheetView>
  </sheetViews>
  <sheetFormatPr baseColWidth="10" defaultColWidth="11.42578125" defaultRowHeight="15" x14ac:dyDescent="0.25"/>
  <cols>
    <col min="1" max="1" width="20.42578125" bestFit="1" customWidth="1"/>
    <col min="2" max="2" width="21.85546875" bestFit="1" customWidth="1"/>
    <col min="4" max="4" width="13.42578125" bestFit="1" customWidth="1"/>
    <col min="5" max="5" width="13.28515625" bestFit="1" customWidth="1"/>
    <col min="7" max="7" width="18" bestFit="1" customWidth="1"/>
    <col min="8" max="8" width="18" customWidth="1"/>
    <col min="10" max="10" width="14.7109375" bestFit="1" customWidth="1"/>
    <col min="11" max="11" width="13.85546875" bestFit="1" customWidth="1"/>
    <col min="13" max="13" width="17.140625" bestFit="1" customWidth="1"/>
    <col min="15" max="15" width="15.85546875" bestFit="1" customWidth="1"/>
    <col min="16" max="16" width="19.85546875" bestFit="1" customWidth="1"/>
    <col min="17" max="17" width="11.42578125" style="2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1" t="s">
        <v>17</v>
      </c>
    </row>
    <row r="2" spans="1:18" s="2" customFormat="1" ht="14.25" customHeight="1" x14ac:dyDescent="0.25"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2" t="s">
        <v>23</v>
      </c>
      <c r="M2" s="2" t="s">
        <v>24</v>
      </c>
      <c r="N2" s="2" t="s">
        <v>25</v>
      </c>
      <c r="O2" s="2" t="s">
        <v>26</v>
      </c>
      <c r="P2" s="2" t="s">
        <v>27</v>
      </c>
      <c r="R2" s="2" t="s">
        <v>28</v>
      </c>
    </row>
    <row r="3" spans="1:18" s="2" customFormat="1" ht="14.25" customHeight="1" thickBot="1" x14ac:dyDescent="0.3">
      <c r="G3" s="3" t="s">
        <v>29</v>
      </c>
      <c r="H3" s="3" t="s">
        <v>29</v>
      </c>
      <c r="I3" s="3" t="s">
        <v>29</v>
      </c>
      <c r="J3" s="3" t="s">
        <v>29</v>
      </c>
      <c r="K3" s="3" t="s">
        <v>29</v>
      </c>
      <c r="L3" s="2" t="s">
        <v>30</v>
      </c>
      <c r="M3" s="2" t="s">
        <v>30</v>
      </c>
      <c r="N3" s="2" t="s">
        <v>31</v>
      </c>
      <c r="O3" s="2" t="s">
        <v>32</v>
      </c>
      <c r="R3" s="2" t="s">
        <v>33</v>
      </c>
    </row>
    <row r="4" spans="1:18" x14ac:dyDescent="0.25">
      <c r="A4" s="4" t="s">
        <v>206</v>
      </c>
      <c r="B4" s="20" t="s">
        <v>34</v>
      </c>
      <c r="C4" s="20" t="s">
        <v>35</v>
      </c>
      <c r="D4" s="20" t="s">
        <v>36</v>
      </c>
      <c r="E4" s="20" t="s">
        <v>37</v>
      </c>
      <c r="F4" s="20" t="s">
        <v>38</v>
      </c>
      <c r="G4" s="20">
        <v>8</v>
      </c>
      <c r="H4" s="20">
        <v>5.2</v>
      </c>
      <c r="I4" s="20">
        <v>35</v>
      </c>
      <c r="J4" s="20">
        <v>30</v>
      </c>
      <c r="K4" s="20">
        <v>12.8</v>
      </c>
      <c r="L4" s="20">
        <v>12.6</v>
      </c>
      <c r="M4" s="20">
        <v>19.5</v>
      </c>
      <c r="N4" s="20">
        <v>20100</v>
      </c>
      <c r="O4" s="20">
        <v>17.600000000000001</v>
      </c>
      <c r="P4" s="20">
        <v>2.2000000000000002</v>
      </c>
      <c r="Q4" s="8">
        <v>3</v>
      </c>
    </row>
    <row r="5" spans="1:18" x14ac:dyDescent="0.25">
      <c r="A5" s="5" t="s">
        <v>206</v>
      </c>
      <c r="B5" t="s">
        <v>34</v>
      </c>
      <c r="C5" t="s">
        <v>35</v>
      </c>
      <c r="D5" t="s">
        <v>36</v>
      </c>
      <c r="E5" t="s">
        <v>37</v>
      </c>
      <c r="F5" t="s">
        <v>39</v>
      </c>
      <c r="G5">
        <v>8</v>
      </c>
      <c r="H5">
        <v>5.2</v>
      </c>
      <c r="I5">
        <v>45</v>
      </c>
      <c r="J5">
        <v>30</v>
      </c>
      <c r="K5">
        <v>12.8</v>
      </c>
      <c r="L5">
        <v>12.6</v>
      </c>
      <c r="M5">
        <v>19.5</v>
      </c>
      <c r="N5">
        <v>20100</v>
      </c>
      <c r="O5">
        <v>17.600000000000001</v>
      </c>
      <c r="P5">
        <v>2.2000000000000002</v>
      </c>
      <c r="Q5" s="9">
        <v>3</v>
      </c>
    </row>
    <row r="6" spans="1:18" x14ac:dyDescent="0.25">
      <c r="A6" s="5" t="s">
        <v>206</v>
      </c>
      <c r="B6" t="s">
        <v>34</v>
      </c>
      <c r="C6" t="s">
        <v>35</v>
      </c>
      <c r="D6" t="s">
        <v>36</v>
      </c>
      <c r="E6" t="s">
        <v>37</v>
      </c>
      <c r="F6" t="s">
        <v>40</v>
      </c>
      <c r="G6">
        <v>8</v>
      </c>
      <c r="H6">
        <v>5.2</v>
      </c>
      <c r="I6">
        <v>55</v>
      </c>
      <c r="J6">
        <v>30</v>
      </c>
      <c r="K6">
        <v>12.8</v>
      </c>
      <c r="L6">
        <v>12.6</v>
      </c>
      <c r="M6">
        <v>19.5</v>
      </c>
      <c r="N6">
        <v>20100</v>
      </c>
      <c r="O6">
        <v>17.600000000000001</v>
      </c>
      <c r="P6">
        <v>2.2000000000000002</v>
      </c>
      <c r="Q6" s="9">
        <v>3</v>
      </c>
    </row>
    <row r="7" spans="1:18" x14ac:dyDescent="0.25">
      <c r="A7" s="5" t="s">
        <v>206</v>
      </c>
      <c r="B7" t="s">
        <v>34</v>
      </c>
      <c r="C7" t="s">
        <v>35</v>
      </c>
      <c r="D7" t="s">
        <v>36</v>
      </c>
      <c r="E7" t="s">
        <v>37</v>
      </c>
      <c r="F7" t="s">
        <v>41</v>
      </c>
      <c r="G7">
        <v>8</v>
      </c>
      <c r="H7">
        <v>5.2</v>
      </c>
      <c r="I7">
        <v>75</v>
      </c>
      <c r="J7">
        <v>45</v>
      </c>
      <c r="K7">
        <v>12.8</v>
      </c>
      <c r="L7">
        <v>12.6</v>
      </c>
      <c r="M7">
        <v>19.5</v>
      </c>
      <c r="N7">
        <v>20100</v>
      </c>
      <c r="O7">
        <v>17.600000000000001</v>
      </c>
      <c r="P7">
        <v>2.2000000000000002</v>
      </c>
      <c r="Q7" s="9">
        <v>3</v>
      </c>
    </row>
    <row r="8" spans="1:18" x14ac:dyDescent="0.25">
      <c r="A8" s="5" t="s">
        <v>206</v>
      </c>
      <c r="B8" t="s">
        <v>34</v>
      </c>
      <c r="C8" t="s">
        <v>35</v>
      </c>
      <c r="D8" t="s">
        <v>36</v>
      </c>
      <c r="E8" t="s">
        <v>37</v>
      </c>
      <c r="F8" t="s">
        <v>42</v>
      </c>
      <c r="G8">
        <v>8</v>
      </c>
      <c r="H8">
        <v>5.2</v>
      </c>
      <c r="I8">
        <v>100</v>
      </c>
      <c r="J8">
        <v>60</v>
      </c>
      <c r="K8">
        <v>12.8</v>
      </c>
      <c r="L8">
        <v>12.6</v>
      </c>
      <c r="M8">
        <v>19.5</v>
      </c>
      <c r="N8">
        <v>20100</v>
      </c>
      <c r="O8">
        <v>17.600000000000001</v>
      </c>
      <c r="P8">
        <v>2.2000000000000002</v>
      </c>
      <c r="Q8" s="9">
        <v>3</v>
      </c>
    </row>
    <row r="9" spans="1:18" x14ac:dyDescent="0.25">
      <c r="A9" s="5" t="s">
        <v>206</v>
      </c>
      <c r="B9" t="s">
        <v>34</v>
      </c>
      <c r="C9" t="s">
        <v>35</v>
      </c>
      <c r="D9" t="s">
        <v>36</v>
      </c>
      <c r="E9" t="s">
        <v>37</v>
      </c>
      <c r="F9" t="s">
        <v>43</v>
      </c>
      <c r="G9">
        <v>8</v>
      </c>
      <c r="H9">
        <v>5.2</v>
      </c>
      <c r="I9">
        <v>130</v>
      </c>
      <c r="J9">
        <v>70</v>
      </c>
      <c r="K9">
        <v>12.8</v>
      </c>
      <c r="L9">
        <v>12.6</v>
      </c>
      <c r="M9">
        <v>19.5</v>
      </c>
      <c r="N9">
        <v>20100</v>
      </c>
      <c r="O9">
        <v>17.600000000000001</v>
      </c>
      <c r="P9">
        <v>2.2000000000000002</v>
      </c>
      <c r="Q9" s="9">
        <v>3</v>
      </c>
    </row>
    <row r="10" spans="1:18" x14ac:dyDescent="0.25">
      <c r="A10" s="5" t="s">
        <v>206</v>
      </c>
      <c r="B10" t="s">
        <v>34</v>
      </c>
      <c r="C10" t="s">
        <v>35</v>
      </c>
      <c r="D10" t="s">
        <v>36</v>
      </c>
      <c r="E10" t="s">
        <v>37</v>
      </c>
      <c r="F10" t="s">
        <v>44</v>
      </c>
      <c r="G10">
        <v>10</v>
      </c>
      <c r="H10">
        <v>7</v>
      </c>
      <c r="I10">
        <v>40</v>
      </c>
      <c r="J10">
        <v>30</v>
      </c>
      <c r="K10">
        <v>14.8</v>
      </c>
      <c r="L10">
        <v>11.7</v>
      </c>
      <c r="M10">
        <v>18</v>
      </c>
      <c r="N10">
        <v>44900</v>
      </c>
      <c r="O10">
        <v>32.200000000000003</v>
      </c>
      <c r="P10">
        <v>3.3</v>
      </c>
      <c r="Q10" s="9">
        <v>3</v>
      </c>
    </row>
    <row r="11" spans="1:18" x14ac:dyDescent="0.25">
      <c r="A11" s="5" t="s">
        <v>206</v>
      </c>
      <c r="B11" t="s">
        <v>34</v>
      </c>
      <c r="C11" t="s">
        <v>35</v>
      </c>
      <c r="D11" t="s">
        <v>36</v>
      </c>
      <c r="E11" t="s">
        <v>37</v>
      </c>
      <c r="F11" t="s">
        <v>45</v>
      </c>
      <c r="G11">
        <v>10</v>
      </c>
      <c r="H11">
        <v>7</v>
      </c>
      <c r="I11">
        <v>50</v>
      </c>
      <c r="J11">
        <v>30</v>
      </c>
      <c r="K11">
        <v>14.8</v>
      </c>
      <c r="L11">
        <v>11.7</v>
      </c>
      <c r="M11">
        <v>18</v>
      </c>
      <c r="N11">
        <v>44900</v>
      </c>
      <c r="O11">
        <v>32.200000000000003</v>
      </c>
      <c r="P11">
        <v>3.3</v>
      </c>
      <c r="Q11" s="9">
        <v>3</v>
      </c>
    </row>
    <row r="12" spans="1:18" x14ac:dyDescent="0.25">
      <c r="A12" s="5" t="s">
        <v>206</v>
      </c>
      <c r="B12" t="s">
        <v>34</v>
      </c>
      <c r="C12" t="s">
        <v>35</v>
      </c>
      <c r="D12" t="s">
        <v>36</v>
      </c>
      <c r="E12" t="s">
        <v>37</v>
      </c>
      <c r="F12" t="s">
        <v>46</v>
      </c>
      <c r="G12">
        <v>10</v>
      </c>
      <c r="H12">
        <v>7</v>
      </c>
      <c r="I12">
        <v>75</v>
      </c>
      <c r="J12">
        <v>45</v>
      </c>
      <c r="K12">
        <v>14.8</v>
      </c>
      <c r="L12">
        <v>11.7</v>
      </c>
      <c r="M12">
        <v>18</v>
      </c>
      <c r="N12">
        <v>44900</v>
      </c>
      <c r="O12">
        <v>32.200000000000003</v>
      </c>
      <c r="P12">
        <v>3.3</v>
      </c>
      <c r="Q12" s="9">
        <v>3</v>
      </c>
    </row>
    <row r="13" spans="1:18" x14ac:dyDescent="0.25">
      <c r="A13" s="5" t="s">
        <v>206</v>
      </c>
      <c r="B13" t="s">
        <v>34</v>
      </c>
      <c r="C13" t="s">
        <v>35</v>
      </c>
      <c r="D13" t="s">
        <v>36</v>
      </c>
      <c r="E13" t="s">
        <v>37</v>
      </c>
      <c r="F13" t="s">
        <v>47</v>
      </c>
      <c r="G13">
        <v>10</v>
      </c>
      <c r="H13">
        <v>7</v>
      </c>
      <c r="I13">
        <v>90</v>
      </c>
      <c r="J13">
        <v>60</v>
      </c>
      <c r="K13">
        <v>14.8</v>
      </c>
      <c r="L13">
        <v>11.7</v>
      </c>
      <c r="M13">
        <v>18</v>
      </c>
      <c r="N13">
        <v>44900</v>
      </c>
      <c r="O13">
        <v>32.200000000000003</v>
      </c>
      <c r="P13">
        <v>3.3</v>
      </c>
      <c r="Q13" s="9">
        <v>3</v>
      </c>
    </row>
    <row r="14" spans="1:18" x14ac:dyDescent="0.25">
      <c r="A14" s="5" t="s">
        <v>206</v>
      </c>
      <c r="B14" t="s">
        <v>34</v>
      </c>
      <c r="C14" t="s">
        <v>35</v>
      </c>
      <c r="D14" t="s">
        <v>36</v>
      </c>
      <c r="E14" t="s">
        <v>37</v>
      </c>
      <c r="F14" t="s">
        <v>48</v>
      </c>
      <c r="G14">
        <v>10</v>
      </c>
      <c r="H14">
        <v>7</v>
      </c>
      <c r="I14">
        <v>120</v>
      </c>
      <c r="J14">
        <v>60</v>
      </c>
      <c r="K14">
        <v>14.8</v>
      </c>
      <c r="L14">
        <v>11.7</v>
      </c>
      <c r="M14">
        <v>18</v>
      </c>
      <c r="N14">
        <v>44900</v>
      </c>
      <c r="O14">
        <v>32.200000000000003</v>
      </c>
      <c r="P14">
        <v>3.3</v>
      </c>
      <c r="Q14" s="9">
        <v>3</v>
      </c>
    </row>
    <row r="15" spans="1:18" ht="15.75" customHeight="1" thickBot="1" x14ac:dyDescent="0.3">
      <c r="A15" s="6" t="s">
        <v>206</v>
      </c>
      <c r="B15" s="7" t="s">
        <v>34</v>
      </c>
      <c r="C15" s="7" t="s">
        <v>35</v>
      </c>
      <c r="D15" s="7" t="s">
        <v>36</v>
      </c>
      <c r="E15" s="7" t="s">
        <v>37</v>
      </c>
      <c r="F15" s="7" t="s">
        <v>49</v>
      </c>
      <c r="G15" s="7">
        <v>10</v>
      </c>
      <c r="H15" s="7">
        <v>7</v>
      </c>
      <c r="I15" s="7">
        <v>150</v>
      </c>
      <c r="J15" s="7">
        <v>60</v>
      </c>
      <c r="K15" s="7">
        <v>14.8</v>
      </c>
      <c r="L15" s="7">
        <v>11.7</v>
      </c>
      <c r="M15" s="7">
        <v>18</v>
      </c>
      <c r="N15" s="7">
        <v>44900</v>
      </c>
      <c r="O15" s="7">
        <v>32.200000000000003</v>
      </c>
      <c r="P15" s="7">
        <v>3.3</v>
      </c>
      <c r="Q15" s="10">
        <v>3</v>
      </c>
    </row>
    <row r="16" spans="1:18" x14ac:dyDescent="0.25">
      <c r="A16" s="4" t="s">
        <v>206</v>
      </c>
      <c r="B16" s="20" t="s">
        <v>50</v>
      </c>
      <c r="C16" s="20" t="s">
        <v>51</v>
      </c>
      <c r="D16" s="20" t="s">
        <v>52</v>
      </c>
      <c r="E16" s="20" t="s">
        <v>53</v>
      </c>
      <c r="F16" s="20" t="s">
        <v>54</v>
      </c>
      <c r="G16" s="20">
        <v>5</v>
      </c>
      <c r="H16" s="20">
        <v>3.2</v>
      </c>
      <c r="I16" s="20">
        <v>30</v>
      </c>
      <c r="J16" s="20">
        <v>25</v>
      </c>
      <c r="K16" s="20">
        <v>9.5</v>
      </c>
      <c r="L16" s="20">
        <v>10.9</v>
      </c>
      <c r="M16" s="20">
        <v>15.4</v>
      </c>
      <c r="N16" s="20">
        <v>7800</v>
      </c>
      <c r="O16" s="20">
        <v>9.9</v>
      </c>
      <c r="P16" s="20">
        <v>3.3</v>
      </c>
      <c r="Q16" s="8">
        <v>1</v>
      </c>
    </row>
    <row r="17" spans="1:17" x14ac:dyDescent="0.25">
      <c r="A17" s="5" t="s">
        <v>206</v>
      </c>
      <c r="B17" t="s">
        <v>50</v>
      </c>
      <c r="C17" t="s">
        <v>51</v>
      </c>
      <c r="D17" t="s">
        <v>52</v>
      </c>
      <c r="E17" t="s">
        <v>53</v>
      </c>
      <c r="F17" t="s">
        <v>55</v>
      </c>
      <c r="G17">
        <v>5</v>
      </c>
      <c r="H17">
        <v>3.2</v>
      </c>
      <c r="I17">
        <v>40</v>
      </c>
      <c r="J17">
        <v>35</v>
      </c>
      <c r="K17">
        <v>9.5</v>
      </c>
      <c r="L17">
        <v>10.9</v>
      </c>
      <c r="M17">
        <v>15.4</v>
      </c>
      <c r="N17">
        <v>7800</v>
      </c>
      <c r="O17">
        <v>9.9</v>
      </c>
      <c r="P17">
        <v>3.3</v>
      </c>
      <c r="Q17" s="9">
        <v>1</v>
      </c>
    </row>
    <row r="18" spans="1:17" x14ac:dyDescent="0.25">
      <c r="A18" s="5" t="s">
        <v>206</v>
      </c>
      <c r="B18" t="s">
        <v>50</v>
      </c>
      <c r="C18" t="s">
        <v>51</v>
      </c>
      <c r="D18" t="s">
        <v>52</v>
      </c>
      <c r="E18" t="s">
        <v>53</v>
      </c>
      <c r="F18" t="s">
        <v>56</v>
      </c>
      <c r="G18">
        <v>5</v>
      </c>
      <c r="H18">
        <v>3.2</v>
      </c>
      <c r="I18">
        <v>50</v>
      </c>
      <c r="J18">
        <v>30</v>
      </c>
      <c r="K18">
        <v>9.5</v>
      </c>
      <c r="L18">
        <v>10.9</v>
      </c>
      <c r="M18">
        <v>15.4</v>
      </c>
      <c r="N18">
        <v>7800</v>
      </c>
      <c r="O18">
        <v>9.9</v>
      </c>
      <c r="P18">
        <v>3.3</v>
      </c>
      <c r="Q18" s="9">
        <v>1</v>
      </c>
    </row>
    <row r="19" spans="1:17" x14ac:dyDescent="0.25">
      <c r="A19" s="5" t="s">
        <v>206</v>
      </c>
      <c r="B19" t="s">
        <v>50</v>
      </c>
      <c r="C19" t="s">
        <v>51</v>
      </c>
      <c r="D19" t="s">
        <v>52</v>
      </c>
      <c r="E19" t="s">
        <v>53</v>
      </c>
      <c r="F19" t="s">
        <v>57</v>
      </c>
      <c r="G19">
        <v>5</v>
      </c>
      <c r="H19">
        <v>3.2</v>
      </c>
      <c r="I19">
        <v>60</v>
      </c>
      <c r="J19">
        <v>35</v>
      </c>
      <c r="K19">
        <v>9.5</v>
      </c>
      <c r="L19">
        <v>10.9</v>
      </c>
      <c r="M19">
        <v>15.4</v>
      </c>
      <c r="N19">
        <v>7800</v>
      </c>
      <c r="O19">
        <v>9.9</v>
      </c>
      <c r="P19">
        <v>3.3</v>
      </c>
      <c r="Q19" s="9">
        <v>1</v>
      </c>
    </row>
    <row r="20" spans="1:17" x14ac:dyDescent="0.25">
      <c r="A20" s="5" t="s">
        <v>206</v>
      </c>
      <c r="B20" t="s">
        <v>50</v>
      </c>
      <c r="C20" t="s">
        <v>51</v>
      </c>
      <c r="D20" t="s">
        <v>52</v>
      </c>
      <c r="E20" t="s">
        <v>53</v>
      </c>
      <c r="F20" t="s">
        <v>58</v>
      </c>
      <c r="G20">
        <v>5</v>
      </c>
      <c r="H20">
        <v>3.2</v>
      </c>
      <c r="I20">
        <v>70</v>
      </c>
      <c r="J20">
        <v>40</v>
      </c>
      <c r="K20">
        <v>9.5</v>
      </c>
      <c r="L20">
        <v>10.9</v>
      </c>
      <c r="M20">
        <v>15.4</v>
      </c>
      <c r="N20">
        <v>7800</v>
      </c>
      <c r="O20">
        <v>9.9</v>
      </c>
      <c r="P20">
        <v>3.3</v>
      </c>
      <c r="Q20" s="9">
        <v>1</v>
      </c>
    </row>
    <row r="21" spans="1:17" x14ac:dyDescent="0.25">
      <c r="A21" s="5" t="s">
        <v>206</v>
      </c>
      <c r="B21" t="s">
        <v>50</v>
      </c>
      <c r="C21" t="s">
        <v>51</v>
      </c>
      <c r="D21" t="s">
        <v>52</v>
      </c>
      <c r="E21" t="s">
        <v>53</v>
      </c>
      <c r="F21" t="s">
        <v>59</v>
      </c>
      <c r="G21">
        <v>5</v>
      </c>
      <c r="H21">
        <v>3.2</v>
      </c>
      <c r="I21">
        <v>80</v>
      </c>
      <c r="J21">
        <v>40</v>
      </c>
      <c r="K21">
        <v>9.5</v>
      </c>
      <c r="L21">
        <v>10.9</v>
      </c>
      <c r="M21">
        <v>15.4</v>
      </c>
      <c r="N21">
        <v>7800</v>
      </c>
      <c r="O21">
        <v>9.9</v>
      </c>
      <c r="P21">
        <v>3.3</v>
      </c>
      <c r="Q21" s="9">
        <v>1</v>
      </c>
    </row>
    <row r="22" spans="1:17" x14ac:dyDescent="0.25">
      <c r="A22" s="5" t="s">
        <v>206</v>
      </c>
      <c r="B22" t="s">
        <v>50</v>
      </c>
      <c r="C22" t="s">
        <v>51</v>
      </c>
      <c r="D22" t="s">
        <v>52</v>
      </c>
      <c r="E22" t="s">
        <v>53</v>
      </c>
      <c r="F22" t="s">
        <v>60</v>
      </c>
      <c r="G22">
        <v>5</v>
      </c>
      <c r="H22">
        <v>3.2</v>
      </c>
      <c r="I22">
        <v>90</v>
      </c>
      <c r="J22">
        <v>45</v>
      </c>
      <c r="K22">
        <v>9.5</v>
      </c>
      <c r="L22">
        <v>10.9</v>
      </c>
      <c r="M22">
        <v>15.4</v>
      </c>
      <c r="N22">
        <v>7800</v>
      </c>
      <c r="O22">
        <v>9.9</v>
      </c>
      <c r="P22">
        <v>3.3</v>
      </c>
      <c r="Q22" s="9">
        <v>1</v>
      </c>
    </row>
    <row r="23" spans="1:17" x14ac:dyDescent="0.25">
      <c r="A23" s="5" t="s">
        <v>206</v>
      </c>
      <c r="B23" t="s">
        <v>50</v>
      </c>
      <c r="C23" t="s">
        <v>51</v>
      </c>
      <c r="D23" t="s">
        <v>52</v>
      </c>
      <c r="E23" t="s">
        <v>53</v>
      </c>
      <c r="F23" t="s">
        <v>61</v>
      </c>
      <c r="G23">
        <v>5</v>
      </c>
      <c r="H23">
        <v>3.2</v>
      </c>
      <c r="I23">
        <v>100</v>
      </c>
      <c r="J23">
        <v>60</v>
      </c>
      <c r="K23">
        <v>9.5</v>
      </c>
      <c r="L23">
        <v>10.9</v>
      </c>
      <c r="M23">
        <v>15.4</v>
      </c>
      <c r="N23">
        <v>7800</v>
      </c>
      <c r="O23">
        <v>9.9</v>
      </c>
      <c r="P23">
        <v>3.3</v>
      </c>
      <c r="Q23" s="9">
        <v>1</v>
      </c>
    </row>
    <row r="24" spans="1:17" x14ac:dyDescent="0.25">
      <c r="A24" s="5" t="s">
        <v>206</v>
      </c>
      <c r="B24" t="s">
        <v>50</v>
      </c>
      <c r="C24" t="s">
        <v>51</v>
      </c>
      <c r="D24" t="s">
        <v>52</v>
      </c>
      <c r="E24" t="s">
        <v>53</v>
      </c>
      <c r="F24" t="s">
        <v>62</v>
      </c>
      <c r="G24">
        <v>5</v>
      </c>
      <c r="H24">
        <v>3.2</v>
      </c>
      <c r="I24">
        <v>120</v>
      </c>
      <c r="J24">
        <v>60</v>
      </c>
      <c r="K24">
        <v>9.5</v>
      </c>
      <c r="L24">
        <v>10.9</v>
      </c>
      <c r="M24">
        <v>15.4</v>
      </c>
      <c r="N24">
        <v>7800</v>
      </c>
      <c r="O24">
        <v>9.9</v>
      </c>
      <c r="P24">
        <v>3.3</v>
      </c>
      <c r="Q24" s="9">
        <v>1</v>
      </c>
    </row>
    <row r="25" spans="1:17" x14ac:dyDescent="0.25">
      <c r="A25" s="5" t="s">
        <v>206</v>
      </c>
      <c r="B25" t="s">
        <v>50</v>
      </c>
      <c r="C25" t="s">
        <v>51</v>
      </c>
      <c r="D25" t="s">
        <v>52</v>
      </c>
      <c r="E25" t="s">
        <v>53</v>
      </c>
      <c r="F25" t="s">
        <v>63</v>
      </c>
      <c r="G25">
        <v>6</v>
      </c>
      <c r="H25">
        <v>3.8</v>
      </c>
      <c r="I25">
        <v>40</v>
      </c>
      <c r="J25">
        <v>34</v>
      </c>
      <c r="K25">
        <v>11.6</v>
      </c>
      <c r="L25">
        <v>10.199999999999999</v>
      </c>
      <c r="M25">
        <v>16.5</v>
      </c>
      <c r="N25">
        <v>12300</v>
      </c>
      <c r="O25">
        <v>12.3</v>
      </c>
      <c r="P25">
        <v>3.2</v>
      </c>
      <c r="Q25" s="9">
        <v>1</v>
      </c>
    </row>
    <row r="26" spans="1:17" x14ac:dyDescent="0.25">
      <c r="A26" s="5" t="s">
        <v>206</v>
      </c>
      <c r="B26" t="s">
        <v>50</v>
      </c>
      <c r="C26" t="s">
        <v>51</v>
      </c>
      <c r="D26" t="s">
        <v>52</v>
      </c>
      <c r="E26" t="s">
        <v>53</v>
      </c>
      <c r="F26" t="s">
        <v>64</v>
      </c>
      <c r="G26">
        <v>6</v>
      </c>
      <c r="H26">
        <v>3.8</v>
      </c>
      <c r="I26">
        <v>50</v>
      </c>
      <c r="J26">
        <v>30</v>
      </c>
      <c r="K26">
        <v>11.6</v>
      </c>
      <c r="L26">
        <v>10.199999999999999</v>
      </c>
      <c r="M26">
        <v>16.5</v>
      </c>
      <c r="N26">
        <v>12300</v>
      </c>
      <c r="O26">
        <v>12.3</v>
      </c>
      <c r="P26">
        <v>3.2</v>
      </c>
      <c r="Q26" s="9">
        <v>1</v>
      </c>
    </row>
    <row r="27" spans="1:17" x14ac:dyDescent="0.25">
      <c r="A27" s="5" t="s">
        <v>206</v>
      </c>
      <c r="B27" t="s">
        <v>50</v>
      </c>
      <c r="C27" t="s">
        <v>51</v>
      </c>
      <c r="D27" t="s">
        <v>52</v>
      </c>
      <c r="E27" t="s">
        <v>53</v>
      </c>
      <c r="F27" t="s">
        <v>65</v>
      </c>
      <c r="G27">
        <v>6</v>
      </c>
      <c r="H27">
        <v>3.8</v>
      </c>
      <c r="I27">
        <v>60</v>
      </c>
      <c r="J27">
        <v>35</v>
      </c>
      <c r="K27">
        <v>11.6</v>
      </c>
      <c r="L27">
        <v>10.199999999999999</v>
      </c>
      <c r="M27">
        <v>16.5</v>
      </c>
      <c r="N27">
        <v>12300</v>
      </c>
      <c r="O27">
        <v>12.3</v>
      </c>
      <c r="P27">
        <v>3.2</v>
      </c>
      <c r="Q27" s="9">
        <v>1</v>
      </c>
    </row>
    <row r="28" spans="1:17" x14ac:dyDescent="0.25">
      <c r="A28" s="5" t="s">
        <v>206</v>
      </c>
      <c r="B28" t="s">
        <v>50</v>
      </c>
      <c r="C28" t="s">
        <v>51</v>
      </c>
      <c r="D28" t="s">
        <v>52</v>
      </c>
      <c r="E28" t="s">
        <v>53</v>
      </c>
      <c r="F28" t="s">
        <v>66</v>
      </c>
      <c r="G28">
        <v>6</v>
      </c>
      <c r="H28">
        <v>3.8</v>
      </c>
      <c r="I28">
        <v>70</v>
      </c>
      <c r="J28">
        <v>40</v>
      </c>
      <c r="K28">
        <v>11.6</v>
      </c>
      <c r="L28">
        <v>10.199999999999999</v>
      </c>
      <c r="M28">
        <v>16.5</v>
      </c>
      <c r="N28">
        <v>12300</v>
      </c>
      <c r="O28">
        <v>12.3</v>
      </c>
      <c r="P28">
        <v>3.2</v>
      </c>
      <c r="Q28" s="9">
        <v>1</v>
      </c>
    </row>
    <row r="29" spans="1:17" x14ac:dyDescent="0.25">
      <c r="A29" s="5" t="s">
        <v>206</v>
      </c>
      <c r="B29" t="s">
        <v>50</v>
      </c>
      <c r="C29" t="s">
        <v>51</v>
      </c>
      <c r="D29" t="s">
        <v>52</v>
      </c>
      <c r="E29" t="s">
        <v>53</v>
      </c>
      <c r="F29" t="s">
        <v>67</v>
      </c>
      <c r="G29">
        <v>6</v>
      </c>
      <c r="H29">
        <v>3.8</v>
      </c>
      <c r="I29">
        <v>80</v>
      </c>
      <c r="J29">
        <v>40</v>
      </c>
      <c r="K29">
        <v>11.6</v>
      </c>
      <c r="L29">
        <v>10.199999999999999</v>
      </c>
      <c r="M29">
        <v>16.5</v>
      </c>
      <c r="N29">
        <v>12300</v>
      </c>
      <c r="O29">
        <v>12.3</v>
      </c>
      <c r="P29">
        <v>3.2</v>
      </c>
      <c r="Q29" s="9">
        <v>1</v>
      </c>
    </row>
    <row r="30" spans="1:17" x14ac:dyDescent="0.25">
      <c r="A30" s="5" t="s">
        <v>206</v>
      </c>
      <c r="B30" t="s">
        <v>50</v>
      </c>
      <c r="C30" t="s">
        <v>51</v>
      </c>
      <c r="D30" t="s">
        <v>52</v>
      </c>
      <c r="E30" t="s">
        <v>53</v>
      </c>
      <c r="F30" t="s">
        <v>68</v>
      </c>
      <c r="G30">
        <v>6</v>
      </c>
      <c r="H30">
        <v>3.8</v>
      </c>
      <c r="I30">
        <v>90</v>
      </c>
      <c r="J30">
        <v>45</v>
      </c>
      <c r="K30">
        <v>11.6</v>
      </c>
      <c r="L30">
        <v>10.199999999999999</v>
      </c>
      <c r="M30">
        <v>16.5</v>
      </c>
      <c r="N30">
        <v>12300</v>
      </c>
      <c r="O30">
        <v>12.3</v>
      </c>
      <c r="P30">
        <v>3.2</v>
      </c>
      <c r="Q30" s="9">
        <v>1</v>
      </c>
    </row>
    <row r="31" spans="1:17" x14ac:dyDescent="0.25">
      <c r="A31" s="5" t="s">
        <v>206</v>
      </c>
      <c r="B31" t="s">
        <v>50</v>
      </c>
      <c r="C31" t="s">
        <v>51</v>
      </c>
      <c r="D31" t="s">
        <v>52</v>
      </c>
      <c r="E31" t="s">
        <v>53</v>
      </c>
      <c r="F31" t="s">
        <v>69</v>
      </c>
      <c r="G31">
        <v>6</v>
      </c>
      <c r="H31">
        <v>3.8</v>
      </c>
      <c r="I31">
        <v>100</v>
      </c>
      <c r="J31">
        <v>60</v>
      </c>
      <c r="K31">
        <v>11.6</v>
      </c>
      <c r="L31">
        <v>10.199999999999999</v>
      </c>
      <c r="M31">
        <v>16.5</v>
      </c>
      <c r="N31">
        <v>12300</v>
      </c>
      <c r="O31">
        <v>12.3</v>
      </c>
      <c r="P31">
        <v>3.2</v>
      </c>
      <c r="Q31" s="9">
        <v>1</v>
      </c>
    </row>
    <row r="32" spans="1:17" x14ac:dyDescent="0.25">
      <c r="A32" s="5" t="s">
        <v>206</v>
      </c>
      <c r="B32" t="s">
        <v>50</v>
      </c>
      <c r="C32" t="s">
        <v>51</v>
      </c>
      <c r="D32" t="s">
        <v>52</v>
      </c>
      <c r="E32" t="s">
        <v>53</v>
      </c>
      <c r="F32" t="s">
        <v>70</v>
      </c>
      <c r="G32">
        <v>6</v>
      </c>
      <c r="H32">
        <v>3.8</v>
      </c>
      <c r="I32">
        <v>120</v>
      </c>
      <c r="J32">
        <v>70</v>
      </c>
      <c r="K32">
        <v>11.6</v>
      </c>
      <c r="L32">
        <v>10.199999999999999</v>
      </c>
      <c r="M32">
        <v>16.5</v>
      </c>
      <c r="N32">
        <v>12300</v>
      </c>
      <c r="O32">
        <v>12.3</v>
      </c>
      <c r="P32">
        <v>3.2</v>
      </c>
      <c r="Q32" s="9">
        <v>1</v>
      </c>
    </row>
    <row r="33" spans="1:17" x14ac:dyDescent="0.25">
      <c r="A33" s="5" t="s">
        <v>206</v>
      </c>
      <c r="B33" t="s">
        <v>50</v>
      </c>
      <c r="C33" t="s">
        <v>51</v>
      </c>
      <c r="D33" t="s">
        <v>52</v>
      </c>
      <c r="E33" t="s">
        <v>53</v>
      </c>
      <c r="F33" t="s">
        <v>71</v>
      </c>
      <c r="G33">
        <v>6</v>
      </c>
      <c r="H33">
        <v>3.8</v>
      </c>
      <c r="I33">
        <v>140</v>
      </c>
      <c r="J33">
        <v>70</v>
      </c>
      <c r="K33">
        <v>11.6</v>
      </c>
      <c r="L33">
        <v>10.199999999999999</v>
      </c>
      <c r="M33">
        <v>16.5</v>
      </c>
      <c r="N33">
        <v>12300</v>
      </c>
      <c r="O33">
        <v>12.3</v>
      </c>
      <c r="P33">
        <v>3.2</v>
      </c>
      <c r="Q33" s="9">
        <v>1</v>
      </c>
    </row>
    <row r="34" spans="1:17" x14ac:dyDescent="0.25">
      <c r="A34" s="5" t="s">
        <v>206</v>
      </c>
      <c r="B34" t="s">
        <v>50</v>
      </c>
      <c r="C34" t="s">
        <v>51</v>
      </c>
      <c r="D34" t="s">
        <v>52</v>
      </c>
      <c r="E34" t="s">
        <v>53</v>
      </c>
      <c r="F34" t="s">
        <v>72</v>
      </c>
      <c r="G34">
        <v>6</v>
      </c>
      <c r="H34">
        <v>3.8</v>
      </c>
      <c r="I34">
        <v>160</v>
      </c>
      <c r="J34">
        <v>70</v>
      </c>
      <c r="K34">
        <v>11.6</v>
      </c>
      <c r="L34">
        <v>10.199999999999999</v>
      </c>
      <c r="M34">
        <v>16.5</v>
      </c>
      <c r="N34">
        <v>12300</v>
      </c>
      <c r="O34">
        <v>12.3</v>
      </c>
      <c r="P34">
        <v>3.2</v>
      </c>
      <c r="Q34" s="9">
        <v>1</v>
      </c>
    </row>
    <row r="35" spans="1:17" ht="15.75" customHeight="1" thickBot="1" x14ac:dyDescent="0.3">
      <c r="A35" s="6" t="s">
        <v>206</v>
      </c>
      <c r="B35" s="7" t="s">
        <v>50</v>
      </c>
      <c r="C35" s="7" t="s">
        <v>51</v>
      </c>
      <c r="D35" s="7" t="s">
        <v>52</v>
      </c>
      <c r="E35" s="7" t="s">
        <v>53</v>
      </c>
      <c r="F35" s="7" t="s">
        <v>73</v>
      </c>
      <c r="G35" s="7">
        <v>6</v>
      </c>
      <c r="H35" s="7">
        <v>3.8</v>
      </c>
      <c r="I35" s="7">
        <v>180</v>
      </c>
      <c r="J35" s="7">
        <v>70</v>
      </c>
      <c r="K35" s="7">
        <v>11.6</v>
      </c>
      <c r="L35" s="7">
        <v>10.199999999999999</v>
      </c>
      <c r="M35" s="7">
        <v>16.5</v>
      </c>
      <c r="N35" s="7">
        <v>12300</v>
      </c>
      <c r="O35" s="7">
        <v>12.3</v>
      </c>
      <c r="P35" s="7">
        <v>3.2</v>
      </c>
      <c r="Q35" s="10">
        <v>1</v>
      </c>
    </row>
    <row r="36" spans="1:17" x14ac:dyDescent="0.25">
      <c r="A36" s="4" t="s">
        <v>206</v>
      </c>
      <c r="B36" s="20" t="s">
        <v>50</v>
      </c>
      <c r="C36" s="20"/>
      <c r="D36" s="20" t="s">
        <v>52</v>
      </c>
      <c r="E36" s="20" t="s">
        <v>74</v>
      </c>
      <c r="F36" s="20" t="s">
        <v>54</v>
      </c>
      <c r="G36" s="20">
        <v>5</v>
      </c>
      <c r="H36" s="20">
        <v>3.1</v>
      </c>
      <c r="I36" s="20">
        <v>30</v>
      </c>
      <c r="J36" s="20">
        <v>26</v>
      </c>
      <c r="K36" s="20">
        <v>9.6999999999999993</v>
      </c>
      <c r="L36" s="20">
        <v>10.9</v>
      </c>
      <c r="M36" s="20">
        <v>19.600000000000001</v>
      </c>
      <c r="N36" s="20">
        <v>7800</v>
      </c>
      <c r="O36" s="20">
        <v>10.6</v>
      </c>
      <c r="P36" s="20">
        <v>3.4</v>
      </c>
      <c r="Q36" s="8">
        <v>1</v>
      </c>
    </row>
    <row r="37" spans="1:17" x14ac:dyDescent="0.25">
      <c r="A37" s="5" t="s">
        <v>206</v>
      </c>
      <c r="B37" t="s">
        <v>50</v>
      </c>
      <c r="D37" t="s">
        <v>52</v>
      </c>
      <c r="E37" t="s">
        <v>74</v>
      </c>
      <c r="F37" t="s">
        <v>55</v>
      </c>
      <c r="G37">
        <v>5</v>
      </c>
      <c r="H37">
        <v>3.1</v>
      </c>
      <c r="I37">
        <v>40</v>
      </c>
      <c r="J37">
        <v>36</v>
      </c>
      <c r="K37">
        <v>9.6999999999999993</v>
      </c>
      <c r="L37">
        <v>10.9</v>
      </c>
      <c r="M37">
        <v>19.600000000000001</v>
      </c>
      <c r="N37">
        <v>7800</v>
      </c>
      <c r="O37">
        <v>10.6</v>
      </c>
      <c r="P37">
        <v>3.4</v>
      </c>
      <c r="Q37" s="9">
        <v>1</v>
      </c>
    </row>
    <row r="38" spans="1:17" x14ac:dyDescent="0.25">
      <c r="A38" s="5" t="s">
        <v>206</v>
      </c>
      <c r="B38" t="s">
        <v>50</v>
      </c>
      <c r="D38" t="s">
        <v>52</v>
      </c>
      <c r="E38" t="s">
        <v>74</v>
      </c>
      <c r="F38" t="s">
        <v>56</v>
      </c>
      <c r="G38">
        <v>5</v>
      </c>
      <c r="H38">
        <v>3.1</v>
      </c>
      <c r="I38">
        <v>50</v>
      </c>
      <c r="J38">
        <v>30</v>
      </c>
      <c r="K38">
        <v>9.6999999999999993</v>
      </c>
      <c r="L38">
        <v>10.9</v>
      </c>
      <c r="M38">
        <v>19.600000000000001</v>
      </c>
      <c r="N38">
        <v>7800</v>
      </c>
      <c r="O38">
        <v>10.6</v>
      </c>
      <c r="P38">
        <v>3.4</v>
      </c>
      <c r="Q38" s="9">
        <v>1</v>
      </c>
    </row>
    <row r="39" spans="1:17" x14ac:dyDescent="0.25">
      <c r="A39" s="5" t="s">
        <v>206</v>
      </c>
      <c r="B39" t="s">
        <v>50</v>
      </c>
      <c r="D39" t="s">
        <v>52</v>
      </c>
      <c r="E39" t="s">
        <v>74</v>
      </c>
      <c r="F39" t="s">
        <v>57</v>
      </c>
      <c r="G39">
        <v>5</v>
      </c>
      <c r="H39">
        <v>3.1</v>
      </c>
      <c r="I39">
        <v>60</v>
      </c>
      <c r="J39">
        <v>35</v>
      </c>
      <c r="K39">
        <v>9.6999999999999993</v>
      </c>
      <c r="L39">
        <v>10.9</v>
      </c>
      <c r="M39">
        <v>19.600000000000001</v>
      </c>
      <c r="N39">
        <v>7800</v>
      </c>
      <c r="O39">
        <v>10.6</v>
      </c>
      <c r="P39">
        <v>3.4</v>
      </c>
      <c r="Q39" s="9">
        <v>1</v>
      </c>
    </row>
    <row r="40" spans="1:17" x14ac:dyDescent="0.25">
      <c r="A40" s="5" t="s">
        <v>206</v>
      </c>
      <c r="B40" t="s">
        <v>50</v>
      </c>
      <c r="D40" t="s">
        <v>52</v>
      </c>
      <c r="E40" t="s">
        <v>74</v>
      </c>
      <c r="F40" t="s">
        <v>58</v>
      </c>
      <c r="G40">
        <v>5</v>
      </c>
      <c r="H40">
        <v>3.1</v>
      </c>
      <c r="I40">
        <v>70</v>
      </c>
      <c r="J40">
        <v>40</v>
      </c>
      <c r="K40">
        <v>9.6999999999999993</v>
      </c>
      <c r="L40">
        <v>10.9</v>
      </c>
      <c r="M40">
        <v>19.600000000000001</v>
      </c>
      <c r="N40">
        <v>7800</v>
      </c>
      <c r="O40">
        <v>10.6</v>
      </c>
      <c r="P40">
        <v>3.4</v>
      </c>
      <c r="Q40" s="9">
        <v>1</v>
      </c>
    </row>
    <row r="41" spans="1:17" x14ac:dyDescent="0.25">
      <c r="A41" s="5" t="s">
        <v>206</v>
      </c>
      <c r="B41" t="s">
        <v>50</v>
      </c>
      <c r="D41" t="s">
        <v>52</v>
      </c>
      <c r="E41" t="s">
        <v>74</v>
      </c>
      <c r="F41" t="s">
        <v>59</v>
      </c>
      <c r="G41">
        <v>5</v>
      </c>
      <c r="H41">
        <v>3.1</v>
      </c>
      <c r="I41">
        <v>80</v>
      </c>
      <c r="J41">
        <v>50</v>
      </c>
      <c r="K41">
        <v>9.6999999999999993</v>
      </c>
      <c r="L41">
        <v>10.9</v>
      </c>
      <c r="M41">
        <v>19.600000000000001</v>
      </c>
      <c r="N41">
        <v>7800</v>
      </c>
      <c r="O41">
        <v>10.6</v>
      </c>
      <c r="P41">
        <v>3.4</v>
      </c>
      <c r="Q41" s="9">
        <v>1</v>
      </c>
    </row>
    <row r="42" spans="1:17" x14ac:dyDescent="0.25">
      <c r="A42" s="5" t="s">
        <v>206</v>
      </c>
      <c r="B42" t="s">
        <v>50</v>
      </c>
      <c r="D42" t="s">
        <v>52</v>
      </c>
      <c r="E42" t="s">
        <v>74</v>
      </c>
      <c r="F42" t="s">
        <v>63</v>
      </c>
      <c r="G42">
        <v>6</v>
      </c>
      <c r="H42">
        <v>3.7</v>
      </c>
      <c r="I42">
        <v>40</v>
      </c>
      <c r="J42">
        <v>35</v>
      </c>
      <c r="K42">
        <v>11.7</v>
      </c>
      <c r="L42">
        <v>14.6</v>
      </c>
      <c r="M42">
        <v>16</v>
      </c>
      <c r="N42">
        <v>12467</v>
      </c>
      <c r="O42">
        <v>14.2</v>
      </c>
      <c r="P42">
        <v>2.6</v>
      </c>
      <c r="Q42" s="9">
        <v>1</v>
      </c>
    </row>
    <row r="43" spans="1:17" x14ac:dyDescent="0.25">
      <c r="A43" s="5" t="s">
        <v>206</v>
      </c>
      <c r="B43" t="s">
        <v>50</v>
      </c>
      <c r="D43" t="s">
        <v>52</v>
      </c>
      <c r="E43" t="s">
        <v>74</v>
      </c>
      <c r="F43" t="s">
        <v>64</v>
      </c>
      <c r="G43">
        <v>6</v>
      </c>
      <c r="H43">
        <v>3.7</v>
      </c>
      <c r="I43">
        <v>50</v>
      </c>
      <c r="J43">
        <v>30</v>
      </c>
      <c r="K43">
        <v>11.7</v>
      </c>
      <c r="L43">
        <v>14.6</v>
      </c>
      <c r="M43">
        <v>16</v>
      </c>
      <c r="N43">
        <v>12467</v>
      </c>
      <c r="O43">
        <v>14.2</v>
      </c>
      <c r="P43">
        <v>2.6</v>
      </c>
      <c r="Q43" s="9">
        <v>1</v>
      </c>
    </row>
    <row r="44" spans="1:17" x14ac:dyDescent="0.25">
      <c r="A44" s="5" t="s">
        <v>206</v>
      </c>
      <c r="B44" t="s">
        <v>50</v>
      </c>
      <c r="D44" t="s">
        <v>52</v>
      </c>
      <c r="E44" t="s">
        <v>74</v>
      </c>
      <c r="F44" t="s">
        <v>65</v>
      </c>
      <c r="G44">
        <v>6</v>
      </c>
      <c r="H44">
        <v>3.7</v>
      </c>
      <c r="I44">
        <v>60</v>
      </c>
      <c r="J44">
        <v>35</v>
      </c>
      <c r="K44">
        <v>11.7</v>
      </c>
      <c r="L44">
        <v>14.6</v>
      </c>
      <c r="M44">
        <v>16</v>
      </c>
      <c r="N44">
        <v>12467</v>
      </c>
      <c r="O44">
        <v>14.2</v>
      </c>
      <c r="P44">
        <v>2.6</v>
      </c>
      <c r="Q44" s="9">
        <v>1</v>
      </c>
    </row>
    <row r="45" spans="1:17" x14ac:dyDescent="0.25">
      <c r="A45" s="5" t="s">
        <v>206</v>
      </c>
      <c r="B45" t="s">
        <v>50</v>
      </c>
      <c r="D45" t="s">
        <v>52</v>
      </c>
      <c r="E45" t="s">
        <v>74</v>
      </c>
      <c r="F45" t="s">
        <v>66</v>
      </c>
      <c r="G45">
        <v>6</v>
      </c>
      <c r="H45">
        <v>3.7</v>
      </c>
      <c r="I45">
        <v>70</v>
      </c>
      <c r="J45">
        <v>40</v>
      </c>
      <c r="K45">
        <v>11.7</v>
      </c>
      <c r="L45">
        <v>14.6</v>
      </c>
      <c r="M45">
        <v>16</v>
      </c>
      <c r="N45">
        <v>12467</v>
      </c>
      <c r="O45">
        <v>14.2</v>
      </c>
      <c r="P45">
        <v>2.6</v>
      </c>
      <c r="Q45" s="9">
        <v>1</v>
      </c>
    </row>
    <row r="46" spans="1:17" x14ac:dyDescent="0.25">
      <c r="A46" s="5" t="s">
        <v>206</v>
      </c>
      <c r="B46" t="s">
        <v>50</v>
      </c>
      <c r="D46" t="s">
        <v>52</v>
      </c>
      <c r="E46" t="s">
        <v>74</v>
      </c>
      <c r="F46" t="s">
        <v>67</v>
      </c>
      <c r="G46">
        <v>6</v>
      </c>
      <c r="H46">
        <v>3.7</v>
      </c>
      <c r="I46">
        <v>80</v>
      </c>
      <c r="J46">
        <v>50</v>
      </c>
      <c r="K46">
        <v>11.7</v>
      </c>
      <c r="L46">
        <v>14.6</v>
      </c>
      <c r="M46">
        <v>16</v>
      </c>
      <c r="N46">
        <v>12467</v>
      </c>
      <c r="O46">
        <v>14.2</v>
      </c>
      <c r="P46">
        <v>2.6</v>
      </c>
      <c r="Q46" s="9">
        <v>1</v>
      </c>
    </row>
    <row r="47" spans="1:17" x14ac:dyDescent="0.25">
      <c r="A47" s="5" t="s">
        <v>206</v>
      </c>
      <c r="B47" t="s">
        <v>50</v>
      </c>
      <c r="D47" t="s">
        <v>52</v>
      </c>
      <c r="E47" t="s">
        <v>74</v>
      </c>
      <c r="F47" t="s">
        <v>68</v>
      </c>
      <c r="G47">
        <v>6</v>
      </c>
      <c r="H47">
        <v>3.7</v>
      </c>
      <c r="I47">
        <v>90</v>
      </c>
      <c r="J47">
        <v>50</v>
      </c>
      <c r="K47">
        <v>11.7</v>
      </c>
      <c r="L47">
        <v>14.6</v>
      </c>
      <c r="M47">
        <v>16</v>
      </c>
      <c r="N47">
        <v>12467</v>
      </c>
      <c r="O47">
        <v>14.2</v>
      </c>
      <c r="P47">
        <v>2.6</v>
      </c>
      <c r="Q47" s="9">
        <v>1</v>
      </c>
    </row>
    <row r="48" spans="1:17" ht="15.75" customHeight="1" thickBot="1" x14ac:dyDescent="0.3">
      <c r="A48" s="6" t="s">
        <v>206</v>
      </c>
      <c r="B48" s="7" t="s">
        <v>50</v>
      </c>
      <c r="C48" s="7"/>
      <c r="D48" s="7" t="s">
        <v>52</v>
      </c>
      <c r="E48" s="7" t="s">
        <v>74</v>
      </c>
      <c r="F48" s="7" t="s">
        <v>69</v>
      </c>
      <c r="G48" s="7">
        <v>6</v>
      </c>
      <c r="H48" s="7">
        <v>3.7</v>
      </c>
      <c r="I48" s="7">
        <v>100</v>
      </c>
      <c r="J48" s="7">
        <v>60</v>
      </c>
      <c r="K48" s="7">
        <v>11.7</v>
      </c>
      <c r="L48" s="7">
        <v>14.6</v>
      </c>
      <c r="M48" s="7">
        <v>16</v>
      </c>
      <c r="N48" s="7">
        <v>12467</v>
      </c>
      <c r="O48" s="7">
        <v>14.2</v>
      </c>
      <c r="P48" s="7">
        <v>2.6</v>
      </c>
      <c r="Q48" s="10">
        <v>1</v>
      </c>
    </row>
    <row r="49" spans="1:17" x14ac:dyDescent="0.25">
      <c r="A49" s="4" t="s">
        <v>206</v>
      </c>
      <c r="B49" s="20" t="s">
        <v>34</v>
      </c>
      <c r="C49" s="20"/>
      <c r="D49" s="20" t="s">
        <v>75</v>
      </c>
      <c r="E49" s="20" t="s">
        <v>53</v>
      </c>
      <c r="F49" s="20" t="s">
        <v>76</v>
      </c>
      <c r="G49" s="20">
        <v>4.2</v>
      </c>
      <c r="H49" s="20">
        <v>2.6</v>
      </c>
      <c r="I49" s="20">
        <v>35</v>
      </c>
      <c r="J49" s="20">
        <v>20</v>
      </c>
      <c r="K49" s="20">
        <v>7</v>
      </c>
      <c r="L49" s="20">
        <v>14.1</v>
      </c>
      <c r="M49" s="20">
        <v>16.5</v>
      </c>
      <c r="N49" s="20">
        <v>2575</v>
      </c>
      <c r="O49" s="20">
        <v>4.3</v>
      </c>
      <c r="P49" s="20">
        <v>2.4</v>
      </c>
      <c r="Q49" s="8">
        <v>3</v>
      </c>
    </row>
    <row r="50" spans="1:17" x14ac:dyDescent="0.25">
      <c r="A50" s="5" t="s">
        <v>206</v>
      </c>
      <c r="B50" t="s">
        <v>34</v>
      </c>
      <c r="D50" t="s">
        <v>75</v>
      </c>
      <c r="E50" t="s">
        <v>53</v>
      </c>
      <c r="F50" t="s">
        <v>77</v>
      </c>
      <c r="G50">
        <v>4.2</v>
      </c>
      <c r="H50">
        <v>2.6</v>
      </c>
      <c r="I50">
        <v>45</v>
      </c>
      <c r="J50">
        <v>23</v>
      </c>
      <c r="K50">
        <v>7</v>
      </c>
      <c r="L50">
        <v>14.1</v>
      </c>
      <c r="M50">
        <v>16.5</v>
      </c>
      <c r="N50">
        <v>2575</v>
      </c>
      <c r="O50">
        <v>4.3</v>
      </c>
      <c r="P50">
        <v>2.4</v>
      </c>
      <c r="Q50" s="9">
        <v>3</v>
      </c>
    </row>
    <row r="51" spans="1:17" x14ac:dyDescent="0.25">
      <c r="A51" s="5" t="s">
        <v>206</v>
      </c>
      <c r="B51" t="s">
        <v>34</v>
      </c>
      <c r="D51" t="s">
        <v>75</v>
      </c>
      <c r="E51" t="s">
        <v>53</v>
      </c>
      <c r="F51" t="s">
        <v>78</v>
      </c>
      <c r="G51">
        <v>4.2</v>
      </c>
      <c r="H51">
        <v>2.6</v>
      </c>
      <c r="I51">
        <v>55</v>
      </c>
      <c r="J51">
        <v>27.5</v>
      </c>
      <c r="K51">
        <v>7</v>
      </c>
      <c r="L51">
        <v>14.1</v>
      </c>
      <c r="M51">
        <v>16.5</v>
      </c>
      <c r="N51">
        <v>2575</v>
      </c>
      <c r="O51">
        <v>4.3</v>
      </c>
      <c r="P51">
        <v>2.4</v>
      </c>
      <c r="Q51" s="9">
        <v>3</v>
      </c>
    </row>
    <row r="52" spans="1:17" x14ac:dyDescent="0.25">
      <c r="A52" s="5" t="s">
        <v>206</v>
      </c>
      <c r="B52" t="s">
        <v>34</v>
      </c>
      <c r="D52" t="s">
        <v>75</v>
      </c>
      <c r="E52" t="s">
        <v>53</v>
      </c>
      <c r="F52" t="s">
        <v>79</v>
      </c>
      <c r="G52">
        <v>4.8</v>
      </c>
      <c r="H52">
        <v>3.2</v>
      </c>
      <c r="I52">
        <v>75</v>
      </c>
      <c r="J52">
        <v>35</v>
      </c>
      <c r="K52">
        <v>7</v>
      </c>
      <c r="L52">
        <v>17.399999999999999</v>
      </c>
      <c r="M52">
        <v>13.3</v>
      </c>
      <c r="N52">
        <v>4607</v>
      </c>
      <c r="O52">
        <v>5.0999999999999996</v>
      </c>
      <c r="P52">
        <v>2.2999999999999998</v>
      </c>
      <c r="Q52" s="9">
        <v>3</v>
      </c>
    </row>
    <row r="53" spans="1:17" x14ac:dyDescent="0.25">
      <c r="A53" s="5" t="s">
        <v>206</v>
      </c>
      <c r="B53" t="s">
        <v>34</v>
      </c>
      <c r="D53" t="s">
        <v>75</v>
      </c>
      <c r="E53" t="s">
        <v>53</v>
      </c>
      <c r="F53" t="s">
        <v>80</v>
      </c>
      <c r="G53">
        <v>5.5</v>
      </c>
      <c r="H53">
        <v>3.6</v>
      </c>
      <c r="I53">
        <v>90</v>
      </c>
      <c r="J53">
        <v>45</v>
      </c>
      <c r="K53">
        <v>10</v>
      </c>
      <c r="L53">
        <v>16.600000000000001</v>
      </c>
      <c r="M53">
        <v>13.1</v>
      </c>
      <c r="N53">
        <v>6672</v>
      </c>
      <c r="O53">
        <v>6.5</v>
      </c>
      <c r="P53">
        <v>1.6</v>
      </c>
      <c r="Q53" s="9">
        <v>3</v>
      </c>
    </row>
    <row r="54" spans="1:17" x14ac:dyDescent="0.25">
      <c r="A54" s="5" t="s">
        <v>206</v>
      </c>
      <c r="B54" t="s">
        <v>34</v>
      </c>
      <c r="D54" t="s">
        <v>75</v>
      </c>
      <c r="E54" t="s">
        <v>53</v>
      </c>
      <c r="F54" t="s">
        <v>81</v>
      </c>
      <c r="G54">
        <v>5.5</v>
      </c>
      <c r="H54">
        <v>3.6</v>
      </c>
      <c r="I54">
        <v>110</v>
      </c>
      <c r="J54">
        <v>60</v>
      </c>
      <c r="K54">
        <v>10</v>
      </c>
      <c r="L54">
        <v>16.600000000000001</v>
      </c>
      <c r="M54">
        <v>13.1</v>
      </c>
      <c r="N54">
        <v>6672</v>
      </c>
      <c r="O54">
        <v>6.5</v>
      </c>
      <c r="P54">
        <v>1.6</v>
      </c>
      <c r="Q54" s="9">
        <v>3</v>
      </c>
    </row>
    <row r="55" spans="1:17" ht="15.75" customHeight="1" thickBot="1" x14ac:dyDescent="0.3">
      <c r="A55" s="6" t="s">
        <v>206</v>
      </c>
      <c r="B55" s="7" t="s">
        <v>34</v>
      </c>
      <c r="C55" s="7"/>
      <c r="D55" s="7" t="s">
        <v>75</v>
      </c>
      <c r="E55" s="7" t="s">
        <v>53</v>
      </c>
      <c r="F55" s="7" t="s">
        <v>82</v>
      </c>
      <c r="G55" s="7">
        <v>5.5</v>
      </c>
      <c r="H55" s="7">
        <v>3.6</v>
      </c>
      <c r="I55" s="7">
        <v>120</v>
      </c>
      <c r="J55" s="7">
        <v>60</v>
      </c>
      <c r="K55" s="7">
        <v>10</v>
      </c>
      <c r="L55" s="7">
        <v>16.600000000000001</v>
      </c>
      <c r="M55" s="7">
        <v>13.1</v>
      </c>
      <c r="N55" s="7">
        <v>6672</v>
      </c>
      <c r="O55" s="7">
        <v>6.5</v>
      </c>
      <c r="P55" s="7">
        <v>1.6</v>
      </c>
      <c r="Q55" s="10">
        <v>3</v>
      </c>
    </row>
    <row r="56" spans="1:17" x14ac:dyDescent="0.25">
      <c r="A56" s="4" t="s">
        <v>206</v>
      </c>
      <c r="B56" s="20" t="s">
        <v>50</v>
      </c>
      <c r="C56" s="20"/>
      <c r="D56" s="20" t="s">
        <v>83</v>
      </c>
      <c r="E56" s="20" t="s">
        <v>53</v>
      </c>
      <c r="F56" s="20" t="s">
        <v>57</v>
      </c>
      <c r="G56" s="20">
        <v>5</v>
      </c>
      <c r="H56" s="20">
        <v>3.4</v>
      </c>
      <c r="I56" s="20">
        <v>60</v>
      </c>
      <c r="J56" s="20">
        <v>32</v>
      </c>
      <c r="K56" s="20">
        <v>9.5</v>
      </c>
      <c r="L56" s="20">
        <v>17.5</v>
      </c>
      <c r="M56" s="20">
        <v>19.399999999999999</v>
      </c>
      <c r="N56" s="20">
        <v>5780</v>
      </c>
      <c r="O56" s="20">
        <v>6.9</v>
      </c>
      <c r="P56" s="20">
        <v>2.5</v>
      </c>
      <c r="Q56" s="8">
        <v>3</v>
      </c>
    </row>
    <row r="57" spans="1:17" x14ac:dyDescent="0.25">
      <c r="A57" s="5" t="s">
        <v>206</v>
      </c>
      <c r="B57" t="s">
        <v>50</v>
      </c>
      <c r="D57" t="s">
        <v>83</v>
      </c>
      <c r="E57" t="s">
        <v>53</v>
      </c>
      <c r="F57" t="s">
        <v>58</v>
      </c>
      <c r="G57">
        <v>5</v>
      </c>
      <c r="H57">
        <v>3.4</v>
      </c>
      <c r="I57">
        <v>70</v>
      </c>
      <c r="J57">
        <v>35</v>
      </c>
      <c r="K57">
        <v>9.5</v>
      </c>
      <c r="L57">
        <v>17.5</v>
      </c>
      <c r="M57">
        <v>19.399999999999999</v>
      </c>
      <c r="N57">
        <v>5780</v>
      </c>
      <c r="O57">
        <v>6.9</v>
      </c>
      <c r="P57">
        <v>2.5</v>
      </c>
      <c r="Q57" s="9">
        <v>3</v>
      </c>
    </row>
    <row r="58" spans="1:17" x14ac:dyDescent="0.25">
      <c r="A58" s="5" t="s">
        <v>206</v>
      </c>
      <c r="B58" t="s">
        <v>50</v>
      </c>
      <c r="D58" t="s">
        <v>83</v>
      </c>
      <c r="E58" t="s">
        <v>53</v>
      </c>
      <c r="F58" t="s">
        <v>59</v>
      </c>
      <c r="G58">
        <v>5</v>
      </c>
      <c r="H58">
        <v>3.4</v>
      </c>
      <c r="I58">
        <v>80</v>
      </c>
      <c r="J58">
        <v>40</v>
      </c>
      <c r="K58">
        <v>9.5</v>
      </c>
      <c r="L58">
        <v>17.5</v>
      </c>
      <c r="M58">
        <v>19.399999999999999</v>
      </c>
      <c r="N58">
        <v>5780</v>
      </c>
      <c r="O58">
        <v>6.9</v>
      </c>
      <c r="P58">
        <v>2.5</v>
      </c>
      <c r="Q58" s="9">
        <v>3</v>
      </c>
    </row>
    <row r="59" spans="1:17" x14ac:dyDescent="0.25">
      <c r="A59" s="5" t="s">
        <v>206</v>
      </c>
      <c r="B59" t="s">
        <v>50</v>
      </c>
      <c r="D59" t="s">
        <v>83</v>
      </c>
      <c r="E59" t="s">
        <v>53</v>
      </c>
      <c r="F59" t="s">
        <v>60</v>
      </c>
      <c r="G59">
        <v>5</v>
      </c>
      <c r="H59">
        <v>3.4</v>
      </c>
      <c r="I59">
        <v>90</v>
      </c>
      <c r="J59">
        <v>45</v>
      </c>
      <c r="K59">
        <v>9.5</v>
      </c>
      <c r="L59">
        <v>17.5</v>
      </c>
      <c r="M59">
        <v>19.399999999999999</v>
      </c>
      <c r="N59">
        <v>5780</v>
      </c>
      <c r="O59">
        <v>6.9</v>
      </c>
      <c r="P59">
        <v>2.5</v>
      </c>
      <c r="Q59" s="9">
        <v>3</v>
      </c>
    </row>
    <row r="60" spans="1:17" x14ac:dyDescent="0.25">
      <c r="A60" s="5" t="s">
        <v>206</v>
      </c>
      <c r="B60" t="s">
        <v>50</v>
      </c>
      <c r="D60" t="s">
        <v>83</v>
      </c>
      <c r="E60" t="s">
        <v>53</v>
      </c>
      <c r="F60" t="s">
        <v>61</v>
      </c>
      <c r="G60">
        <v>5</v>
      </c>
      <c r="H60">
        <v>3.4</v>
      </c>
      <c r="I60">
        <v>100</v>
      </c>
      <c r="J60">
        <v>55</v>
      </c>
      <c r="K60">
        <v>9.5</v>
      </c>
      <c r="L60">
        <v>17.5</v>
      </c>
      <c r="M60">
        <v>19.399999999999999</v>
      </c>
      <c r="N60">
        <v>5780</v>
      </c>
      <c r="O60">
        <v>6.9</v>
      </c>
      <c r="P60">
        <v>2.5</v>
      </c>
      <c r="Q60" s="9">
        <v>3</v>
      </c>
    </row>
    <row r="61" spans="1:17" x14ac:dyDescent="0.25">
      <c r="A61" s="5" t="s">
        <v>206</v>
      </c>
      <c r="B61" t="s">
        <v>50</v>
      </c>
      <c r="D61" t="s">
        <v>83</v>
      </c>
      <c r="E61" t="s">
        <v>53</v>
      </c>
      <c r="F61" t="s">
        <v>62</v>
      </c>
      <c r="G61">
        <v>5</v>
      </c>
      <c r="H61">
        <v>3.4</v>
      </c>
      <c r="I61">
        <v>120</v>
      </c>
      <c r="J61">
        <v>60</v>
      </c>
      <c r="K61">
        <v>9.5</v>
      </c>
      <c r="L61">
        <v>17.5</v>
      </c>
      <c r="M61">
        <v>19.399999999999999</v>
      </c>
      <c r="N61">
        <v>5780</v>
      </c>
      <c r="O61">
        <v>6.9</v>
      </c>
      <c r="P61">
        <v>2.5</v>
      </c>
      <c r="Q61" s="9">
        <v>3</v>
      </c>
    </row>
    <row r="62" spans="1:17" x14ac:dyDescent="0.25">
      <c r="A62" s="5" t="s">
        <v>206</v>
      </c>
      <c r="B62" t="s">
        <v>50</v>
      </c>
      <c r="D62" t="s">
        <v>83</v>
      </c>
      <c r="E62" t="s">
        <v>53</v>
      </c>
      <c r="F62" t="s">
        <v>66</v>
      </c>
      <c r="G62">
        <v>6</v>
      </c>
      <c r="H62">
        <v>4</v>
      </c>
      <c r="I62">
        <v>70</v>
      </c>
      <c r="J62">
        <v>35</v>
      </c>
      <c r="K62">
        <v>11.6</v>
      </c>
      <c r="L62">
        <v>16.2</v>
      </c>
      <c r="M62">
        <v>22.4</v>
      </c>
      <c r="N62">
        <v>8892</v>
      </c>
      <c r="O62">
        <v>9.1999999999999993</v>
      </c>
      <c r="P62">
        <v>2.6</v>
      </c>
      <c r="Q62" s="9">
        <v>3</v>
      </c>
    </row>
    <row r="63" spans="1:17" x14ac:dyDescent="0.25">
      <c r="A63" s="5" t="s">
        <v>206</v>
      </c>
      <c r="B63" t="s">
        <v>50</v>
      </c>
      <c r="D63" t="s">
        <v>83</v>
      </c>
      <c r="E63" t="s">
        <v>53</v>
      </c>
      <c r="F63" t="s">
        <v>67</v>
      </c>
      <c r="G63">
        <v>6</v>
      </c>
      <c r="H63">
        <v>4</v>
      </c>
      <c r="I63">
        <v>80</v>
      </c>
      <c r="J63">
        <v>40</v>
      </c>
      <c r="K63">
        <v>11.6</v>
      </c>
      <c r="L63">
        <v>16.2</v>
      </c>
      <c r="M63">
        <v>22.4</v>
      </c>
      <c r="N63">
        <v>8892</v>
      </c>
      <c r="O63">
        <v>9.1999999999999993</v>
      </c>
      <c r="P63">
        <v>2.6</v>
      </c>
      <c r="Q63" s="9">
        <v>3</v>
      </c>
    </row>
    <row r="64" spans="1:17" x14ac:dyDescent="0.25">
      <c r="A64" s="5" t="s">
        <v>206</v>
      </c>
      <c r="B64" t="s">
        <v>50</v>
      </c>
      <c r="D64" t="s">
        <v>83</v>
      </c>
      <c r="E64" t="s">
        <v>53</v>
      </c>
      <c r="F64" t="s">
        <v>68</v>
      </c>
      <c r="G64">
        <v>6</v>
      </c>
      <c r="H64">
        <v>4</v>
      </c>
      <c r="I64">
        <v>90</v>
      </c>
      <c r="J64">
        <v>45</v>
      </c>
      <c r="K64">
        <v>11.6</v>
      </c>
      <c r="L64">
        <v>16.2</v>
      </c>
      <c r="M64">
        <v>22.4</v>
      </c>
      <c r="N64">
        <v>8892</v>
      </c>
      <c r="O64">
        <v>9.1999999999999993</v>
      </c>
      <c r="P64">
        <v>2.6</v>
      </c>
      <c r="Q64" s="9">
        <v>3</v>
      </c>
    </row>
    <row r="65" spans="1:17" x14ac:dyDescent="0.25">
      <c r="A65" s="5" t="s">
        <v>206</v>
      </c>
      <c r="B65" t="s">
        <v>50</v>
      </c>
      <c r="D65" t="s">
        <v>83</v>
      </c>
      <c r="E65" t="s">
        <v>53</v>
      </c>
      <c r="F65" t="s">
        <v>69</v>
      </c>
      <c r="G65">
        <v>6</v>
      </c>
      <c r="H65">
        <v>4</v>
      </c>
      <c r="I65">
        <v>100</v>
      </c>
      <c r="J65">
        <v>55</v>
      </c>
      <c r="K65">
        <v>11.6</v>
      </c>
      <c r="L65">
        <v>16.2</v>
      </c>
      <c r="M65">
        <v>22.4</v>
      </c>
      <c r="N65">
        <v>8892</v>
      </c>
      <c r="O65">
        <v>9.1999999999999993</v>
      </c>
      <c r="P65">
        <v>2.6</v>
      </c>
      <c r="Q65" s="9">
        <v>3</v>
      </c>
    </row>
    <row r="66" spans="1:17" x14ac:dyDescent="0.25">
      <c r="A66" s="5" t="s">
        <v>206</v>
      </c>
      <c r="B66" t="s">
        <v>50</v>
      </c>
      <c r="D66" t="s">
        <v>83</v>
      </c>
      <c r="E66" t="s">
        <v>53</v>
      </c>
      <c r="F66" t="s">
        <v>70</v>
      </c>
      <c r="G66">
        <v>6</v>
      </c>
      <c r="H66">
        <v>4</v>
      </c>
      <c r="I66">
        <v>120</v>
      </c>
      <c r="J66">
        <v>60</v>
      </c>
      <c r="K66">
        <v>11.6</v>
      </c>
      <c r="L66">
        <v>16.2</v>
      </c>
      <c r="M66">
        <v>22.4</v>
      </c>
      <c r="N66">
        <v>8892</v>
      </c>
      <c r="O66">
        <v>9.1999999999999993</v>
      </c>
      <c r="P66">
        <v>2.6</v>
      </c>
      <c r="Q66" s="9">
        <v>3</v>
      </c>
    </row>
    <row r="67" spans="1:17" ht="15.75" customHeight="1" thickBot="1" x14ac:dyDescent="0.3">
      <c r="A67" s="6" t="s">
        <v>206</v>
      </c>
      <c r="B67" s="7" t="s">
        <v>50</v>
      </c>
      <c r="C67" s="7"/>
      <c r="D67" s="7" t="s">
        <v>83</v>
      </c>
      <c r="E67" s="7" t="s">
        <v>53</v>
      </c>
      <c r="F67" s="7" t="s">
        <v>71</v>
      </c>
      <c r="G67" s="7">
        <v>6</v>
      </c>
      <c r="H67" s="7">
        <v>4</v>
      </c>
      <c r="I67" s="7">
        <v>140</v>
      </c>
      <c r="J67" s="7">
        <v>65</v>
      </c>
      <c r="K67" s="7">
        <v>11.6</v>
      </c>
      <c r="L67" s="7">
        <v>16.2</v>
      </c>
      <c r="M67" s="7">
        <v>22.4</v>
      </c>
      <c r="N67" s="7">
        <v>8892</v>
      </c>
      <c r="O67" s="7">
        <v>9.1999999999999993</v>
      </c>
      <c r="P67" s="7">
        <v>2.6</v>
      </c>
      <c r="Q67" s="10">
        <v>3</v>
      </c>
    </row>
    <row r="68" spans="1:17" x14ac:dyDescent="0.25">
      <c r="A68" s="4" t="s">
        <v>206</v>
      </c>
      <c r="B68" s="20" t="s">
        <v>34</v>
      </c>
      <c r="C68" s="20" t="s">
        <v>35</v>
      </c>
      <c r="D68" s="20" t="s">
        <v>36</v>
      </c>
      <c r="E68" s="20" t="s">
        <v>53</v>
      </c>
      <c r="F68" s="20" t="s">
        <v>84</v>
      </c>
      <c r="G68" s="20">
        <v>5</v>
      </c>
      <c r="H68" s="20">
        <v>3.7</v>
      </c>
      <c r="I68" s="20">
        <v>55</v>
      </c>
      <c r="J68" s="20">
        <v>31</v>
      </c>
      <c r="K68" s="20">
        <v>8.6999999999999993</v>
      </c>
      <c r="L68" s="20">
        <v>12.7</v>
      </c>
      <c r="M68" s="20">
        <v>22.2</v>
      </c>
      <c r="N68" s="20">
        <v>8800</v>
      </c>
      <c r="O68" s="20">
        <v>10.1</v>
      </c>
      <c r="P68" s="20">
        <v>2</v>
      </c>
      <c r="Q68" s="8">
        <v>1</v>
      </c>
    </row>
    <row r="69" spans="1:17" x14ac:dyDescent="0.25">
      <c r="A69" s="5" t="s">
        <v>206</v>
      </c>
      <c r="B69" t="s">
        <v>34</v>
      </c>
      <c r="C69" t="s">
        <v>35</v>
      </c>
      <c r="D69" t="s">
        <v>36</v>
      </c>
      <c r="E69" t="s">
        <v>53</v>
      </c>
      <c r="F69" t="s">
        <v>85</v>
      </c>
      <c r="G69">
        <v>5</v>
      </c>
      <c r="H69">
        <v>3.7</v>
      </c>
      <c r="I69">
        <v>75</v>
      </c>
      <c r="J69">
        <v>50</v>
      </c>
      <c r="K69">
        <v>8.6999999999999993</v>
      </c>
      <c r="L69">
        <v>12.7</v>
      </c>
      <c r="M69">
        <v>22.2</v>
      </c>
      <c r="N69">
        <v>8800</v>
      </c>
      <c r="O69">
        <v>10.1</v>
      </c>
      <c r="P69">
        <v>2</v>
      </c>
      <c r="Q69" s="9">
        <v>1</v>
      </c>
    </row>
    <row r="70" spans="1:17" x14ac:dyDescent="0.25">
      <c r="A70" s="5" t="s">
        <v>206</v>
      </c>
      <c r="B70" t="s">
        <v>34</v>
      </c>
      <c r="C70" t="s">
        <v>35</v>
      </c>
      <c r="D70" t="s">
        <v>36</v>
      </c>
      <c r="E70" t="s">
        <v>53</v>
      </c>
      <c r="F70" t="s">
        <v>59</v>
      </c>
      <c r="G70">
        <v>5</v>
      </c>
      <c r="H70">
        <v>3.7</v>
      </c>
      <c r="I70">
        <v>80</v>
      </c>
      <c r="J70">
        <v>40</v>
      </c>
      <c r="K70">
        <v>8.6999999999999993</v>
      </c>
      <c r="L70">
        <v>12.7</v>
      </c>
      <c r="M70">
        <v>22.2</v>
      </c>
      <c r="N70">
        <v>8800</v>
      </c>
      <c r="O70">
        <v>10.1</v>
      </c>
      <c r="P70">
        <v>2</v>
      </c>
      <c r="Q70" s="9">
        <v>1</v>
      </c>
    </row>
    <row r="71" spans="1:17" x14ac:dyDescent="0.25">
      <c r="A71" s="5" t="s">
        <v>206</v>
      </c>
      <c r="B71" t="s">
        <v>34</v>
      </c>
      <c r="C71" t="s">
        <v>35</v>
      </c>
      <c r="D71" t="s">
        <v>36</v>
      </c>
      <c r="E71" t="s">
        <v>53</v>
      </c>
      <c r="F71" t="s">
        <v>60</v>
      </c>
      <c r="G71">
        <v>5</v>
      </c>
      <c r="H71">
        <v>3.7</v>
      </c>
      <c r="I71">
        <v>90</v>
      </c>
      <c r="J71">
        <v>45</v>
      </c>
      <c r="K71">
        <v>8.6999999999999993</v>
      </c>
      <c r="L71">
        <v>12.7</v>
      </c>
      <c r="M71">
        <v>22.2</v>
      </c>
      <c r="N71">
        <v>8800</v>
      </c>
      <c r="O71">
        <v>10.1</v>
      </c>
      <c r="P71">
        <v>2</v>
      </c>
      <c r="Q71" s="9">
        <v>1</v>
      </c>
    </row>
    <row r="72" spans="1:17" x14ac:dyDescent="0.25">
      <c r="A72" s="5" t="s">
        <v>206</v>
      </c>
      <c r="B72" t="s">
        <v>34</v>
      </c>
      <c r="C72" t="s">
        <v>35</v>
      </c>
      <c r="D72" t="s">
        <v>36</v>
      </c>
      <c r="E72" t="s">
        <v>53</v>
      </c>
      <c r="F72" t="s">
        <v>61</v>
      </c>
      <c r="G72">
        <v>5</v>
      </c>
      <c r="H72">
        <v>3.7</v>
      </c>
      <c r="I72">
        <v>100</v>
      </c>
      <c r="J72">
        <v>50</v>
      </c>
      <c r="K72">
        <v>8.6999999999999993</v>
      </c>
      <c r="L72">
        <v>12.7</v>
      </c>
      <c r="M72">
        <v>22.2</v>
      </c>
      <c r="N72">
        <v>8800</v>
      </c>
      <c r="O72">
        <v>10.1</v>
      </c>
      <c r="P72">
        <v>2</v>
      </c>
      <c r="Q72" s="9">
        <v>1</v>
      </c>
    </row>
    <row r="73" spans="1:17" x14ac:dyDescent="0.25">
      <c r="A73" s="5" t="s">
        <v>206</v>
      </c>
      <c r="B73" t="s">
        <v>34</v>
      </c>
      <c r="C73" t="s">
        <v>35</v>
      </c>
      <c r="D73" t="s">
        <v>36</v>
      </c>
      <c r="E73" t="s">
        <v>53</v>
      </c>
      <c r="F73" t="s">
        <v>62</v>
      </c>
      <c r="G73">
        <v>5</v>
      </c>
      <c r="H73">
        <v>3.7</v>
      </c>
      <c r="I73">
        <v>120</v>
      </c>
      <c r="J73">
        <v>50</v>
      </c>
      <c r="K73">
        <v>8.6999999999999993</v>
      </c>
      <c r="L73">
        <v>12.7</v>
      </c>
      <c r="M73">
        <v>22.2</v>
      </c>
      <c r="N73">
        <v>8800</v>
      </c>
      <c r="O73">
        <v>10.1</v>
      </c>
      <c r="P73">
        <v>2</v>
      </c>
      <c r="Q73" s="9">
        <v>1</v>
      </c>
    </row>
    <row r="74" spans="1:17" x14ac:dyDescent="0.25">
      <c r="A74" s="5" t="s">
        <v>206</v>
      </c>
      <c r="B74" t="s">
        <v>34</v>
      </c>
      <c r="C74" t="s">
        <v>35</v>
      </c>
      <c r="D74" t="s">
        <v>36</v>
      </c>
      <c r="E74" t="s">
        <v>53</v>
      </c>
      <c r="F74" t="s">
        <v>86</v>
      </c>
      <c r="G74">
        <v>5</v>
      </c>
      <c r="H74">
        <v>3.7</v>
      </c>
      <c r="I74">
        <v>140</v>
      </c>
      <c r="J74">
        <v>50</v>
      </c>
      <c r="K74">
        <v>8.6999999999999993</v>
      </c>
      <c r="L74">
        <v>12.7</v>
      </c>
      <c r="M74">
        <v>22.2</v>
      </c>
      <c r="N74">
        <v>8800</v>
      </c>
      <c r="O74">
        <v>10.1</v>
      </c>
      <c r="P74">
        <v>2</v>
      </c>
      <c r="Q74" s="9">
        <v>1</v>
      </c>
    </row>
    <row r="75" spans="1:17" x14ac:dyDescent="0.25">
      <c r="A75" s="5" t="s">
        <v>206</v>
      </c>
      <c r="B75" t="s">
        <v>34</v>
      </c>
      <c r="C75" t="s">
        <v>35</v>
      </c>
      <c r="D75" t="s">
        <v>36</v>
      </c>
      <c r="E75" t="s">
        <v>53</v>
      </c>
      <c r="F75" t="s">
        <v>87</v>
      </c>
      <c r="G75">
        <v>6</v>
      </c>
      <c r="H75">
        <v>4</v>
      </c>
      <c r="I75">
        <v>55</v>
      </c>
      <c r="J75">
        <v>31.5</v>
      </c>
      <c r="K75">
        <v>11.5</v>
      </c>
      <c r="L75">
        <v>11.5</v>
      </c>
      <c r="M75">
        <v>16.5</v>
      </c>
      <c r="N75">
        <v>10900</v>
      </c>
      <c r="O75">
        <v>12.2</v>
      </c>
      <c r="P75">
        <v>2.6</v>
      </c>
      <c r="Q75" s="9">
        <v>3</v>
      </c>
    </row>
    <row r="76" spans="1:17" x14ac:dyDescent="0.25">
      <c r="A76" s="5" t="s">
        <v>206</v>
      </c>
      <c r="B76" t="s">
        <v>34</v>
      </c>
      <c r="C76" t="s">
        <v>35</v>
      </c>
      <c r="D76" t="s">
        <v>36</v>
      </c>
      <c r="E76" t="s">
        <v>53</v>
      </c>
      <c r="F76" t="s">
        <v>88</v>
      </c>
      <c r="G76">
        <v>6</v>
      </c>
      <c r="H76">
        <v>4</v>
      </c>
      <c r="I76">
        <v>75</v>
      </c>
      <c r="J76">
        <v>50</v>
      </c>
      <c r="K76">
        <v>11.5</v>
      </c>
      <c r="L76">
        <v>11.5</v>
      </c>
      <c r="M76">
        <v>16.5</v>
      </c>
      <c r="N76">
        <v>10900</v>
      </c>
      <c r="O76">
        <v>12.2</v>
      </c>
      <c r="P76">
        <v>2.6</v>
      </c>
      <c r="Q76" s="9">
        <v>3</v>
      </c>
    </row>
    <row r="77" spans="1:17" x14ac:dyDescent="0.25">
      <c r="A77" s="5" t="s">
        <v>206</v>
      </c>
      <c r="B77" t="s">
        <v>34</v>
      </c>
      <c r="C77" t="s">
        <v>35</v>
      </c>
      <c r="D77" t="s">
        <v>36</v>
      </c>
      <c r="E77" t="s">
        <v>53</v>
      </c>
      <c r="F77" t="s">
        <v>67</v>
      </c>
      <c r="G77">
        <v>6</v>
      </c>
      <c r="H77">
        <v>4</v>
      </c>
      <c r="I77">
        <v>80</v>
      </c>
      <c r="J77">
        <v>40</v>
      </c>
      <c r="K77">
        <v>11.5</v>
      </c>
      <c r="L77">
        <v>11.5</v>
      </c>
      <c r="M77">
        <v>16.5</v>
      </c>
      <c r="N77">
        <v>10900</v>
      </c>
      <c r="O77">
        <v>12.2</v>
      </c>
      <c r="P77">
        <v>2.6</v>
      </c>
      <c r="Q77" s="9">
        <v>3</v>
      </c>
    </row>
    <row r="78" spans="1:17" x14ac:dyDescent="0.25">
      <c r="A78" s="5" t="s">
        <v>206</v>
      </c>
      <c r="B78" t="s">
        <v>34</v>
      </c>
      <c r="C78" t="s">
        <v>35</v>
      </c>
      <c r="D78" t="s">
        <v>36</v>
      </c>
      <c r="E78" t="s">
        <v>53</v>
      </c>
      <c r="F78" t="s">
        <v>68</v>
      </c>
      <c r="G78">
        <v>6</v>
      </c>
      <c r="H78">
        <v>4</v>
      </c>
      <c r="I78">
        <v>90</v>
      </c>
      <c r="J78">
        <v>45</v>
      </c>
      <c r="K78">
        <v>11.5</v>
      </c>
      <c r="L78">
        <v>11.5</v>
      </c>
      <c r="M78">
        <v>16.5</v>
      </c>
      <c r="N78">
        <v>10900</v>
      </c>
      <c r="O78">
        <v>12.2</v>
      </c>
      <c r="P78">
        <v>2.6</v>
      </c>
      <c r="Q78" s="9">
        <v>3</v>
      </c>
    </row>
    <row r="79" spans="1:17" x14ac:dyDescent="0.25">
      <c r="A79" s="5" t="s">
        <v>206</v>
      </c>
      <c r="B79" t="s">
        <v>34</v>
      </c>
      <c r="C79" t="s">
        <v>35</v>
      </c>
      <c r="D79" t="s">
        <v>36</v>
      </c>
      <c r="E79" t="s">
        <v>53</v>
      </c>
      <c r="F79" t="s">
        <v>69</v>
      </c>
      <c r="G79">
        <v>6</v>
      </c>
      <c r="H79">
        <v>4</v>
      </c>
      <c r="I79">
        <v>100</v>
      </c>
      <c r="J79">
        <v>41</v>
      </c>
      <c r="K79">
        <v>11.5</v>
      </c>
      <c r="L79">
        <v>11.5</v>
      </c>
      <c r="M79">
        <v>16.5</v>
      </c>
      <c r="N79">
        <v>10900</v>
      </c>
      <c r="O79">
        <v>12.2</v>
      </c>
      <c r="P79">
        <v>2.6</v>
      </c>
      <c r="Q79" s="9">
        <v>3</v>
      </c>
    </row>
    <row r="80" spans="1:17" x14ac:dyDescent="0.25">
      <c r="A80" s="5" t="s">
        <v>206</v>
      </c>
      <c r="B80" t="s">
        <v>34</v>
      </c>
      <c r="C80" t="s">
        <v>35</v>
      </c>
      <c r="D80" t="s">
        <v>36</v>
      </c>
      <c r="E80" t="s">
        <v>53</v>
      </c>
      <c r="F80" t="s">
        <v>89</v>
      </c>
      <c r="G80">
        <v>6</v>
      </c>
      <c r="H80">
        <v>4</v>
      </c>
      <c r="I80">
        <v>110</v>
      </c>
      <c r="J80">
        <v>50</v>
      </c>
      <c r="K80">
        <v>11.5</v>
      </c>
      <c r="L80">
        <v>11.5</v>
      </c>
      <c r="M80">
        <v>16.5</v>
      </c>
      <c r="N80">
        <v>10900</v>
      </c>
      <c r="O80">
        <v>12.2</v>
      </c>
      <c r="P80">
        <v>2.6</v>
      </c>
      <c r="Q80" s="9">
        <v>3</v>
      </c>
    </row>
    <row r="81" spans="1:17" x14ac:dyDescent="0.25">
      <c r="A81" s="5" t="s">
        <v>206</v>
      </c>
      <c r="B81" t="s">
        <v>34</v>
      </c>
      <c r="C81" t="s">
        <v>35</v>
      </c>
      <c r="D81" t="s">
        <v>36</v>
      </c>
      <c r="E81" t="s">
        <v>53</v>
      </c>
      <c r="F81" t="s">
        <v>70</v>
      </c>
      <c r="G81">
        <v>6</v>
      </c>
      <c r="H81">
        <v>4</v>
      </c>
      <c r="I81">
        <v>120</v>
      </c>
      <c r="J81">
        <v>50</v>
      </c>
      <c r="K81">
        <v>11.5</v>
      </c>
      <c r="L81">
        <v>11.5</v>
      </c>
      <c r="M81">
        <v>16.5</v>
      </c>
      <c r="N81">
        <v>10900</v>
      </c>
      <c r="O81">
        <v>12.2</v>
      </c>
      <c r="P81">
        <v>2.6</v>
      </c>
      <c r="Q81" s="9">
        <v>3</v>
      </c>
    </row>
    <row r="82" spans="1:17" ht="15.75" customHeight="1" thickBot="1" x14ac:dyDescent="0.3">
      <c r="A82" s="6" t="s">
        <v>206</v>
      </c>
      <c r="B82" s="7" t="s">
        <v>34</v>
      </c>
      <c r="C82" s="7" t="s">
        <v>35</v>
      </c>
      <c r="D82" s="7" t="s">
        <v>36</v>
      </c>
      <c r="E82" s="7" t="s">
        <v>53</v>
      </c>
      <c r="F82" s="7" t="s">
        <v>71</v>
      </c>
      <c r="G82" s="7">
        <v>6</v>
      </c>
      <c r="H82" s="7">
        <v>4</v>
      </c>
      <c r="I82" s="7">
        <v>140</v>
      </c>
      <c r="J82" s="7">
        <v>50</v>
      </c>
      <c r="K82" s="7">
        <v>11.5</v>
      </c>
      <c r="L82" s="7">
        <v>11.5</v>
      </c>
      <c r="M82" s="7">
        <v>16.5</v>
      </c>
      <c r="N82" s="7">
        <v>10900</v>
      </c>
      <c r="O82" s="7">
        <v>12.2</v>
      </c>
      <c r="P82" s="7">
        <v>2.6</v>
      </c>
      <c r="Q82" s="10">
        <v>3</v>
      </c>
    </row>
    <row r="83" spans="1:17" x14ac:dyDescent="0.25">
      <c r="A83" s="11" t="s">
        <v>206</v>
      </c>
      <c r="B83" s="12" t="s">
        <v>50</v>
      </c>
      <c r="C83" s="12" t="s">
        <v>90</v>
      </c>
      <c r="D83" s="12" t="s">
        <v>91</v>
      </c>
      <c r="E83" s="12" t="s">
        <v>37</v>
      </c>
      <c r="F83" s="12" t="s">
        <v>63</v>
      </c>
      <c r="G83" s="12">
        <v>6</v>
      </c>
      <c r="H83" s="12">
        <v>3.7</v>
      </c>
      <c r="I83" s="12">
        <v>40</v>
      </c>
      <c r="J83" s="12">
        <v>23</v>
      </c>
      <c r="K83" s="12">
        <v>10</v>
      </c>
      <c r="L83" s="12">
        <v>18</v>
      </c>
      <c r="M83" s="12">
        <v>33.1</v>
      </c>
      <c r="N83" s="12">
        <v>12795</v>
      </c>
      <c r="O83" s="12">
        <v>13.5</v>
      </c>
      <c r="P83" s="12">
        <v>2.2999999999999998</v>
      </c>
      <c r="Q83" s="13">
        <v>3</v>
      </c>
    </row>
    <row r="84" spans="1:17" x14ac:dyDescent="0.25">
      <c r="A84" s="14" t="s">
        <v>206</v>
      </c>
      <c r="B84" s="15" t="s">
        <v>50</v>
      </c>
      <c r="C84" s="15" t="s">
        <v>90</v>
      </c>
      <c r="D84" s="15" t="s">
        <v>91</v>
      </c>
      <c r="E84" s="15" t="s">
        <v>37</v>
      </c>
      <c r="F84" s="15" t="s">
        <v>64</v>
      </c>
      <c r="G84" s="15">
        <v>6</v>
      </c>
      <c r="H84" s="15">
        <v>3.7</v>
      </c>
      <c r="I84" s="15">
        <v>50</v>
      </c>
      <c r="J84" s="15">
        <v>33</v>
      </c>
      <c r="K84" s="15">
        <v>10</v>
      </c>
      <c r="L84" s="15">
        <v>18</v>
      </c>
      <c r="M84" s="15">
        <v>33.1</v>
      </c>
      <c r="N84" s="15">
        <v>12795</v>
      </c>
      <c r="O84" s="15">
        <v>13.5</v>
      </c>
      <c r="P84" s="15">
        <v>2.2999999999999998</v>
      </c>
      <c r="Q84" s="16">
        <v>3</v>
      </c>
    </row>
    <row r="85" spans="1:17" x14ac:dyDescent="0.25">
      <c r="A85" s="14" t="s">
        <v>206</v>
      </c>
      <c r="B85" s="15" t="s">
        <v>50</v>
      </c>
      <c r="C85" s="15" t="s">
        <v>90</v>
      </c>
      <c r="D85" s="15" t="s">
        <v>91</v>
      </c>
      <c r="E85" s="15" t="s">
        <v>37</v>
      </c>
      <c r="F85" s="15" t="s">
        <v>65</v>
      </c>
      <c r="G85" s="15">
        <v>6</v>
      </c>
      <c r="H85" s="15">
        <v>3.7</v>
      </c>
      <c r="I85" s="15">
        <v>60</v>
      </c>
      <c r="J85" s="15">
        <v>42</v>
      </c>
      <c r="K85" s="15">
        <v>10</v>
      </c>
      <c r="L85" s="15">
        <v>18</v>
      </c>
      <c r="M85" s="15">
        <v>33.1</v>
      </c>
      <c r="N85" s="15">
        <v>12795</v>
      </c>
      <c r="O85" s="15">
        <v>13.5</v>
      </c>
      <c r="P85" s="15">
        <v>2.2999999999999998</v>
      </c>
      <c r="Q85" s="16">
        <v>3</v>
      </c>
    </row>
    <row r="86" spans="1:17" x14ac:dyDescent="0.25">
      <c r="A86" s="14" t="s">
        <v>206</v>
      </c>
      <c r="B86" s="15" t="s">
        <v>50</v>
      </c>
      <c r="C86" s="15" t="s">
        <v>90</v>
      </c>
      <c r="D86" s="15" t="s">
        <v>91</v>
      </c>
      <c r="E86" s="15" t="s">
        <v>37</v>
      </c>
      <c r="F86" s="15" t="s">
        <v>88</v>
      </c>
      <c r="G86" s="15">
        <v>6</v>
      </c>
      <c r="H86" s="15">
        <v>3.7</v>
      </c>
      <c r="I86" s="15">
        <v>75</v>
      </c>
      <c r="J86" s="15">
        <v>42</v>
      </c>
      <c r="K86" s="15">
        <v>10</v>
      </c>
      <c r="L86" s="15">
        <v>18</v>
      </c>
      <c r="M86" s="15">
        <v>33.1</v>
      </c>
      <c r="N86" s="15">
        <v>12795</v>
      </c>
      <c r="O86" s="15">
        <v>13.5</v>
      </c>
      <c r="P86" s="15">
        <v>2.2999999999999998</v>
      </c>
      <c r="Q86" s="16">
        <v>3</v>
      </c>
    </row>
    <row r="87" spans="1:17" x14ac:dyDescent="0.25">
      <c r="A87" s="14" t="s">
        <v>206</v>
      </c>
      <c r="B87" s="15" t="s">
        <v>50</v>
      </c>
      <c r="C87" s="15" t="s">
        <v>90</v>
      </c>
      <c r="D87" s="15" t="s">
        <v>91</v>
      </c>
      <c r="E87" s="15" t="s">
        <v>37</v>
      </c>
      <c r="F87" s="15" t="s">
        <v>68</v>
      </c>
      <c r="G87" s="15">
        <v>6</v>
      </c>
      <c r="H87" s="15">
        <v>3.7</v>
      </c>
      <c r="I87" s="15">
        <v>90</v>
      </c>
      <c r="J87" s="15">
        <v>42</v>
      </c>
      <c r="K87" s="15">
        <v>10</v>
      </c>
      <c r="L87" s="15">
        <v>18</v>
      </c>
      <c r="M87" s="15">
        <v>33.1</v>
      </c>
      <c r="N87" s="15">
        <v>12795</v>
      </c>
      <c r="O87" s="15">
        <v>13.5</v>
      </c>
      <c r="P87" s="15">
        <v>2.2999999999999998</v>
      </c>
      <c r="Q87" s="16">
        <v>3</v>
      </c>
    </row>
    <row r="88" spans="1:17" x14ac:dyDescent="0.25">
      <c r="A88" s="14" t="s">
        <v>206</v>
      </c>
      <c r="B88" s="15" t="s">
        <v>50</v>
      </c>
      <c r="C88" s="15" t="s">
        <v>90</v>
      </c>
      <c r="D88" s="15" t="s">
        <v>91</v>
      </c>
      <c r="E88" s="15" t="s">
        <v>37</v>
      </c>
      <c r="F88" s="15" t="s">
        <v>70</v>
      </c>
      <c r="G88" s="15">
        <v>6</v>
      </c>
      <c r="H88" s="15">
        <v>3.7</v>
      </c>
      <c r="I88" s="15">
        <v>120</v>
      </c>
      <c r="J88" s="15">
        <v>75</v>
      </c>
      <c r="K88" s="15">
        <v>10</v>
      </c>
      <c r="L88" s="15">
        <v>18</v>
      </c>
      <c r="M88" s="15">
        <v>33.1</v>
      </c>
      <c r="N88" s="15">
        <v>12795</v>
      </c>
      <c r="O88" s="15">
        <v>13.5</v>
      </c>
      <c r="P88" s="15">
        <v>2.2999999999999998</v>
      </c>
      <c r="Q88" s="16">
        <v>3</v>
      </c>
    </row>
    <row r="89" spans="1:17" x14ac:dyDescent="0.25">
      <c r="A89" s="14" t="s">
        <v>206</v>
      </c>
      <c r="B89" s="15" t="s">
        <v>50</v>
      </c>
      <c r="C89" s="15" t="s">
        <v>90</v>
      </c>
      <c r="D89" s="15" t="s">
        <v>91</v>
      </c>
      <c r="E89" s="15" t="s">
        <v>37</v>
      </c>
      <c r="F89" s="15" t="s">
        <v>92</v>
      </c>
      <c r="G89" s="15">
        <v>8</v>
      </c>
      <c r="H89" s="15">
        <v>5.0999999999999996</v>
      </c>
      <c r="I89" s="15">
        <v>40</v>
      </c>
      <c r="J89" s="15">
        <v>23</v>
      </c>
      <c r="K89" s="15">
        <v>13</v>
      </c>
      <c r="L89" s="15">
        <v>16</v>
      </c>
      <c r="M89" s="15">
        <v>21.8</v>
      </c>
      <c r="N89" s="15">
        <v>29726</v>
      </c>
      <c r="O89" s="15">
        <v>24</v>
      </c>
      <c r="P89" s="15">
        <v>3.2</v>
      </c>
      <c r="Q89" s="16">
        <v>3</v>
      </c>
    </row>
    <row r="90" spans="1:17" x14ac:dyDescent="0.25">
      <c r="A90" s="14" t="s">
        <v>206</v>
      </c>
      <c r="B90" s="15" t="s">
        <v>50</v>
      </c>
      <c r="C90" s="15" t="s">
        <v>90</v>
      </c>
      <c r="D90" s="15" t="s">
        <v>91</v>
      </c>
      <c r="E90" s="15" t="s">
        <v>37</v>
      </c>
      <c r="F90" s="15" t="s">
        <v>93</v>
      </c>
      <c r="G90" s="15">
        <v>8</v>
      </c>
      <c r="H90" s="15">
        <v>5.0999999999999996</v>
      </c>
      <c r="I90" s="15">
        <v>50</v>
      </c>
      <c r="J90" s="15">
        <v>33</v>
      </c>
      <c r="K90" s="15">
        <v>13</v>
      </c>
      <c r="L90" s="15">
        <v>16</v>
      </c>
      <c r="M90" s="15">
        <v>21.8</v>
      </c>
      <c r="N90" s="15">
        <v>29726</v>
      </c>
      <c r="O90" s="15">
        <v>24</v>
      </c>
      <c r="P90" s="15">
        <v>3.2</v>
      </c>
      <c r="Q90" s="16">
        <v>3</v>
      </c>
    </row>
    <row r="91" spans="1:17" x14ac:dyDescent="0.25">
      <c r="A91" s="14" t="s">
        <v>206</v>
      </c>
      <c r="B91" s="15" t="s">
        <v>50</v>
      </c>
      <c r="C91" s="15" t="s">
        <v>90</v>
      </c>
      <c r="D91" s="15" t="s">
        <v>91</v>
      </c>
      <c r="E91" s="15" t="s">
        <v>37</v>
      </c>
      <c r="F91" s="15" t="s">
        <v>94</v>
      </c>
      <c r="G91" s="15">
        <v>8</v>
      </c>
      <c r="H91" s="15">
        <v>5.0999999999999996</v>
      </c>
      <c r="I91" s="15">
        <v>60</v>
      </c>
      <c r="J91" s="15">
        <v>42</v>
      </c>
      <c r="K91" s="15">
        <v>13</v>
      </c>
      <c r="L91" s="15">
        <v>16</v>
      </c>
      <c r="M91" s="15">
        <v>21.8</v>
      </c>
      <c r="N91" s="15">
        <v>29726</v>
      </c>
      <c r="O91" s="15">
        <v>24</v>
      </c>
      <c r="P91" s="15">
        <v>3.2</v>
      </c>
      <c r="Q91" s="16">
        <v>3</v>
      </c>
    </row>
    <row r="92" spans="1:17" x14ac:dyDescent="0.25">
      <c r="A92" s="14" t="s">
        <v>206</v>
      </c>
      <c r="B92" s="15" t="s">
        <v>50</v>
      </c>
      <c r="C92" s="15" t="s">
        <v>90</v>
      </c>
      <c r="D92" s="15" t="s">
        <v>91</v>
      </c>
      <c r="E92" s="15" t="s">
        <v>37</v>
      </c>
      <c r="F92" s="15" t="s">
        <v>95</v>
      </c>
      <c r="G92" s="15">
        <v>8</v>
      </c>
      <c r="H92" s="15">
        <v>5.0999999999999996</v>
      </c>
      <c r="I92" s="15">
        <v>80</v>
      </c>
      <c r="J92" s="15">
        <v>42</v>
      </c>
      <c r="K92" s="15">
        <v>13</v>
      </c>
      <c r="L92" s="15">
        <v>16</v>
      </c>
      <c r="M92" s="15">
        <v>21.8</v>
      </c>
      <c r="N92" s="15">
        <v>29726</v>
      </c>
      <c r="O92" s="15">
        <v>24</v>
      </c>
      <c r="P92" s="15">
        <v>3.2</v>
      </c>
      <c r="Q92" s="16">
        <v>3</v>
      </c>
    </row>
    <row r="93" spans="1:17" x14ac:dyDescent="0.25">
      <c r="A93" s="14" t="s">
        <v>206</v>
      </c>
      <c r="B93" s="15" t="s">
        <v>50</v>
      </c>
      <c r="C93" s="15" t="s">
        <v>90</v>
      </c>
      <c r="D93" s="15" t="s">
        <v>91</v>
      </c>
      <c r="E93" s="15" t="s">
        <v>37</v>
      </c>
      <c r="F93" s="15" t="s">
        <v>96</v>
      </c>
      <c r="G93" s="15">
        <v>8</v>
      </c>
      <c r="H93" s="15">
        <v>5.0999999999999996</v>
      </c>
      <c r="I93" s="15">
        <v>90</v>
      </c>
      <c r="J93" s="15">
        <v>42</v>
      </c>
      <c r="K93" s="15">
        <v>13</v>
      </c>
      <c r="L93" s="15">
        <v>16</v>
      </c>
      <c r="M93" s="15">
        <v>21.8</v>
      </c>
      <c r="N93" s="15">
        <v>29726</v>
      </c>
      <c r="O93" s="15">
        <v>24</v>
      </c>
      <c r="P93" s="15">
        <v>3.2</v>
      </c>
      <c r="Q93" s="16">
        <v>3</v>
      </c>
    </row>
    <row r="94" spans="1:17" x14ac:dyDescent="0.25">
      <c r="A94" s="14" t="s">
        <v>206</v>
      </c>
      <c r="B94" s="15" t="s">
        <v>50</v>
      </c>
      <c r="C94" s="15" t="s">
        <v>90</v>
      </c>
      <c r="D94" s="15" t="s">
        <v>91</v>
      </c>
      <c r="E94" s="15" t="s">
        <v>37</v>
      </c>
      <c r="F94" s="15" t="s">
        <v>42</v>
      </c>
      <c r="G94" s="15">
        <v>8</v>
      </c>
      <c r="H94" s="15">
        <v>5.0999999999999996</v>
      </c>
      <c r="I94" s="15">
        <v>100</v>
      </c>
      <c r="J94" s="15">
        <v>55</v>
      </c>
      <c r="K94" s="15">
        <v>13</v>
      </c>
      <c r="L94" s="15">
        <v>16</v>
      </c>
      <c r="M94" s="15">
        <v>21.8</v>
      </c>
      <c r="N94" s="15">
        <v>29726</v>
      </c>
      <c r="O94" s="15">
        <v>24</v>
      </c>
      <c r="P94" s="15">
        <v>3.2</v>
      </c>
      <c r="Q94" s="16">
        <v>3</v>
      </c>
    </row>
    <row r="95" spans="1:17" x14ac:dyDescent="0.25">
      <c r="A95" s="14" t="s">
        <v>206</v>
      </c>
      <c r="B95" s="15" t="s">
        <v>50</v>
      </c>
      <c r="C95" s="15" t="s">
        <v>90</v>
      </c>
      <c r="D95" s="15" t="s">
        <v>91</v>
      </c>
      <c r="E95" s="15" t="s">
        <v>37</v>
      </c>
      <c r="F95" s="15" t="s">
        <v>97</v>
      </c>
      <c r="G95" s="15">
        <v>8</v>
      </c>
      <c r="H95" s="15">
        <v>5.0999999999999996</v>
      </c>
      <c r="I95" s="15">
        <v>120</v>
      </c>
      <c r="J95" s="15">
        <v>85</v>
      </c>
      <c r="K95" s="15">
        <v>13</v>
      </c>
      <c r="L95" s="15">
        <v>16</v>
      </c>
      <c r="M95" s="15">
        <v>21.8</v>
      </c>
      <c r="N95" s="15">
        <v>29726</v>
      </c>
      <c r="O95" s="15">
        <v>24</v>
      </c>
      <c r="P95" s="15">
        <v>3.2</v>
      </c>
      <c r="Q95" s="16">
        <v>3</v>
      </c>
    </row>
    <row r="96" spans="1:17" x14ac:dyDescent="0.25">
      <c r="A96" s="14" t="s">
        <v>206</v>
      </c>
      <c r="B96" s="15" t="s">
        <v>50</v>
      </c>
      <c r="C96" s="15" t="s">
        <v>90</v>
      </c>
      <c r="D96" s="15" t="s">
        <v>91</v>
      </c>
      <c r="E96" s="15" t="s">
        <v>37</v>
      </c>
      <c r="F96" s="15" t="s">
        <v>98</v>
      </c>
      <c r="G96" s="15">
        <v>8</v>
      </c>
      <c r="H96" s="15">
        <v>5.0999999999999996</v>
      </c>
      <c r="I96" s="15">
        <v>140</v>
      </c>
      <c r="J96" s="15">
        <v>85</v>
      </c>
      <c r="K96" s="15">
        <v>13</v>
      </c>
      <c r="L96" s="15">
        <v>16</v>
      </c>
      <c r="M96" s="15">
        <v>21.8</v>
      </c>
      <c r="N96" s="15">
        <v>29726</v>
      </c>
      <c r="O96" s="15">
        <v>24</v>
      </c>
      <c r="P96" s="15">
        <v>3.2</v>
      </c>
      <c r="Q96" s="16">
        <v>3</v>
      </c>
    </row>
    <row r="97" spans="1:17" x14ac:dyDescent="0.25">
      <c r="A97" s="14" t="s">
        <v>206</v>
      </c>
      <c r="B97" s="15" t="s">
        <v>50</v>
      </c>
      <c r="C97" s="15" t="s">
        <v>90</v>
      </c>
      <c r="D97" s="15" t="s">
        <v>91</v>
      </c>
      <c r="E97" s="15" t="s">
        <v>37</v>
      </c>
      <c r="F97" s="15" t="s">
        <v>44</v>
      </c>
      <c r="G97" s="15">
        <v>10</v>
      </c>
      <c r="H97" s="15">
        <v>6.2</v>
      </c>
      <c r="I97" s="15">
        <v>40</v>
      </c>
      <c r="J97" s="15">
        <v>23</v>
      </c>
      <c r="K97" s="15">
        <v>15</v>
      </c>
      <c r="L97" s="15">
        <v>14.3</v>
      </c>
      <c r="M97" s="15">
        <v>20</v>
      </c>
      <c r="N97" s="15">
        <v>51877</v>
      </c>
      <c r="O97" s="15">
        <v>33.799999999999997</v>
      </c>
      <c r="P97" s="15">
        <v>3.3</v>
      </c>
      <c r="Q97" s="16">
        <v>3</v>
      </c>
    </row>
    <row r="98" spans="1:17" x14ac:dyDescent="0.25">
      <c r="A98" s="14" t="s">
        <v>206</v>
      </c>
      <c r="B98" s="15" t="s">
        <v>50</v>
      </c>
      <c r="C98" s="15" t="s">
        <v>90</v>
      </c>
      <c r="D98" s="15" t="s">
        <v>91</v>
      </c>
      <c r="E98" s="15" t="s">
        <v>37</v>
      </c>
      <c r="F98" s="15" t="s">
        <v>45</v>
      </c>
      <c r="G98" s="15">
        <v>10</v>
      </c>
      <c r="H98" s="15">
        <v>6.2</v>
      </c>
      <c r="I98" s="15">
        <v>50</v>
      </c>
      <c r="J98" s="15">
        <v>33</v>
      </c>
      <c r="K98" s="15">
        <v>15</v>
      </c>
      <c r="L98" s="15">
        <v>14.3</v>
      </c>
      <c r="M98" s="15">
        <v>20</v>
      </c>
      <c r="N98" s="15">
        <v>51877</v>
      </c>
      <c r="O98" s="15">
        <v>33.799999999999997</v>
      </c>
      <c r="P98" s="15">
        <v>3.3</v>
      </c>
      <c r="Q98" s="16">
        <v>3</v>
      </c>
    </row>
    <row r="99" spans="1:17" x14ac:dyDescent="0.25">
      <c r="A99" s="14" t="s">
        <v>206</v>
      </c>
      <c r="B99" s="15" t="s">
        <v>50</v>
      </c>
      <c r="C99" s="15" t="s">
        <v>90</v>
      </c>
      <c r="D99" s="15" t="s">
        <v>91</v>
      </c>
      <c r="E99" s="15" t="s">
        <v>37</v>
      </c>
      <c r="F99" s="15" t="s">
        <v>99</v>
      </c>
      <c r="G99" s="15">
        <v>10</v>
      </c>
      <c r="H99" s="15">
        <v>6.2</v>
      </c>
      <c r="I99" s="15">
        <v>60</v>
      </c>
      <c r="J99" s="15">
        <v>42</v>
      </c>
      <c r="K99" s="15">
        <v>15</v>
      </c>
      <c r="L99" s="15">
        <v>14.3</v>
      </c>
      <c r="M99" s="15">
        <v>20</v>
      </c>
      <c r="N99" s="15">
        <v>51877</v>
      </c>
      <c r="O99" s="15">
        <v>33.799999999999997</v>
      </c>
      <c r="P99" s="15">
        <v>3.3</v>
      </c>
      <c r="Q99" s="16">
        <v>3</v>
      </c>
    </row>
    <row r="100" spans="1:17" x14ac:dyDescent="0.25">
      <c r="A100" s="14" t="s">
        <v>206</v>
      </c>
      <c r="B100" s="15" t="s">
        <v>50</v>
      </c>
      <c r="C100" s="15" t="s">
        <v>90</v>
      </c>
      <c r="D100" s="15" t="s">
        <v>91</v>
      </c>
      <c r="E100" s="15" t="s">
        <v>37</v>
      </c>
      <c r="F100" s="15" t="s">
        <v>100</v>
      </c>
      <c r="G100" s="15">
        <v>10</v>
      </c>
      <c r="H100" s="15">
        <v>6.2</v>
      </c>
      <c r="I100" s="15">
        <v>80</v>
      </c>
      <c r="J100" s="15">
        <v>42</v>
      </c>
      <c r="K100" s="15">
        <v>15</v>
      </c>
      <c r="L100" s="15">
        <v>14.3</v>
      </c>
      <c r="M100" s="15">
        <v>20</v>
      </c>
      <c r="N100" s="15">
        <v>51877</v>
      </c>
      <c r="O100" s="15">
        <v>33.799999999999997</v>
      </c>
      <c r="P100" s="15">
        <v>3.3</v>
      </c>
      <c r="Q100" s="16">
        <v>3</v>
      </c>
    </row>
    <row r="101" spans="1:17" x14ac:dyDescent="0.25">
      <c r="A101" s="14" t="s">
        <v>206</v>
      </c>
      <c r="B101" s="15" t="s">
        <v>50</v>
      </c>
      <c r="C101" s="15" t="s">
        <v>90</v>
      </c>
      <c r="D101" s="15" t="s">
        <v>91</v>
      </c>
      <c r="E101" s="15" t="s">
        <v>37</v>
      </c>
      <c r="F101" s="15" t="s">
        <v>47</v>
      </c>
      <c r="G101" s="15">
        <v>10</v>
      </c>
      <c r="H101" s="15">
        <v>6.2</v>
      </c>
      <c r="I101" s="15">
        <v>90</v>
      </c>
      <c r="J101" s="15">
        <v>42</v>
      </c>
      <c r="K101" s="15">
        <v>15</v>
      </c>
      <c r="L101" s="15">
        <v>14.3</v>
      </c>
      <c r="M101" s="15">
        <v>20</v>
      </c>
      <c r="N101" s="15">
        <v>51877</v>
      </c>
      <c r="O101" s="15">
        <v>33.799999999999997</v>
      </c>
      <c r="P101" s="15">
        <v>3.3</v>
      </c>
      <c r="Q101" s="16">
        <v>3</v>
      </c>
    </row>
    <row r="102" spans="1:17" x14ac:dyDescent="0.25">
      <c r="A102" s="14" t="s">
        <v>206</v>
      </c>
      <c r="B102" s="15" t="s">
        <v>50</v>
      </c>
      <c r="C102" s="15" t="s">
        <v>90</v>
      </c>
      <c r="D102" s="15" t="s">
        <v>91</v>
      </c>
      <c r="E102" s="15" t="s">
        <v>37</v>
      </c>
      <c r="F102" s="15" t="s">
        <v>101</v>
      </c>
      <c r="G102" s="15">
        <v>10</v>
      </c>
      <c r="H102" s="15">
        <v>6.2</v>
      </c>
      <c r="I102" s="15">
        <v>100</v>
      </c>
      <c r="J102" s="15">
        <v>55</v>
      </c>
      <c r="K102" s="15">
        <v>15</v>
      </c>
      <c r="L102" s="15">
        <v>14.3</v>
      </c>
      <c r="M102" s="15">
        <v>20</v>
      </c>
      <c r="N102" s="15">
        <v>51877</v>
      </c>
      <c r="O102" s="15">
        <v>33.799999999999997</v>
      </c>
      <c r="P102" s="15">
        <v>3.3</v>
      </c>
      <c r="Q102" s="16">
        <v>3</v>
      </c>
    </row>
    <row r="103" spans="1:17" x14ac:dyDescent="0.25">
      <c r="A103" s="14" t="s">
        <v>206</v>
      </c>
      <c r="B103" s="15" t="s">
        <v>50</v>
      </c>
      <c r="C103" s="15" t="s">
        <v>90</v>
      </c>
      <c r="D103" s="15" t="s">
        <v>91</v>
      </c>
      <c r="E103" s="15" t="s">
        <v>37</v>
      </c>
      <c r="F103" s="15" t="s">
        <v>48</v>
      </c>
      <c r="G103" s="15">
        <v>10</v>
      </c>
      <c r="H103" s="15">
        <v>6.2</v>
      </c>
      <c r="I103" s="15">
        <v>120</v>
      </c>
      <c r="J103" s="15">
        <v>85</v>
      </c>
      <c r="K103" s="15">
        <v>15</v>
      </c>
      <c r="L103" s="15">
        <v>14.3</v>
      </c>
      <c r="M103" s="15">
        <v>20</v>
      </c>
      <c r="N103" s="15">
        <v>51877</v>
      </c>
      <c r="O103" s="15">
        <v>33.799999999999997</v>
      </c>
      <c r="P103" s="15">
        <v>3.3</v>
      </c>
      <c r="Q103" s="16">
        <v>3</v>
      </c>
    </row>
    <row r="104" spans="1:17" x14ac:dyDescent="0.25">
      <c r="A104" s="14" t="s">
        <v>206</v>
      </c>
      <c r="B104" s="15" t="s">
        <v>50</v>
      </c>
      <c r="C104" s="15" t="s">
        <v>90</v>
      </c>
      <c r="D104" s="15" t="s">
        <v>91</v>
      </c>
      <c r="E104" s="15" t="s">
        <v>37</v>
      </c>
      <c r="F104" s="15" t="s">
        <v>102</v>
      </c>
      <c r="G104" s="15">
        <v>10</v>
      </c>
      <c r="H104" s="15">
        <v>6.2</v>
      </c>
      <c r="I104" s="15">
        <v>140</v>
      </c>
      <c r="J104" s="15">
        <v>85</v>
      </c>
      <c r="K104" s="15">
        <v>15</v>
      </c>
      <c r="L104" s="15">
        <v>14.3</v>
      </c>
      <c r="M104" s="15">
        <v>20</v>
      </c>
      <c r="N104" s="15">
        <v>51877</v>
      </c>
      <c r="O104" s="15">
        <v>33.799999999999997</v>
      </c>
      <c r="P104" s="15">
        <v>3.3</v>
      </c>
      <c r="Q104" s="16">
        <v>3</v>
      </c>
    </row>
    <row r="105" spans="1:17" x14ac:dyDescent="0.25">
      <c r="A105" s="14" t="s">
        <v>206</v>
      </c>
      <c r="B105" s="15" t="s">
        <v>50</v>
      </c>
      <c r="C105" s="15" t="s">
        <v>90</v>
      </c>
      <c r="D105" s="15" t="s">
        <v>91</v>
      </c>
      <c r="E105" s="15" t="s">
        <v>37</v>
      </c>
      <c r="F105" s="15" t="s">
        <v>103</v>
      </c>
      <c r="G105" s="15">
        <v>10</v>
      </c>
      <c r="H105" s="15">
        <v>6.2</v>
      </c>
      <c r="I105" s="15">
        <v>160</v>
      </c>
      <c r="J105" s="15">
        <v>110</v>
      </c>
      <c r="K105" s="15">
        <v>15</v>
      </c>
      <c r="L105" s="15">
        <v>14.3</v>
      </c>
      <c r="M105" s="15">
        <v>20</v>
      </c>
      <c r="N105" s="15">
        <v>51877</v>
      </c>
      <c r="O105" s="15">
        <v>33.799999999999997</v>
      </c>
      <c r="P105" s="15">
        <v>3.3</v>
      </c>
      <c r="Q105" s="16">
        <v>3</v>
      </c>
    </row>
    <row r="106" spans="1:17" x14ac:dyDescent="0.25">
      <c r="A106" s="14" t="s">
        <v>206</v>
      </c>
      <c r="B106" s="15" t="s">
        <v>50</v>
      </c>
      <c r="C106" s="15" t="s">
        <v>90</v>
      </c>
      <c r="D106" s="15" t="s">
        <v>91</v>
      </c>
      <c r="E106" s="15" t="s">
        <v>37</v>
      </c>
      <c r="F106" s="15" t="s">
        <v>104</v>
      </c>
      <c r="G106" s="15">
        <v>10</v>
      </c>
      <c r="H106" s="15">
        <v>6.2</v>
      </c>
      <c r="I106" s="15">
        <v>180</v>
      </c>
      <c r="J106" s="15">
        <v>110</v>
      </c>
      <c r="K106" s="15">
        <v>15</v>
      </c>
      <c r="L106" s="15">
        <v>14.3</v>
      </c>
      <c r="M106" s="15">
        <v>20</v>
      </c>
      <c r="N106" s="15">
        <v>51877</v>
      </c>
      <c r="O106" s="15">
        <v>33.799999999999997</v>
      </c>
      <c r="P106" s="15">
        <v>3.3</v>
      </c>
      <c r="Q106" s="16">
        <v>3</v>
      </c>
    </row>
    <row r="107" spans="1:17" x14ac:dyDescent="0.25">
      <c r="A107" s="14" t="s">
        <v>206</v>
      </c>
      <c r="B107" s="15" t="s">
        <v>50</v>
      </c>
      <c r="C107" s="15" t="s">
        <v>90</v>
      </c>
      <c r="D107" s="15" t="s">
        <v>91</v>
      </c>
      <c r="E107" s="15" t="s">
        <v>37</v>
      </c>
      <c r="F107" s="15" t="s">
        <v>105</v>
      </c>
      <c r="G107" s="15">
        <v>12</v>
      </c>
      <c r="H107" s="15">
        <v>6.7</v>
      </c>
      <c r="I107" s="15">
        <v>60</v>
      </c>
      <c r="J107" s="15">
        <v>42</v>
      </c>
      <c r="K107" s="15">
        <v>17</v>
      </c>
      <c r="L107" s="15">
        <v>13.6</v>
      </c>
      <c r="M107" s="15">
        <v>18.8</v>
      </c>
      <c r="N107" s="15">
        <v>68635</v>
      </c>
      <c r="O107" s="15">
        <v>41.7</v>
      </c>
      <c r="P107" s="15">
        <v>3.2</v>
      </c>
      <c r="Q107" s="16">
        <v>3</v>
      </c>
    </row>
    <row r="108" spans="1:17" x14ac:dyDescent="0.25">
      <c r="A108" s="14" t="s">
        <v>206</v>
      </c>
      <c r="B108" s="15" t="s">
        <v>50</v>
      </c>
      <c r="C108" s="15" t="s">
        <v>90</v>
      </c>
      <c r="D108" s="15" t="s">
        <v>91</v>
      </c>
      <c r="E108" s="15" t="s">
        <v>37</v>
      </c>
      <c r="F108" s="15" t="s">
        <v>106</v>
      </c>
      <c r="G108" s="15">
        <v>12</v>
      </c>
      <c r="H108" s="15">
        <v>6.7</v>
      </c>
      <c r="I108" s="15">
        <v>80</v>
      </c>
      <c r="J108" s="15">
        <v>42</v>
      </c>
      <c r="K108" s="15">
        <v>17</v>
      </c>
      <c r="L108" s="15">
        <v>13.6</v>
      </c>
      <c r="M108" s="15">
        <v>18.8</v>
      </c>
      <c r="N108" s="15">
        <v>68635</v>
      </c>
      <c r="O108" s="15">
        <v>41.7</v>
      </c>
      <c r="P108" s="15">
        <v>3.2</v>
      </c>
      <c r="Q108" s="16">
        <v>3</v>
      </c>
    </row>
    <row r="109" spans="1:17" x14ac:dyDescent="0.25">
      <c r="A109" s="14" t="s">
        <v>206</v>
      </c>
      <c r="B109" s="15" t="s">
        <v>50</v>
      </c>
      <c r="C109" s="15" t="s">
        <v>90</v>
      </c>
      <c r="D109" s="15" t="s">
        <v>91</v>
      </c>
      <c r="E109" s="15" t="s">
        <v>37</v>
      </c>
      <c r="F109" s="15" t="s">
        <v>107</v>
      </c>
      <c r="G109" s="15">
        <v>12</v>
      </c>
      <c r="H109" s="15">
        <v>6.7</v>
      </c>
      <c r="I109" s="15">
        <v>90</v>
      </c>
      <c r="J109" s="15">
        <v>42</v>
      </c>
      <c r="K109" s="15">
        <v>17</v>
      </c>
      <c r="L109" s="15">
        <v>13.6</v>
      </c>
      <c r="M109" s="15">
        <v>18.8</v>
      </c>
      <c r="N109" s="15">
        <v>68635</v>
      </c>
      <c r="O109" s="15">
        <v>41.7</v>
      </c>
      <c r="P109" s="15">
        <v>3.2</v>
      </c>
      <c r="Q109" s="16">
        <v>3</v>
      </c>
    </row>
    <row r="110" spans="1:17" x14ac:dyDescent="0.25">
      <c r="A110" s="14" t="s">
        <v>206</v>
      </c>
      <c r="B110" s="15" t="s">
        <v>50</v>
      </c>
      <c r="C110" s="15" t="s">
        <v>90</v>
      </c>
      <c r="D110" s="15" t="s">
        <v>91</v>
      </c>
      <c r="E110" s="15" t="s">
        <v>37</v>
      </c>
      <c r="F110" s="15" t="s">
        <v>108</v>
      </c>
      <c r="G110" s="15">
        <v>12</v>
      </c>
      <c r="H110" s="15">
        <v>6.7</v>
      </c>
      <c r="I110" s="15">
        <v>100</v>
      </c>
      <c r="J110" s="15">
        <v>55</v>
      </c>
      <c r="K110" s="15">
        <v>17</v>
      </c>
      <c r="L110" s="15">
        <v>13.6</v>
      </c>
      <c r="M110" s="15">
        <v>18.8</v>
      </c>
      <c r="N110" s="15">
        <v>68635</v>
      </c>
      <c r="O110" s="15">
        <v>41.7</v>
      </c>
      <c r="P110" s="15">
        <v>3.2</v>
      </c>
      <c r="Q110" s="16">
        <v>3</v>
      </c>
    </row>
    <row r="111" spans="1:17" x14ac:dyDescent="0.25">
      <c r="A111" s="14" t="s">
        <v>206</v>
      </c>
      <c r="B111" s="15" t="s">
        <v>50</v>
      </c>
      <c r="C111" s="15" t="s">
        <v>90</v>
      </c>
      <c r="D111" s="15" t="s">
        <v>91</v>
      </c>
      <c r="E111" s="15" t="s">
        <v>37</v>
      </c>
      <c r="F111" s="15" t="s">
        <v>109</v>
      </c>
      <c r="G111" s="15">
        <v>12</v>
      </c>
      <c r="H111" s="15">
        <v>6.7</v>
      </c>
      <c r="I111" s="15">
        <v>120</v>
      </c>
      <c r="J111" s="15">
        <v>85</v>
      </c>
      <c r="K111" s="15">
        <v>17</v>
      </c>
      <c r="L111" s="15">
        <v>13.6</v>
      </c>
      <c r="M111" s="15">
        <v>18.8</v>
      </c>
      <c r="N111" s="15">
        <v>68635</v>
      </c>
      <c r="O111" s="15">
        <v>41.7</v>
      </c>
      <c r="P111" s="15">
        <v>3.2</v>
      </c>
      <c r="Q111" s="16">
        <v>3</v>
      </c>
    </row>
    <row r="112" spans="1:17" x14ac:dyDescent="0.25">
      <c r="A112" s="14" t="s">
        <v>206</v>
      </c>
      <c r="B112" s="15" t="s">
        <v>50</v>
      </c>
      <c r="C112" s="15" t="s">
        <v>90</v>
      </c>
      <c r="D112" s="15" t="s">
        <v>91</v>
      </c>
      <c r="E112" s="15" t="s">
        <v>37</v>
      </c>
      <c r="F112" s="15" t="s">
        <v>110</v>
      </c>
      <c r="G112" s="15">
        <v>12</v>
      </c>
      <c r="H112" s="15">
        <v>6.7</v>
      </c>
      <c r="I112" s="15">
        <v>140</v>
      </c>
      <c r="J112" s="15">
        <v>85</v>
      </c>
      <c r="K112" s="15">
        <v>17</v>
      </c>
      <c r="L112" s="15">
        <v>13.6</v>
      </c>
      <c r="M112" s="15">
        <v>18.8</v>
      </c>
      <c r="N112" s="15">
        <v>68635</v>
      </c>
      <c r="O112" s="15">
        <v>41.7</v>
      </c>
      <c r="P112" s="15">
        <v>3.2</v>
      </c>
      <c r="Q112" s="16">
        <v>3</v>
      </c>
    </row>
    <row r="113" spans="1:17" x14ac:dyDescent="0.25">
      <c r="A113" s="14" t="s">
        <v>206</v>
      </c>
      <c r="B113" s="15" t="s">
        <v>50</v>
      </c>
      <c r="C113" s="15" t="s">
        <v>90</v>
      </c>
      <c r="D113" s="15" t="s">
        <v>91</v>
      </c>
      <c r="E113" s="15" t="s">
        <v>37</v>
      </c>
      <c r="F113" s="15" t="s">
        <v>111</v>
      </c>
      <c r="G113" s="15">
        <v>12</v>
      </c>
      <c r="H113" s="15">
        <v>6.7</v>
      </c>
      <c r="I113" s="15">
        <v>160</v>
      </c>
      <c r="J113" s="15">
        <v>110</v>
      </c>
      <c r="K113" s="15">
        <v>17</v>
      </c>
      <c r="L113" s="15">
        <v>13.6</v>
      </c>
      <c r="M113" s="15">
        <v>18.8</v>
      </c>
      <c r="N113" s="15">
        <v>68635</v>
      </c>
      <c r="O113" s="15">
        <v>41.7</v>
      </c>
      <c r="P113" s="15">
        <v>3.2</v>
      </c>
      <c r="Q113" s="16">
        <v>3</v>
      </c>
    </row>
    <row r="114" spans="1:17" x14ac:dyDescent="0.25">
      <c r="A114" s="14" t="s">
        <v>206</v>
      </c>
      <c r="B114" s="15" t="s">
        <v>50</v>
      </c>
      <c r="C114" s="15" t="s">
        <v>90</v>
      </c>
      <c r="D114" s="15" t="s">
        <v>91</v>
      </c>
      <c r="E114" s="15" t="s">
        <v>37</v>
      </c>
      <c r="F114" s="15" t="s">
        <v>112</v>
      </c>
      <c r="G114" s="15">
        <v>12</v>
      </c>
      <c r="H114" s="15">
        <v>6.7</v>
      </c>
      <c r="I114" s="15">
        <v>180</v>
      </c>
      <c r="J114" s="15">
        <v>110</v>
      </c>
      <c r="K114" s="15">
        <v>17</v>
      </c>
      <c r="L114" s="15">
        <v>13.6</v>
      </c>
      <c r="M114" s="15">
        <v>18.8</v>
      </c>
      <c r="N114" s="15">
        <v>68635</v>
      </c>
      <c r="O114" s="15">
        <v>41.7</v>
      </c>
      <c r="P114" s="15">
        <v>3.2</v>
      </c>
      <c r="Q114" s="16">
        <v>3</v>
      </c>
    </row>
    <row r="115" spans="1:17" ht="15.75" customHeight="1" thickBot="1" x14ac:dyDescent="0.3">
      <c r="A115" s="17" t="s">
        <v>206</v>
      </c>
      <c r="B115" s="18" t="s">
        <v>50</v>
      </c>
      <c r="C115" s="18" t="s">
        <v>90</v>
      </c>
      <c r="D115" s="18" t="s">
        <v>91</v>
      </c>
      <c r="E115" s="18" t="s">
        <v>37</v>
      </c>
      <c r="F115" s="18" t="s">
        <v>113</v>
      </c>
      <c r="G115" s="18">
        <v>12</v>
      </c>
      <c r="H115" s="18">
        <v>6.7</v>
      </c>
      <c r="I115" s="18">
        <v>200</v>
      </c>
      <c r="J115" s="18">
        <v>110</v>
      </c>
      <c r="K115" s="18">
        <v>17</v>
      </c>
      <c r="L115" s="18">
        <v>13.6</v>
      </c>
      <c r="M115" s="18">
        <v>18.8</v>
      </c>
      <c r="N115" s="18">
        <v>68635</v>
      </c>
      <c r="O115" s="18">
        <v>41.7</v>
      </c>
      <c r="P115" s="18">
        <v>3.2</v>
      </c>
      <c r="Q115" s="19">
        <v>3</v>
      </c>
    </row>
    <row r="116" spans="1:17" x14ac:dyDescent="0.25">
      <c r="A116" s="4" t="s">
        <v>206</v>
      </c>
      <c r="B116" s="20" t="s">
        <v>50</v>
      </c>
      <c r="C116" s="20" t="s">
        <v>114</v>
      </c>
      <c r="D116" s="20" t="s">
        <v>91</v>
      </c>
      <c r="E116" s="20" t="s">
        <v>74</v>
      </c>
      <c r="F116" s="20" t="s">
        <v>54</v>
      </c>
      <c r="G116" s="20">
        <v>5</v>
      </c>
      <c r="H116" s="20">
        <v>3.1</v>
      </c>
      <c r="I116" s="20">
        <v>30</v>
      </c>
      <c r="J116" s="20">
        <v>26</v>
      </c>
      <c r="K116" s="20">
        <v>9.6999999999999993</v>
      </c>
      <c r="L116" s="20">
        <v>10.9</v>
      </c>
      <c r="M116" s="20">
        <v>19.600000000000001</v>
      </c>
      <c r="N116" s="20">
        <v>7800</v>
      </c>
      <c r="O116" s="20">
        <v>10.6</v>
      </c>
      <c r="P116" s="20">
        <v>3.4</v>
      </c>
      <c r="Q116" s="8">
        <v>1</v>
      </c>
    </row>
    <row r="117" spans="1:17" x14ac:dyDescent="0.25">
      <c r="A117" s="5" t="s">
        <v>206</v>
      </c>
      <c r="B117" t="s">
        <v>50</v>
      </c>
      <c r="C117" t="s">
        <v>114</v>
      </c>
      <c r="D117" t="s">
        <v>91</v>
      </c>
      <c r="E117" t="s">
        <v>74</v>
      </c>
      <c r="F117" t="s">
        <v>55</v>
      </c>
      <c r="G117">
        <v>5</v>
      </c>
      <c r="H117">
        <v>3.1</v>
      </c>
      <c r="I117">
        <v>40</v>
      </c>
      <c r="J117">
        <v>36</v>
      </c>
      <c r="K117">
        <v>9.6999999999999993</v>
      </c>
      <c r="L117">
        <v>10.9</v>
      </c>
      <c r="M117">
        <v>19.600000000000001</v>
      </c>
      <c r="N117">
        <v>7800</v>
      </c>
      <c r="O117">
        <v>10.6</v>
      </c>
      <c r="P117">
        <v>3.4</v>
      </c>
      <c r="Q117" s="9">
        <v>1</v>
      </c>
    </row>
    <row r="118" spans="1:17" x14ac:dyDescent="0.25">
      <c r="A118" s="5" t="s">
        <v>206</v>
      </c>
      <c r="B118" t="s">
        <v>50</v>
      </c>
      <c r="C118" t="s">
        <v>114</v>
      </c>
      <c r="D118" t="s">
        <v>91</v>
      </c>
      <c r="E118" t="s">
        <v>74</v>
      </c>
      <c r="F118" t="s">
        <v>56</v>
      </c>
      <c r="G118">
        <v>5</v>
      </c>
      <c r="H118">
        <v>3.1</v>
      </c>
      <c r="I118">
        <v>50</v>
      </c>
      <c r="J118">
        <v>30</v>
      </c>
      <c r="K118">
        <v>9.6999999999999993</v>
      </c>
      <c r="L118">
        <v>10.9</v>
      </c>
      <c r="M118">
        <v>19.600000000000001</v>
      </c>
      <c r="N118">
        <v>7800</v>
      </c>
      <c r="O118">
        <v>10.6</v>
      </c>
      <c r="P118">
        <v>3.4</v>
      </c>
      <c r="Q118" s="9">
        <v>1</v>
      </c>
    </row>
    <row r="119" spans="1:17" x14ac:dyDescent="0.25">
      <c r="A119" s="5" t="s">
        <v>206</v>
      </c>
      <c r="B119" t="s">
        <v>50</v>
      </c>
      <c r="C119" t="s">
        <v>114</v>
      </c>
      <c r="D119" t="s">
        <v>91</v>
      </c>
      <c r="E119" t="s">
        <v>74</v>
      </c>
      <c r="F119" t="s">
        <v>57</v>
      </c>
      <c r="G119">
        <v>5</v>
      </c>
      <c r="H119">
        <v>3.1</v>
      </c>
      <c r="I119">
        <v>60</v>
      </c>
      <c r="J119">
        <v>35</v>
      </c>
      <c r="K119">
        <v>9.6999999999999993</v>
      </c>
      <c r="L119">
        <v>10.9</v>
      </c>
      <c r="M119">
        <v>19.600000000000001</v>
      </c>
      <c r="N119">
        <v>7800</v>
      </c>
      <c r="O119">
        <v>10.6</v>
      </c>
      <c r="P119">
        <v>3.4</v>
      </c>
      <c r="Q119" s="9">
        <v>1</v>
      </c>
    </row>
    <row r="120" spans="1:17" x14ac:dyDescent="0.25">
      <c r="A120" s="5" t="s">
        <v>206</v>
      </c>
      <c r="B120" t="s">
        <v>50</v>
      </c>
      <c r="C120" t="s">
        <v>114</v>
      </c>
      <c r="D120" t="s">
        <v>91</v>
      </c>
      <c r="E120" t="s">
        <v>74</v>
      </c>
      <c r="F120" t="s">
        <v>58</v>
      </c>
      <c r="G120">
        <v>5</v>
      </c>
      <c r="H120">
        <v>3.1</v>
      </c>
      <c r="I120">
        <v>70</v>
      </c>
      <c r="J120">
        <v>40</v>
      </c>
      <c r="K120">
        <v>9.6999999999999993</v>
      </c>
      <c r="L120">
        <v>10.9</v>
      </c>
      <c r="M120">
        <v>19.600000000000001</v>
      </c>
      <c r="N120">
        <v>7800</v>
      </c>
      <c r="O120">
        <v>10.6</v>
      </c>
      <c r="P120">
        <v>3.4</v>
      </c>
      <c r="Q120" s="9">
        <v>1</v>
      </c>
    </row>
    <row r="121" spans="1:17" x14ac:dyDescent="0.25">
      <c r="A121" s="5" t="s">
        <v>206</v>
      </c>
      <c r="B121" t="s">
        <v>50</v>
      </c>
      <c r="C121" t="s">
        <v>114</v>
      </c>
      <c r="D121" t="s">
        <v>91</v>
      </c>
      <c r="E121" t="s">
        <v>74</v>
      </c>
      <c r="F121" t="s">
        <v>59</v>
      </c>
      <c r="G121">
        <v>5</v>
      </c>
      <c r="H121">
        <v>3.1</v>
      </c>
      <c r="I121">
        <v>80</v>
      </c>
      <c r="J121">
        <v>50</v>
      </c>
      <c r="K121">
        <v>9.6999999999999993</v>
      </c>
      <c r="L121">
        <v>10.9</v>
      </c>
      <c r="M121">
        <v>19.600000000000001</v>
      </c>
      <c r="N121">
        <v>7800</v>
      </c>
      <c r="O121">
        <v>10.6</v>
      </c>
      <c r="P121">
        <v>3.4</v>
      </c>
      <c r="Q121" s="9">
        <v>1</v>
      </c>
    </row>
    <row r="122" spans="1:17" x14ac:dyDescent="0.25">
      <c r="A122" s="5" t="s">
        <v>206</v>
      </c>
      <c r="B122" t="s">
        <v>50</v>
      </c>
      <c r="C122" t="s">
        <v>114</v>
      </c>
      <c r="D122" t="s">
        <v>91</v>
      </c>
      <c r="E122" t="s">
        <v>74</v>
      </c>
      <c r="F122" t="s">
        <v>63</v>
      </c>
      <c r="G122">
        <v>6</v>
      </c>
      <c r="H122">
        <v>3.7</v>
      </c>
      <c r="I122">
        <v>40</v>
      </c>
      <c r="J122">
        <v>35</v>
      </c>
      <c r="K122">
        <v>11.7</v>
      </c>
      <c r="L122">
        <v>14.6</v>
      </c>
      <c r="M122">
        <v>16</v>
      </c>
      <c r="N122">
        <v>12467</v>
      </c>
      <c r="O122">
        <v>14.2</v>
      </c>
      <c r="P122">
        <v>2.6</v>
      </c>
      <c r="Q122" s="9">
        <v>1</v>
      </c>
    </row>
    <row r="123" spans="1:17" x14ac:dyDescent="0.25">
      <c r="A123" s="5" t="s">
        <v>206</v>
      </c>
      <c r="B123" t="s">
        <v>50</v>
      </c>
      <c r="C123" t="s">
        <v>114</v>
      </c>
      <c r="D123" t="s">
        <v>91</v>
      </c>
      <c r="E123" t="s">
        <v>74</v>
      </c>
      <c r="F123" t="s">
        <v>64</v>
      </c>
      <c r="G123">
        <v>6</v>
      </c>
      <c r="H123">
        <v>3.7</v>
      </c>
      <c r="I123">
        <v>50</v>
      </c>
      <c r="J123">
        <v>30</v>
      </c>
      <c r="K123">
        <v>11.7</v>
      </c>
      <c r="L123">
        <v>14.6</v>
      </c>
      <c r="M123">
        <v>16</v>
      </c>
      <c r="N123">
        <v>12467</v>
      </c>
      <c r="O123">
        <v>14.2</v>
      </c>
      <c r="P123">
        <v>2.6</v>
      </c>
      <c r="Q123" s="9">
        <v>1</v>
      </c>
    </row>
    <row r="124" spans="1:17" x14ac:dyDescent="0.25">
      <c r="A124" s="5" t="s">
        <v>206</v>
      </c>
      <c r="B124" t="s">
        <v>50</v>
      </c>
      <c r="C124" t="s">
        <v>114</v>
      </c>
      <c r="D124" t="s">
        <v>91</v>
      </c>
      <c r="E124" t="s">
        <v>74</v>
      </c>
      <c r="F124" t="s">
        <v>65</v>
      </c>
      <c r="G124">
        <v>6</v>
      </c>
      <c r="H124">
        <v>3.7</v>
      </c>
      <c r="I124">
        <v>60</v>
      </c>
      <c r="J124">
        <v>35</v>
      </c>
      <c r="K124">
        <v>11.7</v>
      </c>
      <c r="L124">
        <v>14.6</v>
      </c>
      <c r="M124">
        <v>16</v>
      </c>
      <c r="N124">
        <v>12467</v>
      </c>
      <c r="O124">
        <v>14.2</v>
      </c>
      <c r="P124">
        <v>2.6</v>
      </c>
      <c r="Q124" s="9">
        <v>1</v>
      </c>
    </row>
    <row r="125" spans="1:17" x14ac:dyDescent="0.25">
      <c r="A125" s="5" t="s">
        <v>206</v>
      </c>
      <c r="B125" t="s">
        <v>50</v>
      </c>
      <c r="C125" t="s">
        <v>114</v>
      </c>
      <c r="D125" t="s">
        <v>91</v>
      </c>
      <c r="E125" t="s">
        <v>74</v>
      </c>
      <c r="F125" t="s">
        <v>66</v>
      </c>
      <c r="G125">
        <v>6</v>
      </c>
      <c r="H125">
        <v>3.7</v>
      </c>
      <c r="I125">
        <v>70</v>
      </c>
      <c r="J125">
        <v>40</v>
      </c>
      <c r="K125">
        <v>11.7</v>
      </c>
      <c r="L125">
        <v>14.6</v>
      </c>
      <c r="M125">
        <v>16</v>
      </c>
      <c r="N125">
        <v>12467</v>
      </c>
      <c r="O125">
        <v>14.2</v>
      </c>
      <c r="P125">
        <v>2.6</v>
      </c>
      <c r="Q125" s="9">
        <v>1</v>
      </c>
    </row>
    <row r="126" spans="1:17" x14ac:dyDescent="0.25">
      <c r="A126" s="5" t="s">
        <v>206</v>
      </c>
      <c r="B126" t="s">
        <v>50</v>
      </c>
      <c r="C126" t="s">
        <v>114</v>
      </c>
      <c r="D126" t="s">
        <v>91</v>
      </c>
      <c r="E126" t="s">
        <v>74</v>
      </c>
      <c r="F126" t="s">
        <v>67</v>
      </c>
      <c r="G126">
        <v>6</v>
      </c>
      <c r="H126">
        <v>3.7</v>
      </c>
      <c r="I126">
        <v>80</v>
      </c>
      <c r="J126">
        <v>50</v>
      </c>
      <c r="K126">
        <v>11.7</v>
      </c>
      <c r="L126">
        <v>14.6</v>
      </c>
      <c r="M126">
        <v>16</v>
      </c>
      <c r="N126">
        <v>12467</v>
      </c>
      <c r="O126">
        <v>14.2</v>
      </c>
      <c r="P126">
        <v>2.6</v>
      </c>
      <c r="Q126" s="9">
        <v>1</v>
      </c>
    </row>
    <row r="127" spans="1:17" x14ac:dyDescent="0.25">
      <c r="A127" s="5" t="s">
        <v>206</v>
      </c>
      <c r="B127" t="s">
        <v>50</v>
      </c>
      <c r="C127" t="s">
        <v>114</v>
      </c>
      <c r="D127" t="s">
        <v>91</v>
      </c>
      <c r="E127" t="s">
        <v>74</v>
      </c>
      <c r="F127" t="s">
        <v>68</v>
      </c>
      <c r="G127">
        <v>6</v>
      </c>
      <c r="H127">
        <v>3.7</v>
      </c>
      <c r="I127">
        <v>90</v>
      </c>
      <c r="J127">
        <v>50</v>
      </c>
      <c r="K127">
        <v>11.7</v>
      </c>
      <c r="L127">
        <v>14.6</v>
      </c>
      <c r="M127">
        <v>16</v>
      </c>
      <c r="N127">
        <v>12467</v>
      </c>
      <c r="O127">
        <v>14.2</v>
      </c>
      <c r="P127">
        <v>2.6</v>
      </c>
      <c r="Q127" s="9">
        <v>1</v>
      </c>
    </row>
    <row r="128" spans="1:17" ht="15.75" customHeight="1" thickBot="1" x14ac:dyDescent="0.3">
      <c r="A128" s="6" t="s">
        <v>206</v>
      </c>
      <c r="B128" s="7" t="s">
        <v>50</v>
      </c>
      <c r="C128" s="7" t="s">
        <v>114</v>
      </c>
      <c r="D128" s="7" t="s">
        <v>91</v>
      </c>
      <c r="E128" s="7" t="s">
        <v>74</v>
      </c>
      <c r="F128" s="7" t="s">
        <v>69</v>
      </c>
      <c r="G128" s="7">
        <v>6</v>
      </c>
      <c r="H128" s="7">
        <v>3.7</v>
      </c>
      <c r="I128" s="7">
        <v>100</v>
      </c>
      <c r="J128" s="7">
        <v>60</v>
      </c>
      <c r="K128" s="7">
        <v>11.7</v>
      </c>
      <c r="L128" s="7">
        <v>14.6</v>
      </c>
      <c r="M128" s="7">
        <v>16</v>
      </c>
      <c r="N128" s="7">
        <v>12467</v>
      </c>
      <c r="O128" s="7">
        <v>14.2</v>
      </c>
      <c r="P128" s="7">
        <v>2.6</v>
      </c>
      <c r="Q128" s="10">
        <v>1</v>
      </c>
    </row>
    <row r="129" spans="1:17" x14ac:dyDescent="0.25">
      <c r="A129" s="4" t="s">
        <v>206</v>
      </c>
      <c r="B129" s="20" t="s">
        <v>50</v>
      </c>
      <c r="C129" s="20" t="s">
        <v>114</v>
      </c>
      <c r="D129" s="20" t="s">
        <v>91</v>
      </c>
      <c r="E129" s="20" t="s">
        <v>53</v>
      </c>
      <c r="F129" s="20" t="s">
        <v>115</v>
      </c>
      <c r="G129" s="20">
        <v>4.5</v>
      </c>
      <c r="H129" s="20">
        <v>2.8</v>
      </c>
      <c r="I129" s="20">
        <v>25</v>
      </c>
      <c r="J129" s="20">
        <v>20</v>
      </c>
      <c r="K129" s="20">
        <v>8.4</v>
      </c>
      <c r="L129" s="20">
        <v>16.399999999999999</v>
      </c>
      <c r="M129" s="20">
        <v>14.4</v>
      </c>
      <c r="N129" s="20">
        <v>5753</v>
      </c>
      <c r="O129" s="20">
        <v>6.8</v>
      </c>
      <c r="P129" s="20">
        <v>2.7</v>
      </c>
      <c r="Q129" s="8"/>
    </row>
    <row r="130" spans="1:17" x14ac:dyDescent="0.25">
      <c r="A130" s="5" t="s">
        <v>206</v>
      </c>
      <c r="B130" t="s">
        <v>50</v>
      </c>
      <c r="C130" t="s">
        <v>114</v>
      </c>
      <c r="D130" t="s">
        <v>91</v>
      </c>
      <c r="E130" t="s">
        <v>53</v>
      </c>
      <c r="F130" t="s">
        <v>116</v>
      </c>
      <c r="G130">
        <v>4.5</v>
      </c>
      <c r="H130">
        <v>2.8</v>
      </c>
      <c r="I130">
        <v>30</v>
      </c>
      <c r="J130">
        <v>25</v>
      </c>
      <c r="K130">
        <v>8.4</v>
      </c>
      <c r="L130">
        <v>16.399999999999999</v>
      </c>
      <c r="M130">
        <v>14.4</v>
      </c>
      <c r="N130">
        <v>5753</v>
      </c>
      <c r="O130">
        <v>6.8</v>
      </c>
      <c r="P130">
        <v>2.7</v>
      </c>
      <c r="Q130" s="9"/>
    </row>
    <row r="131" spans="1:17" x14ac:dyDescent="0.25">
      <c r="A131" s="5" t="s">
        <v>206</v>
      </c>
      <c r="B131" t="s">
        <v>50</v>
      </c>
      <c r="C131" t="s">
        <v>114</v>
      </c>
      <c r="D131" t="s">
        <v>91</v>
      </c>
      <c r="E131" t="s">
        <v>53</v>
      </c>
      <c r="F131" t="s">
        <v>117</v>
      </c>
      <c r="G131">
        <v>4.5</v>
      </c>
      <c r="H131">
        <v>2.8</v>
      </c>
      <c r="I131">
        <v>40</v>
      </c>
      <c r="J131">
        <v>35</v>
      </c>
      <c r="K131">
        <v>8.4</v>
      </c>
      <c r="L131">
        <v>16.399999999999999</v>
      </c>
      <c r="M131">
        <v>14.4</v>
      </c>
      <c r="N131">
        <v>5753</v>
      </c>
      <c r="O131">
        <v>6.8</v>
      </c>
      <c r="P131">
        <v>2.7</v>
      </c>
      <c r="Q131" s="9"/>
    </row>
    <row r="132" spans="1:17" x14ac:dyDescent="0.25">
      <c r="A132" s="5" t="s">
        <v>206</v>
      </c>
      <c r="B132" t="s">
        <v>50</v>
      </c>
      <c r="C132" t="s">
        <v>114</v>
      </c>
      <c r="D132" t="s">
        <v>91</v>
      </c>
      <c r="E132" t="s">
        <v>53</v>
      </c>
      <c r="F132" t="s">
        <v>118</v>
      </c>
      <c r="G132">
        <v>4.5</v>
      </c>
      <c r="H132">
        <v>2.8</v>
      </c>
      <c r="I132">
        <v>50</v>
      </c>
      <c r="J132">
        <v>30</v>
      </c>
      <c r="K132">
        <v>8.4</v>
      </c>
      <c r="L132">
        <v>16.399999999999999</v>
      </c>
      <c r="M132">
        <v>14.4</v>
      </c>
      <c r="N132">
        <v>5753</v>
      </c>
      <c r="O132">
        <v>6.8</v>
      </c>
      <c r="P132">
        <v>2.7</v>
      </c>
      <c r="Q132" s="9"/>
    </row>
    <row r="133" spans="1:17" x14ac:dyDescent="0.25">
      <c r="A133" s="5" t="s">
        <v>206</v>
      </c>
      <c r="B133" t="s">
        <v>50</v>
      </c>
      <c r="C133" t="s">
        <v>114</v>
      </c>
      <c r="D133" t="s">
        <v>91</v>
      </c>
      <c r="E133" t="s">
        <v>53</v>
      </c>
      <c r="F133" t="s">
        <v>119</v>
      </c>
      <c r="G133">
        <v>4.5</v>
      </c>
      <c r="H133">
        <v>2.8</v>
      </c>
      <c r="I133">
        <v>60</v>
      </c>
      <c r="J133">
        <v>35</v>
      </c>
      <c r="K133">
        <v>8.4</v>
      </c>
      <c r="L133">
        <v>16.399999999999999</v>
      </c>
      <c r="M133">
        <v>14.4</v>
      </c>
      <c r="N133">
        <v>5753</v>
      </c>
      <c r="O133">
        <v>6.8</v>
      </c>
      <c r="P133">
        <v>2.7</v>
      </c>
      <c r="Q133" s="9"/>
    </row>
    <row r="134" spans="1:17" x14ac:dyDescent="0.25">
      <c r="A134" s="5" t="s">
        <v>206</v>
      </c>
      <c r="B134" t="s">
        <v>50</v>
      </c>
      <c r="C134" t="s">
        <v>114</v>
      </c>
      <c r="D134" t="s">
        <v>91</v>
      </c>
      <c r="E134" t="s">
        <v>53</v>
      </c>
      <c r="F134" t="s">
        <v>120</v>
      </c>
      <c r="G134">
        <v>4.5</v>
      </c>
      <c r="H134">
        <v>2.8</v>
      </c>
      <c r="I134">
        <v>70</v>
      </c>
      <c r="J134">
        <v>40</v>
      </c>
      <c r="K134">
        <v>8.4</v>
      </c>
      <c r="L134">
        <v>16.399999999999999</v>
      </c>
      <c r="M134">
        <v>14.4</v>
      </c>
      <c r="N134">
        <v>5753</v>
      </c>
      <c r="O134">
        <v>6.8</v>
      </c>
      <c r="P134">
        <v>2.7</v>
      </c>
      <c r="Q134" s="9"/>
    </row>
    <row r="135" spans="1:17" x14ac:dyDescent="0.25">
      <c r="A135" s="5" t="s">
        <v>206</v>
      </c>
      <c r="B135" t="s">
        <v>50</v>
      </c>
      <c r="C135" t="s">
        <v>114</v>
      </c>
      <c r="D135" t="s">
        <v>91</v>
      </c>
      <c r="E135" t="s">
        <v>53</v>
      </c>
      <c r="F135" t="s">
        <v>56</v>
      </c>
      <c r="G135">
        <v>5</v>
      </c>
      <c r="H135">
        <v>3.2</v>
      </c>
      <c r="I135">
        <v>50</v>
      </c>
      <c r="J135">
        <v>30</v>
      </c>
      <c r="K135">
        <v>9.5</v>
      </c>
      <c r="L135">
        <v>10.9</v>
      </c>
      <c r="M135">
        <v>15.4</v>
      </c>
      <c r="N135">
        <v>7800</v>
      </c>
      <c r="O135">
        <v>9.9</v>
      </c>
      <c r="P135">
        <v>3.3</v>
      </c>
      <c r="Q135" s="9">
        <v>1</v>
      </c>
    </row>
    <row r="136" spans="1:17" x14ac:dyDescent="0.25">
      <c r="A136" s="5" t="s">
        <v>206</v>
      </c>
      <c r="B136" t="s">
        <v>50</v>
      </c>
      <c r="C136" t="s">
        <v>114</v>
      </c>
      <c r="D136" t="s">
        <v>91</v>
      </c>
      <c r="E136" t="s">
        <v>53</v>
      </c>
      <c r="F136" t="s">
        <v>57</v>
      </c>
      <c r="G136">
        <v>5</v>
      </c>
      <c r="H136">
        <v>3.2</v>
      </c>
      <c r="I136">
        <v>60</v>
      </c>
      <c r="J136">
        <v>35</v>
      </c>
      <c r="K136">
        <v>9.5</v>
      </c>
      <c r="L136">
        <v>10.9</v>
      </c>
      <c r="M136">
        <v>15.4</v>
      </c>
      <c r="N136">
        <v>7800</v>
      </c>
      <c r="O136">
        <v>9.9</v>
      </c>
      <c r="P136">
        <v>3.3</v>
      </c>
      <c r="Q136" s="9">
        <v>1</v>
      </c>
    </row>
    <row r="137" spans="1:17" x14ac:dyDescent="0.25">
      <c r="A137" s="5" t="s">
        <v>206</v>
      </c>
      <c r="B137" t="s">
        <v>50</v>
      </c>
      <c r="C137" t="s">
        <v>114</v>
      </c>
      <c r="D137" t="s">
        <v>91</v>
      </c>
      <c r="E137" t="s">
        <v>53</v>
      </c>
      <c r="F137" t="s">
        <v>58</v>
      </c>
      <c r="G137">
        <v>5</v>
      </c>
      <c r="H137">
        <v>3.2</v>
      </c>
      <c r="I137">
        <v>70</v>
      </c>
      <c r="J137">
        <v>40</v>
      </c>
      <c r="K137">
        <v>9.5</v>
      </c>
      <c r="L137">
        <v>10.9</v>
      </c>
      <c r="M137">
        <v>15.4</v>
      </c>
      <c r="N137">
        <v>7800</v>
      </c>
      <c r="O137">
        <v>9.9</v>
      </c>
      <c r="P137">
        <v>3.3</v>
      </c>
      <c r="Q137" s="9">
        <v>1</v>
      </c>
    </row>
    <row r="138" spans="1:17" x14ac:dyDescent="0.25">
      <c r="A138" s="5" t="s">
        <v>206</v>
      </c>
      <c r="B138" t="s">
        <v>50</v>
      </c>
      <c r="C138" t="s">
        <v>114</v>
      </c>
      <c r="D138" t="s">
        <v>91</v>
      </c>
      <c r="E138" t="s">
        <v>53</v>
      </c>
      <c r="F138" t="s">
        <v>59</v>
      </c>
      <c r="G138">
        <v>5</v>
      </c>
      <c r="H138">
        <v>3.2</v>
      </c>
      <c r="I138">
        <v>80</v>
      </c>
      <c r="J138">
        <v>40</v>
      </c>
      <c r="K138">
        <v>9.5</v>
      </c>
      <c r="L138">
        <v>10.9</v>
      </c>
      <c r="M138">
        <v>15.4</v>
      </c>
      <c r="N138">
        <v>7800</v>
      </c>
      <c r="O138">
        <v>9.9</v>
      </c>
      <c r="P138">
        <v>3.3</v>
      </c>
      <c r="Q138" s="9">
        <v>1</v>
      </c>
    </row>
    <row r="139" spans="1:17" x14ac:dyDescent="0.25">
      <c r="A139" s="5" t="s">
        <v>206</v>
      </c>
      <c r="B139" t="s">
        <v>50</v>
      </c>
      <c r="C139" t="s">
        <v>114</v>
      </c>
      <c r="D139" t="s">
        <v>91</v>
      </c>
      <c r="E139" t="s">
        <v>53</v>
      </c>
      <c r="F139" t="s">
        <v>60</v>
      </c>
      <c r="G139">
        <v>5</v>
      </c>
      <c r="H139">
        <v>3.2</v>
      </c>
      <c r="I139">
        <v>90</v>
      </c>
      <c r="J139">
        <v>45</v>
      </c>
      <c r="K139">
        <v>9.5</v>
      </c>
      <c r="L139">
        <v>10.9</v>
      </c>
      <c r="M139">
        <v>15.4</v>
      </c>
      <c r="N139">
        <v>7800</v>
      </c>
      <c r="O139">
        <v>9.9</v>
      </c>
      <c r="P139">
        <v>3.3</v>
      </c>
      <c r="Q139" s="9">
        <v>1</v>
      </c>
    </row>
    <row r="140" spans="1:17" x14ac:dyDescent="0.25">
      <c r="A140" s="5" t="s">
        <v>206</v>
      </c>
      <c r="B140" t="s">
        <v>50</v>
      </c>
      <c r="C140" t="s">
        <v>114</v>
      </c>
      <c r="D140" t="s">
        <v>91</v>
      </c>
      <c r="E140" t="s">
        <v>53</v>
      </c>
      <c r="F140" t="s">
        <v>61</v>
      </c>
      <c r="G140">
        <v>5</v>
      </c>
      <c r="H140">
        <v>3.2</v>
      </c>
      <c r="I140">
        <v>100</v>
      </c>
      <c r="J140">
        <v>60</v>
      </c>
      <c r="K140">
        <v>9.5</v>
      </c>
      <c r="L140">
        <v>10.9</v>
      </c>
      <c r="M140">
        <v>15.4</v>
      </c>
      <c r="N140">
        <v>7800</v>
      </c>
      <c r="O140">
        <v>9.9</v>
      </c>
      <c r="P140">
        <v>3.3</v>
      </c>
      <c r="Q140" s="9">
        <v>1</v>
      </c>
    </row>
    <row r="141" spans="1:17" x14ac:dyDescent="0.25">
      <c r="A141" s="5" t="s">
        <v>206</v>
      </c>
      <c r="B141" t="s">
        <v>50</v>
      </c>
      <c r="C141" t="s">
        <v>114</v>
      </c>
      <c r="D141" t="s">
        <v>91</v>
      </c>
      <c r="E141" t="s">
        <v>53</v>
      </c>
      <c r="F141" t="s">
        <v>62</v>
      </c>
      <c r="G141">
        <v>5</v>
      </c>
      <c r="H141">
        <v>3.2</v>
      </c>
      <c r="I141">
        <v>120</v>
      </c>
      <c r="J141">
        <v>60</v>
      </c>
      <c r="K141">
        <v>9.5</v>
      </c>
      <c r="L141">
        <v>10.9</v>
      </c>
      <c r="M141">
        <v>15.4</v>
      </c>
      <c r="N141">
        <v>7800</v>
      </c>
      <c r="O141">
        <v>9.9</v>
      </c>
      <c r="P141">
        <v>3.3</v>
      </c>
      <c r="Q141" s="9">
        <v>1</v>
      </c>
    </row>
    <row r="142" spans="1:17" x14ac:dyDescent="0.25">
      <c r="A142" s="5" t="s">
        <v>206</v>
      </c>
      <c r="B142" t="s">
        <v>50</v>
      </c>
      <c r="C142" t="s">
        <v>114</v>
      </c>
      <c r="D142" t="s">
        <v>91</v>
      </c>
      <c r="E142" t="s">
        <v>53</v>
      </c>
      <c r="F142" t="s">
        <v>65</v>
      </c>
      <c r="G142">
        <v>6</v>
      </c>
      <c r="H142">
        <v>3.8</v>
      </c>
      <c r="I142">
        <v>60</v>
      </c>
      <c r="J142">
        <v>35</v>
      </c>
      <c r="K142">
        <v>11.6</v>
      </c>
      <c r="L142">
        <v>14.9</v>
      </c>
      <c r="M142">
        <v>17.100000000000001</v>
      </c>
      <c r="N142">
        <v>14109</v>
      </c>
      <c r="O142">
        <v>14.5</v>
      </c>
      <c r="P142">
        <v>3.3</v>
      </c>
      <c r="Q142" s="9">
        <v>1</v>
      </c>
    </row>
    <row r="143" spans="1:17" x14ac:dyDescent="0.25">
      <c r="A143" s="5" t="s">
        <v>206</v>
      </c>
      <c r="B143" t="s">
        <v>50</v>
      </c>
      <c r="C143" t="s">
        <v>114</v>
      </c>
      <c r="D143" t="s">
        <v>91</v>
      </c>
      <c r="E143" t="s">
        <v>53</v>
      </c>
      <c r="F143" t="s">
        <v>66</v>
      </c>
      <c r="G143">
        <v>6</v>
      </c>
      <c r="H143">
        <v>3.8</v>
      </c>
      <c r="I143">
        <v>70</v>
      </c>
      <c r="J143">
        <v>40</v>
      </c>
      <c r="K143">
        <v>11.6</v>
      </c>
      <c r="L143">
        <v>14.9</v>
      </c>
      <c r="M143">
        <v>17.100000000000001</v>
      </c>
      <c r="N143">
        <v>14109</v>
      </c>
      <c r="O143">
        <v>14.5</v>
      </c>
      <c r="P143">
        <v>3.3</v>
      </c>
      <c r="Q143" s="9">
        <v>1</v>
      </c>
    </row>
    <row r="144" spans="1:17" x14ac:dyDescent="0.25">
      <c r="A144" s="5" t="s">
        <v>206</v>
      </c>
      <c r="B144" t="s">
        <v>50</v>
      </c>
      <c r="C144" t="s">
        <v>114</v>
      </c>
      <c r="D144" t="s">
        <v>91</v>
      </c>
      <c r="E144" t="s">
        <v>53</v>
      </c>
      <c r="F144" t="s">
        <v>67</v>
      </c>
      <c r="G144">
        <v>6</v>
      </c>
      <c r="H144">
        <v>3.8</v>
      </c>
      <c r="I144">
        <v>80</v>
      </c>
      <c r="J144">
        <v>40</v>
      </c>
      <c r="K144">
        <v>11.6</v>
      </c>
      <c r="L144">
        <v>14.9</v>
      </c>
      <c r="M144">
        <v>17.100000000000001</v>
      </c>
      <c r="N144">
        <v>14109</v>
      </c>
      <c r="O144">
        <v>14.5</v>
      </c>
      <c r="P144">
        <v>3.3</v>
      </c>
      <c r="Q144" s="9">
        <v>1</v>
      </c>
    </row>
    <row r="145" spans="1:17" x14ac:dyDescent="0.25">
      <c r="A145" s="5" t="s">
        <v>206</v>
      </c>
      <c r="B145" t="s">
        <v>50</v>
      </c>
      <c r="C145" t="s">
        <v>114</v>
      </c>
      <c r="D145" t="s">
        <v>91</v>
      </c>
      <c r="E145" t="s">
        <v>53</v>
      </c>
      <c r="F145" t="s">
        <v>68</v>
      </c>
      <c r="G145">
        <v>6</v>
      </c>
      <c r="H145">
        <v>3.8</v>
      </c>
      <c r="I145">
        <v>90</v>
      </c>
      <c r="J145">
        <v>45</v>
      </c>
      <c r="K145">
        <v>11.6</v>
      </c>
      <c r="L145">
        <v>14.9</v>
      </c>
      <c r="M145">
        <v>17.100000000000001</v>
      </c>
      <c r="N145">
        <v>14109</v>
      </c>
      <c r="O145">
        <v>14.5</v>
      </c>
      <c r="P145">
        <v>3.3</v>
      </c>
      <c r="Q145" s="9">
        <v>1</v>
      </c>
    </row>
    <row r="146" spans="1:17" x14ac:dyDescent="0.25">
      <c r="A146" s="5" t="s">
        <v>206</v>
      </c>
      <c r="B146" t="s">
        <v>50</v>
      </c>
      <c r="C146" t="s">
        <v>114</v>
      </c>
      <c r="D146" t="s">
        <v>91</v>
      </c>
      <c r="E146" t="s">
        <v>53</v>
      </c>
      <c r="F146" t="s">
        <v>69</v>
      </c>
      <c r="G146">
        <v>6</v>
      </c>
      <c r="H146">
        <v>3.8</v>
      </c>
      <c r="I146">
        <v>100</v>
      </c>
      <c r="J146">
        <v>60</v>
      </c>
      <c r="K146">
        <v>11.6</v>
      </c>
      <c r="L146">
        <v>14.9</v>
      </c>
      <c r="M146">
        <v>17.100000000000001</v>
      </c>
      <c r="N146">
        <v>14109</v>
      </c>
      <c r="O146">
        <v>14.5</v>
      </c>
      <c r="P146">
        <v>3.3</v>
      </c>
      <c r="Q146" s="9">
        <v>1</v>
      </c>
    </row>
    <row r="147" spans="1:17" x14ac:dyDescent="0.25">
      <c r="A147" s="5" t="s">
        <v>206</v>
      </c>
      <c r="B147" t="s">
        <v>50</v>
      </c>
      <c r="C147" t="s">
        <v>114</v>
      </c>
      <c r="D147" t="s">
        <v>91</v>
      </c>
      <c r="E147" t="s">
        <v>53</v>
      </c>
      <c r="F147" t="s">
        <v>70</v>
      </c>
      <c r="G147">
        <v>6</v>
      </c>
      <c r="H147">
        <v>3.8</v>
      </c>
      <c r="I147">
        <v>120</v>
      </c>
      <c r="J147">
        <v>70</v>
      </c>
      <c r="K147">
        <v>11.6</v>
      </c>
      <c r="L147">
        <v>14.9</v>
      </c>
      <c r="M147">
        <v>17.100000000000001</v>
      </c>
      <c r="N147">
        <v>14109</v>
      </c>
      <c r="O147">
        <v>14.5</v>
      </c>
      <c r="P147">
        <v>3.3</v>
      </c>
      <c r="Q147" s="9">
        <v>1</v>
      </c>
    </row>
    <row r="148" spans="1:17" x14ac:dyDescent="0.25">
      <c r="A148" s="5" t="s">
        <v>206</v>
      </c>
      <c r="B148" t="s">
        <v>50</v>
      </c>
      <c r="C148" t="s">
        <v>114</v>
      </c>
      <c r="D148" t="s">
        <v>91</v>
      </c>
      <c r="E148" t="s">
        <v>53</v>
      </c>
      <c r="F148" t="s">
        <v>71</v>
      </c>
      <c r="G148">
        <v>6</v>
      </c>
      <c r="H148">
        <v>3.8</v>
      </c>
      <c r="I148">
        <v>140</v>
      </c>
      <c r="J148">
        <v>70</v>
      </c>
      <c r="K148">
        <v>11.6</v>
      </c>
      <c r="L148">
        <v>14.9</v>
      </c>
      <c r="M148">
        <v>17.100000000000001</v>
      </c>
      <c r="N148">
        <v>14109</v>
      </c>
      <c r="O148">
        <v>14.5</v>
      </c>
      <c r="P148">
        <v>3.3</v>
      </c>
      <c r="Q148" s="9">
        <v>1</v>
      </c>
    </row>
    <row r="149" spans="1:17" x14ac:dyDescent="0.25">
      <c r="A149" s="5" t="s">
        <v>206</v>
      </c>
      <c r="B149" t="s">
        <v>50</v>
      </c>
      <c r="C149" t="s">
        <v>114</v>
      </c>
      <c r="D149" t="s">
        <v>91</v>
      </c>
      <c r="E149" t="s">
        <v>53</v>
      </c>
      <c r="F149" t="s">
        <v>72</v>
      </c>
      <c r="G149">
        <v>6</v>
      </c>
      <c r="H149">
        <v>3.8</v>
      </c>
      <c r="I149">
        <v>160</v>
      </c>
      <c r="J149">
        <v>70</v>
      </c>
      <c r="K149">
        <v>11.6</v>
      </c>
      <c r="L149">
        <v>14.9</v>
      </c>
      <c r="M149">
        <v>17.100000000000001</v>
      </c>
      <c r="N149">
        <v>14109</v>
      </c>
      <c r="O149">
        <v>14.5</v>
      </c>
      <c r="P149">
        <v>3.3</v>
      </c>
      <c r="Q149" s="9">
        <v>1</v>
      </c>
    </row>
    <row r="150" spans="1:17" ht="15.75" customHeight="1" thickBot="1" x14ac:dyDescent="0.3">
      <c r="A150" s="6" t="s">
        <v>206</v>
      </c>
      <c r="B150" s="7" t="s">
        <v>50</v>
      </c>
      <c r="C150" s="7" t="s">
        <v>114</v>
      </c>
      <c r="D150" s="7" t="s">
        <v>91</v>
      </c>
      <c r="E150" s="7" t="s">
        <v>53</v>
      </c>
      <c r="F150" s="7" t="s">
        <v>73</v>
      </c>
      <c r="G150" s="7">
        <v>6</v>
      </c>
      <c r="H150" s="7">
        <v>3.8</v>
      </c>
      <c r="I150" s="7">
        <v>180</v>
      </c>
      <c r="J150" s="7">
        <v>70</v>
      </c>
      <c r="K150" s="7">
        <v>11.6</v>
      </c>
      <c r="L150" s="7">
        <v>14.9</v>
      </c>
      <c r="M150" s="7">
        <v>17.100000000000001</v>
      </c>
      <c r="N150" s="7">
        <v>14109</v>
      </c>
      <c r="O150" s="7">
        <v>14.5</v>
      </c>
      <c r="P150" s="7">
        <v>3.3</v>
      </c>
      <c r="Q150" s="10">
        <v>1</v>
      </c>
    </row>
    <row r="151" spans="1:17" x14ac:dyDescent="0.25">
      <c r="A151" s="21" t="s">
        <v>206</v>
      </c>
      <c r="B151" s="22" t="s">
        <v>121</v>
      </c>
      <c r="C151" s="22" t="s">
        <v>122</v>
      </c>
      <c r="D151" s="22" t="s">
        <v>123</v>
      </c>
      <c r="E151" s="22" t="s">
        <v>124</v>
      </c>
      <c r="F151" s="22" t="s">
        <v>65</v>
      </c>
      <c r="G151" s="22">
        <v>6</v>
      </c>
      <c r="H151" s="22">
        <v>3.8</v>
      </c>
      <c r="I151" s="22">
        <v>60</v>
      </c>
      <c r="J151" s="22">
        <v>42</v>
      </c>
      <c r="K151" s="22">
        <v>14</v>
      </c>
      <c r="L151" s="22">
        <v>13</v>
      </c>
      <c r="M151" s="22">
        <v>22.1</v>
      </c>
      <c r="N151" s="22">
        <v>13176</v>
      </c>
      <c r="O151" s="22">
        <v>14.8</v>
      </c>
      <c r="P151" s="22">
        <v>2.7</v>
      </c>
      <c r="Q151" s="23">
        <v>2</v>
      </c>
    </row>
    <row r="152" spans="1:17" x14ac:dyDescent="0.25">
      <c r="A152" s="24" t="s">
        <v>206</v>
      </c>
      <c r="B152" s="25" t="s">
        <v>121</v>
      </c>
      <c r="C152" s="25" t="s">
        <v>122</v>
      </c>
      <c r="D152" s="25" t="s">
        <v>123</v>
      </c>
      <c r="E152" s="25" t="s">
        <v>124</v>
      </c>
      <c r="F152" s="25" t="s">
        <v>67</v>
      </c>
      <c r="G152" s="25">
        <v>6</v>
      </c>
      <c r="H152" s="25">
        <v>3.8</v>
      </c>
      <c r="I152" s="25">
        <v>80</v>
      </c>
      <c r="J152" s="25">
        <v>50</v>
      </c>
      <c r="K152" s="25">
        <v>14</v>
      </c>
      <c r="L152" s="25">
        <v>13</v>
      </c>
      <c r="M152" s="25">
        <v>22.1</v>
      </c>
      <c r="N152" s="25">
        <v>13176</v>
      </c>
      <c r="O152" s="25">
        <v>14.8</v>
      </c>
      <c r="P152" s="25">
        <v>2.7</v>
      </c>
      <c r="Q152" s="26">
        <v>2</v>
      </c>
    </row>
    <row r="153" spans="1:17" x14ac:dyDescent="0.25">
      <c r="A153" s="24" t="s">
        <v>206</v>
      </c>
      <c r="B153" s="25" t="s">
        <v>121</v>
      </c>
      <c r="C153" s="25" t="s">
        <v>122</v>
      </c>
      <c r="D153" s="25" t="s">
        <v>123</v>
      </c>
      <c r="E153" s="25" t="s">
        <v>124</v>
      </c>
      <c r="F153" s="25" t="s">
        <v>69</v>
      </c>
      <c r="G153" s="25">
        <v>6</v>
      </c>
      <c r="H153" s="25">
        <v>3.8</v>
      </c>
      <c r="I153" s="25">
        <v>100</v>
      </c>
      <c r="J153" s="25">
        <v>50</v>
      </c>
      <c r="K153" s="25">
        <v>14</v>
      </c>
      <c r="L153" s="25">
        <v>13</v>
      </c>
      <c r="M153" s="25">
        <v>22.1</v>
      </c>
      <c r="N153" s="25">
        <v>13176</v>
      </c>
      <c r="O153" s="25">
        <v>14.8</v>
      </c>
      <c r="P153" s="25">
        <v>2.7</v>
      </c>
      <c r="Q153" s="26">
        <v>2</v>
      </c>
    </row>
    <row r="154" spans="1:17" x14ac:dyDescent="0.25">
      <c r="A154" s="24" t="s">
        <v>206</v>
      </c>
      <c r="B154" s="25" t="s">
        <v>121</v>
      </c>
      <c r="C154" s="25" t="s">
        <v>122</v>
      </c>
      <c r="D154" s="25" t="s">
        <v>123</v>
      </c>
      <c r="E154" s="25" t="s">
        <v>124</v>
      </c>
      <c r="F154" s="25" t="s">
        <v>70</v>
      </c>
      <c r="G154" s="25">
        <v>6</v>
      </c>
      <c r="H154" s="25">
        <v>3.8</v>
      </c>
      <c r="I154" s="25">
        <v>120</v>
      </c>
      <c r="J154" s="25">
        <v>50</v>
      </c>
      <c r="K154" s="25">
        <v>14</v>
      </c>
      <c r="L154" s="25">
        <v>13</v>
      </c>
      <c r="M154" s="25">
        <v>22.1</v>
      </c>
      <c r="N154" s="25">
        <v>13176</v>
      </c>
      <c r="O154" s="25">
        <v>14.8</v>
      </c>
      <c r="P154" s="25">
        <v>2.7</v>
      </c>
      <c r="Q154" s="26">
        <v>2</v>
      </c>
    </row>
    <row r="155" spans="1:17" x14ac:dyDescent="0.25">
      <c r="A155" s="24" t="s">
        <v>206</v>
      </c>
      <c r="B155" s="25" t="s">
        <v>121</v>
      </c>
      <c r="C155" s="25" t="s">
        <v>122</v>
      </c>
      <c r="D155" s="25" t="s">
        <v>123</v>
      </c>
      <c r="E155" s="25" t="s">
        <v>124</v>
      </c>
      <c r="F155" s="25" t="s">
        <v>71</v>
      </c>
      <c r="G155" s="25">
        <v>6</v>
      </c>
      <c r="H155" s="25">
        <v>3.8</v>
      </c>
      <c r="I155" s="25">
        <v>140</v>
      </c>
      <c r="J155" s="25">
        <v>70</v>
      </c>
      <c r="K155" s="25">
        <v>14</v>
      </c>
      <c r="L155" s="25">
        <v>13</v>
      </c>
      <c r="M155" s="25">
        <v>22.1</v>
      </c>
      <c r="N155" s="25">
        <v>13176</v>
      </c>
      <c r="O155" s="25">
        <v>14.8</v>
      </c>
      <c r="P155" s="25">
        <v>2.7</v>
      </c>
      <c r="Q155" s="26">
        <v>2</v>
      </c>
    </row>
    <row r="156" spans="1:17" x14ac:dyDescent="0.25">
      <c r="A156" s="24" t="s">
        <v>206</v>
      </c>
      <c r="B156" s="25" t="s">
        <v>121</v>
      </c>
      <c r="C156" s="25" t="s">
        <v>122</v>
      </c>
      <c r="D156" s="25" t="s">
        <v>123</v>
      </c>
      <c r="E156" s="25" t="s">
        <v>124</v>
      </c>
      <c r="F156" s="25" t="s">
        <v>72</v>
      </c>
      <c r="G156" s="25">
        <v>6</v>
      </c>
      <c r="H156" s="25">
        <v>3.8</v>
      </c>
      <c r="I156" s="25">
        <v>160</v>
      </c>
      <c r="J156" s="25">
        <v>70</v>
      </c>
      <c r="K156" s="25">
        <v>14</v>
      </c>
      <c r="L156" s="25">
        <v>13</v>
      </c>
      <c r="M156" s="25">
        <v>22.1</v>
      </c>
      <c r="N156" s="25">
        <v>13176</v>
      </c>
      <c r="O156" s="25">
        <v>14.8</v>
      </c>
      <c r="P156" s="25">
        <v>2.7</v>
      </c>
      <c r="Q156" s="26">
        <v>2</v>
      </c>
    </row>
    <row r="157" spans="1:17" x14ac:dyDescent="0.25">
      <c r="A157" s="24" t="s">
        <v>206</v>
      </c>
      <c r="B157" s="25" t="s">
        <v>121</v>
      </c>
      <c r="C157" s="25" t="s">
        <v>122</v>
      </c>
      <c r="D157" s="25" t="s">
        <v>123</v>
      </c>
      <c r="E157" s="25" t="s">
        <v>124</v>
      </c>
      <c r="F157" s="25" t="s">
        <v>73</v>
      </c>
      <c r="G157" s="25">
        <v>6</v>
      </c>
      <c r="H157" s="25">
        <v>3.8</v>
      </c>
      <c r="I157" s="25">
        <v>180</v>
      </c>
      <c r="J157" s="25">
        <v>70</v>
      </c>
      <c r="K157" s="25">
        <v>14</v>
      </c>
      <c r="L157" s="25">
        <v>13</v>
      </c>
      <c r="M157" s="25">
        <v>22.1</v>
      </c>
      <c r="N157" s="25">
        <v>13176</v>
      </c>
      <c r="O157" s="25">
        <v>14.8</v>
      </c>
      <c r="P157" s="25">
        <v>2.7</v>
      </c>
      <c r="Q157" s="26">
        <v>2</v>
      </c>
    </row>
    <row r="158" spans="1:17" x14ac:dyDescent="0.25">
      <c r="A158" s="24" t="s">
        <v>206</v>
      </c>
      <c r="B158" s="25" t="s">
        <v>121</v>
      </c>
      <c r="C158" s="25" t="s">
        <v>122</v>
      </c>
      <c r="D158" s="25" t="s">
        <v>123</v>
      </c>
      <c r="E158" s="25" t="s">
        <v>124</v>
      </c>
      <c r="F158" s="25" t="s">
        <v>125</v>
      </c>
      <c r="G158" s="25">
        <v>6</v>
      </c>
      <c r="H158" s="25">
        <v>3.8</v>
      </c>
      <c r="I158" s="25">
        <v>200</v>
      </c>
      <c r="J158" s="25">
        <v>70</v>
      </c>
      <c r="K158" s="25">
        <v>14</v>
      </c>
      <c r="L158" s="25">
        <v>13</v>
      </c>
      <c r="M158" s="25">
        <v>22.1</v>
      </c>
      <c r="N158" s="25">
        <v>13176</v>
      </c>
      <c r="O158" s="25">
        <v>14.8</v>
      </c>
      <c r="P158" s="25">
        <v>2.7</v>
      </c>
      <c r="Q158" s="26">
        <v>2</v>
      </c>
    </row>
    <row r="159" spans="1:17" x14ac:dyDescent="0.25">
      <c r="A159" s="24" t="s">
        <v>206</v>
      </c>
      <c r="B159" s="25" t="s">
        <v>121</v>
      </c>
      <c r="C159" s="25" t="s">
        <v>122</v>
      </c>
      <c r="D159" s="25" t="s">
        <v>123</v>
      </c>
      <c r="E159" s="25" t="s">
        <v>124</v>
      </c>
      <c r="F159" s="25" t="s">
        <v>126</v>
      </c>
      <c r="G159" s="25">
        <v>6</v>
      </c>
      <c r="H159" s="25">
        <v>3.8</v>
      </c>
      <c r="I159" s="25">
        <v>220</v>
      </c>
      <c r="J159" s="25">
        <v>70</v>
      </c>
      <c r="K159" s="25">
        <v>14</v>
      </c>
      <c r="L159" s="25">
        <v>13</v>
      </c>
      <c r="M159" s="25">
        <v>22.1</v>
      </c>
      <c r="N159" s="25">
        <v>13176</v>
      </c>
      <c r="O159" s="25">
        <v>14.8</v>
      </c>
      <c r="P159" s="25">
        <v>2.7</v>
      </c>
      <c r="Q159" s="26">
        <v>2</v>
      </c>
    </row>
    <row r="160" spans="1:17" x14ac:dyDescent="0.25">
      <c r="A160" s="24" t="s">
        <v>206</v>
      </c>
      <c r="B160" s="25" t="s">
        <v>121</v>
      </c>
      <c r="C160" s="25" t="s">
        <v>122</v>
      </c>
      <c r="D160" s="25" t="s">
        <v>123</v>
      </c>
      <c r="E160" s="25" t="s">
        <v>124</v>
      </c>
      <c r="F160" s="25" t="s">
        <v>127</v>
      </c>
      <c r="G160" s="25">
        <v>6</v>
      </c>
      <c r="H160" s="25">
        <v>3.8</v>
      </c>
      <c r="I160" s="25">
        <v>240</v>
      </c>
      <c r="J160" s="25">
        <v>70</v>
      </c>
      <c r="K160" s="25">
        <v>14</v>
      </c>
      <c r="L160" s="25">
        <v>13</v>
      </c>
      <c r="M160" s="25">
        <v>22.1</v>
      </c>
      <c r="N160" s="25">
        <v>13176</v>
      </c>
      <c r="O160" s="25">
        <v>14.8</v>
      </c>
      <c r="P160" s="25">
        <v>2.7</v>
      </c>
      <c r="Q160" s="26">
        <v>2</v>
      </c>
    </row>
    <row r="161" spans="1:17" x14ac:dyDescent="0.25">
      <c r="A161" s="24" t="s">
        <v>206</v>
      </c>
      <c r="B161" s="25" t="s">
        <v>121</v>
      </c>
      <c r="C161" s="25" t="s">
        <v>122</v>
      </c>
      <c r="D161" s="25" t="s">
        <v>123</v>
      </c>
      <c r="E161" s="25" t="s">
        <v>124</v>
      </c>
      <c r="F161" s="25" t="s">
        <v>128</v>
      </c>
      <c r="G161" s="25">
        <v>6</v>
      </c>
      <c r="H161" s="25">
        <v>3.8</v>
      </c>
      <c r="I161" s="25">
        <v>260</v>
      </c>
      <c r="J161" s="25">
        <v>70</v>
      </c>
      <c r="K161" s="25">
        <v>14</v>
      </c>
      <c r="L161" s="25">
        <v>13</v>
      </c>
      <c r="M161" s="25">
        <v>22.1</v>
      </c>
      <c r="N161" s="25">
        <v>13176</v>
      </c>
      <c r="O161" s="25">
        <v>14.8</v>
      </c>
      <c r="P161" s="25">
        <v>2.7</v>
      </c>
      <c r="Q161" s="26">
        <v>2</v>
      </c>
    </row>
    <row r="162" spans="1:17" x14ac:dyDescent="0.25">
      <c r="A162" s="24" t="s">
        <v>206</v>
      </c>
      <c r="B162" s="25" t="s">
        <v>121</v>
      </c>
      <c r="C162" s="25" t="s">
        <v>122</v>
      </c>
      <c r="D162" s="25" t="s">
        <v>123</v>
      </c>
      <c r="E162" s="25" t="s">
        <v>124</v>
      </c>
      <c r="F162" s="25" t="s">
        <v>129</v>
      </c>
      <c r="G162" s="25">
        <v>6</v>
      </c>
      <c r="H162" s="25">
        <v>3.8</v>
      </c>
      <c r="I162" s="25">
        <v>280</v>
      </c>
      <c r="J162" s="25">
        <v>70</v>
      </c>
      <c r="K162" s="25">
        <v>14</v>
      </c>
      <c r="L162" s="25">
        <v>13</v>
      </c>
      <c r="M162" s="25">
        <v>22.1</v>
      </c>
      <c r="N162" s="25">
        <v>13176</v>
      </c>
      <c r="O162" s="25">
        <v>14.8</v>
      </c>
      <c r="P162" s="25">
        <v>2.7</v>
      </c>
      <c r="Q162" s="26">
        <v>2</v>
      </c>
    </row>
    <row r="163" spans="1:17" x14ac:dyDescent="0.25">
      <c r="A163" s="24" t="s">
        <v>206</v>
      </c>
      <c r="B163" s="25" t="s">
        <v>121</v>
      </c>
      <c r="C163" s="25" t="s">
        <v>122</v>
      </c>
      <c r="D163" s="25" t="s">
        <v>123</v>
      </c>
      <c r="E163" s="25" t="s">
        <v>124</v>
      </c>
      <c r="F163" s="25" t="s">
        <v>130</v>
      </c>
      <c r="G163" s="25">
        <v>6</v>
      </c>
      <c r="H163" s="25">
        <v>3.8</v>
      </c>
      <c r="I163" s="25">
        <v>300</v>
      </c>
      <c r="J163" s="25">
        <v>70</v>
      </c>
      <c r="K163" s="25">
        <v>14</v>
      </c>
      <c r="L163" s="25">
        <v>13</v>
      </c>
      <c r="M163" s="25">
        <v>22.1</v>
      </c>
      <c r="N163" s="25">
        <v>13176</v>
      </c>
      <c r="O163" s="25">
        <v>14.8</v>
      </c>
      <c r="P163" s="25">
        <v>2.7</v>
      </c>
      <c r="Q163" s="26">
        <v>2</v>
      </c>
    </row>
    <row r="164" spans="1:17" x14ac:dyDescent="0.25">
      <c r="A164" s="24" t="s">
        <v>206</v>
      </c>
      <c r="B164" s="25" t="s">
        <v>121</v>
      </c>
      <c r="C164" s="25" t="s">
        <v>122</v>
      </c>
      <c r="D164" s="25" t="s">
        <v>123</v>
      </c>
      <c r="E164" s="25" t="s">
        <v>124</v>
      </c>
      <c r="F164" s="25" t="s">
        <v>95</v>
      </c>
      <c r="G164" s="25">
        <v>8</v>
      </c>
      <c r="H164" s="25">
        <v>5.3</v>
      </c>
      <c r="I164" s="25">
        <v>80</v>
      </c>
      <c r="J164" s="25">
        <v>50</v>
      </c>
      <c r="K164" s="25">
        <v>22</v>
      </c>
      <c r="L164" s="25">
        <v>12.2</v>
      </c>
      <c r="M164" s="25">
        <v>19</v>
      </c>
      <c r="N164" s="25">
        <v>40045</v>
      </c>
      <c r="O164" s="25">
        <v>27.7</v>
      </c>
      <c r="P164" s="25"/>
      <c r="Q164" s="26">
        <v>2</v>
      </c>
    </row>
    <row r="165" spans="1:17" x14ac:dyDescent="0.25">
      <c r="A165" s="24" t="s">
        <v>206</v>
      </c>
      <c r="B165" s="25" t="s">
        <v>121</v>
      </c>
      <c r="C165" s="25" t="s">
        <v>122</v>
      </c>
      <c r="D165" s="25" t="s">
        <v>123</v>
      </c>
      <c r="E165" s="25" t="s">
        <v>124</v>
      </c>
      <c r="F165" s="25" t="s">
        <v>42</v>
      </c>
      <c r="G165" s="25">
        <v>8</v>
      </c>
      <c r="H165" s="25">
        <v>5.3</v>
      </c>
      <c r="I165" s="25">
        <v>100</v>
      </c>
      <c r="J165" s="25">
        <v>50</v>
      </c>
      <c r="K165" s="25">
        <v>22</v>
      </c>
      <c r="L165" s="25">
        <v>12.2</v>
      </c>
      <c r="M165" s="25">
        <v>19</v>
      </c>
      <c r="N165" s="25">
        <v>40045</v>
      </c>
      <c r="O165" s="25">
        <v>27.7</v>
      </c>
      <c r="P165" s="25"/>
      <c r="Q165" s="26">
        <v>2</v>
      </c>
    </row>
    <row r="166" spans="1:17" x14ac:dyDescent="0.25">
      <c r="A166" s="24" t="s">
        <v>206</v>
      </c>
      <c r="B166" s="25" t="s">
        <v>121</v>
      </c>
      <c r="C166" s="25" t="s">
        <v>122</v>
      </c>
      <c r="D166" s="25" t="s">
        <v>123</v>
      </c>
      <c r="E166" s="25" t="s">
        <v>124</v>
      </c>
      <c r="F166" s="25" t="s">
        <v>97</v>
      </c>
      <c r="G166" s="25">
        <v>8</v>
      </c>
      <c r="H166" s="25">
        <v>5.3</v>
      </c>
      <c r="I166" s="25">
        <v>120</v>
      </c>
      <c r="J166" s="25">
        <v>80</v>
      </c>
      <c r="K166" s="25">
        <v>22</v>
      </c>
      <c r="L166" s="25">
        <v>12.2</v>
      </c>
      <c r="M166" s="25">
        <v>19</v>
      </c>
      <c r="N166" s="25">
        <v>40045</v>
      </c>
      <c r="O166" s="25">
        <v>27.7</v>
      </c>
      <c r="P166" s="25"/>
      <c r="Q166" s="26">
        <v>2</v>
      </c>
    </row>
    <row r="167" spans="1:17" x14ac:dyDescent="0.25">
      <c r="A167" s="24" t="s">
        <v>206</v>
      </c>
      <c r="B167" s="25" t="s">
        <v>121</v>
      </c>
      <c r="C167" s="25" t="s">
        <v>122</v>
      </c>
      <c r="D167" s="25" t="s">
        <v>123</v>
      </c>
      <c r="E167" s="25" t="s">
        <v>124</v>
      </c>
      <c r="F167" s="25" t="s">
        <v>98</v>
      </c>
      <c r="G167" s="25">
        <v>8</v>
      </c>
      <c r="H167" s="25">
        <v>5.3</v>
      </c>
      <c r="I167" s="25">
        <v>140</v>
      </c>
      <c r="J167" s="25">
        <v>80</v>
      </c>
      <c r="K167" s="25">
        <v>22</v>
      </c>
      <c r="L167" s="25">
        <v>12.2</v>
      </c>
      <c r="M167" s="25">
        <v>19</v>
      </c>
      <c r="N167" s="25">
        <v>40045</v>
      </c>
      <c r="O167" s="25">
        <v>27.7</v>
      </c>
      <c r="P167" s="25"/>
      <c r="Q167" s="26">
        <v>2</v>
      </c>
    </row>
    <row r="168" spans="1:17" x14ac:dyDescent="0.25">
      <c r="A168" s="24" t="s">
        <v>206</v>
      </c>
      <c r="B168" s="25" t="s">
        <v>121</v>
      </c>
      <c r="C168" s="25" t="s">
        <v>122</v>
      </c>
      <c r="D168" s="25" t="s">
        <v>123</v>
      </c>
      <c r="E168" s="25" t="s">
        <v>124</v>
      </c>
      <c r="F168" s="25" t="s">
        <v>131</v>
      </c>
      <c r="G168" s="25">
        <v>8</v>
      </c>
      <c r="H168" s="25">
        <v>5.3</v>
      </c>
      <c r="I168" s="25">
        <v>160</v>
      </c>
      <c r="J168" s="25">
        <v>80</v>
      </c>
      <c r="K168" s="25">
        <v>22</v>
      </c>
      <c r="L168" s="25">
        <v>12.2</v>
      </c>
      <c r="M168" s="25">
        <v>19</v>
      </c>
      <c r="N168" s="25">
        <v>40045</v>
      </c>
      <c r="O168" s="25">
        <v>27.7</v>
      </c>
      <c r="P168" s="25"/>
      <c r="Q168" s="26">
        <v>2</v>
      </c>
    </row>
    <row r="169" spans="1:17" x14ac:dyDescent="0.25">
      <c r="A169" s="24" t="s">
        <v>206</v>
      </c>
      <c r="B169" s="25" t="s">
        <v>121</v>
      </c>
      <c r="C169" s="25" t="s">
        <v>122</v>
      </c>
      <c r="D169" s="25" t="s">
        <v>123</v>
      </c>
      <c r="E169" s="25" t="s">
        <v>124</v>
      </c>
      <c r="F169" s="25" t="s">
        <v>132</v>
      </c>
      <c r="G169" s="25">
        <v>8</v>
      </c>
      <c r="H169" s="25">
        <v>5.3</v>
      </c>
      <c r="I169" s="25">
        <v>180</v>
      </c>
      <c r="J169" s="25">
        <v>80</v>
      </c>
      <c r="K169" s="25">
        <v>22</v>
      </c>
      <c r="L169" s="25">
        <v>12.2</v>
      </c>
      <c r="M169" s="25">
        <v>19</v>
      </c>
      <c r="N169" s="25">
        <v>40045</v>
      </c>
      <c r="O169" s="25">
        <v>27.7</v>
      </c>
      <c r="P169" s="25"/>
      <c r="Q169" s="26">
        <v>2</v>
      </c>
    </row>
    <row r="170" spans="1:17" x14ac:dyDescent="0.25">
      <c r="A170" s="24" t="s">
        <v>206</v>
      </c>
      <c r="B170" s="25" t="s">
        <v>121</v>
      </c>
      <c r="C170" s="25" t="s">
        <v>122</v>
      </c>
      <c r="D170" s="25" t="s">
        <v>123</v>
      </c>
      <c r="E170" s="25" t="s">
        <v>124</v>
      </c>
      <c r="F170" s="25" t="s">
        <v>133</v>
      </c>
      <c r="G170" s="25">
        <v>8</v>
      </c>
      <c r="H170" s="25">
        <v>5.3</v>
      </c>
      <c r="I170" s="25">
        <v>200</v>
      </c>
      <c r="J170" s="25">
        <v>80</v>
      </c>
      <c r="K170" s="25">
        <v>22</v>
      </c>
      <c r="L170" s="25">
        <v>12.2</v>
      </c>
      <c r="M170" s="25">
        <v>19</v>
      </c>
      <c r="N170" s="25">
        <v>40045</v>
      </c>
      <c r="O170" s="25">
        <v>27.7</v>
      </c>
      <c r="P170" s="25"/>
      <c r="Q170" s="26">
        <v>2</v>
      </c>
    </row>
    <row r="171" spans="1:17" x14ac:dyDescent="0.25">
      <c r="A171" s="24" t="s">
        <v>206</v>
      </c>
      <c r="B171" s="25" t="s">
        <v>121</v>
      </c>
      <c r="C171" s="25" t="s">
        <v>122</v>
      </c>
      <c r="D171" s="25" t="s">
        <v>123</v>
      </c>
      <c r="E171" s="25" t="s">
        <v>124</v>
      </c>
      <c r="F171" s="25" t="s">
        <v>134</v>
      </c>
      <c r="G171" s="25">
        <v>8</v>
      </c>
      <c r="H171" s="25">
        <v>5.3</v>
      </c>
      <c r="I171" s="25">
        <v>220</v>
      </c>
      <c r="J171" s="25">
        <v>80</v>
      </c>
      <c r="K171" s="25">
        <v>22</v>
      </c>
      <c r="L171" s="25">
        <v>12.2</v>
      </c>
      <c r="M171" s="25">
        <v>19</v>
      </c>
      <c r="N171" s="25">
        <v>40045</v>
      </c>
      <c r="O171" s="25">
        <v>27.7</v>
      </c>
      <c r="P171" s="25"/>
      <c r="Q171" s="26">
        <v>2</v>
      </c>
    </row>
    <row r="172" spans="1:17" x14ac:dyDescent="0.25">
      <c r="A172" s="24" t="s">
        <v>206</v>
      </c>
      <c r="B172" s="25" t="s">
        <v>121</v>
      </c>
      <c r="C172" s="25" t="s">
        <v>122</v>
      </c>
      <c r="D172" s="25" t="s">
        <v>123</v>
      </c>
      <c r="E172" s="25" t="s">
        <v>124</v>
      </c>
      <c r="F172" s="25" t="s">
        <v>135</v>
      </c>
      <c r="G172" s="25">
        <v>8</v>
      </c>
      <c r="H172" s="25">
        <v>5.3</v>
      </c>
      <c r="I172" s="25">
        <v>240</v>
      </c>
      <c r="J172" s="25">
        <v>80</v>
      </c>
      <c r="K172" s="25">
        <v>22</v>
      </c>
      <c r="L172" s="25">
        <v>12.2</v>
      </c>
      <c r="M172" s="25">
        <v>19</v>
      </c>
      <c r="N172" s="25">
        <v>40045</v>
      </c>
      <c r="O172" s="25">
        <v>27.7</v>
      </c>
      <c r="P172" s="25"/>
      <c r="Q172" s="26">
        <v>2</v>
      </c>
    </row>
    <row r="173" spans="1:17" x14ac:dyDescent="0.25">
      <c r="A173" s="24" t="s">
        <v>206</v>
      </c>
      <c r="B173" s="25" t="s">
        <v>121</v>
      </c>
      <c r="C173" s="25" t="s">
        <v>122</v>
      </c>
      <c r="D173" s="25" t="s">
        <v>123</v>
      </c>
      <c r="E173" s="25" t="s">
        <v>124</v>
      </c>
      <c r="F173" s="25" t="s">
        <v>136</v>
      </c>
      <c r="G173" s="25">
        <v>8</v>
      </c>
      <c r="H173" s="25">
        <v>5.3</v>
      </c>
      <c r="I173" s="25">
        <v>260</v>
      </c>
      <c r="J173" s="25">
        <v>80</v>
      </c>
      <c r="K173" s="25">
        <v>22</v>
      </c>
      <c r="L173" s="25">
        <v>12.2</v>
      </c>
      <c r="M173" s="25">
        <v>19</v>
      </c>
      <c r="N173" s="25">
        <v>40045</v>
      </c>
      <c r="O173" s="25">
        <v>27.7</v>
      </c>
      <c r="P173" s="25"/>
      <c r="Q173" s="26">
        <v>2</v>
      </c>
    </row>
    <row r="174" spans="1:17" x14ac:dyDescent="0.25">
      <c r="A174" s="24" t="s">
        <v>206</v>
      </c>
      <c r="B174" s="25" t="s">
        <v>121</v>
      </c>
      <c r="C174" s="25" t="s">
        <v>122</v>
      </c>
      <c r="D174" s="25" t="s">
        <v>123</v>
      </c>
      <c r="E174" s="25" t="s">
        <v>124</v>
      </c>
      <c r="F174" s="25" t="s">
        <v>137</v>
      </c>
      <c r="G174" s="25">
        <v>8</v>
      </c>
      <c r="H174" s="25">
        <v>5.3</v>
      </c>
      <c r="I174" s="25">
        <v>280</v>
      </c>
      <c r="J174" s="25">
        <v>80</v>
      </c>
      <c r="K174" s="25">
        <v>22</v>
      </c>
      <c r="L174" s="25">
        <v>12.2</v>
      </c>
      <c r="M174" s="25">
        <v>19</v>
      </c>
      <c r="N174" s="25">
        <v>40045</v>
      </c>
      <c r="O174" s="25">
        <v>27.7</v>
      </c>
      <c r="P174" s="25"/>
      <c r="Q174" s="26">
        <v>2</v>
      </c>
    </row>
    <row r="175" spans="1:17" x14ac:dyDescent="0.25">
      <c r="A175" s="24" t="s">
        <v>206</v>
      </c>
      <c r="B175" s="25" t="s">
        <v>121</v>
      </c>
      <c r="C175" s="25" t="s">
        <v>122</v>
      </c>
      <c r="D175" s="25" t="s">
        <v>123</v>
      </c>
      <c r="E175" s="25" t="s">
        <v>124</v>
      </c>
      <c r="F175" s="25" t="s">
        <v>138</v>
      </c>
      <c r="G175" s="25">
        <v>8</v>
      </c>
      <c r="H175" s="25">
        <v>5.3</v>
      </c>
      <c r="I175" s="25">
        <v>300</v>
      </c>
      <c r="J175" s="25">
        <v>80</v>
      </c>
      <c r="K175" s="25">
        <v>22</v>
      </c>
      <c r="L175" s="25">
        <v>12.2</v>
      </c>
      <c r="M175" s="25">
        <v>19</v>
      </c>
      <c r="N175" s="25">
        <v>40045</v>
      </c>
      <c r="O175" s="25">
        <v>27.7</v>
      </c>
      <c r="P175" s="25"/>
      <c r="Q175" s="26">
        <v>2</v>
      </c>
    </row>
    <row r="176" spans="1:17" x14ac:dyDescent="0.25">
      <c r="A176" s="24" t="s">
        <v>206</v>
      </c>
      <c r="B176" s="25" t="s">
        <v>121</v>
      </c>
      <c r="C176" s="25" t="s">
        <v>122</v>
      </c>
      <c r="D176" s="25" t="s">
        <v>123</v>
      </c>
      <c r="E176" s="25" t="s">
        <v>124</v>
      </c>
      <c r="F176" s="25" t="s">
        <v>139</v>
      </c>
      <c r="G176" s="25">
        <v>8</v>
      </c>
      <c r="H176" s="25">
        <v>5.3</v>
      </c>
      <c r="I176" s="25">
        <v>320</v>
      </c>
      <c r="J176" s="25">
        <v>80</v>
      </c>
      <c r="K176" s="25">
        <v>22</v>
      </c>
      <c r="L176" s="25">
        <v>12.2</v>
      </c>
      <c r="M176" s="25">
        <v>19</v>
      </c>
      <c r="N176" s="25">
        <v>40045</v>
      </c>
      <c r="O176" s="25">
        <v>27.7</v>
      </c>
      <c r="P176" s="25"/>
      <c r="Q176" s="26">
        <v>2</v>
      </c>
    </row>
    <row r="177" spans="1:17" x14ac:dyDescent="0.25">
      <c r="A177" s="24" t="s">
        <v>206</v>
      </c>
      <c r="B177" s="25" t="s">
        <v>121</v>
      </c>
      <c r="C177" s="25" t="s">
        <v>122</v>
      </c>
      <c r="D177" s="25" t="s">
        <v>123</v>
      </c>
      <c r="E177" s="25" t="s">
        <v>124</v>
      </c>
      <c r="F177" s="25" t="s">
        <v>140</v>
      </c>
      <c r="G177" s="25">
        <v>8</v>
      </c>
      <c r="H177" s="25">
        <v>5.3</v>
      </c>
      <c r="I177" s="25">
        <v>340</v>
      </c>
      <c r="J177" s="25">
        <v>80</v>
      </c>
      <c r="K177" s="25">
        <v>22</v>
      </c>
      <c r="L177" s="25">
        <v>12.2</v>
      </c>
      <c r="M177" s="25">
        <v>19</v>
      </c>
      <c r="N177" s="25">
        <v>40045</v>
      </c>
      <c r="O177" s="25">
        <v>27.7</v>
      </c>
      <c r="P177" s="25"/>
      <c r="Q177" s="26">
        <v>2</v>
      </c>
    </row>
    <row r="178" spans="1:17" x14ac:dyDescent="0.25">
      <c r="A178" s="24" t="s">
        <v>206</v>
      </c>
      <c r="B178" s="25" t="s">
        <v>121</v>
      </c>
      <c r="C178" s="25" t="s">
        <v>122</v>
      </c>
      <c r="D178" s="25" t="s">
        <v>123</v>
      </c>
      <c r="E178" s="25" t="s">
        <v>124</v>
      </c>
      <c r="F178" s="25" t="s">
        <v>141</v>
      </c>
      <c r="G178" s="25">
        <v>8</v>
      </c>
      <c r="H178" s="25">
        <v>5.3</v>
      </c>
      <c r="I178" s="25">
        <v>360</v>
      </c>
      <c r="J178" s="25">
        <v>80</v>
      </c>
      <c r="K178" s="25">
        <v>22</v>
      </c>
      <c r="L178" s="25">
        <v>12.2</v>
      </c>
      <c r="M178" s="25">
        <v>19</v>
      </c>
      <c r="N178" s="25">
        <v>40045</v>
      </c>
      <c r="O178" s="25">
        <v>27.7</v>
      </c>
      <c r="P178" s="25"/>
      <c r="Q178" s="26">
        <v>2</v>
      </c>
    </row>
    <row r="179" spans="1:17" x14ac:dyDescent="0.25">
      <c r="A179" s="24" t="s">
        <v>206</v>
      </c>
      <c r="B179" s="25" t="s">
        <v>121</v>
      </c>
      <c r="C179" s="25" t="s">
        <v>122</v>
      </c>
      <c r="D179" s="25" t="s">
        <v>123</v>
      </c>
      <c r="E179" s="25" t="s">
        <v>124</v>
      </c>
      <c r="F179" s="25" t="s">
        <v>142</v>
      </c>
      <c r="G179" s="25">
        <v>8</v>
      </c>
      <c r="H179" s="25">
        <v>5.3</v>
      </c>
      <c r="I179" s="25">
        <v>380</v>
      </c>
      <c r="J179" s="25">
        <v>80</v>
      </c>
      <c r="K179" s="25">
        <v>22</v>
      </c>
      <c r="L179" s="25">
        <v>12.2</v>
      </c>
      <c r="M179" s="25">
        <v>19</v>
      </c>
      <c r="N179" s="25">
        <v>40045</v>
      </c>
      <c r="O179" s="25">
        <v>27.7</v>
      </c>
      <c r="P179" s="25"/>
      <c r="Q179" s="26">
        <v>2</v>
      </c>
    </row>
    <row r="180" spans="1:17" x14ac:dyDescent="0.25">
      <c r="A180" s="24" t="s">
        <v>206</v>
      </c>
      <c r="B180" s="25" t="s">
        <v>121</v>
      </c>
      <c r="C180" s="25" t="s">
        <v>122</v>
      </c>
      <c r="D180" s="25" t="s">
        <v>123</v>
      </c>
      <c r="E180" s="25" t="s">
        <v>124</v>
      </c>
      <c r="F180" s="25" t="s">
        <v>143</v>
      </c>
      <c r="G180" s="25">
        <v>8</v>
      </c>
      <c r="H180" s="25">
        <v>5.3</v>
      </c>
      <c r="I180" s="25">
        <v>400</v>
      </c>
      <c r="J180" s="25">
        <v>80</v>
      </c>
      <c r="K180" s="25">
        <v>22</v>
      </c>
      <c r="L180" s="25">
        <v>12.2</v>
      </c>
      <c r="M180" s="25">
        <v>19</v>
      </c>
      <c r="N180" s="25">
        <v>40045</v>
      </c>
      <c r="O180" s="25">
        <v>27.7</v>
      </c>
      <c r="P180" s="25"/>
      <c r="Q180" s="26">
        <v>2</v>
      </c>
    </row>
    <row r="181" spans="1:17" x14ac:dyDescent="0.25">
      <c r="A181" s="24" t="s">
        <v>206</v>
      </c>
      <c r="B181" s="25" t="s">
        <v>121</v>
      </c>
      <c r="C181" s="25" t="s">
        <v>122</v>
      </c>
      <c r="D181" s="25" t="s">
        <v>123</v>
      </c>
      <c r="E181" s="25" t="s">
        <v>124</v>
      </c>
      <c r="F181" s="25" t="s">
        <v>103</v>
      </c>
      <c r="G181" s="25">
        <v>10</v>
      </c>
      <c r="H181" s="25">
        <v>6.3</v>
      </c>
      <c r="I181" s="25">
        <v>160</v>
      </c>
      <c r="J181" s="25">
        <v>80</v>
      </c>
      <c r="K181" s="25">
        <v>25</v>
      </c>
      <c r="L181" s="25">
        <v>11.7</v>
      </c>
      <c r="M181" s="25">
        <v>19.5</v>
      </c>
      <c r="N181" s="25">
        <v>61022</v>
      </c>
      <c r="O181" s="25">
        <v>35.700000000000003</v>
      </c>
      <c r="P181" s="25"/>
      <c r="Q181" s="26">
        <v>2</v>
      </c>
    </row>
    <row r="182" spans="1:17" x14ac:dyDescent="0.25">
      <c r="A182" s="24" t="s">
        <v>206</v>
      </c>
      <c r="B182" s="25" t="s">
        <v>121</v>
      </c>
      <c r="C182" s="25" t="s">
        <v>122</v>
      </c>
      <c r="D182" s="25" t="s">
        <v>123</v>
      </c>
      <c r="E182" s="25" t="s">
        <v>124</v>
      </c>
      <c r="F182" s="25" t="s">
        <v>104</v>
      </c>
      <c r="G182" s="25">
        <v>10</v>
      </c>
      <c r="H182" s="25">
        <v>6.3</v>
      </c>
      <c r="I182" s="25">
        <v>180</v>
      </c>
      <c r="J182" s="25">
        <v>80</v>
      </c>
      <c r="K182" s="25">
        <v>25</v>
      </c>
      <c r="L182" s="25">
        <v>11.7</v>
      </c>
      <c r="M182" s="25">
        <v>19.5</v>
      </c>
      <c r="N182" s="25">
        <v>61022</v>
      </c>
      <c r="O182" s="25">
        <v>35.700000000000003</v>
      </c>
      <c r="P182" s="25"/>
      <c r="Q182" s="26">
        <v>2</v>
      </c>
    </row>
    <row r="183" spans="1:17" x14ac:dyDescent="0.25">
      <c r="A183" s="24" t="s">
        <v>206</v>
      </c>
      <c r="B183" s="25" t="s">
        <v>121</v>
      </c>
      <c r="C183" s="25" t="s">
        <v>122</v>
      </c>
      <c r="D183" s="25" t="s">
        <v>123</v>
      </c>
      <c r="E183" s="25" t="s">
        <v>124</v>
      </c>
      <c r="F183" s="25" t="s">
        <v>144</v>
      </c>
      <c r="G183" s="25">
        <v>10</v>
      </c>
      <c r="H183" s="25">
        <v>6.3</v>
      </c>
      <c r="I183" s="25">
        <v>200</v>
      </c>
      <c r="J183" s="25">
        <v>80</v>
      </c>
      <c r="K183" s="25">
        <v>25</v>
      </c>
      <c r="L183" s="25">
        <v>11.7</v>
      </c>
      <c r="M183" s="25">
        <v>19.5</v>
      </c>
      <c r="N183" s="25">
        <v>61022</v>
      </c>
      <c r="O183" s="25">
        <v>35.700000000000003</v>
      </c>
      <c r="P183" s="25"/>
      <c r="Q183" s="26">
        <v>2</v>
      </c>
    </row>
    <row r="184" spans="1:17" x14ac:dyDescent="0.25">
      <c r="A184" s="24" t="s">
        <v>206</v>
      </c>
      <c r="B184" s="25" t="s">
        <v>121</v>
      </c>
      <c r="C184" s="25" t="s">
        <v>122</v>
      </c>
      <c r="D184" s="25" t="s">
        <v>123</v>
      </c>
      <c r="E184" s="25" t="s">
        <v>124</v>
      </c>
      <c r="F184" s="25" t="s">
        <v>145</v>
      </c>
      <c r="G184" s="25">
        <v>10</v>
      </c>
      <c r="H184" s="25">
        <v>6.3</v>
      </c>
      <c r="I184" s="25">
        <v>220</v>
      </c>
      <c r="J184" s="25">
        <v>80</v>
      </c>
      <c r="K184" s="25">
        <v>25</v>
      </c>
      <c r="L184" s="25">
        <v>11.7</v>
      </c>
      <c r="M184" s="25">
        <v>19.5</v>
      </c>
      <c r="N184" s="25">
        <v>61022</v>
      </c>
      <c r="O184" s="25">
        <v>35.700000000000003</v>
      </c>
      <c r="P184" s="25"/>
      <c r="Q184" s="26">
        <v>2</v>
      </c>
    </row>
    <row r="185" spans="1:17" x14ac:dyDescent="0.25">
      <c r="A185" s="24" t="s">
        <v>206</v>
      </c>
      <c r="B185" s="25" t="s">
        <v>121</v>
      </c>
      <c r="C185" s="25" t="s">
        <v>122</v>
      </c>
      <c r="D185" s="25" t="s">
        <v>123</v>
      </c>
      <c r="E185" s="25" t="s">
        <v>124</v>
      </c>
      <c r="F185" s="25" t="s">
        <v>146</v>
      </c>
      <c r="G185" s="25">
        <v>10</v>
      </c>
      <c r="H185" s="25">
        <v>6.3</v>
      </c>
      <c r="I185" s="25">
        <v>240</v>
      </c>
      <c r="J185" s="25">
        <v>80</v>
      </c>
      <c r="K185" s="25">
        <v>25</v>
      </c>
      <c r="L185" s="25">
        <v>11.7</v>
      </c>
      <c r="M185" s="25">
        <v>19.5</v>
      </c>
      <c r="N185" s="25">
        <v>61022</v>
      </c>
      <c r="O185" s="25">
        <v>35.700000000000003</v>
      </c>
      <c r="P185" s="25"/>
      <c r="Q185" s="26">
        <v>2</v>
      </c>
    </row>
    <row r="186" spans="1:17" x14ac:dyDescent="0.25">
      <c r="A186" s="24" t="s">
        <v>206</v>
      </c>
      <c r="B186" s="25" t="s">
        <v>121</v>
      </c>
      <c r="C186" s="25" t="s">
        <v>122</v>
      </c>
      <c r="D186" s="25" t="s">
        <v>123</v>
      </c>
      <c r="E186" s="25" t="s">
        <v>124</v>
      </c>
      <c r="F186" s="25" t="s">
        <v>147</v>
      </c>
      <c r="G186" s="25">
        <v>10</v>
      </c>
      <c r="H186" s="25">
        <v>6.3</v>
      </c>
      <c r="I186" s="25">
        <v>260</v>
      </c>
      <c r="J186" s="25">
        <v>80</v>
      </c>
      <c r="K186" s="25">
        <v>25</v>
      </c>
      <c r="L186" s="25">
        <v>11.7</v>
      </c>
      <c r="M186" s="25">
        <v>19.5</v>
      </c>
      <c r="N186" s="25">
        <v>61022</v>
      </c>
      <c r="O186" s="25">
        <v>35.700000000000003</v>
      </c>
      <c r="P186" s="25"/>
      <c r="Q186" s="26">
        <v>2</v>
      </c>
    </row>
    <row r="187" spans="1:17" x14ac:dyDescent="0.25">
      <c r="A187" s="24" t="s">
        <v>206</v>
      </c>
      <c r="B187" s="25" t="s">
        <v>121</v>
      </c>
      <c r="C187" s="25" t="s">
        <v>122</v>
      </c>
      <c r="D187" s="25" t="s">
        <v>123</v>
      </c>
      <c r="E187" s="25" t="s">
        <v>124</v>
      </c>
      <c r="F187" s="25" t="s">
        <v>148</v>
      </c>
      <c r="G187" s="25">
        <v>10</v>
      </c>
      <c r="H187" s="25">
        <v>6.3</v>
      </c>
      <c r="I187" s="25">
        <v>280</v>
      </c>
      <c r="J187" s="25">
        <v>80</v>
      </c>
      <c r="K187" s="25">
        <v>25</v>
      </c>
      <c r="L187" s="25">
        <v>11.7</v>
      </c>
      <c r="M187" s="25">
        <v>19.5</v>
      </c>
      <c r="N187" s="25">
        <v>61022</v>
      </c>
      <c r="O187" s="25">
        <v>35.700000000000003</v>
      </c>
      <c r="P187" s="25"/>
      <c r="Q187" s="26">
        <v>2</v>
      </c>
    </row>
    <row r="188" spans="1:17" x14ac:dyDescent="0.25">
      <c r="A188" s="24" t="s">
        <v>206</v>
      </c>
      <c r="B188" s="25" t="s">
        <v>121</v>
      </c>
      <c r="C188" s="25" t="s">
        <v>122</v>
      </c>
      <c r="D188" s="25" t="s">
        <v>123</v>
      </c>
      <c r="E188" s="25" t="s">
        <v>124</v>
      </c>
      <c r="F188" s="25" t="s">
        <v>149</v>
      </c>
      <c r="G188" s="25">
        <v>10</v>
      </c>
      <c r="H188" s="25">
        <v>6.3</v>
      </c>
      <c r="I188" s="25">
        <v>300</v>
      </c>
      <c r="J188" s="25">
        <v>80</v>
      </c>
      <c r="K188" s="25">
        <v>25</v>
      </c>
      <c r="L188" s="25">
        <v>11.7</v>
      </c>
      <c r="M188" s="25">
        <v>19.5</v>
      </c>
      <c r="N188" s="25">
        <v>61022</v>
      </c>
      <c r="O188" s="25">
        <v>35.700000000000003</v>
      </c>
      <c r="P188" s="25"/>
      <c r="Q188" s="26">
        <v>2</v>
      </c>
    </row>
    <row r="189" spans="1:17" x14ac:dyDescent="0.25">
      <c r="A189" s="24" t="s">
        <v>206</v>
      </c>
      <c r="B189" s="25" t="s">
        <v>121</v>
      </c>
      <c r="C189" s="25" t="s">
        <v>122</v>
      </c>
      <c r="D189" s="25" t="s">
        <v>123</v>
      </c>
      <c r="E189" s="25" t="s">
        <v>124</v>
      </c>
      <c r="F189" s="25" t="s">
        <v>150</v>
      </c>
      <c r="G189" s="25">
        <v>10</v>
      </c>
      <c r="H189" s="25">
        <v>6.3</v>
      </c>
      <c r="I189" s="25">
        <v>320</v>
      </c>
      <c r="J189" s="25">
        <v>80</v>
      </c>
      <c r="K189" s="25">
        <v>25</v>
      </c>
      <c r="L189" s="25">
        <v>11.7</v>
      </c>
      <c r="M189" s="25">
        <v>19.5</v>
      </c>
      <c r="N189" s="25">
        <v>61022</v>
      </c>
      <c r="O189" s="25">
        <v>35.700000000000003</v>
      </c>
      <c r="P189" s="25"/>
      <c r="Q189" s="26">
        <v>2</v>
      </c>
    </row>
    <row r="190" spans="1:17" x14ac:dyDescent="0.25">
      <c r="A190" s="24" t="s">
        <v>206</v>
      </c>
      <c r="B190" s="25" t="s">
        <v>121</v>
      </c>
      <c r="C190" s="25" t="s">
        <v>122</v>
      </c>
      <c r="D190" s="25" t="s">
        <v>123</v>
      </c>
      <c r="E190" s="25" t="s">
        <v>124</v>
      </c>
      <c r="F190" s="25" t="s">
        <v>151</v>
      </c>
      <c r="G190" s="25">
        <v>10</v>
      </c>
      <c r="H190" s="25">
        <v>6.3</v>
      </c>
      <c r="I190" s="25">
        <v>340</v>
      </c>
      <c r="J190" s="25">
        <v>80</v>
      </c>
      <c r="K190" s="25">
        <v>25</v>
      </c>
      <c r="L190" s="25">
        <v>11.7</v>
      </c>
      <c r="M190" s="25">
        <v>19.5</v>
      </c>
      <c r="N190" s="25">
        <v>61022</v>
      </c>
      <c r="O190" s="25">
        <v>35.700000000000003</v>
      </c>
      <c r="P190" s="25"/>
      <c r="Q190" s="26">
        <v>2</v>
      </c>
    </row>
    <row r="191" spans="1:17" x14ac:dyDescent="0.25">
      <c r="A191" s="24" t="s">
        <v>206</v>
      </c>
      <c r="B191" s="25" t="s">
        <v>121</v>
      </c>
      <c r="C191" s="25" t="s">
        <v>122</v>
      </c>
      <c r="D191" s="25" t="s">
        <v>123</v>
      </c>
      <c r="E191" s="25" t="s">
        <v>124</v>
      </c>
      <c r="F191" s="25" t="s">
        <v>152</v>
      </c>
      <c r="G191" s="25">
        <v>10</v>
      </c>
      <c r="H191" s="25">
        <v>6.3</v>
      </c>
      <c r="I191" s="25">
        <v>360</v>
      </c>
      <c r="J191" s="25">
        <v>80</v>
      </c>
      <c r="K191" s="25">
        <v>25</v>
      </c>
      <c r="L191" s="25">
        <v>11.7</v>
      </c>
      <c r="M191" s="25">
        <v>19.5</v>
      </c>
      <c r="N191" s="25">
        <v>61022</v>
      </c>
      <c r="O191" s="25">
        <v>35.700000000000003</v>
      </c>
      <c r="P191" s="25"/>
      <c r="Q191" s="26">
        <v>2</v>
      </c>
    </row>
    <row r="192" spans="1:17" x14ac:dyDescent="0.25">
      <c r="A192" s="24" t="s">
        <v>206</v>
      </c>
      <c r="B192" s="25" t="s">
        <v>121</v>
      </c>
      <c r="C192" s="25" t="s">
        <v>122</v>
      </c>
      <c r="D192" s="25" t="s">
        <v>123</v>
      </c>
      <c r="E192" s="25" t="s">
        <v>124</v>
      </c>
      <c r="F192" s="25" t="s">
        <v>153</v>
      </c>
      <c r="G192" s="25">
        <v>10</v>
      </c>
      <c r="H192" s="25">
        <v>6.3</v>
      </c>
      <c r="I192" s="25">
        <v>380</v>
      </c>
      <c r="J192" s="25">
        <v>80</v>
      </c>
      <c r="K192" s="25">
        <v>25</v>
      </c>
      <c r="L192" s="25">
        <v>11.7</v>
      </c>
      <c r="M192" s="25">
        <v>19.5</v>
      </c>
      <c r="N192" s="25">
        <v>61022</v>
      </c>
      <c r="O192" s="25">
        <v>35.700000000000003</v>
      </c>
      <c r="P192" s="25"/>
      <c r="Q192" s="26">
        <v>2</v>
      </c>
    </row>
    <row r="193" spans="1:18" ht="15.75" customHeight="1" thickBot="1" x14ac:dyDescent="0.3">
      <c r="A193" s="27" t="s">
        <v>206</v>
      </c>
      <c r="B193" s="28" t="s">
        <v>121</v>
      </c>
      <c r="C193" s="28" t="s">
        <v>122</v>
      </c>
      <c r="D193" s="28" t="s">
        <v>123</v>
      </c>
      <c r="E193" s="28" t="s">
        <v>124</v>
      </c>
      <c r="F193" s="28" t="s">
        <v>154</v>
      </c>
      <c r="G193" s="28">
        <v>10</v>
      </c>
      <c r="H193" s="28">
        <v>6.3</v>
      </c>
      <c r="I193" s="28">
        <v>400</v>
      </c>
      <c r="J193" s="28">
        <v>80</v>
      </c>
      <c r="K193" s="28">
        <v>25</v>
      </c>
      <c r="L193" s="28">
        <v>11.7</v>
      </c>
      <c r="M193" s="28">
        <v>19.5</v>
      </c>
      <c r="N193" s="28">
        <v>61022</v>
      </c>
      <c r="O193" s="28">
        <v>35.700000000000003</v>
      </c>
      <c r="P193" s="28"/>
      <c r="Q193" s="29">
        <v>2</v>
      </c>
    </row>
    <row r="194" spans="1:18" x14ac:dyDescent="0.25">
      <c r="A194" s="30" t="s">
        <v>206</v>
      </c>
      <c r="B194" s="31" t="s">
        <v>121</v>
      </c>
      <c r="C194" s="31" t="s">
        <v>155</v>
      </c>
      <c r="D194" s="31" t="s">
        <v>156</v>
      </c>
      <c r="E194" s="31"/>
      <c r="F194" s="31" t="s">
        <v>157</v>
      </c>
      <c r="G194" s="31">
        <v>6.5</v>
      </c>
      <c r="H194" s="31">
        <v>4</v>
      </c>
      <c r="I194" s="31">
        <v>90</v>
      </c>
      <c r="J194" s="31">
        <v>40</v>
      </c>
      <c r="K194" s="31">
        <v>8</v>
      </c>
      <c r="L194" s="31">
        <v>13.6</v>
      </c>
      <c r="M194" s="31">
        <v>84.6</v>
      </c>
      <c r="N194" s="31">
        <v>15071</v>
      </c>
      <c r="O194" s="31">
        <v>15.1</v>
      </c>
      <c r="P194" s="31">
        <v>3.1</v>
      </c>
      <c r="Q194" s="32"/>
      <c r="R194">
        <v>989</v>
      </c>
    </row>
    <row r="195" spans="1:18" x14ac:dyDescent="0.25">
      <c r="A195" s="33" t="s">
        <v>206</v>
      </c>
      <c r="B195" s="34" t="s">
        <v>121</v>
      </c>
      <c r="C195" s="34" t="s">
        <v>155</v>
      </c>
      <c r="D195" s="34" t="s">
        <v>156</v>
      </c>
      <c r="E195" s="34"/>
      <c r="F195" s="34" t="s">
        <v>158</v>
      </c>
      <c r="G195" s="34">
        <v>6.5</v>
      </c>
      <c r="H195" s="34">
        <v>4</v>
      </c>
      <c r="I195" s="34">
        <v>130</v>
      </c>
      <c r="J195" s="34">
        <v>40</v>
      </c>
      <c r="K195" s="34">
        <v>8</v>
      </c>
      <c r="L195" s="34">
        <v>13.6</v>
      </c>
      <c r="M195" s="34">
        <v>84.6</v>
      </c>
      <c r="N195" s="34">
        <v>15071</v>
      </c>
      <c r="O195" s="34">
        <v>15.1</v>
      </c>
      <c r="P195" s="34">
        <v>3.1</v>
      </c>
      <c r="Q195" s="35"/>
      <c r="R195">
        <v>989</v>
      </c>
    </row>
    <row r="196" spans="1:18" x14ac:dyDescent="0.25">
      <c r="A196" s="33" t="s">
        <v>206</v>
      </c>
      <c r="B196" s="34" t="s">
        <v>121</v>
      </c>
      <c r="C196" s="34" t="s">
        <v>155</v>
      </c>
      <c r="D196" s="34" t="s">
        <v>156</v>
      </c>
      <c r="E196" s="34"/>
      <c r="F196" s="34" t="s">
        <v>159</v>
      </c>
      <c r="G196" s="34">
        <v>6.5</v>
      </c>
      <c r="H196" s="34">
        <v>4</v>
      </c>
      <c r="I196" s="34">
        <v>160</v>
      </c>
      <c r="J196" s="34">
        <v>65</v>
      </c>
      <c r="K196" s="34">
        <v>8</v>
      </c>
      <c r="L196" s="34">
        <v>13.6</v>
      </c>
      <c r="M196" s="34">
        <v>84.6</v>
      </c>
      <c r="N196" s="34">
        <v>15071</v>
      </c>
      <c r="O196" s="34">
        <v>15.1</v>
      </c>
      <c r="P196" s="34">
        <v>3.1</v>
      </c>
      <c r="Q196" s="35"/>
      <c r="R196">
        <v>989</v>
      </c>
    </row>
    <row r="197" spans="1:18" x14ac:dyDescent="0.25">
      <c r="A197" s="33" t="s">
        <v>206</v>
      </c>
      <c r="B197" s="34" t="s">
        <v>121</v>
      </c>
      <c r="C197" s="34" t="s">
        <v>155</v>
      </c>
      <c r="D197" s="34" t="s">
        <v>156</v>
      </c>
      <c r="E197" s="34"/>
      <c r="F197" s="34" t="s">
        <v>160</v>
      </c>
      <c r="G197" s="34">
        <v>6.5</v>
      </c>
      <c r="H197" s="34">
        <v>4</v>
      </c>
      <c r="I197" s="34">
        <v>190</v>
      </c>
      <c r="J197" s="34">
        <v>80</v>
      </c>
      <c r="K197" s="34">
        <v>8</v>
      </c>
      <c r="L197" s="34">
        <v>13.6</v>
      </c>
      <c r="M197" s="34">
        <v>84.6</v>
      </c>
      <c r="N197" s="34">
        <v>15071</v>
      </c>
      <c r="O197" s="34">
        <v>15.1</v>
      </c>
      <c r="P197" s="34">
        <v>3.1</v>
      </c>
      <c r="Q197" s="35"/>
      <c r="R197">
        <v>989</v>
      </c>
    </row>
    <row r="198" spans="1:18" x14ac:dyDescent="0.25">
      <c r="A198" s="33" t="s">
        <v>206</v>
      </c>
      <c r="B198" s="34" t="s">
        <v>121</v>
      </c>
      <c r="C198" s="34" t="s">
        <v>155</v>
      </c>
      <c r="D198" s="34" t="s">
        <v>156</v>
      </c>
      <c r="E198" s="34"/>
      <c r="F198" s="34" t="s">
        <v>161</v>
      </c>
      <c r="G198" s="34">
        <v>6.5</v>
      </c>
      <c r="H198" s="34">
        <v>4</v>
      </c>
      <c r="I198" s="34">
        <v>220</v>
      </c>
      <c r="J198" s="34">
        <v>95</v>
      </c>
      <c r="K198" s="34">
        <v>8</v>
      </c>
      <c r="L198" s="34">
        <v>13.6</v>
      </c>
      <c r="M198" s="34">
        <v>84.6</v>
      </c>
      <c r="N198" s="34">
        <v>15071</v>
      </c>
      <c r="O198" s="34">
        <v>15.1</v>
      </c>
      <c r="P198" s="34">
        <v>3.1</v>
      </c>
      <c r="Q198" s="35"/>
      <c r="R198">
        <v>989</v>
      </c>
    </row>
    <row r="199" spans="1:18" x14ac:dyDescent="0.25">
      <c r="A199" s="33" t="s">
        <v>206</v>
      </c>
      <c r="B199" s="34" t="s">
        <v>121</v>
      </c>
      <c r="C199" s="34" t="s">
        <v>155</v>
      </c>
      <c r="D199" s="34" t="s">
        <v>156</v>
      </c>
      <c r="E199" s="34"/>
      <c r="F199" s="34" t="s">
        <v>162</v>
      </c>
      <c r="G199" s="34">
        <v>6.5</v>
      </c>
      <c r="H199" s="34">
        <v>4</v>
      </c>
      <c r="I199" s="34">
        <v>245</v>
      </c>
      <c r="J199" s="34">
        <v>107.5</v>
      </c>
      <c r="K199" s="34">
        <v>8</v>
      </c>
      <c r="L199" s="34">
        <v>13.6</v>
      </c>
      <c r="M199" s="34">
        <v>84.6</v>
      </c>
      <c r="N199" s="34">
        <v>15071</v>
      </c>
      <c r="O199" s="34">
        <v>15.1</v>
      </c>
      <c r="P199" s="34">
        <v>3.1</v>
      </c>
      <c r="Q199" s="35"/>
      <c r="R199">
        <v>989</v>
      </c>
    </row>
    <row r="200" spans="1:18" x14ac:dyDescent="0.25">
      <c r="A200" s="33" t="s">
        <v>206</v>
      </c>
      <c r="B200" s="34" t="s">
        <v>121</v>
      </c>
      <c r="C200" s="34" t="s">
        <v>155</v>
      </c>
      <c r="D200" s="34" t="s">
        <v>156</v>
      </c>
      <c r="E200" s="34"/>
      <c r="F200" s="34" t="s">
        <v>96</v>
      </c>
      <c r="G200" s="34">
        <v>7.8</v>
      </c>
      <c r="H200" s="34">
        <v>5.4</v>
      </c>
      <c r="I200" s="34">
        <v>90</v>
      </c>
      <c r="J200" s="34">
        <v>40</v>
      </c>
      <c r="K200" s="34">
        <v>8</v>
      </c>
      <c r="L200" s="34">
        <v>14.9</v>
      </c>
      <c r="M200" s="34">
        <v>38.799999999999997</v>
      </c>
      <c r="N200" s="34">
        <v>32076</v>
      </c>
      <c r="O200" s="34">
        <v>23</v>
      </c>
      <c r="P200" s="34">
        <v>3.5</v>
      </c>
      <c r="Q200" s="35"/>
      <c r="R200">
        <v>797</v>
      </c>
    </row>
    <row r="201" spans="1:18" x14ac:dyDescent="0.25">
      <c r="A201" s="33" t="s">
        <v>206</v>
      </c>
      <c r="B201" s="34" t="s">
        <v>121</v>
      </c>
      <c r="C201" s="34" t="s">
        <v>155</v>
      </c>
      <c r="D201" s="34" t="s">
        <v>156</v>
      </c>
      <c r="E201" s="34"/>
      <c r="F201" s="34" t="s">
        <v>43</v>
      </c>
      <c r="G201" s="34">
        <v>7.8</v>
      </c>
      <c r="H201" s="34">
        <v>5.4</v>
      </c>
      <c r="I201" s="34">
        <v>130</v>
      </c>
      <c r="J201" s="34">
        <v>40</v>
      </c>
      <c r="K201" s="34">
        <v>10</v>
      </c>
      <c r="L201" s="34">
        <v>14.9</v>
      </c>
      <c r="M201" s="34">
        <v>38.799999999999997</v>
      </c>
      <c r="N201" s="34">
        <v>32076</v>
      </c>
      <c r="O201" s="34">
        <v>23</v>
      </c>
      <c r="P201" s="34">
        <v>3.5</v>
      </c>
      <c r="Q201" s="35"/>
      <c r="R201">
        <v>797</v>
      </c>
    </row>
    <row r="202" spans="1:18" x14ac:dyDescent="0.25">
      <c r="A202" s="33" t="s">
        <v>206</v>
      </c>
      <c r="B202" s="34" t="s">
        <v>121</v>
      </c>
      <c r="C202" s="34" t="s">
        <v>155</v>
      </c>
      <c r="D202" s="34" t="s">
        <v>156</v>
      </c>
      <c r="E202" s="34"/>
      <c r="F202" s="34" t="s">
        <v>131</v>
      </c>
      <c r="G202" s="34">
        <v>7.8</v>
      </c>
      <c r="H202" s="34">
        <v>5.4</v>
      </c>
      <c r="I202" s="34">
        <v>160</v>
      </c>
      <c r="J202" s="34">
        <v>65</v>
      </c>
      <c r="K202" s="34">
        <v>10</v>
      </c>
      <c r="L202" s="34">
        <v>14.9</v>
      </c>
      <c r="M202" s="34">
        <v>38.799999999999997</v>
      </c>
      <c r="N202" s="34">
        <v>32076</v>
      </c>
      <c r="O202" s="34">
        <v>23</v>
      </c>
      <c r="P202" s="34">
        <v>3.5</v>
      </c>
      <c r="Q202" s="35"/>
      <c r="R202">
        <v>797</v>
      </c>
    </row>
    <row r="203" spans="1:18" x14ac:dyDescent="0.25">
      <c r="A203" s="33" t="s">
        <v>206</v>
      </c>
      <c r="B203" s="34" t="s">
        <v>121</v>
      </c>
      <c r="C203" s="34" t="s">
        <v>155</v>
      </c>
      <c r="D203" s="34" t="s">
        <v>156</v>
      </c>
      <c r="E203" s="34"/>
      <c r="F203" s="34" t="s">
        <v>163</v>
      </c>
      <c r="G203" s="34">
        <v>7.8</v>
      </c>
      <c r="H203" s="34">
        <v>5.4</v>
      </c>
      <c r="I203" s="34">
        <v>190</v>
      </c>
      <c r="J203" s="34">
        <v>80</v>
      </c>
      <c r="K203" s="34">
        <v>10</v>
      </c>
      <c r="L203" s="34">
        <v>14.9</v>
      </c>
      <c r="M203" s="34">
        <v>38.799999999999997</v>
      </c>
      <c r="N203" s="34">
        <v>32076</v>
      </c>
      <c r="O203" s="34">
        <v>23</v>
      </c>
      <c r="P203" s="34">
        <v>3.5</v>
      </c>
      <c r="Q203" s="35"/>
      <c r="R203">
        <v>797</v>
      </c>
    </row>
    <row r="204" spans="1:18" x14ac:dyDescent="0.25">
      <c r="A204" s="33" t="s">
        <v>206</v>
      </c>
      <c r="B204" s="34" t="s">
        <v>121</v>
      </c>
      <c r="C204" s="34" t="s">
        <v>155</v>
      </c>
      <c r="D204" s="34" t="s">
        <v>156</v>
      </c>
      <c r="E204" s="34"/>
      <c r="F204" s="34" t="s">
        <v>134</v>
      </c>
      <c r="G204" s="34">
        <v>7.8</v>
      </c>
      <c r="H204" s="34">
        <v>5.4</v>
      </c>
      <c r="I204" s="34">
        <v>220</v>
      </c>
      <c r="J204" s="34">
        <v>95</v>
      </c>
      <c r="K204" s="34">
        <v>10</v>
      </c>
      <c r="L204" s="34">
        <v>14.9</v>
      </c>
      <c r="M204" s="34">
        <v>38.799999999999997</v>
      </c>
      <c r="N204" s="34">
        <v>32076</v>
      </c>
      <c r="O204" s="34">
        <v>23</v>
      </c>
      <c r="P204" s="34">
        <v>3.5</v>
      </c>
      <c r="Q204" s="35"/>
      <c r="R204">
        <v>797</v>
      </c>
    </row>
    <row r="205" spans="1:18" x14ac:dyDescent="0.25">
      <c r="A205" s="33" t="s">
        <v>206</v>
      </c>
      <c r="B205" s="34" t="s">
        <v>121</v>
      </c>
      <c r="C205" s="34" t="s">
        <v>155</v>
      </c>
      <c r="D205" s="34" t="s">
        <v>156</v>
      </c>
      <c r="E205" s="34"/>
      <c r="F205" s="34" t="s">
        <v>164</v>
      </c>
      <c r="G205" s="34">
        <v>7.8</v>
      </c>
      <c r="H205" s="34">
        <v>5.4</v>
      </c>
      <c r="I205" s="34">
        <v>245</v>
      </c>
      <c r="J205" s="34">
        <v>107.5</v>
      </c>
      <c r="K205" s="34">
        <v>10</v>
      </c>
      <c r="L205" s="34">
        <v>14.9</v>
      </c>
      <c r="M205" s="34">
        <v>38.799999999999997</v>
      </c>
      <c r="N205" s="34">
        <v>32076</v>
      </c>
      <c r="O205" s="34">
        <v>23</v>
      </c>
      <c r="P205" s="34">
        <v>3.5</v>
      </c>
      <c r="Q205" s="35"/>
      <c r="R205">
        <v>797</v>
      </c>
    </row>
    <row r="206" spans="1:18" x14ac:dyDescent="0.25">
      <c r="A206" s="33" t="s">
        <v>206</v>
      </c>
      <c r="B206" s="34" t="s">
        <v>121</v>
      </c>
      <c r="C206" s="34" t="s">
        <v>155</v>
      </c>
      <c r="D206" s="34" t="s">
        <v>156</v>
      </c>
      <c r="E206" s="34"/>
      <c r="F206" s="34" t="s">
        <v>165</v>
      </c>
      <c r="G206" s="34">
        <v>7.8</v>
      </c>
      <c r="H206" s="34">
        <v>5.4</v>
      </c>
      <c r="I206" s="34">
        <v>275</v>
      </c>
      <c r="J206" s="34">
        <v>107.5</v>
      </c>
      <c r="K206" s="34">
        <v>10</v>
      </c>
      <c r="L206" s="34">
        <v>14.9</v>
      </c>
      <c r="M206" s="34">
        <v>38.799999999999997</v>
      </c>
      <c r="N206" s="34">
        <v>32076</v>
      </c>
      <c r="O206" s="34">
        <v>23</v>
      </c>
      <c r="P206" s="34">
        <v>3.5</v>
      </c>
      <c r="Q206" s="35"/>
      <c r="R206">
        <v>797</v>
      </c>
    </row>
    <row r="207" spans="1:18" x14ac:dyDescent="0.25">
      <c r="A207" s="33" t="s">
        <v>206</v>
      </c>
      <c r="B207" s="34" t="s">
        <v>121</v>
      </c>
      <c r="C207" s="34" t="s">
        <v>155</v>
      </c>
      <c r="D207" s="34" t="s">
        <v>156</v>
      </c>
      <c r="E207" s="34"/>
      <c r="F207" s="34" t="s">
        <v>138</v>
      </c>
      <c r="G207" s="34">
        <v>7.8</v>
      </c>
      <c r="H207" s="34">
        <v>5.4</v>
      </c>
      <c r="I207" s="34">
        <v>300</v>
      </c>
      <c r="J207" s="34">
        <v>135</v>
      </c>
      <c r="K207" s="34">
        <v>10</v>
      </c>
      <c r="L207" s="34">
        <v>14.9</v>
      </c>
      <c r="M207" s="34">
        <v>38.799999999999997</v>
      </c>
      <c r="N207" s="34">
        <v>32076</v>
      </c>
      <c r="O207" s="34">
        <v>23</v>
      </c>
      <c r="P207" s="34">
        <v>3.5</v>
      </c>
      <c r="Q207" s="35"/>
      <c r="R207">
        <v>797</v>
      </c>
    </row>
    <row r="208" spans="1:18" ht="15.75" customHeight="1" thickBot="1" x14ac:dyDescent="0.3">
      <c r="A208" s="36" t="s">
        <v>206</v>
      </c>
      <c r="B208" s="37" t="s">
        <v>121</v>
      </c>
      <c r="C208" s="37" t="s">
        <v>155</v>
      </c>
      <c r="D208" s="37" t="s">
        <v>156</v>
      </c>
      <c r="E208" s="37"/>
      <c r="F208" s="37" t="s">
        <v>166</v>
      </c>
      <c r="G208" s="37">
        <v>7.8</v>
      </c>
      <c r="H208" s="37">
        <v>5.4</v>
      </c>
      <c r="I208" s="37">
        <v>330</v>
      </c>
      <c r="J208" s="37">
        <v>135</v>
      </c>
      <c r="K208" s="37">
        <v>10</v>
      </c>
      <c r="L208" s="37">
        <v>14.9</v>
      </c>
      <c r="M208" s="37">
        <v>38.799999999999997</v>
      </c>
      <c r="N208" s="37">
        <v>32076</v>
      </c>
      <c r="O208" s="37">
        <v>23</v>
      </c>
      <c r="P208" s="37">
        <v>3.5</v>
      </c>
      <c r="Q208" s="38"/>
      <c r="R208">
        <v>797</v>
      </c>
    </row>
    <row r="209" spans="1:17" x14ac:dyDescent="0.25">
      <c r="A209" s="39" t="s">
        <v>206</v>
      </c>
      <c r="B209" s="40" t="s">
        <v>121</v>
      </c>
      <c r="C209" s="40" t="s">
        <v>167</v>
      </c>
      <c r="D209" s="40" t="s">
        <v>123</v>
      </c>
      <c r="E209" s="40" t="s">
        <v>53</v>
      </c>
      <c r="F209" s="40" t="s">
        <v>125</v>
      </c>
      <c r="G209" s="40">
        <v>6</v>
      </c>
      <c r="H209" s="40">
        <v>3.8</v>
      </c>
      <c r="I209" s="40">
        <v>200</v>
      </c>
      <c r="J209" s="40">
        <v>70</v>
      </c>
      <c r="K209" s="40">
        <v>11.8</v>
      </c>
      <c r="L209" s="40">
        <v>13</v>
      </c>
      <c r="M209" s="40">
        <v>17.5</v>
      </c>
      <c r="N209" s="40">
        <v>13176</v>
      </c>
      <c r="O209" s="40">
        <v>14.8</v>
      </c>
      <c r="P209" s="40">
        <v>2.7</v>
      </c>
      <c r="Q209" s="41"/>
    </row>
    <row r="210" spans="1:17" x14ac:dyDescent="0.25">
      <c r="A210" s="42" t="s">
        <v>206</v>
      </c>
      <c r="B210" s="43" t="s">
        <v>121</v>
      </c>
      <c r="C210" s="43" t="s">
        <v>167</v>
      </c>
      <c r="D210" s="43" t="s">
        <v>123</v>
      </c>
      <c r="E210" s="43" t="s">
        <v>53</v>
      </c>
      <c r="F210" s="43" t="s">
        <v>126</v>
      </c>
      <c r="G210" s="43">
        <v>6</v>
      </c>
      <c r="H210" s="43">
        <v>3.8</v>
      </c>
      <c r="I210" s="43">
        <v>220</v>
      </c>
      <c r="J210" s="43">
        <v>70</v>
      </c>
      <c r="K210" s="43">
        <v>11.8</v>
      </c>
      <c r="L210" s="43">
        <v>13</v>
      </c>
      <c r="M210" s="43">
        <v>17.5</v>
      </c>
      <c r="N210" s="43">
        <v>13176</v>
      </c>
      <c r="O210" s="43">
        <v>14.8</v>
      </c>
      <c r="P210" s="43">
        <v>2.7</v>
      </c>
      <c r="Q210" s="44"/>
    </row>
    <row r="211" spans="1:17" x14ac:dyDescent="0.25">
      <c r="A211" s="42" t="s">
        <v>206</v>
      </c>
      <c r="B211" s="43" t="s">
        <v>121</v>
      </c>
      <c r="C211" s="43" t="s">
        <v>167</v>
      </c>
      <c r="D211" s="43" t="s">
        <v>123</v>
      </c>
      <c r="E211" s="43" t="s">
        <v>53</v>
      </c>
      <c r="F211" s="43" t="s">
        <v>127</v>
      </c>
      <c r="G211" s="43">
        <v>6</v>
      </c>
      <c r="H211" s="43">
        <v>3.8</v>
      </c>
      <c r="I211" s="43">
        <v>240</v>
      </c>
      <c r="J211" s="43">
        <v>70</v>
      </c>
      <c r="K211" s="43">
        <v>11.8</v>
      </c>
      <c r="L211" s="43">
        <v>13</v>
      </c>
      <c r="M211" s="43">
        <v>17.5</v>
      </c>
      <c r="N211" s="43">
        <v>13176</v>
      </c>
      <c r="O211" s="43">
        <v>14.8</v>
      </c>
      <c r="P211" s="43">
        <v>2.7</v>
      </c>
      <c r="Q211" s="44"/>
    </row>
    <row r="212" spans="1:17" x14ac:dyDescent="0.25">
      <c r="A212" s="42" t="s">
        <v>206</v>
      </c>
      <c r="B212" s="43" t="s">
        <v>121</v>
      </c>
      <c r="C212" s="43" t="s">
        <v>167</v>
      </c>
      <c r="D212" s="43" t="s">
        <v>123</v>
      </c>
      <c r="E212" s="43" t="s">
        <v>53</v>
      </c>
      <c r="F212" s="43" t="s">
        <v>128</v>
      </c>
      <c r="G212" s="43">
        <v>6</v>
      </c>
      <c r="H212" s="43">
        <v>3.8</v>
      </c>
      <c r="I212" s="43">
        <v>260</v>
      </c>
      <c r="J212" s="43">
        <v>70</v>
      </c>
      <c r="K212" s="43">
        <v>11.8</v>
      </c>
      <c r="L212" s="43">
        <v>13</v>
      </c>
      <c r="M212" s="43">
        <v>17.5</v>
      </c>
      <c r="N212" s="43">
        <v>13176</v>
      </c>
      <c r="O212" s="43">
        <v>14.8</v>
      </c>
      <c r="P212" s="43">
        <v>2.7</v>
      </c>
      <c r="Q212" s="44"/>
    </row>
    <row r="213" spans="1:17" x14ac:dyDescent="0.25">
      <c r="A213" s="42" t="s">
        <v>206</v>
      </c>
      <c r="B213" s="43" t="s">
        <v>121</v>
      </c>
      <c r="C213" s="43" t="s">
        <v>167</v>
      </c>
      <c r="D213" s="43" t="s">
        <v>123</v>
      </c>
      <c r="E213" s="43" t="s">
        <v>53</v>
      </c>
      <c r="F213" s="43" t="s">
        <v>129</v>
      </c>
      <c r="G213" s="43">
        <v>6</v>
      </c>
      <c r="H213" s="43">
        <v>3.8</v>
      </c>
      <c r="I213" s="43">
        <v>280</v>
      </c>
      <c r="J213" s="43">
        <v>70</v>
      </c>
      <c r="K213" s="43">
        <v>11.8</v>
      </c>
      <c r="L213" s="43">
        <v>13</v>
      </c>
      <c r="M213" s="43">
        <v>17.5</v>
      </c>
      <c r="N213" s="43">
        <v>13176</v>
      </c>
      <c r="O213" s="43">
        <v>14.8</v>
      </c>
      <c r="P213" s="43">
        <v>2.7</v>
      </c>
      <c r="Q213" s="44"/>
    </row>
    <row r="214" spans="1:17" x14ac:dyDescent="0.25">
      <c r="A214" s="42" t="s">
        <v>206</v>
      </c>
      <c r="B214" s="43" t="s">
        <v>121</v>
      </c>
      <c r="C214" s="43" t="s">
        <v>167</v>
      </c>
      <c r="D214" s="43" t="s">
        <v>123</v>
      </c>
      <c r="E214" s="43" t="s">
        <v>53</v>
      </c>
      <c r="F214" s="43" t="s">
        <v>130</v>
      </c>
      <c r="G214" s="43">
        <v>6</v>
      </c>
      <c r="H214" s="43">
        <v>3.8</v>
      </c>
      <c r="I214" s="43">
        <v>300</v>
      </c>
      <c r="J214" s="43">
        <v>70</v>
      </c>
      <c r="K214" s="43">
        <v>11.8</v>
      </c>
      <c r="L214" s="43">
        <v>13</v>
      </c>
      <c r="M214" s="43">
        <v>17.5</v>
      </c>
      <c r="N214" s="43">
        <v>13176</v>
      </c>
      <c r="O214" s="43">
        <v>14.8</v>
      </c>
      <c r="P214" s="43">
        <v>2.7</v>
      </c>
      <c r="Q214" s="44"/>
    </row>
    <row r="215" spans="1:17" x14ac:dyDescent="0.25">
      <c r="A215" s="42" t="s">
        <v>206</v>
      </c>
      <c r="B215" s="43" t="s">
        <v>121</v>
      </c>
      <c r="C215" s="43" t="s">
        <v>167</v>
      </c>
      <c r="D215" s="43" t="s">
        <v>123</v>
      </c>
      <c r="E215" s="43" t="s">
        <v>53</v>
      </c>
      <c r="F215" s="43" t="s">
        <v>95</v>
      </c>
      <c r="G215" s="43">
        <v>8</v>
      </c>
      <c r="H215" s="43">
        <v>5.3</v>
      </c>
      <c r="I215" s="43">
        <v>80</v>
      </c>
      <c r="J215" s="43">
        <v>50</v>
      </c>
      <c r="K215" s="43">
        <v>14.7</v>
      </c>
      <c r="L215" s="43">
        <v>12.2</v>
      </c>
      <c r="M215" s="43">
        <v>19</v>
      </c>
      <c r="N215" s="43">
        <v>40045</v>
      </c>
      <c r="O215" s="43">
        <v>27.7</v>
      </c>
      <c r="P215" s="43"/>
      <c r="Q215" s="44"/>
    </row>
    <row r="216" spans="1:17" x14ac:dyDescent="0.25">
      <c r="A216" s="42" t="s">
        <v>206</v>
      </c>
      <c r="B216" s="43" t="s">
        <v>121</v>
      </c>
      <c r="C216" s="43" t="s">
        <v>167</v>
      </c>
      <c r="D216" s="43" t="s">
        <v>123</v>
      </c>
      <c r="E216" s="43" t="s">
        <v>53</v>
      </c>
      <c r="F216" s="43" t="s">
        <v>42</v>
      </c>
      <c r="G216" s="43">
        <v>8</v>
      </c>
      <c r="H216" s="43">
        <v>5.3</v>
      </c>
      <c r="I216" s="43">
        <v>100</v>
      </c>
      <c r="J216" s="43">
        <v>50</v>
      </c>
      <c r="K216" s="43">
        <v>14.7</v>
      </c>
      <c r="L216" s="43">
        <v>12.2</v>
      </c>
      <c r="M216" s="43">
        <v>19</v>
      </c>
      <c r="N216" s="43">
        <v>40045</v>
      </c>
      <c r="O216" s="43">
        <v>27.7</v>
      </c>
      <c r="P216" s="43"/>
      <c r="Q216" s="44"/>
    </row>
    <row r="217" spans="1:17" x14ac:dyDescent="0.25">
      <c r="A217" s="42" t="s">
        <v>206</v>
      </c>
      <c r="B217" s="43" t="s">
        <v>121</v>
      </c>
      <c r="C217" s="43" t="s">
        <v>167</v>
      </c>
      <c r="D217" s="43" t="s">
        <v>123</v>
      </c>
      <c r="E217" s="43" t="s">
        <v>53</v>
      </c>
      <c r="F217" s="43" t="s">
        <v>97</v>
      </c>
      <c r="G217" s="43">
        <v>8</v>
      </c>
      <c r="H217" s="43">
        <v>5.3</v>
      </c>
      <c r="I217" s="43">
        <v>120</v>
      </c>
      <c r="J217" s="43">
        <v>80</v>
      </c>
      <c r="K217" s="43">
        <v>14.7</v>
      </c>
      <c r="L217" s="43">
        <v>12.2</v>
      </c>
      <c r="M217" s="43">
        <v>19</v>
      </c>
      <c r="N217" s="43">
        <v>40045</v>
      </c>
      <c r="O217" s="43">
        <v>27.7</v>
      </c>
      <c r="P217" s="43"/>
      <c r="Q217" s="44"/>
    </row>
    <row r="218" spans="1:17" x14ac:dyDescent="0.25">
      <c r="A218" s="42" t="s">
        <v>206</v>
      </c>
      <c r="B218" s="43" t="s">
        <v>121</v>
      </c>
      <c r="C218" s="43" t="s">
        <v>167</v>
      </c>
      <c r="D218" s="43" t="s">
        <v>123</v>
      </c>
      <c r="E218" s="43" t="s">
        <v>53</v>
      </c>
      <c r="F218" s="43" t="s">
        <v>98</v>
      </c>
      <c r="G218" s="43">
        <v>8</v>
      </c>
      <c r="H218" s="43">
        <v>5.3</v>
      </c>
      <c r="I218" s="43">
        <v>140</v>
      </c>
      <c r="J218" s="43">
        <v>80</v>
      </c>
      <c r="K218" s="43">
        <v>14.7</v>
      </c>
      <c r="L218" s="43">
        <v>12.2</v>
      </c>
      <c r="M218" s="43">
        <v>19</v>
      </c>
      <c r="N218" s="43">
        <v>40045</v>
      </c>
      <c r="O218" s="43">
        <v>27.7</v>
      </c>
      <c r="P218" s="43"/>
      <c r="Q218" s="44"/>
    </row>
    <row r="219" spans="1:17" x14ac:dyDescent="0.25">
      <c r="A219" s="42" t="s">
        <v>206</v>
      </c>
      <c r="B219" s="43" t="s">
        <v>121</v>
      </c>
      <c r="C219" s="43" t="s">
        <v>167</v>
      </c>
      <c r="D219" s="43" t="s">
        <v>123</v>
      </c>
      <c r="E219" s="43" t="s">
        <v>53</v>
      </c>
      <c r="F219" s="43" t="s">
        <v>131</v>
      </c>
      <c r="G219" s="43">
        <v>8</v>
      </c>
      <c r="H219" s="43">
        <v>5.3</v>
      </c>
      <c r="I219" s="43">
        <v>160</v>
      </c>
      <c r="J219" s="43">
        <v>80</v>
      </c>
      <c r="K219" s="43">
        <v>14.7</v>
      </c>
      <c r="L219" s="43">
        <v>12.2</v>
      </c>
      <c r="M219" s="43">
        <v>19</v>
      </c>
      <c r="N219" s="43">
        <v>40045</v>
      </c>
      <c r="O219" s="43">
        <v>27.7</v>
      </c>
      <c r="P219" s="43"/>
      <c r="Q219" s="44"/>
    </row>
    <row r="220" spans="1:17" x14ac:dyDescent="0.25">
      <c r="A220" s="42" t="s">
        <v>206</v>
      </c>
      <c r="B220" s="43" t="s">
        <v>121</v>
      </c>
      <c r="C220" s="43" t="s">
        <v>167</v>
      </c>
      <c r="D220" s="43" t="s">
        <v>123</v>
      </c>
      <c r="E220" s="43" t="s">
        <v>53</v>
      </c>
      <c r="F220" s="43" t="s">
        <v>132</v>
      </c>
      <c r="G220" s="43">
        <v>8</v>
      </c>
      <c r="H220" s="43">
        <v>5.3</v>
      </c>
      <c r="I220" s="43">
        <v>180</v>
      </c>
      <c r="J220" s="43">
        <v>80</v>
      </c>
      <c r="K220" s="43">
        <v>14.7</v>
      </c>
      <c r="L220" s="43">
        <v>12.2</v>
      </c>
      <c r="M220" s="43">
        <v>19</v>
      </c>
      <c r="N220" s="43">
        <v>40045</v>
      </c>
      <c r="O220" s="43">
        <v>27.7</v>
      </c>
      <c r="P220" s="43"/>
      <c r="Q220" s="44"/>
    </row>
    <row r="221" spans="1:17" x14ac:dyDescent="0.25">
      <c r="A221" s="42" t="s">
        <v>206</v>
      </c>
      <c r="B221" s="43" t="s">
        <v>121</v>
      </c>
      <c r="C221" s="43" t="s">
        <v>167</v>
      </c>
      <c r="D221" s="43" t="s">
        <v>123</v>
      </c>
      <c r="E221" s="43" t="s">
        <v>53</v>
      </c>
      <c r="F221" s="43" t="s">
        <v>133</v>
      </c>
      <c r="G221" s="43">
        <v>8</v>
      </c>
      <c r="H221" s="43">
        <v>5.3</v>
      </c>
      <c r="I221" s="43">
        <v>200</v>
      </c>
      <c r="J221" s="43">
        <v>80</v>
      </c>
      <c r="K221" s="43">
        <v>14.7</v>
      </c>
      <c r="L221" s="43">
        <v>12.2</v>
      </c>
      <c r="M221" s="43">
        <v>19</v>
      </c>
      <c r="N221" s="43">
        <v>40045</v>
      </c>
      <c r="O221" s="43">
        <v>27.7</v>
      </c>
      <c r="P221" s="43"/>
      <c r="Q221" s="44"/>
    </row>
    <row r="222" spans="1:17" x14ac:dyDescent="0.25">
      <c r="A222" s="42" t="s">
        <v>206</v>
      </c>
      <c r="B222" s="43" t="s">
        <v>121</v>
      </c>
      <c r="C222" s="43" t="s">
        <v>167</v>
      </c>
      <c r="D222" s="43" t="s">
        <v>123</v>
      </c>
      <c r="E222" s="43" t="s">
        <v>53</v>
      </c>
      <c r="F222" s="43" t="s">
        <v>134</v>
      </c>
      <c r="G222" s="43">
        <v>8</v>
      </c>
      <c r="H222" s="43">
        <v>5.3</v>
      </c>
      <c r="I222" s="43">
        <v>220</v>
      </c>
      <c r="J222" s="43">
        <v>80</v>
      </c>
      <c r="K222" s="43">
        <v>14.7</v>
      </c>
      <c r="L222" s="43">
        <v>12.2</v>
      </c>
      <c r="M222" s="43">
        <v>19</v>
      </c>
      <c r="N222" s="43">
        <v>40045</v>
      </c>
      <c r="O222" s="43">
        <v>27.7</v>
      </c>
      <c r="P222" s="43"/>
      <c r="Q222" s="44"/>
    </row>
    <row r="223" spans="1:17" x14ac:dyDescent="0.25">
      <c r="A223" s="42" t="s">
        <v>206</v>
      </c>
      <c r="B223" s="43" t="s">
        <v>121</v>
      </c>
      <c r="C223" s="43" t="s">
        <v>167</v>
      </c>
      <c r="D223" s="43" t="s">
        <v>123</v>
      </c>
      <c r="E223" s="43" t="s">
        <v>53</v>
      </c>
      <c r="F223" s="43" t="s">
        <v>135</v>
      </c>
      <c r="G223" s="43">
        <v>8</v>
      </c>
      <c r="H223" s="43">
        <v>5.3</v>
      </c>
      <c r="I223" s="43">
        <v>240</v>
      </c>
      <c r="J223" s="43">
        <v>80</v>
      </c>
      <c r="K223" s="43">
        <v>14.7</v>
      </c>
      <c r="L223" s="43">
        <v>12.2</v>
      </c>
      <c r="M223" s="43">
        <v>19</v>
      </c>
      <c r="N223" s="43">
        <v>40045</v>
      </c>
      <c r="O223" s="43">
        <v>27.7</v>
      </c>
      <c r="P223" s="43"/>
      <c r="Q223" s="44"/>
    </row>
    <row r="224" spans="1:17" x14ac:dyDescent="0.25">
      <c r="A224" s="42" t="s">
        <v>206</v>
      </c>
      <c r="B224" s="43" t="s">
        <v>121</v>
      </c>
      <c r="C224" s="43" t="s">
        <v>167</v>
      </c>
      <c r="D224" s="43" t="s">
        <v>123</v>
      </c>
      <c r="E224" s="43" t="s">
        <v>53</v>
      </c>
      <c r="F224" s="43" t="s">
        <v>136</v>
      </c>
      <c r="G224" s="43">
        <v>8</v>
      </c>
      <c r="H224" s="43">
        <v>5.3</v>
      </c>
      <c r="I224" s="43">
        <v>260</v>
      </c>
      <c r="J224" s="43">
        <v>80</v>
      </c>
      <c r="K224" s="43">
        <v>14.7</v>
      </c>
      <c r="L224" s="43">
        <v>12.2</v>
      </c>
      <c r="M224" s="43">
        <v>19</v>
      </c>
      <c r="N224" s="43">
        <v>40045</v>
      </c>
      <c r="O224" s="43">
        <v>27.7</v>
      </c>
      <c r="P224" s="43"/>
      <c r="Q224" s="44"/>
    </row>
    <row r="225" spans="1:17" x14ac:dyDescent="0.25">
      <c r="A225" s="42" t="s">
        <v>206</v>
      </c>
      <c r="B225" s="43" t="s">
        <v>121</v>
      </c>
      <c r="C225" s="43" t="s">
        <v>167</v>
      </c>
      <c r="D225" s="43" t="s">
        <v>123</v>
      </c>
      <c r="E225" s="43" t="s">
        <v>53</v>
      </c>
      <c r="F225" s="43" t="s">
        <v>137</v>
      </c>
      <c r="G225" s="43">
        <v>8</v>
      </c>
      <c r="H225" s="43">
        <v>5.3</v>
      </c>
      <c r="I225" s="43">
        <v>280</v>
      </c>
      <c r="J225" s="43">
        <v>80</v>
      </c>
      <c r="K225" s="43">
        <v>14.7</v>
      </c>
      <c r="L225" s="43">
        <v>12.2</v>
      </c>
      <c r="M225" s="43">
        <v>19</v>
      </c>
      <c r="N225" s="43">
        <v>40045</v>
      </c>
      <c r="O225" s="43">
        <v>27.7</v>
      </c>
      <c r="P225" s="43"/>
      <c r="Q225" s="44"/>
    </row>
    <row r="226" spans="1:17" x14ac:dyDescent="0.25">
      <c r="A226" s="42" t="s">
        <v>206</v>
      </c>
      <c r="B226" s="43" t="s">
        <v>121</v>
      </c>
      <c r="C226" s="43" t="s">
        <v>167</v>
      </c>
      <c r="D226" s="43" t="s">
        <v>123</v>
      </c>
      <c r="E226" s="43" t="s">
        <v>53</v>
      </c>
      <c r="F226" s="43" t="s">
        <v>138</v>
      </c>
      <c r="G226" s="43">
        <v>8</v>
      </c>
      <c r="H226" s="43">
        <v>5.3</v>
      </c>
      <c r="I226" s="43">
        <v>300</v>
      </c>
      <c r="J226" s="43">
        <v>80</v>
      </c>
      <c r="K226" s="43">
        <v>14.7</v>
      </c>
      <c r="L226" s="43">
        <v>12.2</v>
      </c>
      <c r="M226" s="43">
        <v>19</v>
      </c>
      <c r="N226" s="43">
        <v>40045</v>
      </c>
      <c r="O226" s="43">
        <v>27.7</v>
      </c>
      <c r="P226" s="43"/>
      <c r="Q226" s="44"/>
    </row>
    <row r="227" spans="1:17" x14ac:dyDescent="0.25">
      <c r="A227" s="42" t="s">
        <v>206</v>
      </c>
      <c r="B227" s="43" t="s">
        <v>121</v>
      </c>
      <c r="C227" s="43" t="s">
        <v>167</v>
      </c>
      <c r="D227" s="43" t="s">
        <v>123</v>
      </c>
      <c r="E227" s="43" t="s">
        <v>53</v>
      </c>
      <c r="F227" s="43" t="s">
        <v>139</v>
      </c>
      <c r="G227" s="43">
        <v>8</v>
      </c>
      <c r="H227" s="43">
        <v>5.3</v>
      </c>
      <c r="I227" s="43">
        <v>320</v>
      </c>
      <c r="J227" s="43">
        <v>80</v>
      </c>
      <c r="K227" s="43">
        <v>14.7</v>
      </c>
      <c r="L227" s="43">
        <v>12.2</v>
      </c>
      <c r="M227" s="43">
        <v>19</v>
      </c>
      <c r="N227" s="43">
        <v>40045</v>
      </c>
      <c r="O227" s="43">
        <v>27.7</v>
      </c>
      <c r="P227" s="43"/>
      <c r="Q227" s="44"/>
    </row>
    <row r="228" spans="1:17" x14ac:dyDescent="0.25">
      <c r="A228" s="42" t="s">
        <v>206</v>
      </c>
      <c r="B228" s="43" t="s">
        <v>121</v>
      </c>
      <c r="C228" s="43" t="s">
        <v>167</v>
      </c>
      <c r="D228" s="43" t="s">
        <v>123</v>
      </c>
      <c r="E228" s="43" t="s">
        <v>53</v>
      </c>
      <c r="F228" s="43" t="s">
        <v>140</v>
      </c>
      <c r="G228" s="43">
        <v>8</v>
      </c>
      <c r="H228" s="43">
        <v>5.3</v>
      </c>
      <c r="I228" s="43">
        <v>340</v>
      </c>
      <c r="J228" s="43">
        <v>80</v>
      </c>
      <c r="K228" s="43">
        <v>14.7</v>
      </c>
      <c r="L228" s="43">
        <v>12.2</v>
      </c>
      <c r="M228" s="43">
        <v>19</v>
      </c>
      <c r="N228" s="43">
        <v>40045</v>
      </c>
      <c r="O228" s="43">
        <v>27.7</v>
      </c>
      <c r="P228" s="43"/>
      <c r="Q228" s="44"/>
    </row>
    <row r="229" spans="1:17" x14ac:dyDescent="0.25">
      <c r="A229" s="42" t="s">
        <v>206</v>
      </c>
      <c r="B229" s="43" t="s">
        <v>121</v>
      </c>
      <c r="C229" s="43" t="s">
        <v>167</v>
      </c>
      <c r="D229" s="43" t="s">
        <v>123</v>
      </c>
      <c r="E229" s="43" t="s">
        <v>53</v>
      </c>
      <c r="F229" s="43" t="s">
        <v>141</v>
      </c>
      <c r="G229" s="43">
        <v>8</v>
      </c>
      <c r="H229" s="43">
        <v>5.3</v>
      </c>
      <c r="I229" s="43">
        <v>360</v>
      </c>
      <c r="J229" s="43">
        <v>80</v>
      </c>
      <c r="K229" s="43">
        <v>14.7</v>
      </c>
      <c r="L229" s="43">
        <v>12.2</v>
      </c>
      <c r="M229" s="43">
        <v>19</v>
      </c>
      <c r="N229" s="43">
        <v>40045</v>
      </c>
      <c r="O229" s="43">
        <v>27.7</v>
      </c>
      <c r="P229" s="43"/>
      <c r="Q229" s="44"/>
    </row>
    <row r="230" spans="1:17" x14ac:dyDescent="0.25">
      <c r="A230" s="42" t="s">
        <v>206</v>
      </c>
      <c r="B230" s="43" t="s">
        <v>121</v>
      </c>
      <c r="C230" s="43" t="s">
        <v>167</v>
      </c>
      <c r="D230" s="43" t="s">
        <v>123</v>
      </c>
      <c r="E230" s="43" t="s">
        <v>53</v>
      </c>
      <c r="F230" s="43" t="s">
        <v>142</v>
      </c>
      <c r="G230" s="43">
        <v>8</v>
      </c>
      <c r="H230" s="43">
        <v>5.3</v>
      </c>
      <c r="I230" s="43">
        <v>380</v>
      </c>
      <c r="J230" s="43">
        <v>80</v>
      </c>
      <c r="K230" s="43">
        <v>14.7</v>
      </c>
      <c r="L230" s="43">
        <v>12.2</v>
      </c>
      <c r="M230" s="43">
        <v>19</v>
      </c>
      <c r="N230" s="43">
        <v>40045</v>
      </c>
      <c r="O230" s="43">
        <v>27.7</v>
      </c>
      <c r="P230" s="43"/>
      <c r="Q230" s="44"/>
    </row>
    <row r="231" spans="1:17" x14ac:dyDescent="0.25">
      <c r="A231" s="42" t="s">
        <v>206</v>
      </c>
      <c r="B231" s="43" t="s">
        <v>121</v>
      </c>
      <c r="C231" s="43" t="s">
        <v>167</v>
      </c>
      <c r="D231" s="43" t="s">
        <v>123</v>
      </c>
      <c r="E231" s="43" t="s">
        <v>53</v>
      </c>
      <c r="F231" s="43" t="s">
        <v>143</v>
      </c>
      <c r="G231" s="43">
        <v>8</v>
      </c>
      <c r="H231" s="43">
        <v>5.3</v>
      </c>
      <c r="I231" s="43">
        <v>400</v>
      </c>
      <c r="J231" s="43">
        <v>80</v>
      </c>
      <c r="K231" s="43">
        <v>14.7</v>
      </c>
      <c r="L231" s="43">
        <v>12.2</v>
      </c>
      <c r="M231" s="43">
        <v>19</v>
      </c>
      <c r="N231" s="43">
        <v>40045</v>
      </c>
      <c r="O231" s="43">
        <v>27.7</v>
      </c>
      <c r="P231" s="43"/>
      <c r="Q231" s="44"/>
    </row>
    <row r="232" spans="1:17" x14ac:dyDescent="0.25">
      <c r="A232" s="42" t="s">
        <v>206</v>
      </c>
      <c r="B232" s="43" t="s">
        <v>121</v>
      </c>
      <c r="C232" s="43" t="s">
        <v>167</v>
      </c>
      <c r="D232" s="43" t="s">
        <v>123</v>
      </c>
      <c r="E232" s="43" t="s">
        <v>53</v>
      </c>
      <c r="F232" s="43" t="s">
        <v>103</v>
      </c>
      <c r="G232" s="43">
        <v>10</v>
      </c>
      <c r="H232" s="43">
        <v>6.3</v>
      </c>
      <c r="I232" s="43">
        <v>160</v>
      </c>
      <c r="J232" s="43">
        <v>80</v>
      </c>
      <c r="K232" s="43">
        <v>17.8</v>
      </c>
      <c r="L232" s="43">
        <v>11.7</v>
      </c>
      <c r="M232" s="43">
        <v>19.5</v>
      </c>
      <c r="N232" s="43">
        <v>61022</v>
      </c>
      <c r="O232" s="43">
        <v>35.700000000000003</v>
      </c>
      <c r="P232" s="43"/>
      <c r="Q232" s="44"/>
    </row>
    <row r="233" spans="1:17" x14ac:dyDescent="0.25">
      <c r="A233" s="42" t="s">
        <v>206</v>
      </c>
      <c r="B233" s="43" t="s">
        <v>121</v>
      </c>
      <c r="C233" s="43" t="s">
        <v>167</v>
      </c>
      <c r="D233" s="43" t="s">
        <v>123</v>
      </c>
      <c r="E233" s="43" t="s">
        <v>53</v>
      </c>
      <c r="F233" s="43" t="s">
        <v>104</v>
      </c>
      <c r="G233" s="43">
        <v>10</v>
      </c>
      <c r="H233" s="43">
        <v>6.3</v>
      </c>
      <c r="I233" s="43">
        <v>180</v>
      </c>
      <c r="J233" s="43">
        <v>80</v>
      </c>
      <c r="K233" s="43">
        <v>17.8</v>
      </c>
      <c r="L233" s="43">
        <v>11.7</v>
      </c>
      <c r="M233" s="43">
        <v>19.5</v>
      </c>
      <c r="N233" s="43">
        <v>61022</v>
      </c>
      <c r="O233" s="43">
        <v>35.700000000000003</v>
      </c>
      <c r="P233" s="43"/>
      <c r="Q233" s="44"/>
    </row>
    <row r="234" spans="1:17" x14ac:dyDescent="0.25">
      <c r="A234" s="42" t="s">
        <v>206</v>
      </c>
      <c r="B234" s="43" t="s">
        <v>121</v>
      </c>
      <c r="C234" s="43" t="s">
        <v>167</v>
      </c>
      <c r="D234" s="43" t="s">
        <v>123</v>
      </c>
      <c r="E234" s="43" t="s">
        <v>53</v>
      </c>
      <c r="F234" s="43" t="s">
        <v>144</v>
      </c>
      <c r="G234" s="43">
        <v>10</v>
      </c>
      <c r="H234" s="43">
        <v>6.3</v>
      </c>
      <c r="I234" s="43">
        <v>200</v>
      </c>
      <c r="J234" s="43">
        <v>80</v>
      </c>
      <c r="K234" s="43">
        <v>17.8</v>
      </c>
      <c r="L234" s="43">
        <v>11.7</v>
      </c>
      <c r="M234" s="43">
        <v>19.5</v>
      </c>
      <c r="N234" s="43">
        <v>61022</v>
      </c>
      <c r="O234" s="43">
        <v>35.700000000000003</v>
      </c>
      <c r="P234" s="43"/>
      <c r="Q234" s="44"/>
    </row>
    <row r="235" spans="1:17" x14ac:dyDescent="0.25">
      <c r="A235" s="42" t="s">
        <v>206</v>
      </c>
      <c r="B235" s="43" t="s">
        <v>121</v>
      </c>
      <c r="C235" s="43" t="s">
        <v>167</v>
      </c>
      <c r="D235" s="43" t="s">
        <v>123</v>
      </c>
      <c r="E235" s="43" t="s">
        <v>53</v>
      </c>
      <c r="F235" s="43" t="s">
        <v>145</v>
      </c>
      <c r="G235" s="43">
        <v>10</v>
      </c>
      <c r="H235" s="43">
        <v>6.3</v>
      </c>
      <c r="I235" s="43">
        <v>220</v>
      </c>
      <c r="J235" s="43">
        <v>80</v>
      </c>
      <c r="K235" s="43">
        <v>17.8</v>
      </c>
      <c r="L235" s="43">
        <v>11.7</v>
      </c>
      <c r="M235" s="43">
        <v>19.5</v>
      </c>
      <c r="N235" s="43">
        <v>61022</v>
      </c>
      <c r="O235" s="43">
        <v>35.700000000000003</v>
      </c>
      <c r="P235" s="43"/>
      <c r="Q235" s="44"/>
    </row>
    <row r="236" spans="1:17" x14ac:dyDescent="0.25">
      <c r="A236" s="42" t="s">
        <v>206</v>
      </c>
      <c r="B236" s="43" t="s">
        <v>121</v>
      </c>
      <c r="C236" s="43" t="s">
        <v>167</v>
      </c>
      <c r="D236" s="43" t="s">
        <v>123</v>
      </c>
      <c r="E236" s="43" t="s">
        <v>53</v>
      </c>
      <c r="F236" s="43" t="s">
        <v>146</v>
      </c>
      <c r="G236" s="43">
        <v>10</v>
      </c>
      <c r="H236" s="43">
        <v>6.3</v>
      </c>
      <c r="I236" s="43">
        <v>240</v>
      </c>
      <c r="J236" s="43">
        <v>80</v>
      </c>
      <c r="K236" s="43">
        <v>17.8</v>
      </c>
      <c r="L236" s="43">
        <v>11.7</v>
      </c>
      <c r="M236" s="43">
        <v>19.5</v>
      </c>
      <c r="N236" s="43">
        <v>61022</v>
      </c>
      <c r="O236" s="43">
        <v>35.700000000000003</v>
      </c>
      <c r="P236" s="43"/>
      <c r="Q236" s="44"/>
    </row>
    <row r="237" spans="1:17" x14ac:dyDescent="0.25">
      <c r="A237" s="42" t="s">
        <v>206</v>
      </c>
      <c r="B237" s="43" t="s">
        <v>121</v>
      </c>
      <c r="C237" s="43" t="s">
        <v>167</v>
      </c>
      <c r="D237" s="43" t="s">
        <v>123</v>
      </c>
      <c r="E237" s="43" t="s">
        <v>53</v>
      </c>
      <c r="F237" s="43" t="s">
        <v>147</v>
      </c>
      <c r="G237" s="43">
        <v>10</v>
      </c>
      <c r="H237" s="43">
        <v>6.3</v>
      </c>
      <c r="I237" s="43">
        <v>260</v>
      </c>
      <c r="J237" s="43">
        <v>80</v>
      </c>
      <c r="K237" s="43">
        <v>17.8</v>
      </c>
      <c r="L237" s="43">
        <v>11.7</v>
      </c>
      <c r="M237" s="43">
        <v>19.5</v>
      </c>
      <c r="N237" s="43">
        <v>61022</v>
      </c>
      <c r="O237" s="43">
        <v>35.700000000000003</v>
      </c>
      <c r="P237" s="43"/>
      <c r="Q237" s="44"/>
    </row>
    <row r="238" spans="1:17" x14ac:dyDescent="0.25">
      <c r="A238" s="42" t="s">
        <v>206</v>
      </c>
      <c r="B238" s="43" t="s">
        <v>121</v>
      </c>
      <c r="C238" s="43" t="s">
        <v>167</v>
      </c>
      <c r="D238" s="43" t="s">
        <v>123</v>
      </c>
      <c r="E238" s="43" t="s">
        <v>53</v>
      </c>
      <c r="F238" s="43" t="s">
        <v>148</v>
      </c>
      <c r="G238" s="43">
        <v>10</v>
      </c>
      <c r="H238" s="43">
        <v>6.3</v>
      </c>
      <c r="I238" s="43">
        <v>280</v>
      </c>
      <c r="J238" s="43">
        <v>80</v>
      </c>
      <c r="K238" s="43">
        <v>17.8</v>
      </c>
      <c r="L238" s="43">
        <v>11.7</v>
      </c>
      <c r="M238" s="43">
        <v>19.5</v>
      </c>
      <c r="N238" s="43">
        <v>61022</v>
      </c>
      <c r="O238" s="43">
        <v>35.700000000000003</v>
      </c>
      <c r="P238" s="43"/>
      <c r="Q238" s="44"/>
    </row>
    <row r="239" spans="1:17" x14ac:dyDescent="0.25">
      <c r="A239" s="42" t="s">
        <v>206</v>
      </c>
      <c r="B239" s="43" t="s">
        <v>121</v>
      </c>
      <c r="C239" s="43" t="s">
        <v>167</v>
      </c>
      <c r="D239" s="43" t="s">
        <v>123</v>
      </c>
      <c r="E239" s="43" t="s">
        <v>53</v>
      </c>
      <c r="F239" s="43" t="s">
        <v>149</v>
      </c>
      <c r="G239" s="43">
        <v>10</v>
      </c>
      <c r="H239" s="43">
        <v>6.3</v>
      </c>
      <c r="I239" s="43">
        <v>300</v>
      </c>
      <c r="J239" s="43">
        <v>80</v>
      </c>
      <c r="K239" s="43">
        <v>17.8</v>
      </c>
      <c r="L239" s="43">
        <v>11.7</v>
      </c>
      <c r="M239" s="43">
        <v>19.5</v>
      </c>
      <c r="N239" s="43">
        <v>61022</v>
      </c>
      <c r="O239" s="43">
        <v>35.700000000000003</v>
      </c>
      <c r="P239" s="43"/>
      <c r="Q239" s="44"/>
    </row>
    <row r="240" spans="1:17" x14ac:dyDescent="0.25">
      <c r="A240" s="42" t="s">
        <v>206</v>
      </c>
      <c r="B240" s="43" t="s">
        <v>121</v>
      </c>
      <c r="C240" s="43" t="s">
        <v>167</v>
      </c>
      <c r="D240" s="43" t="s">
        <v>123</v>
      </c>
      <c r="E240" s="43" t="s">
        <v>53</v>
      </c>
      <c r="F240" s="43" t="s">
        <v>150</v>
      </c>
      <c r="G240" s="43">
        <v>10</v>
      </c>
      <c r="H240" s="43">
        <v>6.3</v>
      </c>
      <c r="I240" s="43">
        <v>320</v>
      </c>
      <c r="J240" s="43">
        <v>80</v>
      </c>
      <c r="K240" s="43">
        <v>17.8</v>
      </c>
      <c r="L240" s="43">
        <v>11.7</v>
      </c>
      <c r="M240" s="43">
        <v>19.5</v>
      </c>
      <c r="N240" s="43">
        <v>61022</v>
      </c>
      <c r="O240" s="43">
        <v>35.700000000000003</v>
      </c>
      <c r="P240" s="43"/>
      <c r="Q240" s="44"/>
    </row>
    <row r="241" spans="1:17" x14ac:dyDescent="0.25">
      <c r="A241" s="42" t="s">
        <v>206</v>
      </c>
      <c r="B241" s="43" t="s">
        <v>121</v>
      </c>
      <c r="C241" s="43" t="s">
        <v>167</v>
      </c>
      <c r="D241" s="43" t="s">
        <v>123</v>
      </c>
      <c r="E241" s="43" t="s">
        <v>53</v>
      </c>
      <c r="F241" s="43" t="s">
        <v>151</v>
      </c>
      <c r="G241" s="43">
        <v>10</v>
      </c>
      <c r="H241" s="43">
        <v>6.3</v>
      </c>
      <c r="I241" s="43">
        <v>340</v>
      </c>
      <c r="J241" s="43">
        <v>80</v>
      </c>
      <c r="K241" s="43">
        <v>17.8</v>
      </c>
      <c r="L241" s="43">
        <v>11.7</v>
      </c>
      <c r="M241" s="43">
        <v>19.5</v>
      </c>
      <c r="N241" s="43">
        <v>61022</v>
      </c>
      <c r="O241" s="43">
        <v>35.700000000000003</v>
      </c>
      <c r="P241" s="43"/>
      <c r="Q241" s="44"/>
    </row>
    <row r="242" spans="1:17" x14ac:dyDescent="0.25">
      <c r="A242" s="42" t="s">
        <v>206</v>
      </c>
      <c r="B242" s="43" t="s">
        <v>121</v>
      </c>
      <c r="C242" s="43" t="s">
        <v>167</v>
      </c>
      <c r="D242" s="43" t="s">
        <v>123</v>
      </c>
      <c r="E242" s="43" t="s">
        <v>53</v>
      </c>
      <c r="F242" s="43" t="s">
        <v>152</v>
      </c>
      <c r="G242" s="43">
        <v>10</v>
      </c>
      <c r="H242" s="43">
        <v>6.3</v>
      </c>
      <c r="I242" s="43">
        <v>360</v>
      </c>
      <c r="J242" s="43">
        <v>80</v>
      </c>
      <c r="K242" s="43">
        <v>17.8</v>
      </c>
      <c r="L242" s="43">
        <v>11.7</v>
      </c>
      <c r="M242" s="43">
        <v>19.5</v>
      </c>
      <c r="N242" s="43">
        <v>61022</v>
      </c>
      <c r="O242" s="43">
        <v>35.700000000000003</v>
      </c>
      <c r="P242" s="43"/>
      <c r="Q242" s="44"/>
    </row>
    <row r="243" spans="1:17" x14ac:dyDescent="0.25">
      <c r="A243" s="42" t="s">
        <v>206</v>
      </c>
      <c r="B243" s="43" t="s">
        <v>121</v>
      </c>
      <c r="C243" s="43" t="s">
        <v>167</v>
      </c>
      <c r="D243" s="43" t="s">
        <v>123</v>
      </c>
      <c r="E243" s="43" t="s">
        <v>53</v>
      </c>
      <c r="F243" s="43" t="s">
        <v>153</v>
      </c>
      <c r="G243" s="43">
        <v>10</v>
      </c>
      <c r="H243" s="43">
        <v>6.3</v>
      </c>
      <c r="I243" s="43">
        <v>380</v>
      </c>
      <c r="J243" s="43">
        <v>80</v>
      </c>
      <c r="K243" s="43">
        <v>17.8</v>
      </c>
      <c r="L243" s="43">
        <v>11.7</v>
      </c>
      <c r="M243" s="43">
        <v>19.5</v>
      </c>
      <c r="N243" s="43">
        <v>61022</v>
      </c>
      <c r="O243" s="43">
        <v>35.700000000000003</v>
      </c>
      <c r="P243" s="43"/>
      <c r="Q243" s="44"/>
    </row>
    <row r="244" spans="1:17" ht="15.75" customHeight="1" thickBot="1" x14ac:dyDescent="0.3">
      <c r="A244" s="45" t="s">
        <v>206</v>
      </c>
      <c r="B244" s="46" t="s">
        <v>121</v>
      </c>
      <c r="C244" s="46" t="s">
        <v>167</v>
      </c>
      <c r="D244" s="46" t="s">
        <v>123</v>
      </c>
      <c r="E244" s="46" t="s">
        <v>53</v>
      </c>
      <c r="F244" s="46" t="s">
        <v>154</v>
      </c>
      <c r="G244" s="46">
        <v>10</v>
      </c>
      <c r="H244" s="46">
        <v>6.3</v>
      </c>
      <c r="I244" s="46">
        <v>400</v>
      </c>
      <c r="J244" s="46">
        <v>80</v>
      </c>
      <c r="K244" s="46">
        <v>17.8</v>
      </c>
      <c r="L244" s="46">
        <v>11.7</v>
      </c>
      <c r="M244" s="46">
        <v>19.5</v>
      </c>
      <c r="N244" s="46">
        <v>61022</v>
      </c>
      <c r="O244" s="46">
        <v>35.700000000000003</v>
      </c>
      <c r="P244" s="46"/>
      <c r="Q244" s="47"/>
    </row>
  </sheetData>
  <pageMargins left="0.7" right="0.7" top="0.75" bottom="0.75" header="0.3" footer="0.3"/>
  <pageSetup paperSize="9" orientation="portrait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Y274"/>
  <sheetViews>
    <sheetView workbookViewId="0">
      <pane ySplit="600" activePane="bottomLeft"/>
      <selection activeCell="L15" sqref="L15"/>
      <selection pane="bottomLeft" activeCell="L15" sqref="L15"/>
    </sheetView>
  </sheetViews>
  <sheetFormatPr baseColWidth="10" defaultRowHeight="15" x14ac:dyDescent="0.25"/>
  <cols>
    <col min="3" max="3" width="30.85546875" bestFit="1" customWidth="1"/>
    <col min="4" max="4" width="18.85546875" customWidth="1"/>
    <col min="8" max="11" width="16.140625" customWidth="1"/>
  </cols>
  <sheetData>
    <row r="1" spans="1:13" x14ac:dyDescent="0.25">
      <c r="A1" t="s">
        <v>0</v>
      </c>
      <c r="B1" t="s">
        <v>1</v>
      </c>
      <c r="C1" t="s">
        <v>231</v>
      </c>
      <c r="D1" t="s">
        <v>232</v>
      </c>
      <c r="E1" t="s">
        <v>18</v>
      </c>
      <c r="F1" t="s">
        <v>20</v>
      </c>
      <c r="G1" t="s">
        <v>22</v>
      </c>
      <c r="H1" t="s">
        <v>215</v>
      </c>
      <c r="I1" t="s">
        <v>214</v>
      </c>
      <c r="J1" t="s">
        <v>171</v>
      </c>
      <c r="K1" t="s">
        <v>172</v>
      </c>
      <c r="L1" t="s">
        <v>325</v>
      </c>
      <c r="M1" t="s">
        <v>327</v>
      </c>
    </row>
    <row r="2" spans="1:13" x14ac:dyDescent="0.25">
      <c r="A2" t="s">
        <v>206</v>
      </c>
      <c r="B2" t="s">
        <v>217</v>
      </c>
      <c r="C2" t="s">
        <v>245</v>
      </c>
      <c r="D2">
        <v>3</v>
      </c>
      <c r="E2">
        <v>8</v>
      </c>
      <c r="F2">
        <v>75</v>
      </c>
      <c r="G2">
        <v>19.399999999999999</v>
      </c>
      <c r="H2">
        <v>17.399999999999999</v>
      </c>
      <c r="I2">
        <v>13.2</v>
      </c>
      <c r="J2">
        <v>21.4</v>
      </c>
      <c r="K2">
        <v>21.4</v>
      </c>
      <c r="L2">
        <v>37</v>
      </c>
    </row>
    <row r="3" spans="1:13" x14ac:dyDescent="0.25">
      <c r="A3" t="s">
        <v>206</v>
      </c>
      <c r="B3" t="s">
        <v>217</v>
      </c>
      <c r="C3" t="s">
        <v>245</v>
      </c>
      <c r="D3">
        <v>3</v>
      </c>
      <c r="E3">
        <v>8</v>
      </c>
      <c r="F3">
        <v>100</v>
      </c>
      <c r="G3">
        <v>19.399999999999999</v>
      </c>
      <c r="H3">
        <v>17.399999999999999</v>
      </c>
      <c r="I3">
        <v>13.2</v>
      </c>
      <c r="J3">
        <v>21.4</v>
      </c>
      <c r="K3">
        <v>21.4</v>
      </c>
      <c r="L3">
        <v>59</v>
      </c>
    </row>
    <row r="4" spans="1:13" x14ac:dyDescent="0.25">
      <c r="A4" t="s">
        <v>206</v>
      </c>
      <c r="B4" t="s">
        <v>217</v>
      </c>
      <c r="C4" t="s">
        <v>245</v>
      </c>
      <c r="D4">
        <v>3</v>
      </c>
      <c r="E4">
        <v>8</v>
      </c>
      <c r="F4">
        <v>126</v>
      </c>
      <c r="G4">
        <v>19.399999999999999</v>
      </c>
      <c r="H4">
        <v>17.399999999999999</v>
      </c>
      <c r="I4">
        <v>13.2</v>
      </c>
      <c r="J4">
        <v>21.4</v>
      </c>
      <c r="K4">
        <v>21.4</v>
      </c>
      <c r="L4">
        <v>69</v>
      </c>
    </row>
    <row r="5" spans="1:13" x14ac:dyDescent="0.25">
      <c r="A5" t="s">
        <v>206</v>
      </c>
      <c r="B5" t="s">
        <v>217</v>
      </c>
      <c r="C5" t="s">
        <v>245</v>
      </c>
      <c r="D5">
        <v>3</v>
      </c>
      <c r="E5">
        <v>8</v>
      </c>
      <c r="F5">
        <v>151</v>
      </c>
      <c r="G5">
        <v>19.399999999999999</v>
      </c>
      <c r="H5">
        <v>17.399999999999999</v>
      </c>
      <c r="I5">
        <v>13.2</v>
      </c>
      <c r="J5">
        <v>21.4</v>
      </c>
      <c r="K5">
        <v>21.4</v>
      </c>
      <c r="L5">
        <v>69</v>
      </c>
    </row>
    <row r="6" spans="1:13" x14ac:dyDescent="0.25">
      <c r="A6" t="s">
        <v>206</v>
      </c>
      <c r="B6" t="s">
        <v>217</v>
      </c>
      <c r="C6" t="s">
        <v>245</v>
      </c>
      <c r="D6">
        <v>3</v>
      </c>
      <c r="E6">
        <v>8</v>
      </c>
      <c r="F6">
        <v>202</v>
      </c>
      <c r="G6">
        <v>19.399999999999999</v>
      </c>
      <c r="H6">
        <v>17.399999999999999</v>
      </c>
      <c r="I6">
        <v>13.2</v>
      </c>
      <c r="J6">
        <v>21.4</v>
      </c>
      <c r="K6">
        <v>21.4</v>
      </c>
      <c r="L6">
        <v>69</v>
      </c>
    </row>
    <row r="7" spans="1:13" x14ac:dyDescent="0.25">
      <c r="A7" t="s">
        <v>206</v>
      </c>
      <c r="B7" t="s">
        <v>217</v>
      </c>
      <c r="C7" t="s">
        <v>245</v>
      </c>
      <c r="D7">
        <v>3</v>
      </c>
      <c r="E7">
        <v>8</v>
      </c>
      <c r="F7">
        <v>252</v>
      </c>
      <c r="G7">
        <v>19.399999999999999</v>
      </c>
      <c r="H7">
        <v>17.399999999999999</v>
      </c>
      <c r="I7">
        <v>13.2</v>
      </c>
      <c r="J7">
        <v>21.4</v>
      </c>
      <c r="K7">
        <v>21.4</v>
      </c>
      <c r="L7">
        <v>69</v>
      </c>
    </row>
    <row r="8" spans="1:13" x14ac:dyDescent="0.25">
      <c r="A8" t="s">
        <v>206</v>
      </c>
      <c r="B8" t="s">
        <v>218</v>
      </c>
      <c r="C8" t="s">
        <v>246</v>
      </c>
      <c r="D8">
        <v>2</v>
      </c>
      <c r="E8">
        <v>6.5</v>
      </c>
      <c r="F8">
        <v>65</v>
      </c>
      <c r="G8">
        <v>8</v>
      </c>
      <c r="H8">
        <v>14.5</v>
      </c>
      <c r="I8">
        <v>13</v>
      </c>
      <c r="J8">
        <v>29.4</v>
      </c>
      <c r="K8">
        <v>14.3</v>
      </c>
      <c r="L8">
        <v>28</v>
      </c>
      <c r="M8">
        <v>21.5</v>
      </c>
    </row>
    <row r="9" spans="1:13" x14ac:dyDescent="0.25">
      <c r="A9" t="s">
        <v>206</v>
      </c>
      <c r="B9" t="s">
        <v>218</v>
      </c>
      <c r="C9" t="s">
        <v>246</v>
      </c>
      <c r="D9">
        <v>2</v>
      </c>
      <c r="E9">
        <v>6.5</v>
      </c>
      <c r="F9">
        <v>90</v>
      </c>
      <c r="G9">
        <v>8</v>
      </c>
      <c r="H9">
        <v>14.5</v>
      </c>
      <c r="I9">
        <v>13</v>
      </c>
      <c r="J9">
        <v>29.4</v>
      </c>
      <c r="K9">
        <v>14.3</v>
      </c>
      <c r="L9">
        <v>40</v>
      </c>
      <c r="M9">
        <v>33.5</v>
      </c>
    </row>
    <row r="10" spans="1:13" x14ac:dyDescent="0.25">
      <c r="A10" t="s">
        <v>206</v>
      </c>
      <c r="B10" t="s">
        <v>218</v>
      </c>
      <c r="C10" t="s">
        <v>246</v>
      </c>
      <c r="D10">
        <v>2</v>
      </c>
      <c r="E10">
        <v>6.5</v>
      </c>
      <c r="F10">
        <v>130</v>
      </c>
      <c r="G10">
        <v>8</v>
      </c>
      <c r="H10">
        <v>14.5</v>
      </c>
      <c r="I10">
        <v>13</v>
      </c>
      <c r="J10">
        <v>29.4</v>
      </c>
      <c r="K10">
        <v>14.3</v>
      </c>
      <c r="L10">
        <v>40</v>
      </c>
      <c r="M10">
        <v>33.5</v>
      </c>
    </row>
    <row r="11" spans="1:13" x14ac:dyDescent="0.25">
      <c r="A11" t="s">
        <v>206</v>
      </c>
      <c r="B11" t="s">
        <v>218</v>
      </c>
      <c r="C11" t="s">
        <v>246</v>
      </c>
      <c r="D11">
        <v>2</v>
      </c>
      <c r="E11">
        <v>6.5</v>
      </c>
      <c r="F11">
        <v>160</v>
      </c>
      <c r="G11">
        <v>8</v>
      </c>
      <c r="H11">
        <v>14.5</v>
      </c>
      <c r="I11">
        <v>13</v>
      </c>
      <c r="J11">
        <v>29.4</v>
      </c>
      <c r="K11">
        <v>14.3</v>
      </c>
      <c r="L11">
        <v>65</v>
      </c>
      <c r="M11">
        <v>58.5</v>
      </c>
    </row>
    <row r="12" spans="1:13" x14ac:dyDescent="0.25">
      <c r="A12" t="s">
        <v>206</v>
      </c>
      <c r="B12" t="s">
        <v>218</v>
      </c>
      <c r="C12" t="s">
        <v>246</v>
      </c>
      <c r="D12">
        <v>2</v>
      </c>
      <c r="E12">
        <v>6.5</v>
      </c>
      <c r="F12">
        <v>190</v>
      </c>
      <c r="G12">
        <v>8</v>
      </c>
      <c r="H12">
        <v>14.5</v>
      </c>
      <c r="I12">
        <v>13</v>
      </c>
      <c r="J12">
        <v>29.4</v>
      </c>
      <c r="K12">
        <v>14.3</v>
      </c>
      <c r="L12">
        <v>80</v>
      </c>
      <c r="M12">
        <v>73.5</v>
      </c>
    </row>
    <row r="13" spans="1:13" x14ac:dyDescent="0.25">
      <c r="A13" t="s">
        <v>206</v>
      </c>
      <c r="B13" t="s">
        <v>218</v>
      </c>
      <c r="C13" t="s">
        <v>246</v>
      </c>
      <c r="D13">
        <v>2</v>
      </c>
      <c r="E13">
        <v>6.5</v>
      </c>
      <c r="F13">
        <v>220</v>
      </c>
      <c r="G13">
        <v>8</v>
      </c>
      <c r="H13">
        <v>14.5</v>
      </c>
      <c r="I13">
        <v>13</v>
      </c>
      <c r="J13">
        <v>29.4</v>
      </c>
      <c r="K13">
        <v>14.3</v>
      </c>
      <c r="L13">
        <v>95</v>
      </c>
      <c r="M13">
        <v>88.5</v>
      </c>
    </row>
    <row r="14" spans="1:13" x14ac:dyDescent="0.25">
      <c r="A14" t="s">
        <v>206</v>
      </c>
      <c r="B14" t="s">
        <v>218</v>
      </c>
      <c r="C14" t="s">
        <v>246</v>
      </c>
      <c r="D14">
        <v>2</v>
      </c>
      <c r="E14">
        <v>8</v>
      </c>
      <c r="F14">
        <v>90</v>
      </c>
      <c r="G14">
        <v>10</v>
      </c>
      <c r="H14">
        <v>31.2</v>
      </c>
      <c r="I14">
        <v>14.2</v>
      </c>
      <c r="J14">
        <v>38.799999999999997</v>
      </c>
      <c r="K14">
        <v>21.9</v>
      </c>
      <c r="L14">
        <v>40</v>
      </c>
      <c r="M14">
        <v>31.5</v>
      </c>
    </row>
    <row r="15" spans="1:13" x14ac:dyDescent="0.25">
      <c r="A15" t="s">
        <v>206</v>
      </c>
      <c r="B15" t="s">
        <v>218</v>
      </c>
      <c r="C15" t="s">
        <v>246</v>
      </c>
      <c r="D15">
        <v>2</v>
      </c>
      <c r="E15">
        <v>8</v>
      </c>
      <c r="F15">
        <v>130</v>
      </c>
      <c r="G15">
        <v>10</v>
      </c>
      <c r="H15">
        <v>31.2</v>
      </c>
      <c r="I15">
        <v>14.2</v>
      </c>
      <c r="J15">
        <v>38.799999999999997</v>
      </c>
      <c r="K15">
        <v>21.9</v>
      </c>
      <c r="L15">
        <v>40</v>
      </c>
      <c r="M15">
        <v>31.5</v>
      </c>
    </row>
    <row r="16" spans="1:13" x14ac:dyDescent="0.25">
      <c r="A16" t="s">
        <v>206</v>
      </c>
      <c r="B16" t="s">
        <v>218</v>
      </c>
      <c r="C16" t="s">
        <v>246</v>
      </c>
      <c r="D16">
        <v>2</v>
      </c>
      <c r="E16">
        <v>8</v>
      </c>
      <c r="F16">
        <v>160</v>
      </c>
      <c r="G16">
        <v>10</v>
      </c>
      <c r="H16">
        <v>31.2</v>
      </c>
      <c r="I16">
        <v>14.2</v>
      </c>
      <c r="J16">
        <v>38.799999999999997</v>
      </c>
      <c r="K16">
        <v>21.9</v>
      </c>
      <c r="L16">
        <v>65</v>
      </c>
      <c r="M16">
        <v>56.5</v>
      </c>
    </row>
    <row r="17" spans="1:13" x14ac:dyDescent="0.25">
      <c r="A17" t="s">
        <v>206</v>
      </c>
      <c r="B17" t="s">
        <v>218</v>
      </c>
      <c r="C17" t="s">
        <v>246</v>
      </c>
      <c r="D17">
        <v>2</v>
      </c>
      <c r="E17">
        <v>8</v>
      </c>
      <c r="F17">
        <v>190</v>
      </c>
      <c r="G17">
        <v>10</v>
      </c>
      <c r="H17">
        <v>31.2</v>
      </c>
      <c r="I17">
        <v>14.2</v>
      </c>
      <c r="J17">
        <v>38.799999999999997</v>
      </c>
      <c r="K17">
        <v>21.9</v>
      </c>
      <c r="L17">
        <v>80</v>
      </c>
      <c r="M17">
        <v>71.5</v>
      </c>
    </row>
    <row r="18" spans="1:13" x14ac:dyDescent="0.25">
      <c r="A18" t="s">
        <v>206</v>
      </c>
      <c r="B18" t="s">
        <v>218</v>
      </c>
      <c r="C18" t="s">
        <v>246</v>
      </c>
      <c r="D18">
        <v>2</v>
      </c>
      <c r="E18">
        <v>8</v>
      </c>
      <c r="F18">
        <v>220</v>
      </c>
      <c r="G18">
        <v>10</v>
      </c>
      <c r="H18">
        <v>31.2</v>
      </c>
      <c r="I18">
        <v>14.2</v>
      </c>
      <c r="J18">
        <v>38.799999999999997</v>
      </c>
      <c r="K18">
        <v>21.9</v>
      </c>
      <c r="L18">
        <v>95</v>
      </c>
      <c r="M18">
        <v>86.5</v>
      </c>
    </row>
    <row r="19" spans="1:13" x14ac:dyDescent="0.25">
      <c r="A19" t="s">
        <v>206</v>
      </c>
      <c r="B19" t="s">
        <v>218</v>
      </c>
      <c r="C19" t="s">
        <v>246</v>
      </c>
      <c r="D19">
        <v>2</v>
      </c>
      <c r="E19">
        <v>8</v>
      </c>
      <c r="F19">
        <v>245</v>
      </c>
      <c r="G19">
        <v>10</v>
      </c>
      <c r="H19">
        <v>31.2</v>
      </c>
      <c r="I19">
        <v>14.2</v>
      </c>
      <c r="J19">
        <v>38.799999999999997</v>
      </c>
      <c r="K19">
        <v>21.9</v>
      </c>
      <c r="L19">
        <v>107.5</v>
      </c>
      <c r="M19">
        <v>99</v>
      </c>
    </row>
    <row r="20" spans="1:13" x14ac:dyDescent="0.25">
      <c r="A20" t="s">
        <v>206</v>
      </c>
      <c r="B20" t="s">
        <v>218</v>
      </c>
      <c r="C20" t="s">
        <v>246</v>
      </c>
      <c r="D20">
        <v>2</v>
      </c>
      <c r="E20">
        <v>8</v>
      </c>
      <c r="F20">
        <v>275</v>
      </c>
      <c r="G20">
        <v>10</v>
      </c>
      <c r="H20">
        <v>31.2</v>
      </c>
      <c r="I20">
        <v>14.2</v>
      </c>
      <c r="J20">
        <v>38.799999999999997</v>
      </c>
      <c r="K20">
        <v>21.9</v>
      </c>
      <c r="L20">
        <v>107.5</v>
      </c>
      <c r="M20">
        <v>99</v>
      </c>
    </row>
    <row r="21" spans="1:13" x14ac:dyDescent="0.25">
      <c r="A21" t="s">
        <v>206</v>
      </c>
      <c r="B21" t="s">
        <v>218</v>
      </c>
      <c r="C21" t="s">
        <v>246</v>
      </c>
      <c r="D21">
        <v>2</v>
      </c>
      <c r="E21">
        <v>8</v>
      </c>
      <c r="F21">
        <v>300</v>
      </c>
      <c r="G21">
        <v>10</v>
      </c>
      <c r="H21">
        <v>31.2</v>
      </c>
      <c r="I21">
        <v>14.2</v>
      </c>
      <c r="J21">
        <v>38.799999999999997</v>
      </c>
      <c r="K21">
        <v>21.9</v>
      </c>
      <c r="L21">
        <v>135</v>
      </c>
      <c r="M21">
        <v>126.5</v>
      </c>
    </row>
    <row r="22" spans="1:13" x14ac:dyDescent="0.25">
      <c r="A22" t="s">
        <v>206</v>
      </c>
      <c r="B22" t="s">
        <v>218</v>
      </c>
      <c r="C22" t="s">
        <v>246</v>
      </c>
      <c r="D22">
        <v>2</v>
      </c>
      <c r="E22">
        <v>8</v>
      </c>
      <c r="F22">
        <v>330</v>
      </c>
      <c r="G22">
        <v>10</v>
      </c>
      <c r="H22">
        <v>31.2</v>
      </c>
      <c r="I22">
        <v>14.2</v>
      </c>
      <c r="J22">
        <v>38.799999999999997</v>
      </c>
      <c r="K22">
        <v>21.9</v>
      </c>
      <c r="L22">
        <v>135</v>
      </c>
      <c r="M22">
        <v>126.5</v>
      </c>
    </row>
    <row r="23" spans="1:13" x14ac:dyDescent="0.25">
      <c r="A23" t="s">
        <v>206</v>
      </c>
      <c r="B23" t="s">
        <v>219</v>
      </c>
      <c r="C23" t="s">
        <v>247</v>
      </c>
      <c r="D23">
        <v>3</v>
      </c>
      <c r="E23">
        <v>5</v>
      </c>
      <c r="F23">
        <v>60</v>
      </c>
      <c r="G23">
        <v>9.5</v>
      </c>
      <c r="H23">
        <v>5.4720000000000004</v>
      </c>
      <c r="I23">
        <v>17.3</v>
      </c>
      <c r="J23">
        <v>19.600000000000001</v>
      </c>
      <c r="K23">
        <v>6.5</v>
      </c>
      <c r="L23">
        <v>32</v>
      </c>
    </row>
    <row r="24" spans="1:13" x14ac:dyDescent="0.25">
      <c r="A24" t="s">
        <v>206</v>
      </c>
      <c r="B24" t="s">
        <v>219</v>
      </c>
      <c r="C24" t="s">
        <v>247</v>
      </c>
      <c r="D24">
        <v>3</v>
      </c>
      <c r="E24">
        <v>5</v>
      </c>
      <c r="F24">
        <v>70</v>
      </c>
      <c r="G24">
        <v>9.5</v>
      </c>
      <c r="H24">
        <v>5.4720000000000004</v>
      </c>
      <c r="I24">
        <v>17.3</v>
      </c>
      <c r="J24">
        <v>19.600000000000001</v>
      </c>
      <c r="K24">
        <v>6.5</v>
      </c>
      <c r="L24">
        <v>35</v>
      </c>
    </row>
    <row r="25" spans="1:13" x14ac:dyDescent="0.25">
      <c r="A25" t="s">
        <v>206</v>
      </c>
      <c r="B25" t="s">
        <v>219</v>
      </c>
      <c r="C25" t="s">
        <v>247</v>
      </c>
      <c r="D25">
        <v>3</v>
      </c>
      <c r="E25">
        <v>5</v>
      </c>
      <c r="F25">
        <v>80</v>
      </c>
      <c r="G25">
        <v>9.5</v>
      </c>
      <c r="H25">
        <v>5.4720000000000004</v>
      </c>
      <c r="I25">
        <v>17.3</v>
      </c>
      <c r="J25">
        <v>19.600000000000001</v>
      </c>
      <c r="K25">
        <v>6.5</v>
      </c>
      <c r="L25">
        <v>40</v>
      </c>
    </row>
    <row r="26" spans="1:13" x14ac:dyDescent="0.25">
      <c r="A26" t="s">
        <v>206</v>
      </c>
      <c r="B26" t="s">
        <v>219</v>
      </c>
      <c r="C26" t="s">
        <v>247</v>
      </c>
      <c r="D26">
        <v>3</v>
      </c>
      <c r="E26">
        <v>5</v>
      </c>
      <c r="F26">
        <v>90</v>
      </c>
      <c r="G26">
        <v>9.5</v>
      </c>
      <c r="H26">
        <v>5.4720000000000004</v>
      </c>
      <c r="I26">
        <v>17.3</v>
      </c>
      <c r="J26">
        <v>19.600000000000001</v>
      </c>
      <c r="K26">
        <v>6.5</v>
      </c>
      <c r="L26">
        <v>45</v>
      </c>
    </row>
    <row r="27" spans="1:13" x14ac:dyDescent="0.25">
      <c r="A27" t="s">
        <v>206</v>
      </c>
      <c r="B27" t="s">
        <v>219</v>
      </c>
      <c r="C27" t="s">
        <v>247</v>
      </c>
      <c r="D27">
        <v>3</v>
      </c>
      <c r="E27">
        <v>5</v>
      </c>
      <c r="F27">
        <v>100</v>
      </c>
      <c r="G27">
        <v>9.5</v>
      </c>
      <c r="H27">
        <v>5.4720000000000004</v>
      </c>
      <c r="I27">
        <v>17.3</v>
      </c>
      <c r="J27">
        <v>19.600000000000001</v>
      </c>
      <c r="K27">
        <v>6.5</v>
      </c>
      <c r="L27">
        <v>55</v>
      </c>
    </row>
    <row r="28" spans="1:13" x14ac:dyDescent="0.25">
      <c r="A28" t="s">
        <v>206</v>
      </c>
      <c r="B28" t="s">
        <v>219</v>
      </c>
      <c r="C28" t="s">
        <v>247</v>
      </c>
      <c r="D28">
        <v>3</v>
      </c>
      <c r="E28">
        <v>5</v>
      </c>
      <c r="F28">
        <v>120</v>
      </c>
      <c r="G28">
        <v>9.5</v>
      </c>
      <c r="H28">
        <v>5.4720000000000004</v>
      </c>
      <c r="I28">
        <v>17.3</v>
      </c>
      <c r="J28">
        <v>19.600000000000001</v>
      </c>
      <c r="K28">
        <v>6.5</v>
      </c>
      <c r="L28">
        <v>60</v>
      </c>
    </row>
    <row r="29" spans="1:13" x14ac:dyDescent="0.25">
      <c r="A29" t="s">
        <v>206</v>
      </c>
      <c r="B29" t="s">
        <v>219</v>
      </c>
      <c r="C29" t="s">
        <v>247</v>
      </c>
      <c r="D29">
        <v>3</v>
      </c>
      <c r="E29">
        <v>6</v>
      </c>
      <c r="F29">
        <v>70</v>
      </c>
      <c r="G29">
        <v>11.6</v>
      </c>
      <c r="H29">
        <v>8.4670000000000005</v>
      </c>
      <c r="I29">
        <v>15.9</v>
      </c>
      <c r="J29">
        <v>22.6</v>
      </c>
      <c r="K29">
        <v>8.8000000000000007</v>
      </c>
      <c r="L29">
        <v>35</v>
      </c>
    </row>
    <row r="30" spans="1:13" x14ac:dyDescent="0.25">
      <c r="A30" t="s">
        <v>206</v>
      </c>
      <c r="B30" t="s">
        <v>219</v>
      </c>
      <c r="C30" t="s">
        <v>247</v>
      </c>
      <c r="D30">
        <v>3</v>
      </c>
      <c r="E30">
        <v>6</v>
      </c>
      <c r="F30">
        <v>80</v>
      </c>
      <c r="G30">
        <v>11.6</v>
      </c>
      <c r="H30">
        <v>8.4670000000000005</v>
      </c>
      <c r="I30">
        <v>15.9</v>
      </c>
      <c r="J30">
        <v>22.6</v>
      </c>
      <c r="K30">
        <v>8.8000000000000007</v>
      </c>
      <c r="L30">
        <v>40</v>
      </c>
    </row>
    <row r="31" spans="1:13" x14ac:dyDescent="0.25">
      <c r="A31" t="s">
        <v>206</v>
      </c>
      <c r="B31" t="s">
        <v>219</v>
      </c>
      <c r="C31" t="s">
        <v>247</v>
      </c>
      <c r="D31">
        <v>3</v>
      </c>
      <c r="E31">
        <v>6</v>
      </c>
      <c r="F31">
        <v>90</v>
      </c>
      <c r="G31">
        <v>11.6</v>
      </c>
      <c r="H31">
        <v>8.4670000000000005</v>
      </c>
      <c r="I31">
        <v>15.9</v>
      </c>
      <c r="J31">
        <v>22.6</v>
      </c>
      <c r="K31">
        <v>8.8000000000000007</v>
      </c>
      <c r="L31">
        <v>45</v>
      </c>
    </row>
    <row r="32" spans="1:13" x14ac:dyDescent="0.25">
      <c r="A32" t="s">
        <v>206</v>
      </c>
      <c r="B32" t="s">
        <v>219</v>
      </c>
      <c r="C32" t="s">
        <v>247</v>
      </c>
      <c r="D32">
        <v>3</v>
      </c>
      <c r="E32">
        <v>6</v>
      </c>
      <c r="F32">
        <v>100</v>
      </c>
      <c r="G32">
        <v>11.6</v>
      </c>
      <c r="H32">
        <v>8.4670000000000005</v>
      </c>
      <c r="I32">
        <v>15.9</v>
      </c>
      <c r="J32">
        <v>22.6</v>
      </c>
      <c r="K32">
        <v>8.8000000000000007</v>
      </c>
      <c r="L32">
        <v>55</v>
      </c>
    </row>
    <row r="33" spans="1:12" x14ac:dyDescent="0.25">
      <c r="A33" t="s">
        <v>206</v>
      </c>
      <c r="B33" t="s">
        <v>219</v>
      </c>
      <c r="C33" t="s">
        <v>247</v>
      </c>
      <c r="D33">
        <v>3</v>
      </c>
      <c r="E33">
        <v>6</v>
      </c>
      <c r="F33">
        <v>120</v>
      </c>
      <c r="G33">
        <v>11.6</v>
      </c>
      <c r="H33">
        <v>8.4670000000000005</v>
      </c>
      <c r="I33">
        <v>15.9</v>
      </c>
      <c r="J33">
        <v>22.6</v>
      </c>
      <c r="K33">
        <v>8.8000000000000007</v>
      </c>
      <c r="L33">
        <v>60</v>
      </c>
    </row>
    <row r="34" spans="1:12" x14ac:dyDescent="0.25">
      <c r="A34" t="s">
        <v>206</v>
      </c>
      <c r="B34" t="s">
        <v>219</v>
      </c>
      <c r="C34" t="s">
        <v>247</v>
      </c>
      <c r="D34">
        <v>3</v>
      </c>
      <c r="E34">
        <v>6</v>
      </c>
      <c r="F34">
        <v>140</v>
      </c>
      <c r="G34">
        <v>11.6</v>
      </c>
      <c r="H34">
        <v>8.4670000000000005</v>
      </c>
      <c r="I34">
        <v>15.9</v>
      </c>
      <c r="J34">
        <v>22.6</v>
      </c>
      <c r="K34">
        <v>8.8000000000000007</v>
      </c>
      <c r="L34">
        <v>65</v>
      </c>
    </row>
    <row r="35" spans="1:12" x14ac:dyDescent="0.25">
      <c r="A35" t="s">
        <v>206</v>
      </c>
      <c r="B35" t="s">
        <v>220</v>
      </c>
      <c r="C35" t="s">
        <v>248</v>
      </c>
      <c r="D35">
        <v>3</v>
      </c>
      <c r="E35">
        <v>4</v>
      </c>
      <c r="F35">
        <v>30</v>
      </c>
      <c r="G35">
        <v>8</v>
      </c>
      <c r="L35">
        <v>30</v>
      </c>
    </row>
    <row r="36" spans="1:12" x14ac:dyDescent="0.25">
      <c r="A36" t="s">
        <v>206</v>
      </c>
      <c r="B36" t="s">
        <v>220</v>
      </c>
      <c r="C36" t="s">
        <v>248</v>
      </c>
      <c r="D36">
        <v>3</v>
      </c>
      <c r="E36">
        <v>4</v>
      </c>
      <c r="F36">
        <v>40</v>
      </c>
      <c r="G36">
        <v>8</v>
      </c>
      <c r="L36">
        <v>40</v>
      </c>
    </row>
    <row r="37" spans="1:12" x14ac:dyDescent="0.25">
      <c r="A37" t="s">
        <v>206</v>
      </c>
      <c r="B37" t="s">
        <v>220</v>
      </c>
      <c r="C37" t="s">
        <v>248</v>
      </c>
      <c r="D37">
        <v>3</v>
      </c>
      <c r="E37">
        <v>4</v>
      </c>
      <c r="F37">
        <v>50</v>
      </c>
      <c r="G37">
        <v>8</v>
      </c>
      <c r="L37">
        <v>30</v>
      </c>
    </row>
    <row r="38" spans="1:12" x14ac:dyDescent="0.25">
      <c r="A38" t="s">
        <v>206</v>
      </c>
      <c r="B38" t="s">
        <v>220</v>
      </c>
      <c r="C38" t="s">
        <v>248</v>
      </c>
      <c r="D38">
        <v>3</v>
      </c>
      <c r="E38">
        <v>5</v>
      </c>
      <c r="F38">
        <v>40</v>
      </c>
      <c r="G38">
        <v>9.6999999999999993</v>
      </c>
      <c r="H38">
        <v>7.6020000000000003</v>
      </c>
      <c r="I38">
        <v>13</v>
      </c>
      <c r="J38">
        <v>23.2</v>
      </c>
      <c r="K38">
        <v>9.9</v>
      </c>
      <c r="L38">
        <v>36</v>
      </c>
    </row>
    <row r="39" spans="1:12" x14ac:dyDescent="0.25">
      <c r="A39" t="s">
        <v>206</v>
      </c>
      <c r="B39" t="s">
        <v>220</v>
      </c>
      <c r="C39" t="s">
        <v>248</v>
      </c>
      <c r="D39">
        <v>3</v>
      </c>
      <c r="E39">
        <v>5</v>
      </c>
      <c r="F39">
        <v>50</v>
      </c>
      <c r="G39">
        <v>9.6999999999999993</v>
      </c>
      <c r="H39">
        <v>7.6020000000000003</v>
      </c>
      <c r="I39">
        <v>13</v>
      </c>
      <c r="J39">
        <v>23.2</v>
      </c>
      <c r="K39">
        <v>9.9</v>
      </c>
      <c r="L39">
        <v>30</v>
      </c>
    </row>
    <row r="40" spans="1:12" x14ac:dyDescent="0.25">
      <c r="A40" t="s">
        <v>206</v>
      </c>
      <c r="B40" t="s">
        <v>220</v>
      </c>
      <c r="C40" t="s">
        <v>248</v>
      </c>
      <c r="D40">
        <v>3</v>
      </c>
      <c r="E40">
        <v>5</v>
      </c>
      <c r="F40">
        <v>60</v>
      </c>
      <c r="G40">
        <v>9.6999999999999993</v>
      </c>
      <c r="H40">
        <v>7.6020000000000003</v>
      </c>
      <c r="I40">
        <v>13</v>
      </c>
      <c r="J40">
        <v>23.2</v>
      </c>
      <c r="K40">
        <v>9.9</v>
      </c>
      <c r="L40">
        <v>35</v>
      </c>
    </row>
    <row r="41" spans="1:12" x14ac:dyDescent="0.25">
      <c r="A41" t="s">
        <v>206</v>
      </c>
      <c r="B41" t="s">
        <v>220</v>
      </c>
      <c r="C41" t="s">
        <v>248</v>
      </c>
      <c r="D41">
        <v>3</v>
      </c>
      <c r="E41">
        <v>5</v>
      </c>
      <c r="F41">
        <v>70</v>
      </c>
      <c r="G41">
        <v>9.6999999999999993</v>
      </c>
      <c r="H41">
        <v>7.6020000000000003</v>
      </c>
      <c r="I41">
        <v>13</v>
      </c>
      <c r="J41">
        <v>23.2</v>
      </c>
      <c r="K41">
        <v>9.9</v>
      </c>
      <c r="L41">
        <v>40</v>
      </c>
    </row>
    <row r="42" spans="1:12" x14ac:dyDescent="0.25">
      <c r="A42" t="s">
        <v>206</v>
      </c>
      <c r="B42" t="s">
        <v>221</v>
      </c>
      <c r="C42" t="s">
        <v>247</v>
      </c>
      <c r="D42">
        <v>3</v>
      </c>
      <c r="E42">
        <v>3.5</v>
      </c>
      <c r="F42">
        <v>16</v>
      </c>
      <c r="G42">
        <v>7</v>
      </c>
      <c r="L42">
        <v>10</v>
      </c>
    </row>
    <row r="43" spans="1:12" x14ac:dyDescent="0.25">
      <c r="A43" t="s">
        <v>206</v>
      </c>
      <c r="B43" t="s">
        <v>221</v>
      </c>
      <c r="C43" t="s">
        <v>247</v>
      </c>
      <c r="D43">
        <v>3</v>
      </c>
      <c r="E43">
        <v>3.5</v>
      </c>
      <c r="F43">
        <v>20</v>
      </c>
      <c r="G43">
        <v>7</v>
      </c>
      <c r="L43">
        <v>14</v>
      </c>
    </row>
    <row r="44" spans="1:12" x14ac:dyDescent="0.25">
      <c r="A44" t="s">
        <v>206</v>
      </c>
      <c r="B44" t="s">
        <v>221</v>
      </c>
      <c r="C44" t="s">
        <v>247</v>
      </c>
      <c r="D44">
        <v>3</v>
      </c>
      <c r="E44">
        <v>3.5</v>
      </c>
      <c r="F44">
        <v>30</v>
      </c>
      <c r="G44">
        <v>7</v>
      </c>
      <c r="L44">
        <v>24</v>
      </c>
    </row>
    <row r="45" spans="1:12" x14ac:dyDescent="0.25">
      <c r="A45" t="s">
        <v>206</v>
      </c>
      <c r="B45" t="s">
        <v>221</v>
      </c>
      <c r="C45" t="s">
        <v>247</v>
      </c>
      <c r="D45">
        <v>3</v>
      </c>
      <c r="E45">
        <v>4</v>
      </c>
      <c r="F45">
        <v>20</v>
      </c>
      <c r="G45">
        <v>8</v>
      </c>
      <c r="L45">
        <v>10</v>
      </c>
    </row>
    <row r="46" spans="1:12" x14ac:dyDescent="0.25">
      <c r="A46" t="s">
        <v>206</v>
      </c>
      <c r="B46" t="s">
        <v>221</v>
      </c>
      <c r="C46" t="s">
        <v>247</v>
      </c>
      <c r="D46">
        <v>3</v>
      </c>
      <c r="E46">
        <v>4</v>
      </c>
      <c r="F46">
        <v>30</v>
      </c>
      <c r="G46">
        <v>8</v>
      </c>
      <c r="L46">
        <v>20</v>
      </c>
    </row>
    <row r="47" spans="1:12" x14ac:dyDescent="0.25">
      <c r="A47" t="s">
        <v>206</v>
      </c>
      <c r="B47" t="s">
        <v>221</v>
      </c>
      <c r="C47" t="s">
        <v>247</v>
      </c>
      <c r="D47">
        <v>3</v>
      </c>
      <c r="E47">
        <v>4.5</v>
      </c>
      <c r="F47">
        <v>25</v>
      </c>
      <c r="G47">
        <v>8.4</v>
      </c>
      <c r="L47">
        <v>20</v>
      </c>
    </row>
    <row r="48" spans="1:12" x14ac:dyDescent="0.25">
      <c r="A48" t="s">
        <v>206</v>
      </c>
      <c r="B48" t="s">
        <v>221</v>
      </c>
      <c r="C48" t="s">
        <v>247</v>
      </c>
      <c r="D48">
        <v>3</v>
      </c>
      <c r="E48">
        <v>4.5</v>
      </c>
      <c r="F48">
        <v>30</v>
      </c>
      <c r="G48">
        <v>8.4</v>
      </c>
      <c r="L48">
        <v>25</v>
      </c>
    </row>
    <row r="49" spans="1:12" x14ac:dyDescent="0.25">
      <c r="A49" t="s">
        <v>206</v>
      </c>
      <c r="B49" t="s">
        <v>221</v>
      </c>
      <c r="C49" t="s">
        <v>247</v>
      </c>
      <c r="D49">
        <v>3</v>
      </c>
      <c r="E49">
        <v>4.5</v>
      </c>
      <c r="F49">
        <v>40</v>
      </c>
      <c r="G49">
        <v>8.4</v>
      </c>
      <c r="L49">
        <v>35</v>
      </c>
    </row>
    <row r="50" spans="1:12" x14ac:dyDescent="0.25">
      <c r="A50" t="s">
        <v>206</v>
      </c>
      <c r="B50" t="s">
        <v>221</v>
      </c>
      <c r="C50" t="s">
        <v>247</v>
      </c>
      <c r="D50">
        <v>3</v>
      </c>
      <c r="E50">
        <v>4.5</v>
      </c>
      <c r="F50">
        <v>50</v>
      </c>
      <c r="G50">
        <v>8.4</v>
      </c>
      <c r="L50">
        <v>30</v>
      </c>
    </row>
    <row r="51" spans="1:12" x14ac:dyDescent="0.25">
      <c r="A51" t="s">
        <v>206</v>
      </c>
      <c r="B51" t="s">
        <v>221</v>
      </c>
      <c r="C51" t="s">
        <v>247</v>
      </c>
      <c r="D51">
        <v>3</v>
      </c>
      <c r="E51">
        <v>4.5</v>
      </c>
      <c r="F51">
        <v>60</v>
      </c>
      <c r="G51">
        <v>8.4</v>
      </c>
      <c r="L51">
        <v>35</v>
      </c>
    </row>
    <row r="52" spans="1:12" x14ac:dyDescent="0.25">
      <c r="A52" t="s">
        <v>206</v>
      </c>
      <c r="B52" t="s">
        <v>221</v>
      </c>
      <c r="C52" t="s">
        <v>247</v>
      </c>
      <c r="D52">
        <v>3</v>
      </c>
      <c r="E52">
        <v>4.5</v>
      </c>
      <c r="F52">
        <v>70</v>
      </c>
      <c r="G52">
        <v>8.4</v>
      </c>
      <c r="L52">
        <v>40</v>
      </c>
    </row>
    <row r="53" spans="1:12" x14ac:dyDescent="0.25">
      <c r="A53" t="s">
        <v>206</v>
      </c>
      <c r="B53" t="s">
        <v>221</v>
      </c>
      <c r="C53" t="s">
        <v>247</v>
      </c>
      <c r="D53">
        <v>3</v>
      </c>
      <c r="E53">
        <v>5</v>
      </c>
      <c r="F53">
        <v>50</v>
      </c>
      <c r="G53">
        <v>9.5</v>
      </c>
      <c r="L53">
        <v>30</v>
      </c>
    </row>
    <row r="54" spans="1:12" x14ac:dyDescent="0.25">
      <c r="A54" t="s">
        <v>206</v>
      </c>
      <c r="B54" t="s">
        <v>221</v>
      </c>
      <c r="C54" t="s">
        <v>247</v>
      </c>
      <c r="D54">
        <v>3</v>
      </c>
      <c r="E54">
        <v>5</v>
      </c>
      <c r="F54">
        <v>60</v>
      </c>
      <c r="G54">
        <v>9.5</v>
      </c>
      <c r="L54">
        <v>35</v>
      </c>
    </row>
    <row r="55" spans="1:12" x14ac:dyDescent="0.25">
      <c r="A55" t="s">
        <v>206</v>
      </c>
      <c r="B55" t="s">
        <v>221</v>
      </c>
      <c r="C55" t="s">
        <v>247</v>
      </c>
      <c r="D55">
        <v>3</v>
      </c>
      <c r="E55">
        <v>5</v>
      </c>
      <c r="F55">
        <v>70</v>
      </c>
      <c r="G55">
        <v>9.5</v>
      </c>
      <c r="L55">
        <v>40</v>
      </c>
    </row>
    <row r="56" spans="1:12" x14ac:dyDescent="0.25">
      <c r="A56" t="s">
        <v>206</v>
      </c>
      <c r="B56" t="s">
        <v>221</v>
      </c>
      <c r="C56" t="s">
        <v>247</v>
      </c>
      <c r="D56">
        <v>3</v>
      </c>
      <c r="E56">
        <v>5</v>
      </c>
      <c r="F56">
        <v>80</v>
      </c>
      <c r="G56">
        <v>9.5</v>
      </c>
      <c r="L56">
        <v>40</v>
      </c>
    </row>
    <row r="57" spans="1:12" x14ac:dyDescent="0.25">
      <c r="A57" t="s">
        <v>206</v>
      </c>
      <c r="B57" t="s">
        <v>221</v>
      </c>
      <c r="C57" t="s">
        <v>247</v>
      </c>
      <c r="D57">
        <v>3</v>
      </c>
      <c r="E57">
        <v>5</v>
      </c>
      <c r="F57">
        <v>90</v>
      </c>
      <c r="G57">
        <v>9.5</v>
      </c>
      <c r="L57">
        <v>45</v>
      </c>
    </row>
    <row r="58" spans="1:12" x14ac:dyDescent="0.25">
      <c r="A58" t="s">
        <v>206</v>
      </c>
      <c r="B58" t="s">
        <v>221</v>
      </c>
      <c r="C58" t="s">
        <v>247</v>
      </c>
      <c r="D58">
        <v>3</v>
      </c>
      <c r="E58">
        <v>5</v>
      </c>
      <c r="F58">
        <v>100</v>
      </c>
      <c r="G58">
        <v>9.5</v>
      </c>
      <c r="L58">
        <v>60</v>
      </c>
    </row>
    <row r="59" spans="1:12" x14ac:dyDescent="0.25">
      <c r="A59" t="s">
        <v>206</v>
      </c>
      <c r="B59" t="s">
        <v>221</v>
      </c>
      <c r="C59" t="s">
        <v>247</v>
      </c>
      <c r="D59">
        <v>3</v>
      </c>
      <c r="E59">
        <v>5</v>
      </c>
      <c r="F59">
        <v>120</v>
      </c>
      <c r="G59">
        <v>9.5</v>
      </c>
      <c r="L59">
        <v>60</v>
      </c>
    </row>
    <row r="60" spans="1:12" x14ac:dyDescent="0.25">
      <c r="A60" t="s">
        <v>206</v>
      </c>
      <c r="B60" t="s">
        <v>221</v>
      </c>
      <c r="C60" t="s">
        <v>247</v>
      </c>
      <c r="D60">
        <v>3</v>
      </c>
      <c r="E60">
        <v>6</v>
      </c>
      <c r="F60">
        <v>60</v>
      </c>
      <c r="G60">
        <v>11.6</v>
      </c>
      <c r="L60">
        <v>35</v>
      </c>
    </row>
    <row r="61" spans="1:12" x14ac:dyDescent="0.25">
      <c r="A61" t="s">
        <v>206</v>
      </c>
      <c r="B61" t="s">
        <v>221</v>
      </c>
      <c r="C61" t="s">
        <v>247</v>
      </c>
      <c r="D61">
        <v>3</v>
      </c>
      <c r="E61">
        <v>6</v>
      </c>
      <c r="F61">
        <v>70</v>
      </c>
      <c r="G61">
        <v>11.6</v>
      </c>
      <c r="L61">
        <v>40</v>
      </c>
    </row>
    <row r="62" spans="1:12" x14ac:dyDescent="0.25">
      <c r="A62" t="s">
        <v>206</v>
      </c>
      <c r="B62" t="s">
        <v>221</v>
      </c>
      <c r="C62" t="s">
        <v>247</v>
      </c>
      <c r="D62">
        <v>3</v>
      </c>
      <c r="E62">
        <v>6</v>
      </c>
      <c r="F62">
        <v>80</v>
      </c>
      <c r="G62">
        <v>11.6</v>
      </c>
      <c r="L62">
        <v>40</v>
      </c>
    </row>
    <row r="63" spans="1:12" x14ac:dyDescent="0.25">
      <c r="A63" t="s">
        <v>206</v>
      </c>
      <c r="B63" t="s">
        <v>221</v>
      </c>
      <c r="C63" t="s">
        <v>247</v>
      </c>
      <c r="D63">
        <v>3</v>
      </c>
      <c r="E63">
        <v>6</v>
      </c>
      <c r="F63">
        <v>90</v>
      </c>
      <c r="G63">
        <v>11.6</v>
      </c>
      <c r="L63">
        <v>45</v>
      </c>
    </row>
    <row r="64" spans="1:12" x14ac:dyDescent="0.25">
      <c r="A64" t="s">
        <v>206</v>
      </c>
      <c r="B64" t="s">
        <v>221</v>
      </c>
      <c r="C64" t="s">
        <v>247</v>
      </c>
      <c r="D64">
        <v>3</v>
      </c>
      <c r="E64">
        <v>6</v>
      </c>
      <c r="F64">
        <v>100</v>
      </c>
      <c r="G64">
        <v>11.6</v>
      </c>
      <c r="L64">
        <v>60</v>
      </c>
    </row>
    <row r="65" spans="1:12" x14ac:dyDescent="0.25">
      <c r="A65" t="s">
        <v>206</v>
      </c>
      <c r="B65" t="s">
        <v>221</v>
      </c>
      <c r="C65" t="s">
        <v>247</v>
      </c>
      <c r="D65">
        <v>3</v>
      </c>
      <c r="E65">
        <v>6</v>
      </c>
      <c r="F65">
        <v>120</v>
      </c>
      <c r="G65">
        <v>11.6</v>
      </c>
      <c r="L65">
        <v>70</v>
      </c>
    </row>
    <row r="66" spans="1:12" x14ac:dyDescent="0.25">
      <c r="A66" t="s">
        <v>206</v>
      </c>
      <c r="B66" t="s">
        <v>221</v>
      </c>
      <c r="C66" t="s">
        <v>247</v>
      </c>
      <c r="D66">
        <v>3</v>
      </c>
      <c r="E66">
        <v>6</v>
      </c>
      <c r="F66">
        <v>140</v>
      </c>
      <c r="G66">
        <v>11.6</v>
      </c>
      <c r="L66">
        <v>70</v>
      </c>
    </row>
    <row r="67" spans="1:12" x14ac:dyDescent="0.25">
      <c r="A67" t="s">
        <v>206</v>
      </c>
      <c r="B67" t="s">
        <v>221</v>
      </c>
      <c r="C67" t="s">
        <v>247</v>
      </c>
      <c r="D67">
        <v>3</v>
      </c>
      <c r="E67">
        <v>6</v>
      </c>
      <c r="F67">
        <v>160</v>
      </c>
      <c r="G67">
        <v>11.6</v>
      </c>
      <c r="L67">
        <v>70</v>
      </c>
    </row>
    <row r="68" spans="1:12" x14ac:dyDescent="0.25">
      <c r="A68" t="s">
        <v>206</v>
      </c>
      <c r="B68" t="s">
        <v>221</v>
      </c>
      <c r="C68" t="s">
        <v>247</v>
      </c>
      <c r="D68">
        <v>3</v>
      </c>
      <c r="E68">
        <v>6</v>
      </c>
      <c r="F68">
        <v>180</v>
      </c>
      <c r="G68">
        <v>11.6</v>
      </c>
      <c r="L68">
        <v>70</v>
      </c>
    </row>
    <row r="69" spans="1:12" x14ac:dyDescent="0.25">
      <c r="A69" t="s">
        <v>206</v>
      </c>
      <c r="B69" t="s">
        <v>222</v>
      </c>
      <c r="C69" t="s">
        <v>247</v>
      </c>
      <c r="D69">
        <v>1</v>
      </c>
      <c r="E69">
        <v>6</v>
      </c>
      <c r="F69">
        <v>200</v>
      </c>
      <c r="G69">
        <v>11.8</v>
      </c>
      <c r="H69">
        <v>12.6</v>
      </c>
      <c r="I69">
        <v>13</v>
      </c>
      <c r="J69">
        <v>20</v>
      </c>
      <c r="K69">
        <v>14</v>
      </c>
      <c r="L69">
        <v>70</v>
      </c>
    </row>
    <row r="70" spans="1:12" x14ac:dyDescent="0.25">
      <c r="A70" t="s">
        <v>206</v>
      </c>
      <c r="B70" t="s">
        <v>222</v>
      </c>
      <c r="C70" t="s">
        <v>247</v>
      </c>
      <c r="D70">
        <v>1</v>
      </c>
      <c r="E70">
        <v>6</v>
      </c>
      <c r="F70">
        <v>220</v>
      </c>
      <c r="G70">
        <v>11.8</v>
      </c>
      <c r="H70">
        <v>12.6</v>
      </c>
      <c r="I70">
        <v>13</v>
      </c>
      <c r="J70">
        <v>20</v>
      </c>
      <c r="K70">
        <v>14</v>
      </c>
      <c r="L70">
        <v>70</v>
      </c>
    </row>
    <row r="71" spans="1:12" x14ac:dyDescent="0.25">
      <c r="A71" t="s">
        <v>206</v>
      </c>
      <c r="B71" t="s">
        <v>222</v>
      </c>
      <c r="C71" t="s">
        <v>247</v>
      </c>
      <c r="D71">
        <v>1</v>
      </c>
      <c r="E71">
        <v>6</v>
      </c>
      <c r="F71">
        <v>240</v>
      </c>
      <c r="G71">
        <v>11.8</v>
      </c>
      <c r="H71">
        <v>12.6</v>
      </c>
      <c r="I71">
        <v>13</v>
      </c>
      <c r="J71">
        <v>20</v>
      </c>
      <c r="K71">
        <v>14</v>
      </c>
      <c r="L71">
        <v>70</v>
      </c>
    </row>
    <row r="72" spans="1:12" x14ac:dyDescent="0.25">
      <c r="A72" t="s">
        <v>206</v>
      </c>
      <c r="B72" t="s">
        <v>222</v>
      </c>
      <c r="C72" t="s">
        <v>247</v>
      </c>
      <c r="D72">
        <v>1</v>
      </c>
      <c r="E72">
        <v>6</v>
      </c>
      <c r="F72">
        <v>260</v>
      </c>
      <c r="G72">
        <v>11.8</v>
      </c>
      <c r="H72">
        <v>12.6</v>
      </c>
      <c r="I72">
        <v>13</v>
      </c>
      <c r="J72">
        <v>20</v>
      </c>
      <c r="K72">
        <v>14</v>
      </c>
      <c r="L72">
        <v>70</v>
      </c>
    </row>
    <row r="73" spans="1:12" x14ac:dyDescent="0.25">
      <c r="A73" t="s">
        <v>206</v>
      </c>
      <c r="B73" t="s">
        <v>222</v>
      </c>
      <c r="C73" t="s">
        <v>247</v>
      </c>
      <c r="D73">
        <v>1</v>
      </c>
      <c r="E73">
        <v>6</v>
      </c>
      <c r="F73">
        <v>280</v>
      </c>
      <c r="G73">
        <v>11.8</v>
      </c>
      <c r="H73">
        <v>12.6</v>
      </c>
      <c r="I73">
        <v>13</v>
      </c>
      <c r="J73">
        <v>20</v>
      </c>
      <c r="K73">
        <v>14</v>
      </c>
      <c r="L73">
        <v>70</v>
      </c>
    </row>
    <row r="74" spans="1:12" x14ac:dyDescent="0.25">
      <c r="A74" t="s">
        <v>206</v>
      </c>
      <c r="B74" t="s">
        <v>222</v>
      </c>
      <c r="C74" t="s">
        <v>247</v>
      </c>
      <c r="D74">
        <v>1</v>
      </c>
      <c r="E74">
        <v>6</v>
      </c>
      <c r="F74">
        <v>300</v>
      </c>
      <c r="G74">
        <v>11.8</v>
      </c>
      <c r="H74">
        <v>12.6</v>
      </c>
      <c r="I74">
        <v>13</v>
      </c>
      <c r="J74">
        <v>20</v>
      </c>
      <c r="K74">
        <v>14</v>
      </c>
      <c r="L74">
        <v>70</v>
      </c>
    </row>
    <row r="75" spans="1:12" x14ac:dyDescent="0.25">
      <c r="A75" t="s">
        <v>206</v>
      </c>
      <c r="B75" t="s">
        <v>222</v>
      </c>
      <c r="C75" t="s">
        <v>247</v>
      </c>
      <c r="D75">
        <v>1</v>
      </c>
      <c r="E75">
        <v>8</v>
      </c>
      <c r="F75">
        <v>80</v>
      </c>
      <c r="G75">
        <v>14.6</v>
      </c>
      <c r="H75">
        <v>40.1</v>
      </c>
      <c r="I75">
        <v>13.5</v>
      </c>
      <c r="J75">
        <v>17.899999999999999</v>
      </c>
      <c r="K75">
        <v>26.9</v>
      </c>
      <c r="L75">
        <v>50</v>
      </c>
    </row>
    <row r="76" spans="1:12" x14ac:dyDescent="0.25">
      <c r="A76" t="s">
        <v>206</v>
      </c>
      <c r="B76" t="s">
        <v>222</v>
      </c>
      <c r="C76" t="s">
        <v>247</v>
      </c>
      <c r="D76">
        <v>1</v>
      </c>
      <c r="E76">
        <v>8</v>
      </c>
      <c r="F76">
        <v>100</v>
      </c>
      <c r="G76">
        <v>14.6</v>
      </c>
      <c r="H76">
        <v>40.1</v>
      </c>
      <c r="I76">
        <v>13.5</v>
      </c>
      <c r="J76">
        <v>17.899999999999999</v>
      </c>
      <c r="K76">
        <v>26.9</v>
      </c>
      <c r="L76">
        <v>50</v>
      </c>
    </row>
    <row r="77" spans="1:12" x14ac:dyDescent="0.25">
      <c r="A77" t="s">
        <v>206</v>
      </c>
      <c r="B77" t="s">
        <v>222</v>
      </c>
      <c r="C77" t="s">
        <v>247</v>
      </c>
      <c r="D77">
        <v>1</v>
      </c>
      <c r="E77">
        <v>8</v>
      </c>
      <c r="F77">
        <v>120</v>
      </c>
      <c r="G77">
        <v>14.6</v>
      </c>
      <c r="H77">
        <v>40.1</v>
      </c>
      <c r="I77">
        <v>13.5</v>
      </c>
      <c r="J77">
        <v>17.899999999999999</v>
      </c>
      <c r="K77">
        <v>26.9</v>
      </c>
      <c r="L77">
        <v>80</v>
      </c>
    </row>
    <row r="78" spans="1:12" x14ac:dyDescent="0.25">
      <c r="A78" t="s">
        <v>206</v>
      </c>
      <c r="B78" t="s">
        <v>222</v>
      </c>
      <c r="C78" t="s">
        <v>247</v>
      </c>
      <c r="D78">
        <v>1</v>
      </c>
      <c r="E78">
        <v>8</v>
      </c>
      <c r="F78">
        <v>140</v>
      </c>
      <c r="G78">
        <v>14.6</v>
      </c>
      <c r="H78">
        <v>40.1</v>
      </c>
      <c r="I78">
        <v>13.5</v>
      </c>
      <c r="J78">
        <v>17.899999999999999</v>
      </c>
      <c r="K78">
        <v>26.9</v>
      </c>
      <c r="L78">
        <v>80</v>
      </c>
    </row>
    <row r="79" spans="1:12" x14ac:dyDescent="0.25">
      <c r="A79" t="s">
        <v>206</v>
      </c>
      <c r="B79" t="s">
        <v>222</v>
      </c>
      <c r="C79" t="s">
        <v>247</v>
      </c>
      <c r="D79">
        <v>1</v>
      </c>
      <c r="E79">
        <v>8</v>
      </c>
      <c r="F79">
        <v>160</v>
      </c>
      <c r="G79">
        <v>14.6</v>
      </c>
      <c r="H79">
        <v>40.1</v>
      </c>
      <c r="I79">
        <v>13.5</v>
      </c>
      <c r="J79">
        <v>17.899999999999999</v>
      </c>
      <c r="K79">
        <v>26.9</v>
      </c>
      <c r="L79">
        <v>80</v>
      </c>
    </row>
    <row r="80" spans="1:12" x14ac:dyDescent="0.25">
      <c r="A80" t="s">
        <v>206</v>
      </c>
      <c r="B80" t="s">
        <v>222</v>
      </c>
      <c r="C80" t="s">
        <v>247</v>
      </c>
      <c r="D80">
        <v>1</v>
      </c>
      <c r="E80">
        <v>8</v>
      </c>
      <c r="F80">
        <v>180</v>
      </c>
      <c r="G80">
        <v>14.6</v>
      </c>
      <c r="H80">
        <v>40.1</v>
      </c>
      <c r="I80">
        <v>13.5</v>
      </c>
      <c r="J80">
        <v>17.899999999999999</v>
      </c>
      <c r="K80">
        <v>26.9</v>
      </c>
      <c r="L80">
        <v>80</v>
      </c>
    </row>
    <row r="81" spans="1:12" x14ac:dyDescent="0.25">
      <c r="A81" t="s">
        <v>206</v>
      </c>
      <c r="B81" t="s">
        <v>222</v>
      </c>
      <c r="C81" t="s">
        <v>247</v>
      </c>
      <c r="D81">
        <v>1</v>
      </c>
      <c r="E81">
        <v>8</v>
      </c>
      <c r="F81">
        <v>200</v>
      </c>
      <c r="G81">
        <v>14.6</v>
      </c>
      <c r="H81">
        <v>40.1</v>
      </c>
      <c r="I81">
        <v>13.5</v>
      </c>
      <c r="J81">
        <v>17.899999999999999</v>
      </c>
      <c r="K81">
        <v>26.9</v>
      </c>
      <c r="L81">
        <v>80</v>
      </c>
    </row>
    <row r="82" spans="1:12" x14ac:dyDescent="0.25">
      <c r="A82" t="s">
        <v>206</v>
      </c>
      <c r="B82" t="s">
        <v>222</v>
      </c>
      <c r="C82" t="s">
        <v>247</v>
      </c>
      <c r="D82">
        <v>1</v>
      </c>
      <c r="E82">
        <v>8</v>
      </c>
      <c r="F82">
        <v>220</v>
      </c>
      <c r="G82">
        <v>14.6</v>
      </c>
      <c r="H82">
        <v>40.1</v>
      </c>
      <c r="I82">
        <v>13.5</v>
      </c>
      <c r="J82">
        <v>17.899999999999999</v>
      </c>
      <c r="K82">
        <v>26.9</v>
      </c>
      <c r="L82">
        <v>80</v>
      </c>
    </row>
    <row r="83" spans="1:12" x14ac:dyDescent="0.25">
      <c r="A83" t="s">
        <v>206</v>
      </c>
      <c r="B83" t="s">
        <v>222</v>
      </c>
      <c r="C83" t="s">
        <v>247</v>
      </c>
      <c r="D83">
        <v>1</v>
      </c>
      <c r="E83">
        <v>8</v>
      </c>
      <c r="F83">
        <v>240</v>
      </c>
      <c r="G83">
        <v>14.6</v>
      </c>
      <c r="H83">
        <v>40.1</v>
      </c>
      <c r="I83">
        <v>13.5</v>
      </c>
      <c r="J83">
        <v>17.899999999999999</v>
      </c>
      <c r="K83">
        <v>26.9</v>
      </c>
      <c r="L83">
        <v>80</v>
      </c>
    </row>
    <row r="84" spans="1:12" x14ac:dyDescent="0.25">
      <c r="A84" t="s">
        <v>206</v>
      </c>
      <c r="B84" t="s">
        <v>222</v>
      </c>
      <c r="C84" t="s">
        <v>247</v>
      </c>
      <c r="D84">
        <v>1</v>
      </c>
      <c r="E84">
        <v>8</v>
      </c>
      <c r="F84">
        <v>260</v>
      </c>
      <c r="G84">
        <v>14.6</v>
      </c>
      <c r="H84">
        <v>40.1</v>
      </c>
      <c r="I84">
        <v>13.5</v>
      </c>
      <c r="J84">
        <v>17.899999999999999</v>
      </c>
      <c r="K84">
        <v>26.9</v>
      </c>
      <c r="L84">
        <v>80</v>
      </c>
    </row>
    <row r="85" spans="1:12" x14ac:dyDescent="0.25">
      <c r="A85" t="s">
        <v>206</v>
      </c>
      <c r="B85" t="s">
        <v>222</v>
      </c>
      <c r="C85" t="s">
        <v>247</v>
      </c>
      <c r="D85">
        <v>1</v>
      </c>
      <c r="E85">
        <v>8</v>
      </c>
      <c r="F85">
        <v>280</v>
      </c>
      <c r="G85">
        <v>14.6</v>
      </c>
      <c r="H85">
        <v>40.1</v>
      </c>
      <c r="I85">
        <v>13.5</v>
      </c>
      <c r="J85">
        <v>17.899999999999999</v>
      </c>
      <c r="K85">
        <v>26.9</v>
      </c>
      <c r="L85">
        <v>80</v>
      </c>
    </row>
    <row r="86" spans="1:12" x14ac:dyDescent="0.25">
      <c r="A86" t="s">
        <v>206</v>
      </c>
      <c r="B86" t="s">
        <v>222</v>
      </c>
      <c r="C86" t="s">
        <v>247</v>
      </c>
      <c r="D86">
        <v>1</v>
      </c>
      <c r="E86">
        <v>8</v>
      </c>
      <c r="F86">
        <v>300</v>
      </c>
      <c r="G86">
        <v>14.6</v>
      </c>
      <c r="H86">
        <v>40.1</v>
      </c>
      <c r="I86">
        <v>13.5</v>
      </c>
      <c r="J86">
        <v>17.899999999999999</v>
      </c>
      <c r="K86">
        <v>26.9</v>
      </c>
      <c r="L86">
        <v>80</v>
      </c>
    </row>
    <row r="87" spans="1:12" x14ac:dyDescent="0.25">
      <c r="A87" t="s">
        <v>206</v>
      </c>
      <c r="B87" t="s">
        <v>222</v>
      </c>
      <c r="C87" t="s">
        <v>247</v>
      </c>
      <c r="D87">
        <v>1</v>
      </c>
      <c r="E87">
        <v>8</v>
      </c>
      <c r="F87">
        <v>320</v>
      </c>
      <c r="G87">
        <v>14.6</v>
      </c>
      <c r="H87">
        <v>40.1</v>
      </c>
      <c r="I87">
        <v>13.5</v>
      </c>
      <c r="J87">
        <v>17.899999999999999</v>
      </c>
      <c r="K87">
        <v>26.9</v>
      </c>
      <c r="L87">
        <v>80</v>
      </c>
    </row>
    <row r="88" spans="1:12" x14ac:dyDescent="0.25">
      <c r="A88" t="s">
        <v>206</v>
      </c>
      <c r="B88" t="s">
        <v>222</v>
      </c>
      <c r="C88" t="s">
        <v>247</v>
      </c>
      <c r="D88">
        <v>1</v>
      </c>
      <c r="E88">
        <v>8</v>
      </c>
      <c r="F88">
        <v>340</v>
      </c>
      <c r="G88">
        <v>14.6</v>
      </c>
      <c r="H88">
        <v>40.1</v>
      </c>
      <c r="I88">
        <v>13.5</v>
      </c>
      <c r="J88">
        <v>17.899999999999999</v>
      </c>
      <c r="K88">
        <v>26.9</v>
      </c>
      <c r="L88">
        <v>80</v>
      </c>
    </row>
    <row r="89" spans="1:12" x14ac:dyDescent="0.25">
      <c r="A89" t="s">
        <v>206</v>
      </c>
      <c r="B89" t="s">
        <v>222</v>
      </c>
      <c r="C89" t="s">
        <v>247</v>
      </c>
      <c r="D89">
        <v>1</v>
      </c>
      <c r="E89">
        <v>8</v>
      </c>
      <c r="F89">
        <v>360</v>
      </c>
      <c r="G89">
        <v>14.6</v>
      </c>
      <c r="H89">
        <v>40.1</v>
      </c>
      <c r="I89">
        <v>13.5</v>
      </c>
      <c r="J89">
        <v>17.899999999999999</v>
      </c>
      <c r="K89">
        <v>26.9</v>
      </c>
      <c r="L89">
        <v>80</v>
      </c>
    </row>
    <row r="90" spans="1:12" x14ac:dyDescent="0.25">
      <c r="A90" t="s">
        <v>206</v>
      </c>
      <c r="B90" t="s">
        <v>222</v>
      </c>
      <c r="C90" t="s">
        <v>247</v>
      </c>
      <c r="D90">
        <v>1</v>
      </c>
      <c r="E90">
        <v>8</v>
      </c>
      <c r="F90">
        <v>380</v>
      </c>
      <c r="G90">
        <v>14.6</v>
      </c>
      <c r="H90">
        <v>40.1</v>
      </c>
      <c r="I90">
        <v>13.5</v>
      </c>
      <c r="J90">
        <v>17.899999999999999</v>
      </c>
      <c r="K90">
        <v>26.9</v>
      </c>
      <c r="L90">
        <v>80</v>
      </c>
    </row>
    <row r="91" spans="1:12" x14ac:dyDescent="0.25">
      <c r="A91" t="s">
        <v>206</v>
      </c>
      <c r="B91" t="s">
        <v>222</v>
      </c>
      <c r="C91" t="s">
        <v>247</v>
      </c>
      <c r="D91">
        <v>1</v>
      </c>
      <c r="E91">
        <v>8</v>
      </c>
      <c r="F91">
        <v>400</v>
      </c>
      <c r="G91">
        <v>14.6</v>
      </c>
      <c r="H91">
        <v>40.1</v>
      </c>
      <c r="I91">
        <v>13.5</v>
      </c>
      <c r="J91">
        <v>17.899999999999999</v>
      </c>
      <c r="K91">
        <v>26.9</v>
      </c>
      <c r="L91">
        <v>80</v>
      </c>
    </row>
    <row r="92" spans="1:12" x14ac:dyDescent="0.25">
      <c r="A92" t="s">
        <v>206</v>
      </c>
      <c r="B92" t="s">
        <v>222</v>
      </c>
      <c r="C92" t="s">
        <v>247</v>
      </c>
      <c r="D92">
        <v>1</v>
      </c>
      <c r="E92">
        <v>10</v>
      </c>
      <c r="F92">
        <v>160</v>
      </c>
      <c r="G92">
        <v>17.8</v>
      </c>
      <c r="H92">
        <v>59.6</v>
      </c>
      <c r="I92">
        <v>12.9</v>
      </c>
      <c r="J92">
        <v>17.399999999999999</v>
      </c>
      <c r="K92">
        <v>33.9</v>
      </c>
      <c r="L92">
        <v>80</v>
      </c>
    </row>
    <row r="93" spans="1:12" x14ac:dyDescent="0.25">
      <c r="A93" t="s">
        <v>206</v>
      </c>
      <c r="B93" t="s">
        <v>222</v>
      </c>
      <c r="C93" t="s">
        <v>247</v>
      </c>
      <c r="D93">
        <v>1</v>
      </c>
      <c r="E93">
        <v>10</v>
      </c>
      <c r="F93">
        <v>180</v>
      </c>
      <c r="G93">
        <v>17.8</v>
      </c>
      <c r="H93">
        <v>59.6</v>
      </c>
      <c r="I93">
        <v>12.9</v>
      </c>
      <c r="J93">
        <v>17.399999999999999</v>
      </c>
      <c r="K93">
        <v>33.9</v>
      </c>
      <c r="L93">
        <v>80</v>
      </c>
    </row>
    <row r="94" spans="1:12" x14ac:dyDescent="0.25">
      <c r="A94" t="s">
        <v>206</v>
      </c>
      <c r="B94" t="s">
        <v>222</v>
      </c>
      <c r="C94" t="s">
        <v>247</v>
      </c>
      <c r="D94">
        <v>1</v>
      </c>
      <c r="E94">
        <v>10</v>
      </c>
      <c r="F94">
        <v>200</v>
      </c>
      <c r="G94">
        <v>17.8</v>
      </c>
      <c r="H94">
        <v>59.6</v>
      </c>
      <c r="I94">
        <v>12.9</v>
      </c>
      <c r="J94">
        <v>17.399999999999999</v>
      </c>
      <c r="K94">
        <v>33.9</v>
      </c>
      <c r="L94">
        <v>80</v>
      </c>
    </row>
    <row r="95" spans="1:12" x14ac:dyDescent="0.25">
      <c r="A95" t="s">
        <v>206</v>
      </c>
      <c r="B95" t="s">
        <v>222</v>
      </c>
      <c r="C95" t="s">
        <v>247</v>
      </c>
      <c r="D95">
        <v>1</v>
      </c>
      <c r="E95">
        <v>10</v>
      </c>
      <c r="F95">
        <v>220</v>
      </c>
      <c r="G95">
        <v>17.8</v>
      </c>
      <c r="H95">
        <v>59.6</v>
      </c>
      <c r="I95">
        <v>12.9</v>
      </c>
      <c r="J95">
        <v>17.399999999999999</v>
      </c>
      <c r="K95">
        <v>33.9</v>
      </c>
      <c r="L95">
        <v>80</v>
      </c>
    </row>
    <row r="96" spans="1:12" x14ac:dyDescent="0.25">
      <c r="A96" t="s">
        <v>206</v>
      </c>
      <c r="B96" t="s">
        <v>222</v>
      </c>
      <c r="C96" t="s">
        <v>247</v>
      </c>
      <c r="D96">
        <v>1</v>
      </c>
      <c r="E96">
        <v>10</v>
      </c>
      <c r="F96">
        <v>240</v>
      </c>
      <c r="G96">
        <v>17.8</v>
      </c>
      <c r="H96">
        <v>59.6</v>
      </c>
      <c r="I96">
        <v>12.9</v>
      </c>
      <c r="J96">
        <v>17.399999999999999</v>
      </c>
      <c r="K96">
        <v>33.9</v>
      </c>
      <c r="L96">
        <v>80</v>
      </c>
    </row>
    <row r="97" spans="1:12" x14ac:dyDescent="0.25">
      <c r="A97" t="s">
        <v>206</v>
      </c>
      <c r="B97" t="s">
        <v>222</v>
      </c>
      <c r="C97" t="s">
        <v>247</v>
      </c>
      <c r="D97">
        <v>1</v>
      </c>
      <c r="E97">
        <v>10</v>
      </c>
      <c r="F97">
        <v>260</v>
      </c>
      <c r="G97">
        <v>17.8</v>
      </c>
      <c r="H97">
        <v>59.6</v>
      </c>
      <c r="I97">
        <v>12.9</v>
      </c>
      <c r="J97">
        <v>17.399999999999999</v>
      </c>
      <c r="K97">
        <v>33.9</v>
      </c>
      <c r="L97">
        <v>80</v>
      </c>
    </row>
    <row r="98" spans="1:12" x14ac:dyDescent="0.25">
      <c r="A98" t="s">
        <v>206</v>
      </c>
      <c r="B98" t="s">
        <v>222</v>
      </c>
      <c r="C98" t="s">
        <v>247</v>
      </c>
      <c r="D98">
        <v>1</v>
      </c>
      <c r="E98">
        <v>10</v>
      </c>
      <c r="F98">
        <v>280</v>
      </c>
      <c r="G98">
        <v>17.8</v>
      </c>
      <c r="H98">
        <v>59.6</v>
      </c>
      <c r="I98">
        <v>12.9</v>
      </c>
      <c r="J98">
        <v>17.399999999999999</v>
      </c>
      <c r="K98">
        <v>33.9</v>
      </c>
      <c r="L98">
        <v>80</v>
      </c>
    </row>
    <row r="99" spans="1:12" x14ac:dyDescent="0.25">
      <c r="A99" t="s">
        <v>206</v>
      </c>
      <c r="B99" t="s">
        <v>222</v>
      </c>
      <c r="C99" t="s">
        <v>247</v>
      </c>
      <c r="D99">
        <v>1</v>
      </c>
      <c r="E99">
        <v>10</v>
      </c>
      <c r="F99">
        <v>300</v>
      </c>
      <c r="G99">
        <v>17.8</v>
      </c>
      <c r="H99">
        <v>59.6</v>
      </c>
      <c r="I99">
        <v>12.9</v>
      </c>
      <c r="J99">
        <v>17.399999999999999</v>
      </c>
      <c r="K99">
        <v>33.9</v>
      </c>
      <c r="L99">
        <v>80</v>
      </c>
    </row>
    <row r="100" spans="1:12" x14ac:dyDescent="0.25">
      <c r="A100" t="s">
        <v>206</v>
      </c>
      <c r="B100" t="s">
        <v>222</v>
      </c>
      <c r="C100" t="s">
        <v>247</v>
      </c>
      <c r="D100">
        <v>1</v>
      </c>
      <c r="E100">
        <v>10</v>
      </c>
      <c r="F100">
        <v>320</v>
      </c>
      <c r="G100">
        <v>17.8</v>
      </c>
      <c r="H100">
        <v>59.6</v>
      </c>
      <c r="I100">
        <v>12.9</v>
      </c>
      <c r="J100">
        <v>17.399999999999999</v>
      </c>
      <c r="K100">
        <v>33.9</v>
      </c>
      <c r="L100">
        <v>80</v>
      </c>
    </row>
    <row r="101" spans="1:12" x14ac:dyDescent="0.25">
      <c r="A101" t="s">
        <v>206</v>
      </c>
      <c r="B101" t="s">
        <v>222</v>
      </c>
      <c r="C101" t="s">
        <v>247</v>
      </c>
      <c r="D101">
        <v>1</v>
      </c>
      <c r="E101">
        <v>10</v>
      </c>
      <c r="F101">
        <v>340</v>
      </c>
      <c r="G101">
        <v>17.8</v>
      </c>
      <c r="H101">
        <v>59.6</v>
      </c>
      <c r="I101">
        <v>12.9</v>
      </c>
      <c r="J101">
        <v>17.399999999999999</v>
      </c>
      <c r="K101">
        <v>33.9</v>
      </c>
      <c r="L101">
        <v>80</v>
      </c>
    </row>
    <row r="102" spans="1:12" x14ac:dyDescent="0.25">
      <c r="A102" t="s">
        <v>206</v>
      </c>
      <c r="B102" t="s">
        <v>222</v>
      </c>
      <c r="C102" t="s">
        <v>247</v>
      </c>
      <c r="D102">
        <v>1</v>
      </c>
      <c r="E102">
        <v>10</v>
      </c>
      <c r="F102">
        <v>360</v>
      </c>
      <c r="G102">
        <v>17.8</v>
      </c>
      <c r="H102">
        <v>59.6</v>
      </c>
      <c r="I102">
        <v>12.9</v>
      </c>
      <c r="J102">
        <v>17.399999999999999</v>
      </c>
      <c r="K102">
        <v>33.9</v>
      </c>
      <c r="L102">
        <v>80</v>
      </c>
    </row>
    <row r="103" spans="1:12" x14ac:dyDescent="0.25">
      <c r="A103" t="s">
        <v>206</v>
      </c>
      <c r="B103" t="s">
        <v>222</v>
      </c>
      <c r="C103" t="s">
        <v>247</v>
      </c>
      <c r="D103">
        <v>1</v>
      </c>
      <c r="E103">
        <v>10</v>
      </c>
      <c r="F103">
        <v>380</v>
      </c>
      <c r="G103">
        <v>17.8</v>
      </c>
      <c r="H103">
        <v>59.6</v>
      </c>
      <c r="I103">
        <v>12.9</v>
      </c>
      <c r="J103">
        <v>17.399999999999999</v>
      </c>
      <c r="K103">
        <v>33.9</v>
      </c>
      <c r="L103">
        <v>80</v>
      </c>
    </row>
    <row r="104" spans="1:12" x14ac:dyDescent="0.25">
      <c r="A104" t="s">
        <v>206</v>
      </c>
      <c r="B104" t="s">
        <v>222</v>
      </c>
      <c r="C104" t="s">
        <v>247</v>
      </c>
      <c r="D104">
        <v>1</v>
      </c>
      <c r="E104">
        <v>10</v>
      </c>
      <c r="F104">
        <v>400</v>
      </c>
      <c r="G104">
        <v>17.8</v>
      </c>
      <c r="H104">
        <v>59.6</v>
      </c>
      <c r="I104">
        <v>12.9</v>
      </c>
      <c r="J104">
        <v>17.399999999999999</v>
      </c>
      <c r="K104">
        <v>33.9</v>
      </c>
      <c r="L104">
        <v>80</v>
      </c>
    </row>
    <row r="105" spans="1:12" x14ac:dyDescent="0.25">
      <c r="A105" t="s">
        <v>206</v>
      </c>
      <c r="B105" t="s">
        <v>223</v>
      </c>
      <c r="C105" t="s">
        <v>249</v>
      </c>
      <c r="D105">
        <v>1</v>
      </c>
      <c r="E105">
        <v>6</v>
      </c>
      <c r="F105">
        <v>60</v>
      </c>
      <c r="G105">
        <v>14</v>
      </c>
      <c r="H105">
        <v>12.6</v>
      </c>
      <c r="I105">
        <v>13</v>
      </c>
      <c r="J105">
        <v>24.6</v>
      </c>
      <c r="K105">
        <v>14</v>
      </c>
      <c r="L105">
        <v>42</v>
      </c>
    </row>
    <row r="106" spans="1:12" x14ac:dyDescent="0.25">
      <c r="A106" t="s">
        <v>206</v>
      </c>
      <c r="B106" t="s">
        <v>223</v>
      </c>
      <c r="C106" t="s">
        <v>249</v>
      </c>
      <c r="D106">
        <v>1</v>
      </c>
      <c r="E106">
        <v>6</v>
      </c>
      <c r="F106">
        <v>80</v>
      </c>
      <c r="G106">
        <v>14</v>
      </c>
      <c r="H106">
        <v>12.6</v>
      </c>
      <c r="I106">
        <v>13</v>
      </c>
      <c r="J106">
        <v>24.6</v>
      </c>
      <c r="K106">
        <v>14</v>
      </c>
      <c r="L106">
        <v>50</v>
      </c>
    </row>
    <row r="107" spans="1:12" x14ac:dyDescent="0.25">
      <c r="A107" t="s">
        <v>206</v>
      </c>
      <c r="B107" t="s">
        <v>223</v>
      </c>
      <c r="C107" t="s">
        <v>249</v>
      </c>
      <c r="D107">
        <v>1</v>
      </c>
      <c r="E107">
        <v>6</v>
      </c>
      <c r="F107">
        <v>100</v>
      </c>
      <c r="G107">
        <v>14</v>
      </c>
      <c r="H107">
        <v>12.6</v>
      </c>
      <c r="I107">
        <v>13</v>
      </c>
      <c r="J107">
        <v>24.6</v>
      </c>
      <c r="K107">
        <v>14</v>
      </c>
      <c r="L107">
        <v>70</v>
      </c>
    </row>
    <row r="108" spans="1:12" x14ac:dyDescent="0.25">
      <c r="A108" t="s">
        <v>206</v>
      </c>
      <c r="B108" t="s">
        <v>223</v>
      </c>
      <c r="C108" t="s">
        <v>249</v>
      </c>
      <c r="D108">
        <v>1</v>
      </c>
      <c r="E108">
        <v>6</v>
      </c>
      <c r="F108">
        <v>120</v>
      </c>
      <c r="G108">
        <v>14</v>
      </c>
      <c r="H108">
        <v>12.6</v>
      </c>
      <c r="I108">
        <v>13</v>
      </c>
      <c r="J108">
        <v>24.6</v>
      </c>
      <c r="K108">
        <v>14</v>
      </c>
      <c r="L108">
        <v>70</v>
      </c>
    </row>
    <row r="109" spans="1:12" x14ac:dyDescent="0.25">
      <c r="A109" t="s">
        <v>206</v>
      </c>
      <c r="B109" t="s">
        <v>223</v>
      </c>
      <c r="C109" t="s">
        <v>249</v>
      </c>
      <c r="D109">
        <v>1</v>
      </c>
      <c r="E109">
        <v>6</v>
      </c>
      <c r="F109">
        <v>140</v>
      </c>
      <c r="G109">
        <v>14</v>
      </c>
      <c r="H109">
        <v>12.6</v>
      </c>
      <c r="I109">
        <v>13</v>
      </c>
      <c r="J109">
        <v>24.6</v>
      </c>
      <c r="K109">
        <v>14</v>
      </c>
      <c r="L109">
        <v>70</v>
      </c>
    </row>
    <row r="110" spans="1:12" x14ac:dyDescent="0.25">
      <c r="A110" t="s">
        <v>206</v>
      </c>
      <c r="B110" t="s">
        <v>223</v>
      </c>
      <c r="C110" t="s">
        <v>249</v>
      </c>
      <c r="D110">
        <v>1</v>
      </c>
      <c r="E110">
        <v>6</v>
      </c>
      <c r="F110">
        <v>160</v>
      </c>
      <c r="G110">
        <v>14</v>
      </c>
      <c r="H110">
        <v>12.6</v>
      </c>
      <c r="I110">
        <v>13</v>
      </c>
      <c r="J110">
        <v>24.6</v>
      </c>
      <c r="K110">
        <v>14</v>
      </c>
      <c r="L110">
        <v>70</v>
      </c>
    </row>
    <row r="111" spans="1:12" x14ac:dyDescent="0.25">
      <c r="A111" t="s">
        <v>206</v>
      </c>
      <c r="B111" t="s">
        <v>223</v>
      </c>
      <c r="C111" t="s">
        <v>249</v>
      </c>
      <c r="D111">
        <v>1</v>
      </c>
      <c r="E111">
        <v>6</v>
      </c>
      <c r="F111">
        <v>180</v>
      </c>
      <c r="G111">
        <v>14</v>
      </c>
      <c r="H111">
        <v>12.6</v>
      </c>
      <c r="I111">
        <v>13</v>
      </c>
      <c r="J111">
        <v>24.6</v>
      </c>
      <c r="K111">
        <v>14</v>
      </c>
      <c r="L111">
        <v>70</v>
      </c>
    </row>
    <row r="112" spans="1:12" x14ac:dyDescent="0.25">
      <c r="A112" t="s">
        <v>206</v>
      </c>
      <c r="B112" t="s">
        <v>223</v>
      </c>
      <c r="C112" t="s">
        <v>249</v>
      </c>
      <c r="D112">
        <v>1</v>
      </c>
      <c r="E112">
        <v>6</v>
      </c>
      <c r="F112">
        <v>200</v>
      </c>
      <c r="G112">
        <v>14</v>
      </c>
      <c r="H112">
        <v>12.6</v>
      </c>
      <c r="I112">
        <v>13</v>
      </c>
      <c r="J112">
        <v>24.6</v>
      </c>
      <c r="K112">
        <v>14</v>
      </c>
      <c r="L112">
        <v>70</v>
      </c>
    </row>
    <row r="113" spans="1:12" x14ac:dyDescent="0.25">
      <c r="A113" t="s">
        <v>206</v>
      </c>
      <c r="B113" t="s">
        <v>223</v>
      </c>
      <c r="C113" t="s">
        <v>249</v>
      </c>
      <c r="D113">
        <v>1</v>
      </c>
      <c r="E113">
        <v>6</v>
      </c>
      <c r="F113">
        <v>220</v>
      </c>
      <c r="G113">
        <v>14</v>
      </c>
      <c r="H113">
        <v>12.6</v>
      </c>
      <c r="I113">
        <v>13</v>
      </c>
      <c r="J113">
        <v>24.6</v>
      </c>
      <c r="K113">
        <v>14</v>
      </c>
      <c r="L113">
        <v>70</v>
      </c>
    </row>
    <row r="114" spans="1:12" x14ac:dyDescent="0.25">
      <c r="A114" t="s">
        <v>206</v>
      </c>
      <c r="B114" t="s">
        <v>223</v>
      </c>
      <c r="C114" t="s">
        <v>249</v>
      </c>
      <c r="D114">
        <v>1</v>
      </c>
      <c r="E114">
        <v>6</v>
      </c>
      <c r="F114">
        <v>240</v>
      </c>
      <c r="G114">
        <v>14</v>
      </c>
      <c r="H114">
        <v>12.6</v>
      </c>
      <c r="I114">
        <v>13</v>
      </c>
      <c r="J114">
        <v>24.6</v>
      </c>
      <c r="K114">
        <v>14</v>
      </c>
      <c r="L114">
        <v>70</v>
      </c>
    </row>
    <row r="115" spans="1:12" x14ac:dyDescent="0.25">
      <c r="A115" t="s">
        <v>206</v>
      </c>
      <c r="B115" t="s">
        <v>223</v>
      </c>
      <c r="C115" t="s">
        <v>249</v>
      </c>
      <c r="D115">
        <v>1</v>
      </c>
      <c r="E115">
        <v>6</v>
      </c>
      <c r="F115">
        <v>260</v>
      </c>
      <c r="G115">
        <v>14</v>
      </c>
      <c r="H115">
        <v>12.6</v>
      </c>
      <c r="I115">
        <v>13</v>
      </c>
      <c r="J115">
        <v>24.6</v>
      </c>
      <c r="K115">
        <v>14</v>
      </c>
      <c r="L115">
        <v>70</v>
      </c>
    </row>
    <row r="116" spans="1:12" x14ac:dyDescent="0.25">
      <c r="A116" t="s">
        <v>206</v>
      </c>
      <c r="B116" t="s">
        <v>223</v>
      </c>
      <c r="C116" t="s">
        <v>249</v>
      </c>
      <c r="D116">
        <v>1</v>
      </c>
      <c r="E116">
        <v>6</v>
      </c>
      <c r="F116">
        <v>280</v>
      </c>
      <c r="G116">
        <v>14</v>
      </c>
      <c r="H116">
        <v>12.6</v>
      </c>
      <c r="I116">
        <v>13</v>
      </c>
      <c r="J116">
        <v>24.6</v>
      </c>
      <c r="K116">
        <v>14</v>
      </c>
      <c r="L116">
        <v>70</v>
      </c>
    </row>
    <row r="117" spans="1:12" x14ac:dyDescent="0.25">
      <c r="A117" t="s">
        <v>206</v>
      </c>
      <c r="B117" t="s">
        <v>223</v>
      </c>
      <c r="C117" t="s">
        <v>249</v>
      </c>
      <c r="D117">
        <v>1</v>
      </c>
      <c r="E117">
        <v>6</v>
      </c>
      <c r="F117">
        <v>300</v>
      </c>
      <c r="G117">
        <v>14</v>
      </c>
      <c r="H117">
        <v>12.6</v>
      </c>
      <c r="I117">
        <v>13</v>
      </c>
      <c r="J117">
        <v>24.6</v>
      </c>
      <c r="K117">
        <v>14</v>
      </c>
      <c r="L117">
        <v>70</v>
      </c>
    </row>
    <row r="118" spans="1:12" x14ac:dyDescent="0.25">
      <c r="A118" t="s">
        <v>206</v>
      </c>
      <c r="B118" t="s">
        <v>223</v>
      </c>
      <c r="C118" t="s">
        <v>249</v>
      </c>
      <c r="D118">
        <v>1</v>
      </c>
      <c r="E118">
        <v>8</v>
      </c>
      <c r="F118">
        <v>80</v>
      </c>
      <c r="G118">
        <v>22.2</v>
      </c>
      <c r="H118">
        <v>40</v>
      </c>
      <c r="I118">
        <v>13.5</v>
      </c>
      <c r="J118">
        <v>20.9</v>
      </c>
      <c r="K118">
        <v>26.9</v>
      </c>
      <c r="L118">
        <v>50</v>
      </c>
    </row>
    <row r="119" spans="1:12" x14ac:dyDescent="0.25">
      <c r="A119" t="s">
        <v>206</v>
      </c>
      <c r="B119" t="s">
        <v>223</v>
      </c>
      <c r="C119" t="s">
        <v>249</v>
      </c>
      <c r="D119">
        <v>1</v>
      </c>
      <c r="E119">
        <v>8</v>
      </c>
      <c r="F119">
        <v>100</v>
      </c>
      <c r="G119">
        <v>22.2</v>
      </c>
      <c r="H119">
        <v>40</v>
      </c>
      <c r="I119">
        <v>13.5</v>
      </c>
      <c r="J119">
        <v>20.9</v>
      </c>
      <c r="K119">
        <v>26.9</v>
      </c>
      <c r="L119">
        <v>50</v>
      </c>
    </row>
    <row r="120" spans="1:12" x14ac:dyDescent="0.25">
      <c r="A120" t="s">
        <v>206</v>
      </c>
      <c r="B120" t="s">
        <v>223</v>
      </c>
      <c r="C120" t="s">
        <v>249</v>
      </c>
      <c r="D120">
        <v>1</v>
      </c>
      <c r="E120">
        <v>8</v>
      </c>
      <c r="F120">
        <v>120</v>
      </c>
      <c r="G120">
        <v>22.2</v>
      </c>
      <c r="H120">
        <v>40</v>
      </c>
      <c r="I120">
        <v>13.5</v>
      </c>
      <c r="J120">
        <v>20.9</v>
      </c>
      <c r="K120">
        <v>26.9</v>
      </c>
      <c r="L120">
        <v>80</v>
      </c>
    </row>
    <row r="121" spans="1:12" x14ac:dyDescent="0.25">
      <c r="A121" t="s">
        <v>206</v>
      </c>
      <c r="B121" t="s">
        <v>223</v>
      </c>
      <c r="C121" t="s">
        <v>249</v>
      </c>
      <c r="D121">
        <v>1</v>
      </c>
      <c r="E121">
        <v>8</v>
      </c>
      <c r="F121">
        <v>140</v>
      </c>
      <c r="G121">
        <v>22.2</v>
      </c>
      <c r="H121">
        <v>40</v>
      </c>
      <c r="I121">
        <v>13.5</v>
      </c>
      <c r="J121">
        <v>20.9</v>
      </c>
      <c r="K121">
        <v>26.9</v>
      </c>
      <c r="L121">
        <v>80</v>
      </c>
    </row>
    <row r="122" spans="1:12" x14ac:dyDescent="0.25">
      <c r="A122" t="s">
        <v>206</v>
      </c>
      <c r="B122" t="s">
        <v>223</v>
      </c>
      <c r="C122" t="s">
        <v>249</v>
      </c>
      <c r="D122">
        <v>1</v>
      </c>
      <c r="E122">
        <v>8</v>
      </c>
      <c r="F122">
        <v>160</v>
      </c>
      <c r="G122">
        <v>22.2</v>
      </c>
      <c r="H122">
        <v>40</v>
      </c>
      <c r="I122">
        <v>13.5</v>
      </c>
      <c r="J122">
        <v>20.9</v>
      </c>
      <c r="K122">
        <v>26.9</v>
      </c>
      <c r="L122">
        <v>80</v>
      </c>
    </row>
    <row r="123" spans="1:12" x14ac:dyDescent="0.25">
      <c r="A123" t="s">
        <v>206</v>
      </c>
      <c r="B123" t="s">
        <v>223</v>
      </c>
      <c r="C123" t="s">
        <v>249</v>
      </c>
      <c r="D123">
        <v>1</v>
      </c>
      <c r="E123">
        <v>8</v>
      </c>
      <c r="F123">
        <v>180</v>
      </c>
      <c r="G123">
        <v>22.2</v>
      </c>
      <c r="H123">
        <v>40</v>
      </c>
      <c r="I123">
        <v>13.5</v>
      </c>
      <c r="J123">
        <v>20.9</v>
      </c>
      <c r="K123">
        <v>26.9</v>
      </c>
      <c r="L123">
        <v>80</v>
      </c>
    </row>
    <row r="124" spans="1:12" x14ac:dyDescent="0.25">
      <c r="A124" t="s">
        <v>206</v>
      </c>
      <c r="B124" t="s">
        <v>223</v>
      </c>
      <c r="C124" t="s">
        <v>249</v>
      </c>
      <c r="D124">
        <v>1</v>
      </c>
      <c r="E124">
        <v>8</v>
      </c>
      <c r="F124">
        <v>200</v>
      </c>
      <c r="G124">
        <v>22.2</v>
      </c>
      <c r="H124">
        <v>40</v>
      </c>
      <c r="I124">
        <v>13.5</v>
      </c>
      <c r="J124">
        <v>20.9</v>
      </c>
      <c r="K124">
        <v>26.9</v>
      </c>
      <c r="L124">
        <v>80</v>
      </c>
    </row>
    <row r="125" spans="1:12" x14ac:dyDescent="0.25">
      <c r="A125" t="s">
        <v>206</v>
      </c>
      <c r="B125" t="s">
        <v>223</v>
      </c>
      <c r="C125" t="s">
        <v>249</v>
      </c>
      <c r="D125">
        <v>1</v>
      </c>
      <c r="E125">
        <v>8</v>
      </c>
      <c r="F125">
        <v>220</v>
      </c>
      <c r="G125">
        <v>22.2</v>
      </c>
      <c r="H125">
        <v>40</v>
      </c>
      <c r="I125">
        <v>13.5</v>
      </c>
      <c r="J125">
        <v>20.9</v>
      </c>
      <c r="K125">
        <v>26.9</v>
      </c>
      <c r="L125">
        <v>80</v>
      </c>
    </row>
    <row r="126" spans="1:12" x14ac:dyDescent="0.25">
      <c r="A126" t="s">
        <v>206</v>
      </c>
      <c r="B126" t="s">
        <v>223</v>
      </c>
      <c r="C126" t="s">
        <v>249</v>
      </c>
      <c r="D126">
        <v>1</v>
      </c>
      <c r="E126">
        <v>8</v>
      </c>
      <c r="F126">
        <v>240</v>
      </c>
      <c r="G126">
        <v>22.2</v>
      </c>
      <c r="H126">
        <v>40</v>
      </c>
      <c r="I126">
        <v>13.5</v>
      </c>
      <c r="J126">
        <v>20.9</v>
      </c>
      <c r="K126">
        <v>26.9</v>
      </c>
      <c r="L126">
        <v>80</v>
      </c>
    </row>
    <row r="127" spans="1:12" x14ac:dyDescent="0.25">
      <c r="A127" t="s">
        <v>206</v>
      </c>
      <c r="B127" t="s">
        <v>223</v>
      </c>
      <c r="C127" t="s">
        <v>249</v>
      </c>
      <c r="D127">
        <v>1</v>
      </c>
      <c r="E127">
        <v>8</v>
      </c>
      <c r="F127">
        <v>260</v>
      </c>
      <c r="G127">
        <v>22.2</v>
      </c>
      <c r="H127">
        <v>40</v>
      </c>
      <c r="I127">
        <v>13.5</v>
      </c>
      <c r="J127">
        <v>20.9</v>
      </c>
      <c r="K127">
        <v>26.9</v>
      </c>
      <c r="L127">
        <v>80</v>
      </c>
    </row>
    <row r="128" spans="1:12" x14ac:dyDescent="0.25">
      <c r="A128" t="s">
        <v>206</v>
      </c>
      <c r="B128" t="s">
        <v>223</v>
      </c>
      <c r="C128" t="s">
        <v>249</v>
      </c>
      <c r="D128">
        <v>1</v>
      </c>
      <c r="E128">
        <v>8</v>
      </c>
      <c r="F128">
        <v>280</v>
      </c>
      <c r="G128">
        <v>22.2</v>
      </c>
      <c r="H128">
        <v>40</v>
      </c>
      <c r="I128">
        <v>13.5</v>
      </c>
      <c r="J128">
        <v>20.9</v>
      </c>
      <c r="K128">
        <v>26.9</v>
      </c>
      <c r="L128">
        <v>80</v>
      </c>
    </row>
    <row r="129" spans="1:12" x14ac:dyDescent="0.25">
      <c r="A129" t="s">
        <v>206</v>
      </c>
      <c r="B129" t="s">
        <v>223</v>
      </c>
      <c r="C129" t="s">
        <v>249</v>
      </c>
      <c r="D129">
        <v>1</v>
      </c>
      <c r="E129">
        <v>8</v>
      </c>
      <c r="F129">
        <v>300</v>
      </c>
      <c r="G129">
        <v>22.2</v>
      </c>
      <c r="H129">
        <v>40</v>
      </c>
      <c r="I129">
        <v>13.5</v>
      </c>
      <c r="J129">
        <v>20.9</v>
      </c>
      <c r="K129">
        <v>26.9</v>
      </c>
      <c r="L129">
        <v>80</v>
      </c>
    </row>
    <row r="130" spans="1:12" x14ac:dyDescent="0.25">
      <c r="A130" t="s">
        <v>206</v>
      </c>
      <c r="B130" t="s">
        <v>223</v>
      </c>
      <c r="C130" t="s">
        <v>249</v>
      </c>
      <c r="D130">
        <v>1</v>
      </c>
      <c r="E130">
        <v>8</v>
      </c>
      <c r="F130">
        <v>320</v>
      </c>
      <c r="G130">
        <v>22.2</v>
      </c>
      <c r="H130">
        <v>40</v>
      </c>
      <c r="I130">
        <v>13.5</v>
      </c>
      <c r="J130">
        <v>20.9</v>
      </c>
      <c r="K130">
        <v>26.9</v>
      </c>
      <c r="L130">
        <v>80</v>
      </c>
    </row>
    <row r="131" spans="1:12" x14ac:dyDescent="0.25">
      <c r="A131" t="s">
        <v>206</v>
      </c>
      <c r="B131" t="s">
        <v>223</v>
      </c>
      <c r="C131" t="s">
        <v>249</v>
      </c>
      <c r="D131">
        <v>1</v>
      </c>
      <c r="E131">
        <v>8</v>
      </c>
      <c r="F131">
        <v>340</v>
      </c>
      <c r="G131">
        <v>22.2</v>
      </c>
      <c r="H131">
        <v>40</v>
      </c>
      <c r="I131">
        <v>13.5</v>
      </c>
      <c r="J131">
        <v>20.9</v>
      </c>
      <c r="K131">
        <v>26.9</v>
      </c>
      <c r="L131">
        <v>80</v>
      </c>
    </row>
    <row r="132" spans="1:12" x14ac:dyDescent="0.25">
      <c r="A132" t="s">
        <v>206</v>
      </c>
      <c r="B132" t="s">
        <v>223</v>
      </c>
      <c r="C132" t="s">
        <v>249</v>
      </c>
      <c r="D132">
        <v>1</v>
      </c>
      <c r="E132">
        <v>8</v>
      </c>
      <c r="F132">
        <v>360</v>
      </c>
      <c r="G132">
        <v>22.2</v>
      </c>
      <c r="H132">
        <v>40</v>
      </c>
      <c r="I132">
        <v>13.5</v>
      </c>
      <c r="J132">
        <v>20.9</v>
      </c>
      <c r="K132">
        <v>26.9</v>
      </c>
      <c r="L132">
        <v>80</v>
      </c>
    </row>
    <row r="133" spans="1:12" x14ac:dyDescent="0.25">
      <c r="A133" t="s">
        <v>206</v>
      </c>
      <c r="B133" t="s">
        <v>223</v>
      </c>
      <c r="C133" t="s">
        <v>249</v>
      </c>
      <c r="D133">
        <v>1</v>
      </c>
      <c r="E133">
        <v>8</v>
      </c>
      <c r="F133">
        <v>380</v>
      </c>
      <c r="G133">
        <v>22.2</v>
      </c>
      <c r="H133">
        <v>40</v>
      </c>
      <c r="I133">
        <v>13.5</v>
      </c>
      <c r="J133">
        <v>20.9</v>
      </c>
      <c r="K133">
        <v>26.9</v>
      </c>
      <c r="L133">
        <v>80</v>
      </c>
    </row>
    <row r="134" spans="1:12" x14ac:dyDescent="0.25">
      <c r="A134" t="s">
        <v>206</v>
      </c>
      <c r="B134" t="s">
        <v>223</v>
      </c>
      <c r="C134" t="s">
        <v>249</v>
      </c>
      <c r="D134">
        <v>1</v>
      </c>
      <c r="E134">
        <v>8</v>
      </c>
      <c r="F134">
        <v>400</v>
      </c>
      <c r="G134">
        <v>22.2</v>
      </c>
      <c r="H134">
        <v>40</v>
      </c>
      <c r="I134">
        <v>13.5</v>
      </c>
      <c r="J134">
        <v>20.9</v>
      </c>
      <c r="K134">
        <v>26.9</v>
      </c>
      <c r="L134">
        <v>80</v>
      </c>
    </row>
    <row r="135" spans="1:12" x14ac:dyDescent="0.25">
      <c r="A135" t="s">
        <v>206</v>
      </c>
      <c r="B135" t="s">
        <v>223</v>
      </c>
      <c r="C135" t="s">
        <v>249</v>
      </c>
      <c r="D135">
        <v>1</v>
      </c>
      <c r="E135">
        <v>10</v>
      </c>
      <c r="F135">
        <v>160</v>
      </c>
      <c r="G135">
        <v>25.9</v>
      </c>
      <c r="H135">
        <v>59.6</v>
      </c>
      <c r="I135">
        <v>12.9</v>
      </c>
      <c r="J135">
        <v>22.1</v>
      </c>
      <c r="K135">
        <v>33.9</v>
      </c>
      <c r="L135">
        <v>80</v>
      </c>
    </row>
    <row r="136" spans="1:12" x14ac:dyDescent="0.25">
      <c r="A136" t="s">
        <v>206</v>
      </c>
      <c r="B136" t="s">
        <v>223</v>
      </c>
      <c r="C136" t="s">
        <v>249</v>
      </c>
      <c r="D136">
        <v>1</v>
      </c>
      <c r="E136">
        <v>10</v>
      </c>
      <c r="F136">
        <v>180</v>
      </c>
      <c r="G136">
        <v>25.9</v>
      </c>
      <c r="H136">
        <v>59.6</v>
      </c>
      <c r="I136">
        <v>12.9</v>
      </c>
      <c r="J136">
        <v>22.1</v>
      </c>
      <c r="K136">
        <v>33.9</v>
      </c>
      <c r="L136">
        <v>80</v>
      </c>
    </row>
    <row r="137" spans="1:12" x14ac:dyDescent="0.25">
      <c r="A137" t="s">
        <v>206</v>
      </c>
      <c r="B137" t="s">
        <v>223</v>
      </c>
      <c r="C137" t="s">
        <v>249</v>
      </c>
      <c r="D137">
        <v>1</v>
      </c>
      <c r="E137">
        <v>10</v>
      </c>
      <c r="F137">
        <v>200</v>
      </c>
      <c r="G137">
        <v>25.9</v>
      </c>
      <c r="H137">
        <v>59.6</v>
      </c>
      <c r="I137">
        <v>12.9</v>
      </c>
      <c r="J137">
        <v>22.1</v>
      </c>
      <c r="K137">
        <v>33.9</v>
      </c>
      <c r="L137">
        <v>80</v>
      </c>
    </row>
    <row r="138" spans="1:12" x14ac:dyDescent="0.25">
      <c r="A138" t="s">
        <v>206</v>
      </c>
      <c r="B138" t="s">
        <v>223</v>
      </c>
      <c r="C138" t="s">
        <v>249</v>
      </c>
      <c r="D138">
        <v>1</v>
      </c>
      <c r="E138">
        <v>10</v>
      </c>
      <c r="F138">
        <v>220</v>
      </c>
      <c r="G138">
        <v>25.9</v>
      </c>
      <c r="H138">
        <v>59.6</v>
      </c>
      <c r="I138">
        <v>12.9</v>
      </c>
      <c r="J138">
        <v>22.1</v>
      </c>
      <c r="K138">
        <v>33.9</v>
      </c>
      <c r="L138">
        <v>80</v>
      </c>
    </row>
    <row r="139" spans="1:12" x14ac:dyDescent="0.25">
      <c r="A139" t="s">
        <v>206</v>
      </c>
      <c r="B139" t="s">
        <v>223</v>
      </c>
      <c r="C139" t="s">
        <v>249</v>
      </c>
      <c r="D139">
        <v>1</v>
      </c>
      <c r="E139">
        <v>10</v>
      </c>
      <c r="F139">
        <v>240</v>
      </c>
      <c r="G139">
        <v>25.9</v>
      </c>
      <c r="H139">
        <v>59.6</v>
      </c>
      <c r="I139">
        <v>12.9</v>
      </c>
      <c r="J139">
        <v>22.1</v>
      </c>
      <c r="K139">
        <v>33.9</v>
      </c>
      <c r="L139">
        <v>80</v>
      </c>
    </row>
    <row r="140" spans="1:12" x14ac:dyDescent="0.25">
      <c r="A140" t="s">
        <v>206</v>
      </c>
      <c r="B140" t="s">
        <v>223</v>
      </c>
      <c r="C140" t="s">
        <v>249</v>
      </c>
      <c r="D140">
        <v>1</v>
      </c>
      <c r="E140">
        <v>10</v>
      </c>
      <c r="F140">
        <v>260</v>
      </c>
      <c r="G140">
        <v>25.9</v>
      </c>
      <c r="H140">
        <v>59.6</v>
      </c>
      <c r="I140">
        <v>12.9</v>
      </c>
      <c r="J140">
        <v>22.1</v>
      </c>
      <c r="K140">
        <v>33.9</v>
      </c>
      <c r="L140">
        <v>80</v>
      </c>
    </row>
    <row r="141" spans="1:12" x14ac:dyDescent="0.25">
      <c r="A141" t="s">
        <v>206</v>
      </c>
      <c r="B141" t="s">
        <v>223</v>
      </c>
      <c r="C141" t="s">
        <v>249</v>
      </c>
      <c r="D141">
        <v>1</v>
      </c>
      <c r="E141">
        <v>10</v>
      </c>
      <c r="F141">
        <v>280</v>
      </c>
      <c r="G141">
        <v>25.9</v>
      </c>
      <c r="H141">
        <v>59.6</v>
      </c>
      <c r="I141">
        <v>12.9</v>
      </c>
      <c r="J141">
        <v>22.1</v>
      </c>
      <c r="K141">
        <v>33.9</v>
      </c>
      <c r="L141">
        <v>80</v>
      </c>
    </row>
    <row r="142" spans="1:12" x14ac:dyDescent="0.25">
      <c r="A142" t="s">
        <v>206</v>
      </c>
      <c r="B142" t="s">
        <v>223</v>
      </c>
      <c r="C142" t="s">
        <v>249</v>
      </c>
      <c r="D142">
        <v>1</v>
      </c>
      <c r="E142">
        <v>10</v>
      </c>
      <c r="F142">
        <v>300</v>
      </c>
      <c r="G142">
        <v>25.9</v>
      </c>
      <c r="H142">
        <v>59.6</v>
      </c>
      <c r="I142">
        <v>12.9</v>
      </c>
      <c r="J142">
        <v>22.1</v>
      </c>
      <c r="K142">
        <v>33.9</v>
      </c>
      <c r="L142">
        <v>80</v>
      </c>
    </row>
    <row r="143" spans="1:12" x14ac:dyDescent="0.25">
      <c r="A143" t="s">
        <v>206</v>
      </c>
      <c r="B143" t="s">
        <v>223</v>
      </c>
      <c r="C143" t="s">
        <v>249</v>
      </c>
      <c r="D143">
        <v>1</v>
      </c>
      <c r="E143">
        <v>10</v>
      </c>
      <c r="F143">
        <v>320</v>
      </c>
      <c r="G143">
        <v>25.9</v>
      </c>
      <c r="H143">
        <v>59.6</v>
      </c>
      <c r="I143">
        <v>12.9</v>
      </c>
      <c r="J143">
        <v>22.1</v>
      </c>
      <c r="K143">
        <v>33.9</v>
      </c>
      <c r="L143">
        <v>80</v>
      </c>
    </row>
    <row r="144" spans="1:12" x14ac:dyDescent="0.25">
      <c r="A144" t="s">
        <v>206</v>
      </c>
      <c r="B144" t="s">
        <v>223</v>
      </c>
      <c r="C144" t="s">
        <v>249</v>
      </c>
      <c r="D144">
        <v>1</v>
      </c>
      <c r="E144">
        <v>10</v>
      </c>
      <c r="F144">
        <v>340</v>
      </c>
      <c r="G144">
        <v>25.9</v>
      </c>
      <c r="H144">
        <v>59.6</v>
      </c>
      <c r="I144">
        <v>12.9</v>
      </c>
      <c r="J144">
        <v>22.1</v>
      </c>
      <c r="K144">
        <v>33.9</v>
      </c>
      <c r="L144">
        <v>80</v>
      </c>
    </row>
    <row r="145" spans="1:12" x14ac:dyDescent="0.25">
      <c r="A145" t="s">
        <v>206</v>
      </c>
      <c r="B145" t="s">
        <v>223</v>
      </c>
      <c r="C145" t="s">
        <v>249</v>
      </c>
      <c r="D145">
        <v>1</v>
      </c>
      <c r="E145">
        <v>10</v>
      </c>
      <c r="F145">
        <v>360</v>
      </c>
      <c r="G145">
        <v>25.9</v>
      </c>
      <c r="H145">
        <v>59.6</v>
      </c>
      <c r="I145">
        <v>12.9</v>
      </c>
      <c r="J145">
        <v>22.1</v>
      </c>
      <c r="K145">
        <v>33.9</v>
      </c>
      <c r="L145">
        <v>80</v>
      </c>
    </row>
    <row r="146" spans="1:12" x14ac:dyDescent="0.25">
      <c r="A146" t="s">
        <v>206</v>
      </c>
      <c r="B146" t="s">
        <v>223</v>
      </c>
      <c r="C146" t="s">
        <v>249</v>
      </c>
      <c r="D146">
        <v>1</v>
      </c>
      <c r="E146">
        <v>10</v>
      </c>
      <c r="F146">
        <v>380</v>
      </c>
      <c r="G146">
        <v>25.9</v>
      </c>
      <c r="H146">
        <v>59.6</v>
      </c>
      <c r="I146">
        <v>12.9</v>
      </c>
      <c r="J146">
        <v>22.1</v>
      </c>
      <c r="K146">
        <v>33.9</v>
      </c>
      <c r="L146">
        <v>80</v>
      </c>
    </row>
    <row r="147" spans="1:12" x14ac:dyDescent="0.25">
      <c r="A147" t="s">
        <v>206</v>
      </c>
      <c r="B147" t="s">
        <v>223</v>
      </c>
      <c r="C147" t="s">
        <v>249</v>
      </c>
      <c r="D147">
        <v>1</v>
      </c>
      <c r="E147">
        <v>10</v>
      </c>
      <c r="F147">
        <v>400</v>
      </c>
      <c r="G147">
        <v>25.9</v>
      </c>
      <c r="H147">
        <v>59.6</v>
      </c>
      <c r="I147">
        <v>12.9</v>
      </c>
      <c r="J147">
        <v>22.1</v>
      </c>
      <c r="K147">
        <v>33.9</v>
      </c>
      <c r="L147">
        <v>80</v>
      </c>
    </row>
    <row r="148" spans="1:12" x14ac:dyDescent="0.25">
      <c r="A148" t="s">
        <v>206</v>
      </c>
      <c r="B148" t="s">
        <v>224</v>
      </c>
      <c r="C148" t="s">
        <v>248</v>
      </c>
      <c r="D148">
        <v>1</v>
      </c>
      <c r="E148">
        <v>3</v>
      </c>
      <c r="F148">
        <v>15</v>
      </c>
      <c r="G148">
        <v>5.5</v>
      </c>
      <c r="L148">
        <v>15</v>
      </c>
    </row>
    <row r="149" spans="1:12" x14ac:dyDescent="0.25">
      <c r="A149" t="s">
        <v>206</v>
      </c>
      <c r="B149" t="s">
        <v>224</v>
      </c>
      <c r="C149" t="s">
        <v>248</v>
      </c>
      <c r="D149">
        <v>1</v>
      </c>
      <c r="E149">
        <v>3</v>
      </c>
      <c r="F149">
        <v>20</v>
      </c>
      <c r="G149">
        <v>5.5</v>
      </c>
      <c r="L149">
        <v>20</v>
      </c>
    </row>
    <row r="150" spans="1:12" x14ac:dyDescent="0.25">
      <c r="A150" t="s">
        <v>206</v>
      </c>
      <c r="B150" t="s">
        <v>224</v>
      </c>
      <c r="C150" t="s">
        <v>248</v>
      </c>
      <c r="D150">
        <v>1</v>
      </c>
      <c r="E150">
        <v>3.5</v>
      </c>
      <c r="F150">
        <v>15</v>
      </c>
      <c r="G150">
        <v>6.6</v>
      </c>
      <c r="L150">
        <v>15</v>
      </c>
    </row>
    <row r="151" spans="1:12" x14ac:dyDescent="0.25">
      <c r="A151" t="s">
        <v>206</v>
      </c>
      <c r="B151" t="s">
        <v>224</v>
      </c>
      <c r="C151" t="s">
        <v>248</v>
      </c>
      <c r="D151">
        <v>1</v>
      </c>
      <c r="E151">
        <v>3.5</v>
      </c>
      <c r="F151">
        <v>20</v>
      </c>
      <c r="G151">
        <v>6.6</v>
      </c>
      <c r="L151">
        <v>20</v>
      </c>
    </row>
    <row r="152" spans="1:12" x14ac:dyDescent="0.25">
      <c r="A152" t="s">
        <v>206</v>
      </c>
      <c r="B152" t="s">
        <v>224</v>
      </c>
      <c r="C152" t="s">
        <v>248</v>
      </c>
      <c r="D152">
        <v>1</v>
      </c>
      <c r="E152">
        <v>3.5</v>
      </c>
      <c r="F152">
        <v>25</v>
      </c>
      <c r="G152">
        <v>6.6</v>
      </c>
      <c r="L152">
        <v>25</v>
      </c>
    </row>
    <row r="153" spans="1:12" x14ac:dyDescent="0.25">
      <c r="A153" t="s">
        <v>206</v>
      </c>
      <c r="B153" t="s">
        <v>224</v>
      </c>
      <c r="C153" t="s">
        <v>248</v>
      </c>
      <c r="D153">
        <v>1</v>
      </c>
      <c r="E153">
        <v>3.5</v>
      </c>
      <c r="F153">
        <v>30</v>
      </c>
      <c r="G153">
        <v>6.6</v>
      </c>
      <c r="L153">
        <v>30</v>
      </c>
    </row>
    <row r="154" spans="1:12" x14ac:dyDescent="0.25">
      <c r="A154" t="s">
        <v>206</v>
      </c>
      <c r="B154" t="s">
        <v>224</v>
      </c>
      <c r="C154" t="s">
        <v>248</v>
      </c>
      <c r="D154">
        <v>1</v>
      </c>
      <c r="E154">
        <v>4</v>
      </c>
      <c r="F154">
        <v>15</v>
      </c>
      <c r="G154">
        <v>7.6</v>
      </c>
      <c r="L154">
        <v>15</v>
      </c>
    </row>
    <row r="155" spans="1:12" x14ac:dyDescent="0.25">
      <c r="A155" t="s">
        <v>206</v>
      </c>
      <c r="B155" t="s">
        <v>224</v>
      </c>
      <c r="C155" t="s">
        <v>248</v>
      </c>
      <c r="D155">
        <v>1</v>
      </c>
      <c r="E155">
        <v>4</v>
      </c>
      <c r="F155">
        <v>20</v>
      </c>
      <c r="G155">
        <v>7.6</v>
      </c>
      <c r="L155">
        <v>20</v>
      </c>
    </row>
    <row r="156" spans="1:12" x14ac:dyDescent="0.25">
      <c r="A156" t="s">
        <v>206</v>
      </c>
      <c r="B156" t="s">
        <v>224</v>
      </c>
      <c r="C156" t="s">
        <v>248</v>
      </c>
      <c r="D156">
        <v>1</v>
      </c>
      <c r="E156">
        <v>4</v>
      </c>
      <c r="F156">
        <v>25</v>
      </c>
      <c r="G156">
        <v>7.6</v>
      </c>
      <c r="L156">
        <v>25</v>
      </c>
    </row>
    <row r="157" spans="1:12" x14ac:dyDescent="0.25">
      <c r="A157" t="s">
        <v>206</v>
      </c>
      <c r="B157" t="s">
        <v>224</v>
      </c>
      <c r="C157" t="s">
        <v>248</v>
      </c>
      <c r="D157">
        <v>1</v>
      </c>
      <c r="E157">
        <v>4</v>
      </c>
      <c r="F157">
        <v>30</v>
      </c>
      <c r="G157">
        <v>7.6</v>
      </c>
      <c r="L157">
        <v>30</v>
      </c>
    </row>
    <row r="158" spans="1:12" x14ac:dyDescent="0.25">
      <c r="A158" t="s">
        <v>206</v>
      </c>
      <c r="B158" t="s">
        <v>224</v>
      </c>
      <c r="C158" t="s">
        <v>248</v>
      </c>
      <c r="D158">
        <v>1</v>
      </c>
      <c r="E158">
        <v>4</v>
      </c>
      <c r="F158">
        <v>35</v>
      </c>
      <c r="G158">
        <v>7.6</v>
      </c>
      <c r="L158">
        <v>35</v>
      </c>
    </row>
    <row r="159" spans="1:12" x14ac:dyDescent="0.25">
      <c r="A159" t="s">
        <v>206</v>
      </c>
      <c r="B159" t="s">
        <v>224</v>
      </c>
      <c r="C159" t="s">
        <v>248</v>
      </c>
      <c r="D159">
        <v>1</v>
      </c>
      <c r="E159">
        <v>4</v>
      </c>
      <c r="F159">
        <v>40</v>
      </c>
      <c r="G159">
        <v>7.6</v>
      </c>
      <c r="L159">
        <v>40</v>
      </c>
    </row>
    <row r="160" spans="1:12" x14ac:dyDescent="0.25">
      <c r="A160" t="s">
        <v>206</v>
      </c>
      <c r="B160" t="s">
        <v>224</v>
      </c>
      <c r="C160" t="s">
        <v>248</v>
      </c>
      <c r="D160">
        <v>1</v>
      </c>
      <c r="E160">
        <v>4</v>
      </c>
      <c r="F160">
        <v>50</v>
      </c>
      <c r="G160">
        <v>7.6</v>
      </c>
      <c r="L160">
        <v>30</v>
      </c>
    </row>
    <row r="161" spans="1:12" x14ac:dyDescent="0.25">
      <c r="A161" t="s">
        <v>206</v>
      </c>
      <c r="B161" t="s">
        <v>224</v>
      </c>
      <c r="C161" t="s">
        <v>248</v>
      </c>
      <c r="D161">
        <v>1</v>
      </c>
      <c r="E161">
        <v>5</v>
      </c>
      <c r="F161">
        <v>30</v>
      </c>
      <c r="G161">
        <v>9.6999999999999993</v>
      </c>
      <c r="H161">
        <v>7.6020000000000003</v>
      </c>
      <c r="I161">
        <v>12.9</v>
      </c>
      <c r="J161">
        <v>23.2</v>
      </c>
      <c r="K161">
        <v>9.9</v>
      </c>
      <c r="L161">
        <v>26</v>
      </c>
    </row>
    <row r="162" spans="1:12" x14ac:dyDescent="0.25">
      <c r="A162" t="s">
        <v>206</v>
      </c>
      <c r="B162" t="s">
        <v>224</v>
      </c>
      <c r="C162" t="s">
        <v>248</v>
      </c>
      <c r="D162">
        <v>1</v>
      </c>
      <c r="E162">
        <v>5</v>
      </c>
      <c r="F162">
        <v>40</v>
      </c>
      <c r="G162">
        <v>9.6999999999999993</v>
      </c>
      <c r="H162">
        <v>7.6020000000000003</v>
      </c>
      <c r="I162">
        <v>12.9</v>
      </c>
      <c r="J162">
        <v>23.2</v>
      </c>
      <c r="K162">
        <v>9.9</v>
      </c>
      <c r="L162">
        <v>36</v>
      </c>
    </row>
    <row r="163" spans="1:12" x14ac:dyDescent="0.25">
      <c r="A163" t="s">
        <v>206</v>
      </c>
      <c r="B163" t="s">
        <v>224</v>
      </c>
      <c r="C163" t="s">
        <v>248</v>
      </c>
      <c r="D163">
        <v>1</v>
      </c>
      <c r="E163">
        <v>5</v>
      </c>
      <c r="F163">
        <v>50</v>
      </c>
      <c r="G163">
        <v>9.6999999999999993</v>
      </c>
      <c r="H163">
        <v>7.6020000000000003</v>
      </c>
      <c r="I163">
        <v>12.9</v>
      </c>
      <c r="J163">
        <v>23.2</v>
      </c>
      <c r="K163">
        <v>9.9</v>
      </c>
      <c r="L163">
        <v>30</v>
      </c>
    </row>
    <row r="164" spans="1:12" x14ac:dyDescent="0.25">
      <c r="A164" t="s">
        <v>206</v>
      </c>
      <c r="B164" t="s">
        <v>224</v>
      </c>
      <c r="C164" t="s">
        <v>248</v>
      </c>
      <c r="D164">
        <v>1</v>
      </c>
      <c r="E164">
        <v>5</v>
      </c>
      <c r="F164">
        <v>60</v>
      </c>
      <c r="G164">
        <v>9.6999999999999993</v>
      </c>
      <c r="H164">
        <v>7.6020000000000003</v>
      </c>
      <c r="I164">
        <v>12.9</v>
      </c>
      <c r="J164">
        <v>23.2</v>
      </c>
      <c r="K164">
        <v>9.9</v>
      </c>
      <c r="L164">
        <v>35</v>
      </c>
    </row>
    <row r="165" spans="1:12" x14ac:dyDescent="0.25">
      <c r="A165" t="s">
        <v>206</v>
      </c>
      <c r="B165" t="s">
        <v>224</v>
      </c>
      <c r="C165" t="s">
        <v>248</v>
      </c>
      <c r="D165">
        <v>1</v>
      </c>
      <c r="E165">
        <v>5</v>
      </c>
      <c r="F165">
        <v>70</v>
      </c>
      <c r="G165">
        <v>9.6999999999999993</v>
      </c>
      <c r="H165">
        <v>7.6020000000000003</v>
      </c>
      <c r="I165">
        <v>12.9</v>
      </c>
      <c r="J165">
        <v>23.2</v>
      </c>
      <c r="K165">
        <v>9.9</v>
      </c>
      <c r="L165">
        <v>40</v>
      </c>
    </row>
    <row r="166" spans="1:12" x14ac:dyDescent="0.25">
      <c r="A166" t="s">
        <v>206</v>
      </c>
      <c r="B166" t="s">
        <v>224</v>
      </c>
      <c r="C166" t="s">
        <v>248</v>
      </c>
      <c r="D166">
        <v>1</v>
      </c>
      <c r="E166">
        <v>5</v>
      </c>
      <c r="F166">
        <v>80</v>
      </c>
      <c r="G166">
        <v>9.6999999999999993</v>
      </c>
      <c r="H166">
        <v>7.6020000000000003</v>
      </c>
      <c r="I166">
        <v>12.9</v>
      </c>
      <c r="J166">
        <v>23.2</v>
      </c>
      <c r="K166">
        <v>9.9</v>
      </c>
      <c r="L166">
        <v>50</v>
      </c>
    </row>
    <row r="167" spans="1:12" x14ac:dyDescent="0.25">
      <c r="A167" t="s">
        <v>206</v>
      </c>
      <c r="B167" t="s">
        <v>224</v>
      </c>
      <c r="C167" t="s">
        <v>248</v>
      </c>
      <c r="D167">
        <v>1</v>
      </c>
      <c r="E167">
        <v>6</v>
      </c>
      <c r="F167">
        <v>40</v>
      </c>
      <c r="G167">
        <v>11.7</v>
      </c>
      <c r="H167">
        <v>11.930999999999999</v>
      </c>
      <c r="I167">
        <v>16.8</v>
      </c>
      <c r="J167">
        <v>18.8</v>
      </c>
      <c r="K167">
        <v>13.5</v>
      </c>
      <c r="L167">
        <v>35</v>
      </c>
    </row>
    <row r="168" spans="1:12" x14ac:dyDescent="0.25">
      <c r="A168" t="s">
        <v>206</v>
      </c>
      <c r="B168" t="s">
        <v>224</v>
      </c>
      <c r="C168" t="s">
        <v>248</v>
      </c>
      <c r="D168">
        <v>1</v>
      </c>
      <c r="E168">
        <v>6</v>
      </c>
      <c r="F168">
        <v>50</v>
      </c>
      <c r="G168">
        <v>11.7</v>
      </c>
      <c r="H168">
        <v>11.930999999999999</v>
      </c>
      <c r="I168">
        <v>16.8</v>
      </c>
      <c r="J168">
        <v>18.8</v>
      </c>
      <c r="K168">
        <v>13.5</v>
      </c>
      <c r="L168">
        <v>30</v>
      </c>
    </row>
    <row r="169" spans="1:12" x14ac:dyDescent="0.25">
      <c r="A169" t="s">
        <v>206</v>
      </c>
      <c r="B169" t="s">
        <v>224</v>
      </c>
      <c r="C169" t="s">
        <v>248</v>
      </c>
      <c r="D169">
        <v>1</v>
      </c>
      <c r="E169">
        <v>6</v>
      </c>
      <c r="F169">
        <v>60</v>
      </c>
      <c r="G169">
        <v>11.7</v>
      </c>
      <c r="H169">
        <v>11.930999999999999</v>
      </c>
      <c r="I169">
        <v>16.8</v>
      </c>
      <c r="J169">
        <v>18.8</v>
      </c>
      <c r="K169">
        <v>13.5</v>
      </c>
      <c r="L169">
        <v>35</v>
      </c>
    </row>
    <row r="170" spans="1:12" x14ac:dyDescent="0.25">
      <c r="A170" t="s">
        <v>206</v>
      </c>
      <c r="B170" t="s">
        <v>224</v>
      </c>
      <c r="C170" t="s">
        <v>248</v>
      </c>
      <c r="D170">
        <v>1</v>
      </c>
      <c r="E170">
        <v>6</v>
      </c>
      <c r="F170">
        <v>70</v>
      </c>
      <c r="G170">
        <v>11.7</v>
      </c>
      <c r="H170">
        <v>11.930999999999999</v>
      </c>
      <c r="I170">
        <v>16.8</v>
      </c>
      <c r="J170">
        <v>18.8</v>
      </c>
      <c r="K170">
        <v>13.5</v>
      </c>
      <c r="L170">
        <v>40</v>
      </c>
    </row>
    <row r="171" spans="1:12" x14ac:dyDescent="0.25">
      <c r="A171" t="s">
        <v>206</v>
      </c>
      <c r="B171" t="s">
        <v>224</v>
      </c>
      <c r="C171" t="s">
        <v>248</v>
      </c>
      <c r="D171">
        <v>1</v>
      </c>
      <c r="E171">
        <v>6</v>
      </c>
      <c r="F171">
        <v>80</v>
      </c>
      <c r="G171">
        <v>11.7</v>
      </c>
      <c r="H171">
        <v>11.930999999999999</v>
      </c>
      <c r="I171">
        <v>16.8</v>
      </c>
      <c r="J171">
        <v>18.8</v>
      </c>
      <c r="K171">
        <v>13.5</v>
      </c>
      <c r="L171">
        <v>50</v>
      </c>
    </row>
    <row r="172" spans="1:12" x14ac:dyDescent="0.25">
      <c r="A172" t="s">
        <v>206</v>
      </c>
      <c r="B172" t="s">
        <v>224</v>
      </c>
      <c r="C172" t="s">
        <v>248</v>
      </c>
      <c r="D172">
        <v>1</v>
      </c>
      <c r="E172">
        <v>6</v>
      </c>
      <c r="F172">
        <v>100</v>
      </c>
      <c r="G172">
        <v>11.7</v>
      </c>
      <c r="H172">
        <v>11.930999999999999</v>
      </c>
      <c r="I172">
        <v>16.8</v>
      </c>
      <c r="J172">
        <v>18.8</v>
      </c>
      <c r="K172">
        <v>13.5</v>
      </c>
      <c r="L172">
        <v>60</v>
      </c>
    </row>
    <row r="173" spans="1:12" x14ac:dyDescent="0.25">
      <c r="A173" t="s">
        <v>206</v>
      </c>
      <c r="B173" t="s">
        <v>225</v>
      </c>
      <c r="C173" t="s">
        <v>247</v>
      </c>
      <c r="D173">
        <v>1</v>
      </c>
      <c r="E173">
        <v>3</v>
      </c>
      <c r="F173">
        <v>16</v>
      </c>
      <c r="G173">
        <v>6</v>
      </c>
      <c r="L173">
        <v>11</v>
      </c>
    </row>
    <row r="174" spans="1:12" x14ac:dyDescent="0.25">
      <c r="A174" t="s">
        <v>206</v>
      </c>
      <c r="B174" t="s">
        <v>225</v>
      </c>
      <c r="C174" t="s">
        <v>247</v>
      </c>
      <c r="D174">
        <v>1</v>
      </c>
      <c r="E174">
        <v>3</v>
      </c>
      <c r="F174">
        <v>20</v>
      </c>
      <c r="G174">
        <v>6</v>
      </c>
      <c r="L174">
        <v>15</v>
      </c>
    </row>
    <row r="175" spans="1:12" x14ac:dyDescent="0.25">
      <c r="A175" t="s">
        <v>206</v>
      </c>
      <c r="B175" t="s">
        <v>225</v>
      </c>
      <c r="C175" t="s">
        <v>247</v>
      </c>
      <c r="D175">
        <v>1</v>
      </c>
      <c r="E175">
        <v>3</v>
      </c>
      <c r="F175">
        <v>25</v>
      </c>
      <c r="G175">
        <v>6</v>
      </c>
      <c r="L175">
        <v>20</v>
      </c>
    </row>
    <row r="176" spans="1:12" x14ac:dyDescent="0.25">
      <c r="A176" t="s">
        <v>206</v>
      </c>
      <c r="B176" t="s">
        <v>225</v>
      </c>
      <c r="C176" t="s">
        <v>247</v>
      </c>
      <c r="D176">
        <v>1</v>
      </c>
      <c r="E176">
        <v>3</v>
      </c>
      <c r="F176">
        <v>30</v>
      </c>
      <c r="G176">
        <v>6</v>
      </c>
      <c r="L176">
        <v>25</v>
      </c>
    </row>
    <row r="177" spans="1:12" x14ac:dyDescent="0.25">
      <c r="A177" t="s">
        <v>206</v>
      </c>
      <c r="B177" t="s">
        <v>225</v>
      </c>
      <c r="C177" t="s">
        <v>247</v>
      </c>
      <c r="D177">
        <v>1</v>
      </c>
      <c r="E177">
        <v>3.5</v>
      </c>
      <c r="F177">
        <v>16</v>
      </c>
      <c r="G177">
        <v>7</v>
      </c>
      <c r="L177">
        <v>11</v>
      </c>
    </row>
    <row r="178" spans="1:12" x14ac:dyDescent="0.25">
      <c r="A178" t="s">
        <v>206</v>
      </c>
      <c r="B178" t="s">
        <v>225</v>
      </c>
      <c r="C178" t="s">
        <v>247</v>
      </c>
      <c r="D178">
        <v>1</v>
      </c>
      <c r="E178">
        <v>3.5</v>
      </c>
      <c r="F178">
        <v>20</v>
      </c>
      <c r="G178">
        <v>7</v>
      </c>
      <c r="L178">
        <v>15</v>
      </c>
    </row>
    <row r="179" spans="1:12" x14ac:dyDescent="0.25">
      <c r="A179" t="s">
        <v>206</v>
      </c>
      <c r="B179" t="s">
        <v>225</v>
      </c>
      <c r="C179" t="s">
        <v>247</v>
      </c>
      <c r="D179">
        <v>1</v>
      </c>
      <c r="E179">
        <v>3.5</v>
      </c>
      <c r="F179">
        <v>25</v>
      </c>
      <c r="G179">
        <v>7</v>
      </c>
      <c r="L179">
        <v>20</v>
      </c>
    </row>
    <row r="180" spans="1:12" x14ac:dyDescent="0.25">
      <c r="A180" t="s">
        <v>206</v>
      </c>
      <c r="B180" t="s">
        <v>225</v>
      </c>
      <c r="C180" t="s">
        <v>247</v>
      </c>
      <c r="D180">
        <v>1</v>
      </c>
      <c r="E180">
        <v>3.5</v>
      </c>
      <c r="F180">
        <v>30</v>
      </c>
      <c r="G180">
        <v>7</v>
      </c>
      <c r="L180">
        <v>25</v>
      </c>
    </row>
    <row r="181" spans="1:12" x14ac:dyDescent="0.25">
      <c r="A181" t="s">
        <v>206</v>
      </c>
      <c r="B181" t="s">
        <v>225</v>
      </c>
      <c r="C181" t="s">
        <v>247</v>
      </c>
      <c r="D181">
        <v>1</v>
      </c>
      <c r="E181">
        <v>3.5</v>
      </c>
      <c r="F181">
        <v>35</v>
      </c>
      <c r="G181">
        <v>7</v>
      </c>
      <c r="L181">
        <v>30</v>
      </c>
    </row>
    <row r="182" spans="1:12" x14ac:dyDescent="0.25">
      <c r="A182" t="s">
        <v>206</v>
      </c>
      <c r="B182" t="s">
        <v>225</v>
      </c>
      <c r="C182" t="s">
        <v>247</v>
      </c>
      <c r="D182">
        <v>1</v>
      </c>
      <c r="E182">
        <v>3.5</v>
      </c>
      <c r="F182">
        <v>40</v>
      </c>
      <c r="G182">
        <v>7</v>
      </c>
      <c r="L182">
        <v>35</v>
      </c>
    </row>
    <row r="183" spans="1:12" x14ac:dyDescent="0.25">
      <c r="A183" t="s">
        <v>206</v>
      </c>
      <c r="B183" t="s">
        <v>225</v>
      </c>
      <c r="C183" t="s">
        <v>247</v>
      </c>
      <c r="D183">
        <v>1</v>
      </c>
      <c r="E183">
        <v>3.5</v>
      </c>
      <c r="F183">
        <v>50</v>
      </c>
      <c r="G183">
        <v>7</v>
      </c>
      <c r="L183">
        <v>30</v>
      </c>
    </row>
    <row r="184" spans="1:12" x14ac:dyDescent="0.25">
      <c r="A184" t="s">
        <v>206</v>
      </c>
      <c r="B184" t="s">
        <v>225</v>
      </c>
      <c r="C184" t="s">
        <v>247</v>
      </c>
      <c r="D184">
        <v>1</v>
      </c>
      <c r="E184">
        <v>4</v>
      </c>
      <c r="F184">
        <v>20</v>
      </c>
      <c r="G184">
        <v>8</v>
      </c>
      <c r="L184">
        <v>15</v>
      </c>
    </row>
    <row r="185" spans="1:12" x14ac:dyDescent="0.25">
      <c r="A185" t="s">
        <v>206</v>
      </c>
      <c r="B185" t="s">
        <v>225</v>
      </c>
      <c r="C185" t="s">
        <v>247</v>
      </c>
      <c r="D185">
        <v>1</v>
      </c>
      <c r="E185">
        <v>4</v>
      </c>
      <c r="F185">
        <v>25</v>
      </c>
      <c r="G185">
        <v>8</v>
      </c>
      <c r="L185">
        <v>20</v>
      </c>
    </row>
    <row r="186" spans="1:12" x14ac:dyDescent="0.25">
      <c r="A186" t="s">
        <v>206</v>
      </c>
      <c r="B186" t="s">
        <v>225</v>
      </c>
      <c r="C186" t="s">
        <v>247</v>
      </c>
      <c r="D186">
        <v>1</v>
      </c>
      <c r="E186">
        <v>4</v>
      </c>
      <c r="F186">
        <v>30</v>
      </c>
      <c r="G186">
        <v>8</v>
      </c>
      <c r="L186">
        <v>25</v>
      </c>
    </row>
    <row r="187" spans="1:12" x14ac:dyDescent="0.25">
      <c r="A187" t="s">
        <v>206</v>
      </c>
      <c r="B187" t="s">
        <v>225</v>
      </c>
      <c r="C187" t="s">
        <v>247</v>
      </c>
      <c r="D187">
        <v>1</v>
      </c>
      <c r="E187">
        <v>4</v>
      </c>
      <c r="F187">
        <v>35</v>
      </c>
      <c r="G187">
        <v>8</v>
      </c>
      <c r="L187">
        <v>30</v>
      </c>
    </row>
    <row r="188" spans="1:12" x14ac:dyDescent="0.25">
      <c r="A188" t="s">
        <v>206</v>
      </c>
      <c r="B188" t="s">
        <v>225</v>
      </c>
      <c r="C188" t="s">
        <v>247</v>
      </c>
      <c r="D188">
        <v>1</v>
      </c>
      <c r="E188">
        <v>4</v>
      </c>
      <c r="F188">
        <v>40</v>
      </c>
      <c r="G188">
        <v>8</v>
      </c>
      <c r="L188">
        <v>35</v>
      </c>
    </row>
    <row r="189" spans="1:12" x14ac:dyDescent="0.25">
      <c r="A189" t="s">
        <v>206</v>
      </c>
      <c r="B189" t="s">
        <v>225</v>
      </c>
      <c r="C189" t="s">
        <v>247</v>
      </c>
      <c r="D189">
        <v>1</v>
      </c>
      <c r="E189">
        <v>4</v>
      </c>
      <c r="F189">
        <v>45</v>
      </c>
      <c r="G189">
        <v>8</v>
      </c>
      <c r="L189">
        <v>29</v>
      </c>
    </row>
    <row r="190" spans="1:12" x14ac:dyDescent="0.25">
      <c r="A190" t="s">
        <v>206</v>
      </c>
      <c r="B190" t="s">
        <v>225</v>
      </c>
      <c r="C190" t="s">
        <v>247</v>
      </c>
      <c r="D190">
        <v>1</v>
      </c>
      <c r="E190">
        <v>4</v>
      </c>
      <c r="F190">
        <v>50</v>
      </c>
      <c r="G190">
        <v>8</v>
      </c>
      <c r="L190">
        <v>30</v>
      </c>
    </row>
    <row r="191" spans="1:12" x14ac:dyDescent="0.25">
      <c r="A191" t="s">
        <v>206</v>
      </c>
      <c r="B191" t="s">
        <v>225</v>
      </c>
      <c r="C191" t="s">
        <v>247</v>
      </c>
      <c r="D191">
        <v>1</v>
      </c>
      <c r="E191">
        <v>4</v>
      </c>
      <c r="F191">
        <v>60</v>
      </c>
      <c r="G191">
        <v>8</v>
      </c>
      <c r="L191">
        <v>35</v>
      </c>
    </row>
    <row r="192" spans="1:12" x14ac:dyDescent="0.25">
      <c r="A192" t="s">
        <v>206</v>
      </c>
      <c r="B192" t="s">
        <v>225</v>
      </c>
      <c r="C192" t="s">
        <v>247</v>
      </c>
      <c r="D192">
        <v>1</v>
      </c>
      <c r="E192">
        <v>4</v>
      </c>
      <c r="F192">
        <v>70</v>
      </c>
      <c r="G192">
        <v>8</v>
      </c>
      <c r="L192">
        <v>40</v>
      </c>
    </row>
    <row r="193" spans="1:12" x14ac:dyDescent="0.25">
      <c r="A193" t="s">
        <v>206</v>
      </c>
      <c r="B193" t="s">
        <v>225</v>
      </c>
      <c r="C193" t="s">
        <v>247</v>
      </c>
      <c r="D193">
        <v>1</v>
      </c>
      <c r="E193">
        <v>4.5</v>
      </c>
      <c r="F193">
        <v>25</v>
      </c>
      <c r="G193">
        <v>8.4</v>
      </c>
      <c r="H193">
        <v>5.5</v>
      </c>
      <c r="I193">
        <v>19.2</v>
      </c>
      <c r="J193">
        <v>16.8</v>
      </c>
      <c r="K193">
        <v>7.6</v>
      </c>
      <c r="L193">
        <v>20</v>
      </c>
    </row>
    <row r="194" spans="1:12" x14ac:dyDescent="0.25">
      <c r="A194" t="s">
        <v>206</v>
      </c>
      <c r="B194" t="s">
        <v>225</v>
      </c>
      <c r="C194" t="s">
        <v>247</v>
      </c>
      <c r="D194">
        <v>1</v>
      </c>
      <c r="E194">
        <v>4.5</v>
      </c>
      <c r="F194">
        <v>30</v>
      </c>
      <c r="G194">
        <v>8.4</v>
      </c>
      <c r="H194">
        <v>5.5</v>
      </c>
      <c r="I194">
        <v>19.2</v>
      </c>
      <c r="J194">
        <v>16.8</v>
      </c>
      <c r="K194">
        <v>7.6</v>
      </c>
      <c r="L194">
        <v>25</v>
      </c>
    </row>
    <row r="195" spans="1:12" x14ac:dyDescent="0.25">
      <c r="A195" t="s">
        <v>206</v>
      </c>
      <c r="B195" t="s">
        <v>225</v>
      </c>
      <c r="C195" t="s">
        <v>247</v>
      </c>
      <c r="D195">
        <v>1</v>
      </c>
      <c r="E195">
        <v>4.5</v>
      </c>
      <c r="F195">
        <v>35</v>
      </c>
      <c r="G195">
        <v>8.4</v>
      </c>
      <c r="H195">
        <v>5.5</v>
      </c>
      <c r="I195">
        <v>19.2</v>
      </c>
      <c r="J195">
        <v>16.8</v>
      </c>
      <c r="K195">
        <v>7.6</v>
      </c>
      <c r="L195">
        <v>30</v>
      </c>
    </row>
    <row r="196" spans="1:12" x14ac:dyDescent="0.25">
      <c r="A196" t="s">
        <v>206</v>
      </c>
      <c r="B196" t="s">
        <v>225</v>
      </c>
      <c r="C196" t="s">
        <v>247</v>
      </c>
      <c r="D196">
        <v>1</v>
      </c>
      <c r="E196">
        <v>4.5</v>
      </c>
      <c r="F196">
        <v>40</v>
      </c>
      <c r="G196">
        <v>8.4</v>
      </c>
      <c r="H196">
        <v>5.5</v>
      </c>
      <c r="I196">
        <v>19.2</v>
      </c>
      <c r="J196">
        <v>16.8</v>
      </c>
      <c r="K196">
        <v>7.6</v>
      </c>
      <c r="L196">
        <v>35</v>
      </c>
    </row>
    <row r="197" spans="1:12" x14ac:dyDescent="0.25">
      <c r="A197" t="s">
        <v>206</v>
      </c>
      <c r="B197" t="s">
        <v>225</v>
      </c>
      <c r="C197" t="s">
        <v>247</v>
      </c>
      <c r="D197">
        <v>1</v>
      </c>
      <c r="E197">
        <v>4.5</v>
      </c>
      <c r="F197">
        <v>45</v>
      </c>
      <c r="G197">
        <v>8.4</v>
      </c>
      <c r="H197">
        <v>5.5</v>
      </c>
      <c r="I197">
        <v>19.2</v>
      </c>
      <c r="J197">
        <v>16.8</v>
      </c>
      <c r="K197">
        <v>7.6</v>
      </c>
      <c r="L197">
        <v>29</v>
      </c>
    </row>
    <row r="198" spans="1:12" x14ac:dyDescent="0.25">
      <c r="A198" t="s">
        <v>206</v>
      </c>
      <c r="B198" t="s">
        <v>225</v>
      </c>
      <c r="C198" t="s">
        <v>247</v>
      </c>
      <c r="D198">
        <v>1</v>
      </c>
      <c r="E198">
        <v>4.5</v>
      </c>
      <c r="F198">
        <v>50</v>
      </c>
      <c r="G198">
        <v>8.4</v>
      </c>
      <c r="H198">
        <v>5.5</v>
      </c>
      <c r="I198">
        <v>19.2</v>
      </c>
      <c r="J198">
        <v>16.8</v>
      </c>
      <c r="K198">
        <v>7.6</v>
      </c>
      <c r="L198">
        <v>30</v>
      </c>
    </row>
    <row r="199" spans="1:12" x14ac:dyDescent="0.25">
      <c r="A199" t="s">
        <v>206</v>
      </c>
      <c r="B199" t="s">
        <v>225</v>
      </c>
      <c r="C199" t="s">
        <v>247</v>
      </c>
      <c r="D199">
        <v>1</v>
      </c>
      <c r="E199">
        <v>4.5</v>
      </c>
      <c r="F199">
        <v>60</v>
      </c>
      <c r="G199">
        <v>8.4</v>
      </c>
      <c r="H199">
        <v>5.5</v>
      </c>
      <c r="I199">
        <v>19.2</v>
      </c>
      <c r="J199">
        <v>16.8</v>
      </c>
      <c r="K199">
        <v>7.6</v>
      </c>
      <c r="L199">
        <v>35</v>
      </c>
    </row>
    <row r="200" spans="1:12" x14ac:dyDescent="0.25">
      <c r="A200" t="s">
        <v>206</v>
      </c>
      <c r="B200" t="s">
        <v>225</v>
      </c>
      <c r="C200" t="s">
        <v>247</v>
      </c>
      <c r="D200">
        <v>1</v>
      </c>
      <c r="E200">
        <v>4.5</v>
      </c>
      <c r="F200">
        <v>70</v>
      </c>
      <c r="G200">
        <v>8.4</v>
      </c>
      <c r="H200">
        <v>5.5</v>
      </c>
      <c r="I200">
        <v>19.2</v>
      </c>
      <c r="J200">
        <v>16.8</v>
      </c>
      <c r="K200">
        <v>7.6</v>
      </c>
      <c r="L200">
        <v>40</v>
      </c>
    </row>
    <row r="201" spans="1:12" x14ac:dyDescent="0.25">
      <c r="A201" t="s">
        <v>206</v>
      </c>
      <c r="B201" t="s">
        <v>225</v>
      </c>
      <c r="C201" t="s">
        <v>247</v>
      </c>
      <c r="D201">
        <v>1</v>
      </c>
      <c r="E201">
        <v>4.5</v>
      </c>
      <c r="F201">
        <v>80</v>
      </c>
      <c r="G201">
        <v>8.4</v>
      </c>
      <c r="H201">
        <v>5.5</v>
      </c>
      <c r="I201">
        <v>19.2</v>
      </c>
      <c r="J201">
        <v>16.8</v>
      </c>
      <c r="K201">
        <v>7.6</v>
      </c>
      <c r="L201">
        <v>50</v>
      </c>
    </row>
    <row r="202" spans="1:12" x14ac:dyDescent="0.25">
      <c r="A202" t="s">
        <v>206</v>
      </c>
      <c r="B202" t="s">
        <v>225</v>
      </c>
      <c r="C202" t="s">
        <v>247</v>
      </c>
      <c r="D202">
        <v>1</v>
      </c>
      <c r="E202">
        <v>5</v>
      </c>
      <c r="F202">
        <v>30</v>
      </c>
      <c r="G202">
        <v>9.5</v>
      </c>
      <c r="H202">
        <v>7.6</v>
      </c>
      <c r="I202">
        <v>13.2</v>
      </c>
      <c r="J202">
        <v>18.2</v>
      </c>
      <c r="K202">
        <v>9.3000000000000007</v>
      </c>
      <c r="L202">
        <v>25</v>
      </c>
    </row>
    <row r="203" spans="1:12" x14ac:dyDescent="0.25">
      <c r="A203" t="s">
        <v>206</v>
      </c>
      <c r="B203" t="s">
        <v>225</v>
      </c>
      <c r="C203" t="s">
        <v>247</v>
      </c>
      <c r="D203">
        <v>1</v>
      </c>
      <c r="E203">
        <v>5</v>
      </c>
      <c r="F203">
        <v>40</v>
      </c>
      <c r="G203">
        <v>9.5</v>
      </c>
      <c r="H203">
        <v>7.6</v>
      </c>
      <c r="I203">
        <v>13.2</v>
      </c>
      <c r="J203">
        <v>18.2</v>
      </c>
      <c r="K203">
        <v>9.3000000000000007</v>
      </c>
      <c r="L203">
        <v>35</v>
      </c>
    </row>
    <row r="204" spans="1:12" x14ac:dyDescent="0.25">
      <c r="A204" t="s">
        <v>206</v>
      </c>
      <c r="B204" t="s">
        <v>225</v>
      </c>
      <c r="C204" t="s">
        <v>247</v>
      </c>
      <c r="D204">
        <v>1</v>
      </c>
      <c r="E204">
        <v>5</v>
      </c>
      <c r="F204">
        <v>50</v>
      </c>
      <c r="G204">
        <v>9.5</v>
      </c>
      <c r="H204">
        <v>7.6</v>
      </c>
      <c r="I204">
        <v>13.2</v>
      </c>
      <c r="J204">
        <v>18.2</v>
      </c>
      <c r="K204">
        <v>9.3000000000000007</v>
      </c>
      <c r="L204">
        <v>30</v>
      </c>
    </row>
    <row r="205" spans="1:12" x14ac:dyDescent="0.25">
      <c r="A205" t="s">
        <v>206</v>
      </c>
      <c r="B205" t="s">
        <v>225</v>
      </c>
      <c r="C205" t="s">
        <v>247</v>
      </c>
      <c r="D205">
        <v>1</v>
      </c>
      <c r="E205">
        <v>5</v>
      </c>
      <c r="F205">
        <v>60</v>
      </c>
      <c r="G205">
        <v>9.5</v>
      </c>
      <c r="H205">
        <v>7.6</v>
      </c>
      <c r="I205">
        <v>13.2</v>
      </c>
      <c r="J205">
        <v>18.2</v>
      </c>
      <c r="K205">
        <v>9.3000000000000007</v>
      </c>
      <c r="L205">
        <v>35</v>
      </c>
    </row>
    <row r="206" spans="1:12" x14ac:dyDescent="0.25">
      <c r="A206" t="s">
        <v>206</v>
      </c>
      <c r="B206" t="s">
        <v>225</v>
      </c>
      <c r="C206" t="s">
        <v>247</v>
      </c>
      <c r="D206">
        <v>1</v>
      </c>
      <c r="E206">
        <v>5</v>
      </c>
      <c r="F206">
        <v>70</v>
      </c>
      <c r="G206">
        <v>9.5</v>
      </c>
      <c r="H206">
        <v>7.6</v>
      </c>
      <c r="I206">
        <v>13.2</v>
      </c>
      <c r="J206">
        <v>18.2</v>
      </c>
      <c r="K206">
        <v>9.3000000000000007</v>
      </c>
      <c r="L206">
        <v>40</v>
      </c>
    </row>
    <row r="207" spans="1:12" x14ac:dyDescent="0.25">
      <c r="A207" t="s">
        <v>206</v>
      </c>
      <c r="B207" t="s">
        <v>225</v>
      </c>
      <c r="C207" t="s">
        <v>247</v>
      </c>
      <c r="D207">
        <v>1</v>
      </c>
      <c r="E207">
        <v>5</v>
      </c>
      <c r="F207">
        <v>80</v>
      </c>
      <c r="G207">
        <v>9.5</v>
      </c>
      <c r="H207">
        <v>7.6</v>
      </c>
      <c r="I207">
        <v>13.2</v>
      </c>
      <c r="J207">
        <v>18.2</v>
      </c>
      <c r="K207">
        <v>9.3000000000000007</v>
      </c>
      <c r="L207">
        <v>40</v>
      </c>
    </row>
    <row r="208" spans="1:12" x14ac:dyDescent="0.25">
      <c r="A208" t="s">
        <v>206</v>
      </c>
      <c r="B208" t="s">
        <v>225</v>
      </c>
      <c r="C208" t="s">
        <v>247</v>
      </c>
      <c r="D208">
        <v>1</v>
      </c>
      <c r="E208">
        <v>5</v>
      </c>
      <c r="F208">
        <v>90</v>
      </c>
      <c r="G208">
        <v>9.5</v>
      </c>
      <c r="H208">
        <v>7.6</v>
      </c>
      <c r="I208">
        <v>13.2</v>
      </c>
      <c r="J208">
        <v>18.2</v>
      </c>
      <c r="K208">
        <v>9.3000000000000007</v>
      </c>
      <c r="L208">
        <v>45</v>
      </c>
    </row>
    <row r="209" spans="1:12" x14ac:dyDescent="0.25">
      <c r="A209" t="s">
        <v>206</v>
      </c>
      <c r="B209" t="s">
        <v>225</v>
      </c>
      <c r="C209" t="s">
        <v>247</v>
      </c>
      <c r="D209">
        <v>1</v>
      </c>
      <c r="E209">
        <v>5</v>
      </c>
      <c r="F209">
        <v>100</v>
      </c>
      <c r="G209">
        <v>9.5</v>
      </c>
      <c r="H209">
        <v>7.6</v>
      </c>
      <c r="I209">
        <v>13.2</v>
      </c>
      <c r="J209">
        <v>18.2</v>
      </c>
      <c r="K209">
        <v>9.3000000000000007</v>
      </c>
      <c r="L209">
        <v>60</v>
      </c>
    </row>
    <row r="210" spans="1:12" x14ac:dyDescent="0.25">
      <c r="A210" t="s">
        <v>206</v>
      </c>
      <c r="B210" t="s">
        <v>225</v>
      </c>
      <c r="C210" t="s">
        <v>247</v>
      </c>
      <c r="D210">
        <v>1</v>
      </c>
      <c r="E210">
        <v>5</v>
      </c>
      <c r="F210">
        <v>120</v>
      </c>
      <c r="G210">
        <v>9.5</v>
      </c>
      <c r="H210">
        <v>7.6</v>
      </c>
      <c r="I210">
        <v>13.2</v>
      </c>
      <c r="J210">
        <v>18.2</v>
      </c>
      <c r="K210">
        <v>9.3000000000000007</v>
      </c>
      <c r="L210">
        <v>60</v>
      </c>
    </row>
    <row r="211" spans="1:12" x14ac:dyDescent="0.25">
      <c r="A211" t="s">
        <v>206</v>
      </c>
      <c r="B211" t="s">
        <v>225</v>
      </c>
      <c r="C211" t="s">
        <v>247</v>
      </c>
      <c r="D211">
        <v>1</v>
      </c>
      <c r="E211">
        <v>6</v>
      </c>
      <c r="F211">
        <v>40</v>
      </c>
      <c r="G211">
        <v>11.6</v>
      </c>
      <c r="H211">
        <v>12.3</v>
      </c>
      <c r="I211">
        <v>17.2</v>
      </c>
      <c r="J211">
        <v>20.3</v>
      </c>
      <c r="K211">
        <v>12.4</v>
      </c>
      <c r="L211">
        <v>34</v>
      </c>
    </row>
    <row r="212" spans="1:12" x14ac:dyDescent="0.25">
      <c r="A212" t="s">
        <v>206</v>
      </c>
      <c r="B212" t="s">
        <v>225</v>
      </c>
      <c r="C212" t="s">
        <v>247</v>
      </c>
      <c r="D212">
        <v>1</v>
      </c>
      <c r="E212">
        <v>6</v>
      </c>
      <c r="F212">
        <v>50</v>
      </c>
      <c r="G212">
        <v>11.6</v>
      </c>
      <c r="H212">
        <v>12.3</v>
      </c>
      <c r="I212">
        <v>17.2</v>
      </c>
      <c r="J212">
        <v>20.3</v>
      </c>
      <c r="K212">
        <v>12.4</v>
      </c>
      <c r="L212">
        <v>30</v>
      </c>
    </row>
    <row r="213" spans="1:12" x14ac:dyDescent="0.25">
      <c r="A213" t="s">
        <v>206</v>
      </c>
      <c r="B213" t="s">
        <v>225</v>
      </c>
      <c r="C213" t="s">
        <v>247</v>
      </c>
      <c r="D213">
        <v>1</v>
      </c>
      <c r="E213">
        <v>6</v>
      </c>
      <c r="F213">
        <v>60</v>
      </c>
      <c r="G213">
        <v>11.6</v>
      </c>
      <c r="H213">
        <v>12.3</v>
      </c>
      <c r="I213">
        <v>17.2</v>
      </c>
      <c r="J213">
        <v>20.3</v>
      </c>
      <c r="K213">
        <v>12.4</v>
      </c>
      <c r="L213">
        <v>35</v>
      </c>
    </row>
    <row r="214" spans="1:12" x14ac:dyDescent="0.25">
      <c r="A214" t="s">
        <v>206</v>
      </c>
      <c r="B214" t="s">
        <v>225</v>
      </c>
      <c r="C214" t="s">
        <v>247</v>
      </c>
      <c r="D214">
        <v>1</v>
      </c>
      <c r="E214">
        <v>6</v>
      </c>
      <c r="F214">
        <v>70</v>
      </c>
      <c r="G214">
        <v>11.6</v>
      </c>
      <c r="H214">
        <v>12.3</v>
      </c>
      <c r="I214">
        <v>17.2</v>
      </c>
      <c r="J214">
        <v>20.3</v>
      </c>
      <c r="K214">
        <v>12.4</v>
      </c>
      <c r="L214">
        <v>40</v>
      </c>
    </row>
    <row r="215" spans="1:12" x14ac:dyDescent="0.25">
      <c r="A215" t="s">
        <v>206</v>
      </c>
      <c r="B215" t="s">
        <v>225</v>
      </c>
      <c r="C215" t="s">
        <v>247</v>
      </c>
      <c r="D215">
        <v>1</v>
      </c>
      <c r="E215">
        <v>6</v>
      </c>
      <c r="F215">
        <v>80</v>
      </c>
      <c r="G215">
        <v>11.6</v>
      </c>
      <c r="H215">
        <v>12.3</v>
      </c>
      <c r="I215">
        <v>17.2</v>
      </c>
      <c r="J215">
        <v>20.3</v>
      </c>
      <c r="K215">
        <v>12.4</v>
      </c>
      <c r="L215">
        <v>40</v>
      </c>
    </row>
    <row r="216" spans="1:12" x14ac:dyDescent="0.25">
      <c r="A216" t="s">
        <v>206</v>
      </c>
      <c r="B216" t="s">
        <v>225</v>
      </c>
      <c r="C216" t="s">
        <v>247</v>
      </c>
      <c r="D216">
        <v>1</v>
      </c>
      <c r="E216">
        <v>6</v>
      </c>
      <c r="F216">
        <v>90</v>
      </c>
      <c r="G216">
        <v>11.6</v>
      </c>
      <c r="H216">
        <v>12.3</v>
      </c>
      <c r="I216">
        <v>17.2</v>
      </c>
      <c r="J216">
        <v>20.3</v>
      </c>
      <c r="K216">
        <v>12.4</v>
      </c>
      <c r="L216">
        <v>45</v>
      </c>
    </row>
    <row r="217" spans="1:12" x14ac:dyDescent="0.25">
      <c r="A217" t="s">
        <v>206</v>
      </c>
      <c r="B217" t="s">
        <v>225</v>
      </c>
      <c r="C217" t="s">
        <v>247</v>
      </c>
      <c r="D217">
        <v>1</v>
      </c>
      <c r="E217">
        <v>6</v>
      </c>
      <c r="F217">
        <v>100</v>
      </c>
      <c r="G217">
        <v>11.6</v>
      </c>
      <c r="H217">
        <v>12.3</v>
      </c>
      <c r="I217">
        <v>17.2</v>
      </c>
      <c r="J217">
        <v>20.3</v>
      </c>
      <c r="K217">
        <v>12.4</v>
      </c>
      <c r="L217">
        <v>60</v>
      </c>
    </row>
    <row r="218" spans="1:12" x14ac:dyDescent="0.25">
      <c r="A218" t="s">
        <v>206</v>
      </c>
      <c r="B218" t="s">
        <v>225</v>
      </c>
      <c r="C218" t="s">
        <v>247</v>
      </c>
      <c r="D218">
        <v>1</v>
      </c>
      <c r="E218">
        <v>6</v>
      </c>
      <c r="F218">
        <v>120</v>
      </c>
      <c r="G218">
        <v>11.6</v>
      </c>
      <c r="H218">
        <v>12.3</v>
      </c>
      <c r="I218">
        <v>17.2</v>
      </c>
      <c r="J218">
        <v>20.3</v>
      </c>
      <c r="K218">
        <v>12.4</v>
      </c>
      <c r="L218">
        <v>70</v>
      </c>
    </row>
    <row r="219" spans="1:12" x14ac:dyDescent="0.25">
      <c r="A219" t="s">
        <v>206</v>
      </c>
      <c r="B219" t="s">
        <v>225</v>
      </c>
      <c r="C219" t="s">
        <v>247</v>
      </c>
      <c r="D219">
        <v>1</v>
      </c>
      <c r="E219">
        <v>6</v>
      </c>
      <c r="F219">
        <v>140</v>
      </c>
      <c r="G219">
        <v>11.6</v>
      </c>
      <c r="H219">
        <v>12.3</v>
      </c>
      <c r="I219">
        <v>17.2</v>
      </c>
      <c r="J219">
        <v>20.3</v>
      </c>
      <c r="K219">
        <v>12.4</v>
      </c>
      <c r="L219">
        <v>70</v>
      </c>
    </row>
    <row r="220" spans="1:12" x14ac:dyDescent="0.25">
      <c r="A220" t="s">
        <v>206</v>
      </c>
      <c r="B220" t="s">
        <v>225</v>
      </c>
      <c r="C220" t="s">
        <v>247</v>
      </c>
      <c r="D220">
        <v>1</v>
      </c>
      <c r="E220">
        <v>6</v>
      </c>
      <c r="F220">
        <v>160</v>
      </c>
      <c r="G220">
        <v>11.6</v>
      </c>
      <c r="H220">
        <v>12.3</v>
      </c>
      <c r="I220">
        <v>17.2</v>
      </c>
      <c r="J220">
        <v>20.3</v>
      </c>
      <c r="K220">
        <v>12.4</v>
      </c>
      <c r="L220">
        <v>70</v>
      </c>
    </row>
    <row r="221" spans="1:12" x14ac:dyDescent="0.25">
      <c r="A221" t="s">
        <v>206</v>
      </c>
      <c r="B221" t="s">
        <v>225</v>
      </c>
      <c r="C221" t="s">
        <v>247</v>
      </c>
      <c r="D221">
        <v>1</v>
      </c>
      <c r="E221">
        <v>6</v>
      </c>
      <c r="F221">
        <v>180</v>
      </c>
      <c r="G221">
        <v>11.6</v>
      </c>
      <c r="H221">
        <v>12.3</v>
      </c>
      <c r="I221">
        <v>17.2</v>
      </c>
      <c r="J221">
        <v>20.3</v>
      </c>
      <c r="K221">
        <v>12.4</v>
      </c>
      <c r="L221">
        <v>70</v>
      </c>
    </row>
    <row r="222" spans="1:12" x14ac:dyDescent="0.25">
      <c r="A222" t="s">
        <v>206</v>
      </c>
      <c r="B222" t="s">
        <v>226</v>
      </c>
      <c r="C222" t="s">
        <v>250</v>
      </c>
      <c r="D222">
        <v>1</v>
      </c>
      <c r="E222">
        <v>4</v>
      </c>
      <c r="F222">
        <v>30</v>
      </c>
      <c r="G222">
        <v>7.3</v>
      </c>
      <c r="H222">
        <v>3.5</v>
      </c>
      <c r="I222">
        <v>13.8</v>
      </c>
      <c r="K222">
        <v>6</v>
      </c>
      <c r="L222">
        <v>24</v>
      </c>
    </row>
    <row r="223" spans="1:12" x14ac:dyDescent="0.25">
      <c r="A223" t="s">
        <v>206</v>
      </c>
      <c r="B223" t="s">
        <v>226</v>
      </c>
      <c r="C223" t="s">
        <v>250</v>
      </c>
      <c r="D223">
        <v>1</v>
      </c>
      <c r="E223">
        <v>5</v>
      </c>
      <c r="F223">
        <v>25</v>
      </c>
      <c r="G223">
        <v>8.3000000000000007</v>
      </c>
      <c r="H223">
        <v>5</v>
      </c>
      <c r="I223">
        <v>15</v>
      </c>
      <c r="K223">
        <v>6.8</v>
      </c>
      <c r="L223">
        <v>19</v>
      </c>
    </row>
    <row r="224" spans="1:12" x14ac:dyDescent="0.25">
      <c r="A224" t="s">
        <v>206</v>
      </c>
      <c r="B224" t="s">
        <v>226</v>
      </c>
      <c r="C224" t="s">
        <v>250</v>
      </c>
      <c r="D224">
        <v>1</v>
      </c>
      <c r="E224">
        <v>5</v>
      </c>
      <c r="F224">
        <v>35</v>
      </c>
      <c r="G224">
        <v>8.3000000000000007</v>
      </c>
      <c r="H224">
        <v>5</v>
      </c>
      <c r="I224">
        <v>15</v>
      </c>
      <c r="K224">
        <v>6.8</v>
      </c>
      <c r="L224">
        <v>29</v>
      </c>
    </row>
    <row r="225" spans="1:12" x14ac:dyDescent="0.25">
      <c r="A225" t="s">
        <v>206</v>
      </c>
      <c r="B225" t="s">
        <v>226</v>
      </c>
      <c r="C225" t="s">
        <v>250</v>
      </c>
      <c r="D225">
        <v>1</v>
      </c>
      <c r="E225">
        <v>5</v>
      </c>
      <c r="F225">
        <v>40</v>
      </c>
      <c r="G225">
        <v>8.3000000000000007</v>
      </c>
      <c r="H225">
        <v>5</v>
      </c>
      <c r="I225">
        <v>15</v>
      </c>
      <c r="K225">
        <v>6.8</v>
      </c>
      <c r="L225">
        <v>34</v>
      </c>
    </row>
    <row r="226" spans="1:12" x14ac:dyDescent="0.25">
      <c r="A226" t="s">
        <v>206</v>
      </c>
      <c r="B226" t="s">
        <v>226</v>
      </c>
      <c r="C226" t="s">
        <v>250</v>
      </c>
      <c r="D226">
        <v>1</v>
      </c>
      <c r="E226">
        <v>5</v>
      </c>
      <c r="F226">
        <v>50</v>
      </c>
      <c r="G226">
        <v>8.3000000000000007</v>
      </c>
      <c r="H226">
        <v>5</v>
      </c>
      <c r="I226">
        <v>15</v>
      </c>
      <c r="K226">
        <v>6.8</v>
      </c>
      <c r="L226">
        <v>44</v>
      </c>
    </row>
    <row r="227" spans="1:12" x14ac:dyDescent="0.25">
      <c r="A227" t="s">
        <v>206</v>
      </c>
      <c r="B227" t="s">
        <v>226</v>
      </c>
      <c r="C227" t="s">
        <v>250</v>
      </c>
      <c r="D227">
        <v>1</v>
      </c>
      <c r="E227">
        <v>5</v>
      </c>
      <c r="F227">
        <v>80</v>
      </c>
      <c r="G227">
        <v>8.3000000000000007</v>
      </c>
      <c r="H227">
        <v>5</v>
      </c>
      <c r="I227">
        <v>15</v>
      </c>
      <c r="K227">
        <v>6.8</v>
      </c>
      <c r="L227">
        <v>74</v>
      </c>
    </row>
    <row r="228" spans="1:12" x14ac:dyDescent="0.25">
      <c r="A228" t="s">
        <v>206</v>
      </c>
      <c r="B228" t="s">
        <v>227</v>
      </c>
      <c r="C228" t="s">
        <v>250</v>
      </c>
      <c r="D228">
        <v>3</v>
      </c>
      <c r="E228">
        <v>5</v>
      </c>
      <c r="F228">
        <v>25</v>
      </c>
      <c r="G228">
        <v>8.3000000000000007</v>
      </c>
      <c r="H228">
        <v>5</v>
      </c>
      <c r="I228">
        <v>15</v>
      </c>
      <c r="K228">
        <v>6.8</v>
      </c>
      <c r="L228">
        <v>19</v>
      </c>
    </row>
    <row r="229" spans="1:12" x14ac:dyDescent="0.25">
      <c r="A229" t="s">
        <v>206</v>
      </c>
      <c r="B229" t="s">
        <v>227</v>
      </c>
      <c r="C229" t="s">
        <v>250</v>
      </c>
      <c r="D229">
        <v>3</v>
      </c>
      <c r="E229">
        <v>5</v>
      </c>
      <c r="F229">
        <v>35</v>
      </c>
      <c r="G229">
        <v>8.3000000000000007</v>
      </c>
      <c r="H229">
        <v>5</v>
      </c>
      <c r="I229">
        <v>15</v>
      </c>
      <c r="K229">
        <v>6.8</v>
      </c>
      <c r="L229">
        <v>29</v>
      </c>
    </row>
    <row r="230" spans="1:12" x14ac:dyDescent="0.25">
      <c r="A230" t="s">
        <v>206</v>
      </c>
      <c r="B230" t="s">
        <v>227</v>
      </c>
      <c r="C230" t="s">
        <v>250</v>
      </c>
      <c r="D230">
        <v>3</v>
      </c>
      <c r="E230">
        <v>5</v>
      </c>
      <c r="F230">
        <v>40</v>
      </c>
      <c r="G230">
        <v>8.3000000000000007</v>
      </c>
      <c r="H230">
        <v>5</v>
      </c>
      <c r="I230">
        <v>15</v>
      </c>
      <c r="K230">
        <v>6.8</v>
      </c>
      <c r="L230">
        <v>34</v>
      </c>
    </row>
    <row r="231" spans="1:12" x14ac:dyDescent="0.25">
      <c r="A231" t="s">
        <v>206</v>
      </c>
      <c r="B231" t="s">
        <v>228</v>
      </c>
      <c r="C231" t="s">
        <v>250</v>
      </c>
      <c r="D231">
        <v>3</v>
      </c>
      <c r="E231">
        <v>5</v>
      </c>
      <c r="F231">
        <v>35</v>
      </c>
      <c r="G231">
        <v>8.3000000000000007</v>
      </c>
      <c r="H231">
        <v>5</v>
      </c>
      <c r="I231">
        <v>15</v>
      </c>
      <c r="K231">
        <v>6.8</v>
      </c>
      <c r="L231">
        <v>29</v>
      </c>
    </row>
    <row r="232" spans="1:12" x14ac:dyDescent="0.25">
      <c r="A232" t="s">
        <v>206</v>
      </c>
      <c r="B232" t="s">
        <v>228</v>
      </c>
      <c r="C232" t="s">
        <v>250</v>
      </c>
      <c r="D232">
        <v>3</v>
      </c>
      <c r="E232">
        <v>5</v>
      </c>
      <c r="F232">
        <v>40</v>
      </c>
      <c r="G232">
        <v>8.3000000000000007</v>
      </c>
      <c r="H232">
        <v>5</v>
      </c>
      <c r="I232">
        <v>15</v>
      </c>
      <c r="K232">
        <v>6.8</v>
      </c>
      <c r="L232">
        <v>34</v>
      </c>
    </row>
    <row r="233" spans="1:12" x14ac:dyDescent="0.25">
      <c r="A233" t="s">
        <v>206</v>
      </c>
      <c r="B233" t="s">
        <v>229</v>
      </c>
      <c r="C233" t="s">
        <v>251</v>
      </c>
      <c r="D233">
        <v>3</v>
      </c>
      <c r="E233">
        <v>8</v>
      </c>
      <c r="F233">
        <v>40</v>
      </c>
      <c r="G233">
        <v>13</v>
      </c>
      <c r="H233">
        <v>32.6</v>
      </c>
      <c r="I233">
        <v>14.1</v>
      </c>
      <c r="J233">
        <v>27.3</v>
      </c>
      <c r="K233">
        <v>22.1</v>
      </c>
      <c r="L233">
        <v>32</v>
      </c>
    </row>
    <row r="234" spans="1:12" x14ac:dyDescent="0.25">
      <c r="A234" t="s">
        <v>206</v>
      </c>
      <c r="B234" t="s">
        <v>229</v>
      </c>
      <c r="C234" t="s">
        <v>251</v>
      </c>
      <c r="D234">
        <v>3</v>
      </c>
      <c r="E234">
        <v>8</v>
      </c>
      <c r="F234">
        <v>60</v>
      </c>
      <c r="G234">
        <v>13</v>
      </c>
      <c r="H234">
        <v>32.6</v>
      </c>
      <c r="I234">
        <v>14.1</v>
      </c>
      <c r="J234">
        <v>27.3</v>
      </c>
      <c r="K234">
        <v>22.1</v>
      </c>
      <c r="L234">
        <v>42</v>
      </c>
    </row>
    <row r="235" spans="1:12" x14ac:dyDescent="0.25">
      <c r="A235" t="s">
        <v>206</v>
      </c>
      <c r="B235" t="s">
        <v>229</v>
      </c>
      <c r="C235" t="s">
        <v>251</v>
      </c>
      <c r="D235">
        <v>3</v>
      </c>
      <c r="E235">
        <v>8</v>
      </c>
      <c r="F235">
        <v>80</v>
      </c>
      <c r="G235">
        <v>13</v>
      </c>
      <c r="H235">
        <v>32.6</v>
      </c>
      <c r="I235">
        <v>14.1</v>
      </c>
      <c r="J235">
        <v>27.3</v>
      </c>
      <c r="K235">
        <v>22.1</v>
      </c>
      <c r="L235">
        <v>42</v>
      </c>
    </row>
    <row r="236" spans="1:12" x14ac:dyDescent="0.25">
      <c r="A236" t="s">
        <v>206</v>
      </c>
      <c r="B236" t="s">
        <v>229</v>
      </c>
      <c r="C236" t="s">
        <v>251</v>
      </c>
      <c r="D236">
        <v>3</v>
      </c>
      <c r="E236">
        <v>10</v>
      </c>
      <c r="F236">
        <v>40</v>
      </c>
      <c r="G236">
        <v>15</v>
      </c>
      <c r="H236">
        <v>43.5</v>
      </c>
      <c r="I236">
        <v>12.6</v>
      </c>
      <c r="J236">
        <v>25.8</v>
      </c>
      <c r="K236">
        <v>32.299999999999997</v>
      </c>
      <c r="L236">
        <v>32</v>
      </c>
    </row>
    <row r="237" spans="1:12" x14ac:dyDescent="0.25">
      <c r="A237" t="s">
        <v>206</v>
      </c>
      <c r="B237" t="s">
        <v>229</v>
      </c>
      <c r="C237" t="s">
        <v>251</v>
      </c>
      <c r="D237">
        <v>3</v>
      </c>
      <c r="E237">
        <v>10</v>
      </c>
      <c r="F237">
        <v>60</v>
      </c>
      <c r="G237">
        <v>15</v>
      </c>
      <c r="H237">
        <v>43.5</v>
      </c>
      <c r="I237">
        <v>12.6</v>
      </c>
      <c r="J237">
        <v>25.8</v>
      </c>
      <c r="K237">
        <v>32.299999999999997</v>
      </c>
      <c r="L237">
        <v>42</v>
      </c>
    </row>
    <row r="238" spans="1:12" x14ac:dyDescent="0.25">
      <c r="A238" t="s">
        <v>206</v>
      </c>
      <c r="B238" t="s">
        <v>229</v>
      </c>
      <c r="C238" t="s">
        <v>251</v>
      </c>
      <c r="D238">
        <v>3</v>
      </c>
      <c r="E238">
        <v>10</v>
      </c>
      <c r="F238">
        <v>80</v>
      </c>
      <c r="G238">
        <v>15</v>
      </c>
      <c r="H238">
        <v>43.5</v>
      </c>
      <c r="I238">
        <v>12.6</v>
      </c>
      <c r="J238">
        <v>25.8</v>
      </c>
      <c r="K238">
        <v>32.299999999999997</v>
      </c>
      <c r="L238">
        <v>42</v>
      </c>
    </row>
    <row r="239" spans="1:12" x14ac:dyDescent="0.25">
      <c r="A239" t="s">
        <v>206</v>
      </c>
      <c r="B239" t="s">
        <v>230</v>
      </c>
      <c r="C239" t="s">
        <v>252</v>
      </c>
      <c r="D239">
        <v>3</v>
      </c>
      <c r="E239">
        <v>6</v>
      </c>
      <c r="F239">
        <v>40</v>
      </c>
      <c r="G239">
        <v>10</v>
      </c>
      <c r="H239">
        <v>12.4</v>
      </c>
      <c r="I239">
        <v>16.899999999999999</v>
      </c>
      <c r="J239">
        <v>31.8</v>
      </c>
      <c r="K239">
        <v>12.8</v>
      </c>
      <c r="L239">
        <v>23</v>
      </c>
    </row>
    <row r="240" spans="1:12" x14ac:dyDescent="0.25">
      <c r="A240" t="s">
        <v>206</v>
      </c>
      <c r="B240" t="s">
        <v>230</v>
      </c>
      <c r="C240" t="s">
        <v>252</v>
      </c>
      <c r="D240">
        <v>3</v>
      </c>
      <c r="E240">
        <v>6</v>
      </c>
      <c r="F240">
        <v>50</v>
      </c>
      <c r="G240">
        <v>10</v>
      </c>
      <c r="H240">
        <v>12.4</v>
      </c>
      <c r="I240">
        <v>16.899999999999999</v>
      </c>
      <c r="J240">
        <v>31.8</v>
      </c>
      <c r="K240">
        <v>12.8</v>
      </c>
      <c r="L240">
        <v>33</v>
      </c>
    </row>
    <row r="241" spans="1:25" x14ac:dyDescent="0.25">
      <c r="A241" t="s">
        <v>206</v>
      </c>
      <c r="B241" t="s">
        <v>230</v>
      </c>
      <c r="C241" t="s">
        <v>252</v>
      </c>
      <c r="D241">
        <v>3</v>
      </c>
      <c r="E241">
        <v>6</v>
      </c>
      <c r="F241">
        <v>60</v>
      </c>
      <c r="G241">
        <v>10</v>
      </c>
      <c r="H241">
        <v>12.4</v>
      </c>
      <c r="I241">
        <v>16.899999999999999</v>
      </c>
      <c r="J241">
        <v>31.8</v>
      </c>
      <c r="K241">
        <v>12.8</v>
      </c>
      <c r="L241">
        <v>42</v>
      </c>
    </row>
    <row r="242" spans="1:25" x14ac:dyDescent="0.25">
      <c r="A242" t="s">
        <v>206</v>
      </c>
      <c r="B242" t="s">
        <v>230</v>
      </c>
      <c r="C242" t="s">
        <v>252</v>
      </c>
      <c r="D242">
        <v>3</v>
      </c>
      <c r="E242">
        <v>6</v>
      </c>
      <c r="F242">
        <v>75</v>
      </c>
      <c r="G242">
        <v>10</v>
      </c>
      <c r="H242">
        <v>12.4</v>
      </c>
      <c r="I242">
        <v>16.899999999999999</v>
      </c>
      <c r="J242">
        <v>31.8</v>
      </c>
      <c r="K242">
        <v>12.8</v>
      </c>
      <c r="L242">
        <v>42</v>
      </c>
      <c r="Y242">
        <v>100</v>
      </c>
    </row>
    <row r="243" spans="1:25" x14ac:dyDescent="0.25">
      <c r="A243" t="s">
        <v>206</v>
      </c>
      <c r="B243" t="s">
        <v>230</v>
      </c>
      <c r="C243" t="s">
        <v>252</v>
      </c>
      <c r="D243">
        <v>3</v>
      </c>
      <c r="E243">
        <v>6</v>
      </c>
      <c r="F243">
        <v>90</v>
      </c>
      <c r="G243">
        <v>10</v>
      </c>
      <c r="H243">
        <v>12.4</v>
      </c>
      <c r="I243">
        <v>16.899999999999999</v>
      </c>
      <c r="J243">
        <v>31.8</v>
      </c>
      <c r="K243">
        <v>12.8</v>
      </c>
      <c r="L243">
        <v>42</v>
      </c>
      <c r="Y243">
        <v>100</v>
      </c>
    </row>
    <row r="244" spans="1:25" x14ac:dyDescent="0.25">
      <c r="A244" t="s">
        <v>206</v>
      </c>
      <c r="B244" t="s">
        <v>230</v>
      </c>
      <c r="C244" t="s">
        <v>252</v>
      </c>
      <c r="D244">
        <v>3</v>
      </c>
      <c r="E244">
        <v>6</v>
      </c>
      <c r="F244">
        <v>120</v>
      </c>
      <c r="G244">
        <v>10</v>
      </c>
      <c r="H244">
        <v>12.4</v>
      </c>
      <c r="I244">
        <v>16.899999999999999</v>
      </c>
      <c r="J244">
        <v>31.8</v>
      </c>
      <c r="K244">
        <v>12.8</v>
      </c>
      <c r="L244">
        <v>75</v>
      </c>
      <c r="Y244">
        <v>100</v>
      </c>
    </row>
    <row r="245" spans="1:25" x14ac:dyDescent="0.25">
      <c r="A245" t="s">
        <v>206</v>
      </c>
      <c r="B245" t="s">
        <v>230</v>
      </c>
      <c r="C245" t="s">
        <v>252</v>
      </c>
      <c r="D245">
        <v>3</v>
      </c>
      <c r="E245">
        <v>8</v>
      </c>
      <c r="F245">
        <v>40</v>
      </c>
      <c r="G245">
        <v>13</v>
      </c>
      <c r="H245">
        <v>29.4</v>
      </c>
      <c r="I245">
        <v>15.6</v>
      </c>
      <c r="J245">
        <v>22</v>
      </c>
      <c r="K245">
        <v>23.2</v>
      </c>
      <c r="L245">
        <v>32</v>
      </c>
      <c r="Y245">
        <v>100</v>
      </c>
    </row>
    <row r="246" spans="1:25" x14ac:dyDescent="0.25">
      <c r="A246" t="s">
        <v>206</v>
      </c>
      <c r="B246" t="s">
        <v>230</v>
      </c>
      <c r="C246" t="s">
        <v>252</v>
      </c>
      <c r="D246">
        <v>3</v>
      </c>
      <c r="E246">
        <v>8</v>
      </c>
      <c r="F246">
        <v>50</v>
      </c>
      <c r="G246">
        <v>13</v>
      </c>
      <c r="H246">
        <v>29.4</v>
      </c>
      <c r="I246">
        <v>15.6</v>
      </c>
      <c r="J246">
        <v>22</v>
      </c>
      <c r="K246">
        <v>23.2</v>
      </c>
      <c r="L246">
        <v>42</v>
      </c>
      <c r="Y246">
        <v>100</v>
      </c>
    </row>
    <row r="247" spans="1:25" x14ac:dyDescent="0.25">
      <c r="A247" t="s">
        <v>206</v>
      </c>
      <c r="B247" t="s">
        <v>230</v>
      </c>
      <c r="C247" t="s">
        <v>252</v>
      </c>
      <c r="D247">
        <v>3</v>
      </c>
      <c r="E247">
        <v>8</v>
      </c>
      <c r="F247">
        <v>60</v>
      </c>
      <c r="G247">
        <v>13</v>
      </c>
      <c r="H247">
        <v>29.4</v>
      </c>
      <c r="I247">
        <v>15.6</v>
      </c>
      <c r="J247">
        <v>22</v>
      </c>
      <c r="K247">
        <v>23.2</v>
      </c>
      <c r="L247">
        <v>42</v>
      </c>
      <c r="Y247">
        <v>100</v>
      </c>
    </row>
    <row r="248" spans="1:25" x14ac:dyDescent="0.25">
      <c r="A248" t="s">
        <v>206</v>
      </c>
      <c r="B248" t="s">
        <v>230</v>
      </c>
      <c r="C248" t="s">
        <v>252</v>
      </c>
      <c r="D248">
        <v>3</v>
      </c>
      <c r="E248">
        <v>8</v>
      </c>
      <c r="F248">
        <v>80</v>
      </c>
      <c r="G248">
        <v>13</v>
      </c>
      <c r="H248">
        <v>29.4</v>
      </c>
      <c r="I248">
        <v>15.6</v>
      </c>
      <c r="J248">
        <v>22</v>
      </c>
      <c r="K248">
        <v>23.2</v>
      </c>
      <c r="L248">
        <v>42</v>
      </c>
      <c r="Y248">
        <v>50</v>
      </c>
    </row>
    <row r="249" spans="1:25" x14ac:dyDescent="0.25">
      <c r="A249" t="s">
        <v>206</v>
      </c>
      <c r="B249" t="s">
        <v>230</v>
      </c>
      <c r="C249" t="s">
        <v>252</v>
      </c>
      <c r="D249">
        <v>3</v>
      </c>
      <c r="E249">
        <v>8</v>
      </c>
      <c r="F249">
        <v>90</v>
      </c>
      <c r="G249">
        <v>13</v>
      </c>
      <c r="H249">
        <v>29.4</v>
      </c>
      <c r="I249">
        <v>15.6</v>
      </c>
      <c r="J249">
        <v>22</v>
      </c>
      <c r="K249">
        <v>23.2</v>
      </c>
      <c r="L249">
        <v>42</v>
      </c>
      <c r="Y249">
        <v>50</v>
      </c>
    </row>
    <row r="250" spans="1:25" x14ac:dyDescent="0.25">
      <c r="A250" t="s">
        <v>206</v>
      </c>
      <c r="B250" t="s">
        <v>230</v>
      </c>
      <c r="C250" t="s">
        <v>252</v>
      </c>
      <c r="D250">
        <v>3</v>
      </c>
      <c r="E250">
        <v>8</v>
      </c>
      <c r="F250">
        <v>100</v>
      </c>
      <c r="G250">
        <v>13</v>
      </c>
      <c r="H250">
        <v>29.4</v>
      </c>
      <c r="I250">
        <v>15.6</v>
      </c>
      <c r="J250">
        <v>22</v>
      </c>
      <c r="K250">
        <v>23.2</v>
      </c>
      <c r="L250">
        <v>55</v>
      </c>
      <c r="Y250">
        <v>50</v>
      </c>
    </row>
    <row r="251" spans="1:25" x14ac:dyDescent="0.25">
      <c r="A251" t="s">
        <v>206</v>
      </c>
      <c r="B251" t="s">
        <v>230</v>
      </c>
      <c r="C251" t="s">
        <v>252</v>
      </c>
      <c r="D251">
        <v>3</v>
      </c>
      <c r="E251">
        <v>8</v>
      </c>
      <c r="F251">
        <v>120</v>
      </c>
      <c r="G251">
        <v>13</v>
      </c>
      <c r="H251">
        <v>29.4</v>
      </c>
      <c r="I251">
        <v>15.6</v>
      </c>
      <c r="J251">
        <v>22</v>
      </c>
      <c r="K251">
        <v>23.2</v>
      </c>
      <c r="L251">
        <v>85</v>
      </c>
      <c r="Y251">
        <v>50</v>
      </c>
    </row>
    <row r="252" spans="1:25" x14ac:dyDescent="0.25">
      <c r="A252" t="s">
        <v>206</v>
      </c>
      <c r="B252" t="s">
        <v>230</v>
      </c>
      <c r="C252" t="s">
        <v>252</v>
      </c>
      <c r="D252">
        <v>3</v>
      </c>
      <c r="E252">
        <v>8</v>
      </c>
      <c r="F252">
        <v>140</v>
      </c>
      <c r="G252">
        <v>13</v>
      </c>
      <c r="H252">
        <v>29.4</v>
      </c>
      <c r="I252">
        <v>15.6</v>
      </c>
      <c r="J252">
        <v>22</v>
      </c>
      <c r="K252">
        <v>23.2</v>
      </c>
      <c r="L252">
        <v>85</v>
      </c>
      <c r="Y252">
        <v>50</v>
      </c>
    </row>
    <row r="253" spans="1:25" x14ac:dyDescent="0.25">
      <c r="A253" t="s">
        <v>206</v>
      </c>
      <c r="B253" t="s">
        <v>230</v>
      </c>
      <c r="C253" t="s">
        <v>252</v>
      </c>
      <c r="D253">
        <v>3</v>
      </c>
      <c r="E253">
        <v>10</v>
      </c>
      <c r="F253">
        <v>40</v>
      </c>
      <c r="G253">
        <v>15</v>
      </c>
      <c r="H253">
        <v>50.3</v>
      </c>
      <c r="I253">
        <v>13.2</v>
      </c>
      <c r="J253">
        <v>20.100000000000001</v>
      </c>
      <c r="K253">
        <v>32</v>
      </c>
      <c r="L253">
        <v>32</v>
      </c>
      <c r="Y253">
        <v>50</v>
      </c>
    </row>
    <row r="254" spans="1:25" x14ac:dyDescent="0.25">
      <c r="A254" t="s">
        <v>206</v>
      </c>
      <c r="B254" t="s">
        <v>230</v>
      </c>
      <c r="C254" t="s">
        <v>252</v>
      </c>
      <c r="D254">
        <v>3</v>
      </c>
      <c r="E254">
        <v>10</v>
      </c>
      <c r="F254">
        <v>50</v>
      </c>
      <c r="G254">
        <v>15</v>
      </c>
      <c r="H254">
        <v>50.3</v>
      </c>
      <c r="I254">
        <v>13.2</v>
      </c>
      <c r="J254">
        <v>20.100000000000001</v>
      </c>
      <c r="K254">
        <v>32</v>
      </c>
      <c r="L254">
        <v>42</v>
      </c>
      <c r="Y254">
        <v>50</v>
      </c>
    </row>
    <row r="255" spans="1:25" x14ac:dyDescent="0.25">
      <c r="A255" t="s">
        <v>206</v>
      </c>
      <c r="B255" t="s">
        <v>230</v>
      </c>
      <c r="C255" t="s">
        <v>252</v>
      </c>
      <c r="D255">
        <v>3</v>
      </c>
      <c r="E255">
        <v>10</v>
      </c>
      <c r="F255">
        <v>60</v>
      </c>
      <c r="G255">
        <v>15</v>
      </c>
      <c r="H255">
        <v>50.3</v>
      </c>
      <c r="I255">
        <v>13.2</v>
      </c>
      <c r="J255">
        <v>20.100000000000001</v>
      </c>
      <c r="K255">
        <v>32</v>
      </c>
      <c r="L255">
        <v>42</v>
      </c>
      <c r="Y255">
        <v>50</v>
      </c>
    </row>
    <row r="256" spans="1:25" x14ac:dyDescent="0.25">
      <c r="A256" t="s">
        <v>206</v>
      </c>
      <c r="B256" t="s">
        <v>230</v>
      </c>
      <c r="C256" t="s">
        <v>252</v>
      </c>
      <c r="D256">
        <v>3</v>
      </c>
      <c r="E256">
        <v>10</v>
      </c>
      <c r="F256">
        <v>80</v>
      </c>
      <c r="G256">
        <v>15</v>
      </c>
      <c r="H256">
        <v>50.3</v>
      </c>
      <c r="I256">
        <v>13.2</v>
      </c>
      <c r="J256">
        <v>20.100000000000001</v>
      </c>
      <c r="K256">
        <v>32</v>
      </c>
      <c r="L256">
        <v>42</v>
      </c>
      <c r="Y256">
        <v>50</v>
      </c>
    </row>
    <row r="257" spans="1:25" x14ac:dyDescent="0.25">
      <c r="A257" t="s">
        <v>206</v>
      </c>
      <c r="B257" t="s">
        <v>230</v>
      </c>
      <c r="C257" t="s">
        <v>252</v>
      </c>
      <c r="D257">
        <v>3</v>
      </c>
      <c r="E257">
        <v>10</v>
      </c>
      <c r="F257">
        <v>90</v>
      </c>
      <c r="G257">
        <v>15</v>
      </c>
      <c r="H257">
        <v>50.3</v>
      </c>
      <c r="I257">
        <v>13.2</v>
      </c>
      <c r="J257">
        <v>20.100000000000001</v>
      </c>
      <c r="K257">
        <v>32</v>
      </c>
      <c r="L257">
        <v>42</v>
      </c>
      <c r="Y257">
        <v>50</v>
      </c>
    </row>
    <row r="258" spans="1:25" x14ac:dyDescent="0.25">
      <c r="A258" t="s">
        <v>206</v>
      </c>
      <c r="B258" t="s">
        <v>230</v>
      </c>
      <c r="C258" t="s">
        <v>252</v>
      </c>
      <c r="D258">
        <v>3</v>
      </c>
      <c r="E258">
        <v>10</v>
      </c>
      <c r="F258">
        <v>100</v>
      </c>
      <c r="G258">
        <v>15</v>
      </c>
      <c r="H258">
        <v>50.3</v>
      </c>
      <c r="I258">
        <v>13.2</v>
      </c>
      <c r="J258">
        <v>20.100000000000001</v>
      </c>
      <c r="K258">
        <v>32</v>
      </c>
      <c r="L258">
        <v>55</v>
      </c>
      <c r="Y258">
        <v>50</v>
      </c>
    </row>
    <row r="259" spans="1:25" x14ac:dyDescent="0.25">
      <c r="A259" t="s">
        <v>206</v>
      </c>
      <c r="B259" t="s">
        <v>230</v>
      </c>
      <c r="C259" t="s">
        <v>252</v>
      </c>
      <c r="D259">
        <v>3</v>
      </c>
      <c r="E259">
        <v>10</v>
      </c>
      <c r="F259">
        <v>120</v>
      </c>
      <c r="G259">
        <v>15</v>
      </c>
      <c r="H259">
        <v>50.3</v>
      </c>
      <c r="I259">
        <v>13.2</v>
      </c>
      <c r="J259">
        <v>20.100000000000001</v>
      </c>
      <c r="K259">
        <v>32</v>
      </c>
      <c r="L259">
        <v>85</v>
      </c>
      <c r="Y259">
        <v>50</v>
      </c>
    </row>
    <row r="260" spans="1:25" x14ac:dyDescent="0.25">
      <c r="A260" t="s">
        <v>206</v>
      </c>
      <c r="B260" t="s">
        <v>230</v>
      </c>
      <c r="C260" t="s">
        <v>252</v>
      </c>
      <c r="D260">
        <v>3</v>
      </c>
      <c r="E260">
        <v>10</v>
      </c>
      <c r="F260">
        <v>140</v>
      </c>
      <c r="G260">
        <v>15</v>
      </c>
      <c r="H260">
        <v>50.3</v>
      </c>
      <c r="I260">
        <v>13.2</v>
      </c>
      <c r="J260">
        <v>20.100000000000001</v>
      </c>
      <c r="K260">
        <v>32</v>
      </c>
      <c r="L260">
        <v>85</v>
      </c>
      <c r="Y260">
        <v>50</v>
      </c>
    </row>
    <row r="261" spans="1:25" x14ac:dyDescent="0.25">
      <c r="A261" t="s">
        <v>206</v>
      </c>
      <c r="B261" t="s">
        <v>230</v>
      </c>
      <c r="C261" t="s">
        <v>252</v>
      </c>
      <c r="D261">
        <v>3</v>
      </c>
      <c r="E261">
        <v>10</v>
      </c>
      <c r="F261">
        <v>160</v>
      </c>
      <c r="G261">
        <v>15</v>
      </c>
      <c r="H261">
        <v>50.3</v>
      </c>
      <c r="I261">
        <v>13.2</v>
      </c>
      <c r="J261">
        <v>20.100000000000001</v>
      </c>
      <c r="K261">
        <v>32</v>
      </c>
      <c r="L261">
        <v>110</v>
      </c>
      <c r="Y261">
        <v>50</v>
      </c>
    </row>
    <row r="262" spans="1:25" x14ac:dyDescent="0.25">
      <c r="A262" t="s">
        <v>206</v>
      </c>
      <c r="B262" t="s">
        <v>230</v>
      </c>
      <c r="C262" t="s">
        <v>252</v>
      </c>
      <c r="D262">
        <v>3</v>
      </c>
      <c r="E262">
        <v>10</v>
      </c>
      <c r="F262">
        <v>180</v>
      </c>
      <c r="G262">
        <v>15</v>
      </c>
      <c r="H262">
        <v>50.3</v>
      </c>
      <c r="I262">
        <v>13.2</v>
      </c>
      <c r="J262">
        <v>20.100000000000001</v>
      </c>
      <c r="K262">
        <v>32</v>
      </c>
      <c r="L262">
        <v>110</v>
      </c>
      <c r="Y262">
        <v>50</v>
      </c>
    </row>
    <row r="263" spans="1:25" x14ac:dyDescent="0.25">
      <c r="A263" t="s">
        <v>206</v>
      </c>
      <c r="B263" t="s">
        <v>230</v>
      </c>
      <c r="C263" t="s">
        <v>252</v>
      </c>
      <c r="D263">
        <v>3</v>
      </c>
      <c r="E263">
        <v>12</v>
      </c>
      <c r="F263">
        <v>60</v>
      </c>
      <c r="G263">
        <v>17</v>
      </c>
      <c r="H263">
        <v>67.099999999999994</v>
      </c>
      <c r="I263">
        <v>12.1</v>
      </c>
      <c r="J263">
        <v>18.5</v>
      </c>
      <c r="K263">
        <v>39.6</v>
      </c>
      <c r="L263">
        <v>48</v>
      </c>
      <c r="Y263">
        <v>50</v>
      </c>
    </row>
    <row r="264" spans="1:25" x14ac:dyDescent="0.25">
      <c r="A264" t="s">
        <v>206</v>
      </c>
      <c r="B264" t="s">
        <v>230</v>
      </c>
      <c r="C264" t="s">
        <v>252</v>
      </c>
      <c r="D264">
        <v>3</v>
      </c>
      <c r="E264">
        <v>12</v>
      </c>
      <c r="F264">
        <v>80</v>
      </c>
      <c r="G264">
        <v>17</v>
      </c>
      <c r="H264">
        <v>67.099999999999994</v>
      </c>
      <c r="I264">
        <v>12.1</v>
      </c>
      <c r="J264">
        <v>18.5</v>
      </c>
      <c r="K264">
        <v>39.6</v>
      </c>
      <c r="L264">
        <v>48</v>
      </c>
      <c r="Y264">
        <v>50</v>
      </c>
    </row>
    <row r="265" spans="1:25" x14ac:dyDescent="0.25">
      <c r="A265" t="s">
        <v>206</v>
      </c>
      <c r="B265" t="s">
        <v>230</v>
      </c>
      <c r="C265" t="s">
        <v>252</v>
      </c>
      <c r="D265">
        <v>3</v>
      </c>
      <c r="E265">
        <v>12</v>
      </c>
      <c r="F265">
        <v>90</v>
      </c>
      <c r="G265">
        <v>17</v>
      </c>
      <c r="H265">
        <v>67.099999999999994</v>
      </c>
      <c r="I265">
        <v>12.1</v>
      </c>
      <c r="J265">
        <v>18.5</v>
      </c>
      <c r="K265">
        <v>39.6</v>
      </c>
      <c r="L265">
        <v>48</v>
      </c>
      <c r="Y265">
        <v>50</v>
      </c>
    </row>
    <row r="266" spans="1:25" x14ac:dyDescent="0.25">
      <c r="A266" t="s">
        <v>206</v>
      </c>
      <c r="B266" t="s">
        <v>230</v>
      </c>
      <c r="C266" t="s">
        <v>252</v>
      </c>
      <c r="D266">
        <v>3</v>
      </c>
      <c r="E266">
        <v>12</v>
      </c>
      <c r="F266">
        <v>100</v>
      </c>
      <c r="G266">
        <v>17</v>
      </c>
      <c r="H266">
        <v>67.099999999999994</v>
      </c>
      <c r="I266">
        <v>12.1</v>
      </c>
      <c r="J266">
        <v>18.5</v>
      </c>
      <c r="K266">
        <v>39.6</v>
      </c>
      <c r="L266">
        <v>55</v>
      </c>
      <c r="Y266">
        <v>25</v>
      </c>
    </row>
    <row r="267" spans="1:25" x14ac:dyDescent="0.25">
      <c r="A267" t="s">
        <v>206</v>
      </c>
      <c r="B267" t="s">
        <v>230</v>
      </c>
      <c r="C267" t="s">
        <v>252</v>
      </c>
      <c r="D267">
        <v>3</v>
      </c>
      <c r="E267">
        <v>12</v>
      </c>
      <c r="F267">
        <v>120</v>
      </c>
      <c r="G267">
        <v>17</v>
      </c>
      <c r="H267">
        <v>67.099999999999994</v>
      </c>
      <c r="I267">
        <v>12.1</v>
      </c>
      <c r="J267">
        <v>18.5</v>
      </c>
      <c r="K267">
        <v>39.6</v>
      </c>
      <c r="L267">
        <v>85</v>
      </c>
      <c r="Y267">
        <v>25</v>
      </c>
    </row>
    <row r="268" spans="1:25" x14ac:dyDescent="0.25">
      <c r="A268" t="s">
        <v>206</v>
      </c>
      <c r="B268" t="s">
        <v>230</v>
      </c>
      <c r="C268" t="s">
        <v>252</v>
      </c>
      <c r="D268">
        <v>3</v>
      </c>
      <c r="E268">
        <v>12</v>
      </c>
      <c r="F268">
        <v>140</v>
      </c>
      <c r="G268">
        <v>17</v>
      </c>
      <c r="H268">
        <v>67.099999999999994</v>
      </c>
      <c r="I268">
        <v>12.1</v>
      </c>
      <c r="J268">
        <v>18.5</v>
      </c>
      <c r="K268">
        <v>39.6</v>
      </c>
      <c r="L268">
        <v>85</v>
      </c>
      <c r="Y268">
        <v>25</v>
      </c>
    </row>
    <row r="269" spans="1:25" x14ac:dyDescent="0.25">
      <c r="A269" t="s">
        <v>206</v>
      </c>
      <c r="B269" t="s">
        <v>230</v>
      </c>
      <c r="C269" t="s">
        <v>252</v>
      </c>
      <c r="D269">
        <v>3</v>
      </c>
      <c r="E269">
        <v>12</v>
      </c>
      <c r="F269">
        <v>160</v>
      </c>
      <c r="G269">
        <v>17</v>
      </c>
      <c r="H269">
        <v>67.099999999999994</v>
      </c>
      <c r="I269">
        <v>12.1</v>
      </c>
      <c r="J269">
        <v>18.5</v>
      </c>
      <c r="K269">
        <v>39.6</v>
      </c>
      <c r="L269">
        <v>110</v>
      </c>
      <c r="Y269">
        <v>25</v>
      </c>
    </row>
    <row r="270" spans="1:25" x14ac:dyDescent="0.25">
      <c r="A270" t="s">
        <v>206</v>
      </c>
      <c r="B270" t="s">
        <v>230</v>
      </c>
      <c r="C270" t="s">
        <v>252</v>
      </c>
      <c r="D270">
        <v>3</v>
      </c>
      <c r="E270">
        <v>12</v>
      </c>
      <c r="F270">
        <v>180</v>
      </c>
      <c r="G270">
        <v>17</v>
      </c>
      <c r="H270">
        <v>67.099999999999994</v>
      </c>
      <c r="I270">
        <v>12.1</v>
      </c>
      <c r="J270">
        <v>18.5</v>
      </c>
      <c r="K270">
        <v>39.6</v>
      </c>
      <c r="L270">
        <v>110</v>
      </c>
      <c r="Y270">
        <v>25</v>
      </c>
    </row>
    <row r="271" spans="1:25" x14ac:dyDescent="0.25">
      <c r="A271" t="s">
        <v>206</v>
      </c>
      <c r="B271" t="s">
        <v>230</v>
      </c>
      <c r="C271" t="s">
        <v>252</v>
      </c>
      <c r="D271">
        <v>3</v>
      </c>
      <c r="E271">
        <v>12</v>
      </c>
      <c r="F271">
        <v>200</v>
      </c>
      <c r="G271">
        <v>17</v>
      </c>
      <c r="H271">
        <v>67.099999999999994</v>
      </c>
      <c r="I271">
        <v>12.1</v>
      </c>
      <c r="J271">
        <v>18.5</v>
      </c>
      <c r="K271">
        <v>39.6</v>
      </c>
      <c r="L271">
        <v>110</v>
      </c>
      <c r="Y271">
        <v>25</v>
      </c>
    </row>
    <row r="272" spans="1:25" x14ac:dyDescent="0.25">
      <c r="Y272">
        <v>25</v>
      </c>
    </row>
    <row r="273" spans="25:25" x14ac:dyDescent="0.25">
      <c r="Y273">
        <v>25</v>
      </c>
    </row>
    <row r="274" spans="25:25" x14ac:dyDescent="0.25">
      <c r="Y274">
        <v>25</v>
      </c>
    </row>
  </sheetData>
  <autoFilter ref="A1:Y274" xr:uid="{00000000-0009-0000-0000-000003000000}"/>
  <pageMargins left="0.7" right="0.7" top="0.75" bottom="0.75" header="0.3" footer="0.3"/>
  <pageSetup paperSize="9" orientation="portrait" horizontalDpi="30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448E9-F0D8-4AF1-A3DF-7D01E47A7E30}">
  <sheetPr>
    <tabColor theme="6" tint="-0.499984740745262"/>
  </sheetPr>
  <dimension ref="A1:P488"/>
  <sheetViews>
    <sheetView workbookViewId="0">
      <pane ySplit="1" topLeftCell="A482" activePane="bottomLeft" state="frozen"/>
      <selection pane="bottomLeft" activeCell="A2" sqref="A2:P488"/>
    </sheetView>
  </sheetViews>
  <sheetFormatPr baseColWidth="10" defaultRowHeight="15" x14ac:dyDescent="0.25"/>
  <cols>
    <col min="3" max="3" width="22.85546875" bestFit="1" customWidth="1"/>
    <col min="4" max="4" width="37.140625" customWidth="1"/>
  </cols>
  <sheetData>
    <row r="1" spans="1:16" ht="45" x14ac:dyDescent="0.25">
      <c r="A1" s="74" t="s">
        <v>1</v>
      </c>
      <c r="B1" s="74" t="s">
        <v>424</v>
      </c>
      <c r="C1" s="74" t="s">
        <v>468</v>
      </c>
      <c r="D1" s="75" t="s">
        <v>469</v>
      </c>
      <c r="E1" s="75" t="s">
        <v>232</v>
      </c>
      <c r="F1" s="74" t="s">
        <v>18</v>
      </c>
      <c r="G1" s="74" t="s">
        <v>20</v>
      </c>
      <c r="H1" s="74" t="s">
        <v>22</v>
      </c>
      <c r="I1" s="75" t="s">
        <v>215</v>
      </c>
      <c r="J1" s="75" t="s">
        <v>214</v>
      </c>
      <c r="K1" s="75" t="s">
        <v>171</v>
      </c>
      <c r="L1" s="75" t="s">
        <v>172</v>
      </c>
      <c r="M1" s="74" t="s">
        <v>325</v>
      </c>
      <c r="N1" s="74" t="s">
        <v>326</v>
      </c>
      <c r="O1" s="74" t="s">
        <v>414</v>
      </c>
      <c r="P1" s="74" t="s">
        <v>471</v>
      </c>
    </row>
    <row r="2" spans="1:16" x14ac:dyDescent="0.25">
      <c r="A2" t="s">
        <v>344</v>
      </c>
      <c r="B2" t="s">
        <v>495</v>
      </c>
      <c r="C2" t="s">
        <v>501</v>
      </c>
      <c r="D2" t="s">
        <v>493</v>
      </c>
      <c r="E2">
        <v>1</v>
      </c>
      <c r="F2">
        <v>4</v>
      </c>
      <c r="G2">
        <v>30</v>
      </c>
      <c r="H2">
        <v>8</v>
      </c>
      <c r="I2">
        <v>3.1</v>
      </c>
      <c r="J2">
        <v>14.3</v>
      </c>
      <c r="K2">
        <v>17.100000000000001</v>
      </c>
      <c r="L2">
        <v>5</v>
      </c>
      <c r="M2">
        <v>20</v>
      </c>
    </row>
    <row r="3" spans="1:16" x14ac:dyDescent="0.25">
      <c r="A3" t="s">
        <v>344</v>
      </c>
      <c r="B3" t="s">
        <v>495</v>
      </c>
      <c r="C3" t="s">
        <v>501</v>
      </c>
      <c r="D3" t="s">
        <v>493</v>
      </c>
      <c r="E3">
        <v>1</v>
      </c>
      <c r="F3">
        <v>4</v>
      </c>
      <c r="G3">
        <v>35</v>
      </c>
      <c r="H3">
        <v>8</v>
      </c>
      <c r="I3">
        <v>3.1</v>
      </c>
      <c r="J3">
        <v>14.3</v>
      </c>
      <c r="K3">
        <v>17.100000000000001</v>
      </c>
      <c r="L3">
        <v>5</v>
      </c>
      <c r="M3">
        <v>20</v>
      </c>
    </row>
    <row r="4" spans="1:16" x14ac:dyDescent="0.25">
      <c r="A4" t="s">
        <v>344</v>
      </c>
      <c r="B4" t="s">
        <v>495</v>
      </c>
      <c r="C4" t="s">
        <v>501</v>
      </c>
      <c r="D4" t="s">
        <v>493</v>
      </c>
      <c r="E4">
        <v>1</v>
      </c>
      <c r="F4">
        <v>4</v>
      </c>
      <c r="G4">
        <v>40</v>
      </c>
      <c r="H4">
        <v>8</v>
      </c>
      <c r="I4">
        <v>3.1</v>
      </c>
      <c r="J4">
        <v>14.3</v>
      </c>
      <c r="K4">
        <v>17.100000000000001</v>
      </c>
      <c r="L4">
        <v>5</v>
      </c>
      <c r="M4">
        <v>25</v>
      </c>
    </row>
    <row r="5" spans="1:16" x14ac:dyDescent="0.25">
      <c r="A5" t="s">
        <v>344</v>
      </c>
      <c r="B5" t="s">
        <v>495</v>
      </c>
      <c r="C5" t="s">
        <v>501</v>
      </c>
      <c r="D5" t="s">
        <v>493</v>
      </c>
      <c r="E5">
        <v>1</v>
      </c>
      <c r="F5">
        <v>4</v>
      </c>
      <c r="G5">
        <v>45</v>
      </c>
      <c r="H5">
        <v>8</v>
      </c>
      <c r="I5">
        <v>3.1</v>
      </c>
      <c r="J5">
        <v>14.3</v>
      </c>
      <c r="K5">
        <v>17.100000000000001</v>
      </c>
      <c r="L5">
        <v>5</v>
      </c>
      <c r="M5">
        <v>25</v>
      </c>
    </row>
    <row r="6" spans="1:16" x14ac:dyDescent="0.25">
      <c r="A6" t="s">
        <v>344</v>
      </c>
      <c r="B6" t="s">
        <v>495</v>
      </c>
      <c r="C6" t="s">
        <v>501</v>
      </c>
      <c r="D6" t="s">
        <v>493</v>
      </c>
      <c r="E6">
        <v>1</v>
      </c>
      <c r="F6">
        <v>4</v>
      </c>
      <c r="G6">
        <v>50</v>
      </c>
      <c r="H6">
        <v>8</v>
      </c>
      <c r="I6">
        <v>3.1</v>
      </c>
      <c r="J6">
        <v>14.3</v>
      </c>
      <c r="K6">
        <v>17.100000000000001</v>
      </c>
      <c r="L6">
        <v>5</v>
      </c>
      <c r="M6">
        <v>30</v>
      </c>
    </row>
    <row r="7" spans="1:16" x14ac:dyDescent="0.25">
      <c r="A7" t="s">
        <v>344</v>
      </c>
      <c r="B7" t="s">
        <v>495</v>
      </c>
      <c r="C7" t="s">
        <v>501</v>
      </c>
      <c r="D7" t="s">
        <v>493</v>
      </c>
      <c r="E7">
        <v>1</v>
      </c>
      <c r="F7">
        <v>4</v>
      </c>
      <c r="G7">
        <v>60</v>
      </c>
      <c r="H7">
        <v>8</v>
      </c>
      <c r="I7">
        <v>3.1</v>
      </c>
      <c r="J7">
        <v>14.3</v>
      </c>
      <c r="K7">
        <v>17.100000000000001</v>
      </c>
      <c r="L7">
        <v>5</v>
      </c>
      <c r="M7">
        <v>35</v>
      </c>
    </row>
    <row r="8" spans="1:16" x14ac:dyDescent="0.25">
      <c r="A8" t="s">
        <v>344</v>
      </c>
      <c r="B8" t="s">
        <v>495</v>
      </c>
      <c r="C8" t="s">
        <v>501</v>
      </c>
      <c r="D8" t="s">
        <v>493</v>
      </c>
      <c r="E8">
        <v>1</v>
      </c>
      <c r="F8">
        <v>4</v>
      </c>
      <c r="G8">
        <v>70</v>
      </c>
      <c r="H8">
        <v>8</v>
      </c>
      <c r="I8">
        <v>3.1</v>
      </c>
      <c r="J8">
        <v>14.3</v>
      </c>
      <c r="K8">
        <v>17.100000000000001</v>
      </c>
      <c r="L8">
        <v>5</v>
      </c>
      <c r="M8">
        <v>35</v>
      </c>
    </row>
    <row r="9" spans="1:16" x14ac:dyDescent="0.25">
      <c r="A9" t="s">
        <v>344</v>
      </c>
      <c r="B9" t="s">
        <v>495</v>
      </c>
      <c r="C9" t="s">
        <v>501</v>
      </c>
      <c r="D9" t="s">
        <v>493</v>
      </c>
      <c r="E9">
        <v>2</v>
      </c>
      <c r="F9">
        <v>4.5</v>
      </c>
      <c r="G9">
        <v>30</v>
      </c>
      <c r="H9">
        <v>9</v>
      </c>
      <c r="I9">
        <v>4.2</v>
      </c>
      <c r="J9">
        <v>13.3</v>
      </c>
      <c r="K9">
        <v>17.600000000000001</v>
      </c>
      <c r="L9">
        <v>7</v>
      </c>
      <c r="M9">
        <v>20</v>
      </c>
    </row>
    <row r="10" spans="1:16" x14ac:dyDescent="0.25">
      <c r="A10" t="s">
        <v>344</v>
      </c>
      <c r="B10" t="s">
        <v>495</v>
      </c>
      <c r="C10" t="s">
        <v>501</v>
      </c>
      <c r="D10" t="s">
        <v>493</v>
      </c>
      <c r="E10">
        <v>2</v>
      </c>
      <c r="F10">
        <v>4.5</v>
      </c>
      <c r="G10">
        <v>35</v>
      </c>
      <c r="H10">
        <v>9</v>
      </c>
      <c r="I10">
        <v>4.2</v>
      </c>
      <c r="J10">
        <v>13.3</v>
      </c>
      <c r="K10">
        <v>17.600000000000001</v>
      </c>
      <c r="L10">
        <v>7</v>
      </c>
      <c r="M10">
        <v>20</v>
      </c>
    </row>
    <row r="11" spans="1:16" x14ac:dyDescent="0.25">
      <c r="A11" t="s">
        <v>344</v>
      </c>
      <c r="B11" t="s">
        <v>495</v>
      </c>
      <c r="C11" t="s">
        <v>501</v>
      </c>
      <c r="D11" t="s">
        <v>493</v>
      </c>
      <c r="E11">
        <v>2</v>
      </c>
      <c r="F11">
        <v>4.5</v>
      </c>
      <c r="G11">
        <v>40</v>
      </c>
      <c r="H11">
        <v>9</v>
      </c>
      <c r="I11">
        <v>4.2</v>
      </c>
      <c r="J11">
        <v>13.3</v>
      </c>
      <c r="K11">
        <v>17.600000000000001</v>
      </c>
      <c r="L11">
        <v>7</v>
      </c>
      <c r="M11">
        <v>25</v>
      </c>
    </row>
    <row r="12" spans="1:16" x14ac:dyDescent="0.25">
      <c r="A12" t="s">
        <v>344</v>
      </c>
      <c r="B12" t="s">
        <v>495</v>
      </c>
      <c r="C12" t="s">
        <v>501</v>
      </c>
      <c r="D12" t="s">
        <v>493</v>
      </c>
      <c r="E12">
        <v>2</v>
      </c>
      <c r="F12">
        <v>4.5</v>
      </c>
      <c r="G12">
        <v>45</v>
      </c>
      <c r="H12">
        <v>9</v>
      </c>
      <c r="I12">
        <v>4.2</v>
      </c>
      <c r="J12">
        <v>13.3</v>
      </c>
      <c r="K12">
        <v>17.600000000000001</v>
      </c>
      <c r="L12">
        <v>7</v>
      </c>
      <c r="M12">
        <v>25</v>
      </c>
    </row>
    <row r="13" spans="1:16" x14ac:dyDescent="0.25">
      <c r="A13" t="s">
        <v>344</v>
      </c>
      <c r="B13" t="s">
        <v>495</v>
      </c>
      <c r="C13" t="s">
        <v>501</v>
      </c>
      <c r="D13" t="s">
        <v>493</v>
      </c>
      <c r="E13">
        <v>2</v>
      </c>
      <c r="F13">
        <v>4.5</v>
      </c>
      <c r="G13">
        <v>50</v>
      </c>
      <c r="H13">
        <v>9</v>
      </c>
      <c r="I13">
        <v>4.2</v>
      </c>
      <c r="J13">
        <v>13.3</v>
      </c>
      <c r="K13">
        <v>17.600000000000001</v>
      </c>
      <c r="L13">
        <v>7</v>
      </c>
      <c r="M13">
        <v>30</v>
      </c>
    </row>
    <row r="14" spans="1:16" x14ac:dyDescent="0.25">
      <c r="A14" t="s">
        <v>344</v>
      </c>
      <c r="B14" t="s">
        <v>495</v>
      </c>
      <c r="C14" t="s">
        <v>501</v>
      </c>
      <c r="D14" t="s">
        <v>493</v>
      </c>
      <c r="E14">
        <v>2</v>
      </c>
      <c r="F14">
        <v>4.5</v>
      </c>
      <c r="G14">
        <v>60</v>
      </c>
      <c r="H14">
        <v>9</v>
      </c>
      <c r="I14">
        <v>4.2</v>
      </c>
      <c r="J14">
        <v>13.3</v>
      </c>
      <c r="K14">
        <v>17.600000000000001</v>
      </c>
      <c r="L14">
        <v>7</v>
      </c>
      <c r="M14">
        <v>40</v>
      </c>
    </row>
    <row r="15" spans="1:16" x14ac:dyDescent="0.25">
      <c r="A15" t="s">
        <v>344</v>
      </c>
      <c r="B15" t="s">
        <v>495</v>
      </c>
      <c r="C15" t="s">
        <v>501</v>
      </c>
      <c r="D15" t="s">
        <v>493</v>
      </c>
      <c r="E15">
        <v>2</v>
      </c>
      <c r="F15">
        <v>4.5</v>
      </c>
      <c r="G15">
        <v>70</v>
      </c>
      <c r="H15">
        <v>9</v>
      </c>
      <c r="I15">
        <v>4.2</v>
      </c>
      <c r="J15">
        <v>13.3</v>
      </c>
      <c r="K15">
        <v>17.600000000000001</v>
      </c>
      <c r="L15">
        <v>7</v>
      </c>
      <c r="M15">
        <v>40</v>
      </c>
    </row>
    <row r="16" spans="1:16" x14ac:dyDescent="0.25">
      <c r="A16" t="s">
        <v>344</v>
      </c>
      <c r="B16" t="s">
        <v>495</v>
      </c>
      <c r="C16" t="s">
        <v>501</v>
      </c>
      <c r="D16" t="s">
        <v>493</v>
      </c>
      <c r="E16">
        <v>2</v>
      </c>
      <c r="F16">
        <v>4.5</v>
      </c>
      <c r="G16">
        <v>80</v>
      </c>
      <c r="H16">
        <v>9</v>
      </c>
      <c r="I16">
        <v>4.2</v>
      </c>
      <c r="J16">
        <v>13.3</v>
      </c>
      <c r="K16">
        <v>17.600000000000001</v>
      </c>
      <c r="L16">
        <v>7</v>
      </c>
      <c r="M16">
        <v>40</v>
      </c>
    </row>
    <row r="17" spans="1:13" x14ac:dyDescent="0.25">
      <c r="A17" t="s">
        <v>344</v>
      </c>
      <c r="B17" t="s">
        <v>495</v>
      </c>
      <c r="C17" t="s">
        <v>501</v>
      </c>
      <c r="D17" t="s">
        <v>493</v>
      </c>
      <c r="E17">
        <v>2</v>
      </c>
      <c r="F17">
        <v>5</v>
      </c>
      <c r="G17">
        <v>30</v>
      </c>
      <c r="H17">
        <v>10</v>
      </c>
      <c r="I17">
        <v>5.9</v>
      </c>
      <c r="J17">
        <v>13.6</v>
      </c>
      <c r="K17">
        <v>14.6</v>
      </c>
      <c r="L17">
        <v>8.8000000000000007</v>
      </c>
      <c r="M17">
        <v>20</v>
      </c>
    </row>
    <row r="18" spans="1:13" x14ac:dyDescent="0.25">
      <c r="A18" t="s">
        <v>344</v>
      </c>
      <c r="B18" t="s">
        <v>495</v>
      </c>
      <c r="C18" t="s">
        <v>501</v>
      </c>
      <c r="D18" t="s">
        <v>493</v>
      </c>
      <c r="E18">
        <v>2</v>
      </c>
      <c r="F18">
        <v>5</v>
      </c>
      <c r="G18">
        <v>35</v>
      </c>
      <c r="H18">
        <v>10</v>
      </c>
      <c r="I18">
        <v>5.9</v>
      </c>
      <c r="J18">
        <v>13.6</v>
      </c>
      <c r="K18">
        <v>14.6</v>
      </c>
      <c r="L18">
        <v>8.8000000000000007</v>
      </c>
      <c r="M18">
        <v>20</v>
      </c>
    </row>
    <row r="19" spans="1:13" x14ac:dyDescent="0.25">
      <c r="A19" t="s">
        <v>344</v>
      </c>
      <c r="B19" t="s">
        <v>495</v>
      </c>
      <c r="C19" t="s">
        <v>501</v>
      </c>
      <c r="D19" t="s">
        <v>493</v>
      </c>
      <c r="E19">
        <v>2</v>
      </c>
      <c r="F19">
        <v>5</v>
      </c>
      <c r="G19">
        <v>40</v>
      </c>
      <c r="H19">
        <v>10</v>
      </c>
      <c r="I19">
        <v>5.9</v>
      </c>
      <c r="J19">
        <v>13.6</v>
      </c>
      <c r="K19">
        <v>14.6</v>
      </c>
      <c r="L19">
        <v>8.8000000000000007</v>
      </c>
      <c r="M19">
        <v>25</v>
      </c>
    </row>
    <row r="20" spans="1:13" x14ac:dyDescent="0.25">
      <c r="A20" t="s">
        <v>344</v>
      </c>
      <c r="B20" t="s">
        <v>495</v>
      </c>
      <c r="C20" t="s">
        <v>501</v>
      </c>
      <c r="D20" t="s">
        <v>493</v>
      </c>
      <c r="E20">
        <v>2</v>
      </c>
      <c r="F20">
        <v>5</v>
      </c>
      <c r="G20">
        <v>50</v>
      </c>
      <c r="H20">
        <v>10</v>
      </c>
      <c r="I20">
        <v>5.9</v>
      </c>
      <c r="J20">
        <v>13.6</v>
      </c>
      <c r="K20">
        <v>14.6</v>
      </c>
      <c r="L20">
        <v>8.8000000000000007</v>
      </c>
      <c r="M20">
        <v>30</v>
      </c>
    </row>
    <row r="21" spans="1:13" x14ac:dyDescent="0.25">
      <c r="A21" t="s">
        <v>344</v>
      </c>
      <c r="B21" t="s">
        <v>495</v>
      </c>
      <c r="C21" t="s">
        <v>501</v>
      </c>
      <c r="D21" t="s">
        <v>493</v>
      </c>
      <c r="E21">
        <v>2</v>
      </c>
      <c r="F21">
        <v>5</v>
      </c>
      <c r="G21">
        <v>60</v>
      </c>
      <c r="H21">
        <v>10</v>
      </c>
      <c r="I21">
        <v>5.9</v>
      </c>
      <c r="J21">
        <v>13.6</v>
      </c>
      <c r="K21">
        <v>14.6</v>
      </c>
      <c r="L21">
        <v>8.8000000000000007</v>
      </c>
      <c r="M21">
        <v>40</v>
      </c>
    </row>
    <row r="22" spans="1:13" x14ac:dyDescent="0.25">
      <c r="A22" t="s">
        <v>344</v>
      </c>
      <c r="B22" t="s">
        <v>495</v>
      </c>
      <c r="C22" t="s">
        <v>501</v>
      </c>
      <c r="D22" t="s">
        <v>493</v>
      </c>
      <c r="E22">
        <v>2</v>
      </c>
      <c r="F22">
        <v>5</v>
      </c>
      <c r="G22">
        <v>70</v>
      </c>
      <c r="H22">
        <v>10</v>
      </c>
      <c r="I22">
        <v>5.9</v>
      </c>
      <c r="J22">
        <v>13.6</v>
      </c>
      <c r="K22">
        <v>14.6</v>
      </c>
      <c r="L22">
        <v>8.8000000000000007</v>
      </c>
      <c r="M22">
        <v>40</v>
      </c>
    </row>
    <row r="23" spans="1:13" x14ac:dyDescent="0.25">
      <c r="A23" t="s">
        <v>344</v>
      </c>
      <c r="B23" t="s">
        <v>495</v>
      </c>
      <c r="C23" t="s">
        <v>501</v>
      </c>
      <c r="D23" t="s">
        <v>493</v>
      </c>
      <c r="E23">
        <v>2</v>
      </c>
      <c r="F23">
        <v>5</v>
      </c>
      <c r="G23">
        <v>80</v>
      </c>
      <c r="H23">
        <v>10</v>
      </c>
      <c r="I23">
        <v>5.9</v>
      </c>
      <c r="J23">
        <v>13.6</v>
      </c>
      <c r="K23">
        <v>14.6</v>
      </c>
      <c r="L23">
        <v>8.8000000000000007</v>
      </c>
      <c r="M23">
        <v>50</v>
      </c>
    </row>
    <row r="24" spans="1:13" x14ac:dyDescent="0.25">
      <c r="A24" t="s">
        <v>344</v>
      </c>
      <c r="B24" t="s">
        <v>495</v>
      </c>
      <c r="C24" t="s">
        <v>501</v>
      </c>
      <c r="D24" t="s">
        <v>493</v>
      </c>
      <c r="E24">
        <v>2</v>
      </c>
      <c r="F24">
        <v>5</v>
      </c>
      <c r="G24">
        <v>90</v>
      </c>
      <c r="H24">
        <v>10</v>
      </c>
      <c r="I24">
        <v>5.9</v>
      </c>
      <c r="J24">
        <v>13.6</v>
      </c>
      <c r="K24">
        <v>14.6</v>
      </c>
      <c r="L24">
        <v>8.8000000000000007</v>
      </c>
      <c r="M24">
        <v>50</v>
      </c>
    </row>
    <row r="25" spans="1:13" x14ac:dyDescent="0.25">
      <c r="A25" t="s">
        <v>344</v>
      </c>
      <c r="B25" t="s">
        <v>495</v>
      </c>
      <c r="C25" t="s">
        <v>501</v>
      </c>
      <c r="D25" t="s">
        <v>493</v>
      </c>
      <c r="E25">
        <v>2</v>
      </c>
      <c r="F25">
        <v>5</v>
      </c>
      <c r="G25">
        <v>100</v>
      </c>
      <c r="H25">
        <v>10</v>
      </c>
      <c r="I25">
        <v>5.9</v>
      </c>
      <c r="J25">
        <v>13.6</v>
      </c>
      <c r="K25">
        <v>14.6</v>
      </c>
      <c r="L25">
        <v>8.8000000000000007</v>
      </c>
      <c r="M25">
        <v>60</v>
      </c>
    </row>
    <row r="26" spans="1:13" x14ac:dyDescent="0.25">
      <c r="A26" t="s">
        <v>344</v>
      </c>
      <c r="B26" t="s">
        <v>495</v>
      </c>
      <c r="C26" t="s">
        <v>501</v>
      </c>
      <c r="D26" t="s">
        <v>493</v>
      </c>
      <c r="E26">
        <v>2</v>
      </c>
      <c r="F26">
        <v>5</v>
      </c>
      <c r="G26">
        <v>110</v>
      </c>
      <c r="H26">
        <v>10</v>
      </c>
      <c r="I26">
        <v>5.9</v>
      </c>
      <c r="J26">
        <v>13.6</v>
      </c>
      <c r="K26">
        <v>14.6</v>
      </c>
      <c r="L26">
        <v>8.8000000000000007</v>
      </c>
      <c r="M26">
        <v>40</v>
      </c>
    </row>
    <row r="27" spans="1:13" x14ac:dyDescent="0.25">
      <c r="A27" t="s">
        <v>344</v>
      </c>
      <c r="B27" t="s">
        <v>495</v>
      </c>
      <c r="C27" t="s">
        <v>501</v>
      </c>
      <c r="D27" t="s">
        <v>493</v>
      </c>
      <c r="E27">
        <v>2</v>
      </c>
      <c r="F27">
        <v>5</v>
      </c>
      <c r="G27">
        <v>120</v>
      </c>
      <c r="H27">
        <v>10</v>
      </c>
      <c r="I27">
        <v>5.9</v>
      </c>
      <c r="J27">
        <v>13.6</v>
      </c>
      <c r="K27">
        <v>14.6</v>
      </c>
      <c r="L27">
        <v>8.8000000000000007</v>
      </c>
      <c r="M27">
        <v>40</v>
      </c>
    </row>
    <row r="28" spans="1:13" x14ac:dyDescent="0.25">
      <c r="A28" t="s">
        <v>344</v>
      </c>
      <c r="B28" t="s">
        <v>495</v>
      </c>
      <c r="C28" t="s">
        <v>501</v>
      </c>
      <c r="D28" t="s">
        <v>493</v>
      </c>
      <c r="E28">
        <v>2</v>
      </c>
      <c r="F28">
        <v>6</v>
      </c>
      <c r="G28">
        <v>50</v>
      </c>
      <c r="H28">
        <v>12</v>
      </c>
      <c r="I28">
        <v>10.7</v>
      </c>
      <c r="J28">
        <v>13</v>
      </c>
      <c r="K28">
        <v>14.6</v>
      </c>
      <c r="L28">
        <v>13.1</v>
      </c>
      <c r="M28">
        <v>30</v>
      </c>
    </row>
    <row r="29" spans="1:13" x14ac:dyDescent="0.25">
      <c r="A29" t="s">
        <v>344</v>
      </c>
      <c r="B29" t="s">
        <v>495</v>
      </c>
      <c r="C29" t="s">
        <v>501</v>
      </c>
      <c r="D29" t="s">
        <v>493</v>
      </c>
      <c r="E29">
        <v>2</v>
      </c>
      <c r="F29">
        <v>6</v>
      </c>
      <c r="G29">
        <v>60</v>
      </c>
      <c r="H29">
        <v>12</v>
      </c>
      <c r="I29">
        <v>10.7</v>
      </c>
      <c r="J29">
        <v>13</v>
      </c>
      <c r="K29">
        <v>14.6</v>
      </c>
      <c r="L29">
        <v>13.1</v>
      </c>
      <c r="M29">
        <v>40</v>
      </c>
    </row>
    <row r="30" spans="1:13" x14ac:dyDescent="0.25">
      <c r="A30" t="s">
        <v>344</v>
      </c>
      <c r="B30" t="s">
        <v>495</v>
      </c>
      <c r="C30" t="s">
        <v>501</v>
      </c>
      <c r="D30" t="s">
        <v>493</v>
      </c>
      <c r="E30">
        <v>2</v>
      </c>
      <c r="F30">
        <v>6</v>
      </c>
      <c r="G30">
        <v>70</v>
      </c>
      <c r="H30">
        <v>12</v>
      </c>
      <c r="I30">
        <v>10.7</v>
      </c>
      <c r="J30">
        <v>13</v>
      </c>
      <c r="K30">
        <v>14.6</v>
      </c>
      <c r="L30">
        <v>13.1</v>
      </c>
      <c r="M30">
        <v>40</v>
      </c>
    </row>
    <row r="31" spans="1:13" x14ac:dyDescent="0.25">
      <c r="A31" t="s">
        <v>344</v>
      </c>
      <c r="B31" t="s">
        <v>495</v>
      </c>
      <c r="C31" t="s">
        <v>501</v>
      </c>
      <c r="D31" t="s">
        <v>493</v>
      </c>
      <c r="E31">
        <v>2</v>
      </c>
      <c r="F31">
        <v>6</v>
      </c>
      <c r="G31">
        <v>80</v>
      </c>
      <c r="H31">
        <v>12</v>
      </c>
      <c r="I31">
        <v>10.7</v>
      </c>
      <c r="J31">
        <v>13</v>
      </c>
      <c r="K31">
        <v>14.6</v>
      </c>
      <c r="L31">
        <v>13.1</v>
      </c>
      <c r="M31">
        <v>50</v>
      </c>
    </row>
    <row r="32" spans="1:13" x14ac:dyDescent="0.25">
      <c r="A32" t="s">
        <v>344</v>
      </c>
      <c r="B32" t="s">
        <v>495</v>
      </c>
      <c r="C32" t="s">
        <v>501</v>
      </c>
      <c r="D32" t="s">
        <v>493</v>
      </c>
      <c r="E32">
        <v>2</v>
      </c>
      <c r="F32">
        <v>6</v>
      </c>
      <c r="G32">
        <v>90</v>
      </c>
      <c r="H32">
        <v>12</v>
      </c>
      <c r="I32">
        <v>10.7</v>
      </c>
      <c r="J32">
        <v>13</v>
      </c>
      <c r="K32">
        <v>14.6</v>
      </c>
      <c r="L32">
        <v>13.1</v>
      </c>
      <c r="M32">
        <v>50</v>
      </c>
    </row>
    <row r="33" spans="1:13" x14ac:dyDescent="0.25">
      <c r="A33" t="s">
        <v>344</v>
      </c>
      <c r="B33" t="s">
        <v>495</v>
      </c>
      <c r="C33" t="s">
        <v>501</v>
      </c>
      <c r="D33" t="s">
        <v>493</v>
      </c>
      <c r="E33">
        <v>2</v>
      </c>
      <c r="F33">
        <v>6</v>
      </c>
      <c r="G33">
        <v>100</v>
      </c>
      <c r="H33">
        <v>12</v>
      </c>
      <c r="I33">
        <v>10.7</v>
      </c>
      <c r="J33">
        <v>13</v>
      </c>
      <c r="K33">
        <v>14.6</v>
      </c>
      <c r="L33">
        <v>13.1</v>
      </c>
      <c r="M33">
        <v>60</v>
      </c>
    </row>
    <row r="34" spans="1:13" x14ac:dyDescent="0.25">
      <c r="A34" t="s">
        <v>344</v>
      </c>
      <c r="B34" t="s">
        <v>495</v>
      </c>
      <c r="C34" t="s">
        <v>501</v>
      </c>
      <c r="D34" t="s">
        <v>493</v>
      </c>
      <c r="E34">
        <v>2</v>
      </c>
      <c r="F34">
        <v>6</v>
      </c>
      <c r="G34">
        <v>110</v>
      </c>
      <c r="H34">
        <v>12</v>
      </c>
      <c r="I34">
        <v>10.7</v>
      </c>
      <c r="J34">
        <v>13</v>
      </c>
      <c r="K34">
        <v>14.6</v>
      </c>
      <c r="L34">
        <v>13.1</v>
      </c>
      <c r="M34">
        <v>60</v>
      </c>
    </row>
    <row r="35" spans="1:13" x14ac:dyDescent="0.25">
      <c r="A35" t="s">
        <v>344</v>
      </c>
      <c r="B35" t="s">
        <v>495</v>
      </c>
      <c r="C35" t="s">
        <v>501</v>
      </c>
      <c r="D35" t="s">
        <v>493</v>
      </c>
      <c r="E35">
        <v>2</v>
      </c>
      <c r="F35">
        <v>6</v>
      </c>
      <c r="G35">
        <v>120</v>
      </c>
      <c r="H35">
        <v>12</v>
      </c>
      <c r="I35">
        <v>10.7</v>
      </c>
      <c r="J35">
        <v>13</v>
      </c>
      <c r="K35">
        <v>14.6</v>
      </c>
      <c r="L35">
        <v>13.1</v>
      </c>
      <c r="M35">
        <v>70</v>
      </c>
    </row>
    <row r="36" spans="1:13" x14ac:dyDescent="0.25">
      <c r="A36" t="s">
        <v>344</v>
      </c>
      <c r="B36" t="s">
        <v>495</v>
      </c>
      <c r="C36" t="s">
        <v>501</v>
      </c>
      <c r="D36" t="s">
        <v>493</v>
      </c>
      <c r="E36">
        <v>2</v>
      </c>
      <c r="F36">
        <v>6</v>
      </c>
      <c r="G36">
        <v>130</v>
      </c>
      <c r="H36">
        <v>12</v>
      </c>
      <c r="I36">
        <v>10.7</v>
      </c>
      <c r="J36">
        <v>13</v>
      </c>
      <c r="K36">
        <v>14.6</v>
      </c>
      <c r="L36">
        <v>13.1</v>
      </c>
      <c r="M36">
        <v>70</v>
      </c>
    </row>
    <row r="37" spans="1:13" x14ac:dyDescent="0.25">
      <c r="A37" t="s">
        <v>344</v>
      </c>
      <c r="B37" t="s">
        <v>495</v>
      </c>
      <c r="C37" t="s">
        <v>501</v>
      </c>
      <c r="D37" t="s">
        <v>493</v>
      </c>
      <c r="E37">
        <v>2</v>
      </c>
      <c r="F37">
        <v>6</v>
      </c>
      <c r="G37">
        <v>140</v>
      </c>
      <c r="H37">
        <v>12</v>
      </c>
      <c r="I37">
        <v>10.7</v>
      </c>
      <c r="J37">
        <v>13</v>
      </c>
      <c r="K37">
        <v>14.6</v>
      </c>
      <c r="L37">
        <v>13.1</v>
      </c>
      <c r="M37">
        <v>70</v>
      </c>
    </row>
    <row r="38" spans="1:13" x14ac:dyDescent="0.25">
      <c r="A38" t="s">
        <v>344</v>
      </c>
      <c r="B38" t="s">
        <v>495</v>
      </c>
      <c r="C38" t="s">
        <v>501</v>
      </c>
      <c r="D38" t="s">
        <v>493</v>
      </c>
      <c r="E38">
        <v>2</v>
      </c>
      <c r="F38">
        <v>6</v>
      </c>
      <c r="G38">
        <v>150</v>
      </c>
      <c r="H38">
        <v>12</v>
      </c>
      <c r="I38">
        <v>10.7</v>
      </c>
      <c r="J38">
        <v>13</v>
      </c>
      <c r="K38">
        <v>14.6</v>
      </c>
      <c r="L38">
        <v>13.1</v>
      </c>
      <c r="M38">
        <v>70</v>
      </c>
    </row>
    <row r="39" spans="1:13" x14ac:dyDescent="0.25">
      <c r="A39" t="s">
        <v>344</v>
      </c>
      <c r="B39" t="s">
        <v>495</v>
      </c>
      <c r="C39" t="s">
        <v>501</v>
      </c>
      <c r="D39" t="s">
        <v>493</v>
      </c>
      <c r="E39">
        <v>2</v>
      </c>
      <c r="F39">
        <v>6</v>
      </c>
      <c r="G39">
        <v>160</v>
      </c>
      <c r="H39">
        <v>12</v>
      </c>
      <c r="I39">
        <v>10.7</v>
      </c>
      <c r="J39">
        <v>13</v>
      </c>
      <c r="K39">
        <v>14.6</v>
      </c>
      <c r="L39">
        <v>13.1</v>
      </c>
      <c r="M39">
        <v>70</v>
      </c>
    </row>
    <row r="40" spans="1:13" x14ac:dyDescent="0.25">
      <c r="A40" t="s">
        <v>344</v>
      </c>
      <c r="B40" t="s">
        <v>495</v>
      </c>
      <c r="C40" t="s">
        <v>501</v>
      </c>
      <c r="D40" t="s">
        <v>493</v>
      </c>
      <c r="E40">
        <v>2</v>
      </c>
      <c r="F40">
        <v>6</v>
      </c>
      <c r="G40">
        <v>180</v>
      </c>
      <c r="H40">
        <v>12</v>
      </c>
      <c r="I40">
        <v>10.7</v>
      </c>
      <c r="J40">
        <v>13</v>
      </c>
      <c r="K40">
        <v>14.6</v>
      </c>
      <c r="L40">
        <v>13.1</v>
      </c>
      <c r="M40">
        <v>70</v>
      </c>
    </row>
    <row r="41" spans="1:13" x14ac:dyDescent="0.25">
      <c r="A41" t="s">
        <v>344</v>
      </c>
      <c r="B41" t="s">
        <v>495</v>
      </c>
      <c r="C41" t="s">
        <v>501</v>
      </c>
      <c r="D41" t="s">
        <v>493</v>
      </c>
      <c r="E41">
        <v>2</v>
      </c>
      <c r="F41">
        <v>6</v>
      </c>
      <c r="G41">
        <v>200</v>
      </c>
      <c r="H41">
        <v>12</v>
      </c>
      <c r="I41">
        <v>10.7</v>
      </c>
      <c r="J41">
        <v>13</v>
      </c>
      <c r="K41">
        <v>14.6</v>
      </c>
      <c r="L41">
        <v>13.1</v>
      </c>
      <c r="M41">
        <v>70</v>
      </c>
    </row>
    <row r="42" spans="1:13" x14ac:dyDescent="0.25">
      <c r="A42" t="s">
        <v>344</v>
      </c>
      <c r="B42" t="s">
        <v>495</v>
      </c>
      <c r="C42" t="s">
        <v>501</v>
      </c>
      <c r="D42" t="s">
        <v>493</v>
      </c>
      <c r="E42">
        <v>2</v>
      </c>
      <c r="F42">
        <v>6</v>
      </c>
      <c r="G42">
        <v>220</v>
      </c>
      <c r="H42">
        <v>12</v>
      </c>
      <c r="I42">
        <v>10.7</v>
      </c>
      <c r="J42">
        <v>13</v>
      </c>
      <c r="K42">
        <v>14.6</v>
      </c>
      <c r="L42">
        <v>13.1</v>
      </c>
      <c r="M42">
        <v>70</v>
      </c>
    </row>
    <row r="43" spans="1:13" x14ac:dyDescent="0.25">
      <c r="A43" t="s">
        <v>344</v>
      </c>
      <c r="B43" t="s">
        <v>495</v>
      </c>
      <c r="C43" t="s">
        <v>501</v>
      </c>
      <c r="D43" t="s">
        <v>493</v>
      </c>
      <c r="E43">
        <v>2</v>
      </c>
      <c r="F43">
        <v>6</v>
      </c>
      <c r="G43">
        <v>240</v>
      </c>
      <c r="H43">
        <v>12</v>
      </c>
      <c r="I43">
        <v>10.7</v>
      </c>
      <c r="J43">
        <v>13</v>
      </c>
      <c r="K43">
        <v>14.6</v>
      </c>
      <c r="L43">
        <v>13.1</v>
      </c>
      <c r="M43">
        <v>70</v>
      </c>
    </row>
    <row r="44" spans="1:13" x14ac:dyDescent="0.25">
      <c r="A44" t="s">
        <v>344</v>
      </c>
      <c r="B44" t="s">
        <v>495</v>
      </c>
      <c r="C44" t="s">
        <v>501</v>
      </c>
      <c r="D44" t="s">
        <v>493</v>
      </c>
      <c r="E44">
        <v>2</v>
      </c>
      <c r="F44">
        <v>6</v>
      </c>
      <c r="G44">
        <v>260</v>
      </c>
      <c r="H44">
        <v>12</v>
      </c>
      <c r="I44">
        <v>10.7</v>
      </c>
      <c r="J44">
        <v>13</v>
      </c>
      <c r="K44">
        <v>14.6</v>
      </c>
      <c r="L44">
        <v>13.1</v>
      </c>
      <c r="M44">
        <v>70</v>
      </c>
    </row>
    <row r="45" spans="1:13" x14ac:dyDescent="0.25">
      <c r="A45" t="s">
        <v>344</v>
      </c>
      <c r="B45" t="s">
        <v>495</v>
      </c>
      <c r="C45" t="s">
        <v>501</v>
      </c>
      <c r="D45" t="s">
        <v>493</v>
      </c>
      <c r="E45">
        <v>2</v>
      </c>
      <c r="F45">
        <v>6</v>
      </c>
      <c r="G45">
        <v>280</v>
      </c>
      <c r="H45">
        <v>12</v>
      </c>
      <c r="I45">
        <v>10.7</v>
      </c>
      <c r="J45">
        <v>13</v>
      </c>
      <c r="K45">
        <v>14.6</v>
      </c>
      <c r="L45">
        <v>13.1</v>
      </c>
      <c r="M45">
        <v>70</v>
      </c>
    </row>
    <row r="46" spans="1:13" x14ac:dyDescent="0.25">
      <c r="A46" t="s">
        <v>344</v>
      </c>
      <c r="B46" t="s">
        <v>495</v>
      </c>
      <c r="C46" t="s">
        <v>501</v>
      </c>
      <c r="D46" t="s">
        <v>493</v>
      </c>
      <c r="E46">
        <v>2</v>
      </c>
      <c r="F46">
        <v>6</v>
      </c>
      <c r="G46">
        <v>300</v>
      </c>
      <c r="H46">
        <v>12</v>
      </c>
      <c r="I46">
        <v>10.7</v>
      </c>
      <c r="J46">
        <v>13</v>
      </c>
      <c r="K46">
        <v>14.6</v>
      </c>
      <c r="L46">
        <v>13.1</v>
      </c>
      <c r="M46">
        <v>70</v>
      </c>
    </row>
    <row r="47" spans="1:13" x14ac:dyDescent="0.25">
      <c r="A47" t="s">
        <v>344</v>
      </c>
      <c r="B47" t="s">
        <v>495</v>
      </c>
      <c r="C47" t="s">
        <v>501</v>
      </c>
      <c r="D47" t="s">
        <v>493</v>
      </c>
      <c r="E47">
        <v>2</v>
      </c>
      <c r="F47">
        <v>8</v>
      </c>
      <c r="G47">
        <v>80</v>
      </c>
      <c r="H47">
        <v>15</v>
      </c>
      <c r="I47">
        <v>22.6</v>
      </c>
      <c r="J47">
        <v>10.9</v>
      </c>
      <c r="K47">
        <v>12.4</v>
      </c>
      <c r="L47">
        <v>23.3</v>
      </c>
      <c r="M47">
        <v>50</v>
      </c>
    </row>
    <row r="48" spans="1:13" x14ac:dyDescent="0.25">
      <c r="A48" t="s">
        <v>344</v>
      </c>
      <c r="B48" t="s">
        <v>495</v>
      </c>
      <c r="C48" t="s">
        <v>501</v>
      </c>
      <c r="D48" t="s">
        <v>493</v>
      </c>
      <c r="E48">
        <v>2</v>
      </c>
      <c r="F48">
        <v>8</v>
      </c>
      <c r="G48">
        <v>90</v>
      </c>
      <c r="H48">
        <v>15</v>
      </c>
      <c r="I48">
        <v>22.6</v>
      </c>
      <c r="J48">
        <v>10.9</v>
      </c>
      <c r="K48">
        <v>12.4</v>
      </c>
      <c r="L48">
        <v>23.3</v>
      </c>
      <c r="M48">
        <v>50</v>
      </c>
    </row>
    <row r="49" spans="1:13" x14ac:dyDescent="0.25">
      <c r="A49" t="s">
        <v>344</v>
      </c>
      <c r="B49" t="s">
        <v>495</v>
      </c>
      <c r="C49" t="s">
        <v>501</v>
      </c>
      <c r="D49" t="s">
        <v>493</v>
      </c>
      <c r="E49">
        <v>2</v>
      </c>
      <c r="F49">
        <v>8</v>
      </c>
      <c r="G49">
        <v>100</v>
      </c>
      <c r="H49">
        <v>15</v>
      </c>
      <c r="I49">
        <v>22.6</v>
      </c>
      <c r="J49">
        <v>10.9</v>
      </c>
      <c r="K49">
        <v>12.4</v>
      </c>
      <c r="L49">
        <v>23.3</v>
      </c>
      <c r="M49">
        <v>60</v>
      </c>
    </row>
    <row r="50" spans="1:13" x14ac:dyDescent="0.25">
      <c r="A50" t="s">
        <v>344</v>
      </c>
      <c r="B50" t="s">
        <v>495</v>
      </c>
      <c r="C50" t="s">
        <v>501</v>
      </c>
      <c r="D50" t="s">
        <v>493</v>
      </c>
      <c r="E50">
        <v>2</v>
      </c>
      <c r="F50">
        <v>8</v>
      </c>
      <c r="G50">
        <v>120</v>
      </c>
      <c r="H50">
        <v>15</v>
      </c>
      <c r="I50">
        <v>22.6</v>
      </c>
      <c r="J50">
        <v>10.9</v>
      </c>
      <c r="K50">
        <v>12.4</v>
      </c>
      <c r="L50">
        <v>23.3</v>
      </c>
      <c r="M50">
        <v>80</v>
      </c>
    </row>
    <row r="51" spans="1:13" x14ac:dyDescent="0.25">
      <c r="A51" t="s">
        <v>344</v>
      </c>
      <c r="B51" t="s">
        <v>495</v>
      </c>
      <c r="C51" t="s">
        <v>501</v>
      </c>
      <c r="D51" t="s">
        <v>493</v>
      </c>
      <c r="E51">
        <v>2</v>
      </c>
      <c r="F51">
        <v>8</v>
      </c>
      <c r="G51">
        <v>140</v>
      </c>
      <c r="H51">
        <v>15</v>
      </c>
      <c r="I51">
        <v>22.6</v>
      </c>
      <c r="J51">
        <v>10.9</v>
      </c>
      <c r="K51">
        <v>12.4</v>
      </c>
      <c r="L51">
        <v>23.3</v>
      </c>
      <c r="M51">
        <v>80</v>
      </c>
    </row>
    <row r="52" spans="1:13" x14ac:dyDescent="0.25">
      <c r="A52" t="s">
        <v>344</v>
      </c>
      <c r="B52" t="s">
        <v>495</v>
      </c>
      <c r="C52" t="s">
        <v>501</v>
      </c>
      <c r="D52" t="s">
        <v>493</v>
      </c>
      <c r="E52">
        <v>2</v>
      </c>
      <c r="F52">
        <v>8</v>
      </c>
      <c r="G52">
        <v>160</v>
      </c>
      <c r="H52">
        <v>15</v>
      </c>
      <c r="I52">
        <v>22.6</v>
      </c>
      <c r="J52">
        <v>10.9</v>
      </c>
      <c r="K52">
        <v>12.4</v>
      </c>
      <c r="L52">
        <v>23.3</v>
      </c>
      <c r="M52">
        <v>80</v>
      </c>
    </row>
    <row r="53" spans="1:13" x14ac:dyDescent="0.25">
      <c r="A53" t="s">
        <v>344</v>
      </c>
      <c r="B53" t="s">
        <v>495</v>
      </c>
      <c r="C53" t="s">
        <v>501</v>
      </c>
      <c r="D53" t="s">
        <v>493</v>
      </c>
      <c r="E53">
        <v>2</v>
      </c>
      <c r="F53">
        <v>8</v>
      </c>
      <c r="G53">
        <v>180</v>
      </c>
      <c r="H53">
        <v>15</v>
      </c>
      <c r="I53">
        <v>22.6</v>
      </c>
      <c r="J53">
        <v>10.9</v>
      </c>
      <c r="K53">
        <v>12.4</v>
      </c>
      <c r="L53">
        <v>23.3</v>
      </c>
      <c r="M53">
        <v>100</v>
      </c>
    </row>
    <row r="54" spans="1:13" x14ac:dyDescent="0.25">
      <c r="A54" t="s">
        <v>344</v>
      </c>
      <c r="B54" t="s">
        <v>495</v>
      </c>
      <c r="C54" t="s">
        <v>501</v>
      </c>
      <c r="D54" t="s">
        <v>493</v>
      </c>
      <c r="E54">
        <v>2</v>
      </c>
      <c r="F54">
        <v>8</v>
      </c>
      <c r="G54">
        <v>200</v>
      </c>
      <c r="H54">
        <v>15</v>
      </c>
      <c r="I54">
        <v>22.6</v>
      </c>
      <c r="J54">
        <v>10.9</v>
      </c>
      <c r="K54">
        <v>12.4</v>
      </c>
      <c r="L54">
        <v>23.3</v>
      </c>
      <c r="M54">
        <v>100</v>
      </c>
    </row>
    <row r="55" spans="1:13" x14ac:dyDescent="0.25">
      <c r="A55" t="s">
        <v>344</v>
      </c>
      <c r="B55" t="s">
        <v>495</v>
      </c>
      <c r="C55" t="s">
        <v>501</v>
      </c>
      <c r="D55" t="s">
        <v>493</v>
      </c>
      <c r="E55">
        <v>2</v>
      </c>
      <c r="F55">
        <v>8</v>
      </c>
      <c r="G55">
        <v>220</v>
      </c>
      <c r="H55">
        <v>15</v>
      </c>
      <c r="I55">
        <v>22.6</v>
      </c>
      <c r="J55">
        <v>10.9</v>
      </c>
      <c r="K55">
        <v>12.4</v>
      </c>
      <c r="L55">
        <v>23.3</v>
      </c>
      <c r="M55">
        <v>100</v>
      </c>
    </row>
    <row r="56" spans="1:13" x14ac:dyDescent="0.25">
      <c r="A56" t="s">
        <v>344</v>
      </c>
      <c r="B56" t="s">
        <v>495</v>
      </c>
      <c r="C56" t="s">
        <v>501</v>
      </c>
      <c r="D56" t="s">
        <v>493</v>
      </c>
      <c r="E56">
        <v>2</v>
      </c>
      <c r="F56">
        <v>8</v>
      </c>
      <c r="G56">
        <v>240</v>
      </c>
      <c r="H56">
        <v>15</v>
      </c>
      <c r="I56">
        <v>22.6</v>
      </c>
      <c r="J56">
        <v>10.9</v>
      </c>
      <c r="K56">
        <v>12.4</v>
      </c>
      <c r="L56">
        <v>23.3</v>
      </c>
      <c r="M56">
        <v>100</v>
      </c>
    </row>
    <row r="57" spans="1:13" x14ac:dyDescent="0.25">
      <c r="A57" t="s">
        <v>344</v>
      </c>
      <c r="B57" t="s">
        <v>495</v>
      </c>
      <c r="C57" t="s">
        <v>501</v>
      </c>
      <c r="D57" t="s">
        <v>493</v>
      </c>
      <c r="E57">
        <v>2</v>
      </c>
      <c r="F57">
        <v>8</v>
      </c>
      <c r="G57">
        <v>260</v>
      </c>
      <c r="H57">
        <v>15</v>
      </c>
      <c r="I57">
        <v>22.6</v>
      </c>
      <c r="J57">
        <v>10.9</v>
      </c>
      <c r="K57">
        <v>12.4</v>
      </c>
      <c r="L57">
        <v>23.3</v>
      </c>
      <c r="M57">
        <v>100</v>
      </c>
    </row>
    <row r="58" spans="1:13" x14ac:dyDescent="0.25">
      <c r="A58" t="s">
        <v>344</v>
      </c>
      <c r="B58" t="s">
        <v>495</v>
      </c>
      <c r="C58" t="s">
        <v>501</v>
      </c>
      <c r="D58" t="s">
        <v>493</v>
      </c>
      <c r="E58">
        <v>2</v>
      </c>
      <c r="F58">
        <v>8</v>
      </c>
      <c r="G58">
        <v>280</v>
      </c>
      <c r="H58">
        <v>15</v>
      </c>
      <c r="I58">
        <v>22.6</v>
      </c>
      <c r="J58">
        <v>10.9</v>
      </c>
      <c r="K58">
        <v>12.4</v>
      </c>
      <c r="L58">
        <v>23.3</v>
      </c>
      <c r="M58">
        <v>100</v>
      </c>
    </row>
    <row r="59" spans="1:13" x14ac:dyDescent="0.25">
      <c r="A59" t="s">
        <v>344</v>
      </c>
      <c r="B59" t="s">
        <v>495</v>
      </c>
      <c r="C59" t="s">
        <v>501</v>
      </c>
      <c r="D59" t="s">
        <v>493</v>
      </c>
      <c r="E59">
        <v>2</v>
      </c>
      <c r="F59">
        <v>8</v>
      </c>
      <c r="G59">
        <v>300</v>
      </c>
      <c r="H59">
        <v>15</v>
      </c>
      <c r="I59">
        <v>22.6</v>
      </c>
      <c r="J59">
        <v>10.9</v>
      </c>
      <c r="K59">
        <v>12.4</v>
      </c>
      <c r="L59">
        <v>23.3</v>
      </c>
      <c r="M59">
        <v>100</v>
      </c>
    </row>
    <row r="60" spans="1:13" x14ac:dyDescent="0.25">
      <c r="A60" t="s">
        <v>344</v>
      </c>
      <c r="B60" t="s">
        <v>495</v>
      </c>
      <c r="C60" t="s">
        <v>501</v>
      </c>
      <c r="D60" t="s">
        <v>493</v>
      </c>
      <c r="E60">
        <v>2</v>
      </c>
      <c r="F60">
        <v>8</v>
      </c>
      <c r="G60">
        <v>320</v>
      </c>
      <c r="H60">
        <v>15</v>
      </c>
      <c r="I60">
        <v>22.6</v>
      </c>
      <c r="J60">
        <v>10.9</v>
      </c>
      <c r="K60">
        <v>12.4</v>
      </c>
      <c r="L60">
        <v>23.3</v>
      </c>
      <c r="M60">
        <v>100</v>
      </c>
    </row>
    <row r="61" spans="1:13" x14ac:dyDescent="0.25">
      <c r="A61" t="s">
        <v>344</v>
      </c>
      <c r="B61" t="s">
        <v>495</v>
      </c>
      <c r="C61" t="s">
        <v>501</v>
      </c>
      <c r="D61" t="s">
        <v>493</v>
      </c>
      <c r="E61">
        <v>2</v>
      </c>
      <c r="F61">
        <v>8</v>
      </c>
      <c r="G61">
        <v>340</v>
      </c>
      <c r="H61">
        <v>15</v>
      </c>
      <c r="I61">
        <v>22.6</v>
      </c>
      <c r="J61">
        <v>10.9</v>
      </c>
      <c r="K61">
        <v>12.4</v>
      </c>
      <c r="L61">
        <v>23.3</v>
      </c>
      <c r="M61">
        <v>100</v>
      </c>
    </row>
    <row r="62" spans="1:13" x14ac:dyDescent="0.25">
      <c r="A62" t="s">
        <v>344</v>
      </c>
      <c r="B62" t="s">
        <v>495</v>
      </c>
      <c r="C62" t="s">
        <v>501</v>
      </c>
      <c r="D62" t="s">
        <v>493</v>
      </c>
      <c r="E62">
        <v>2</v>
      </c>
      <c r="F62">
        <v>8</v>
      </c>
      <c r="G62">
        <v>360</v>
      </c>
      <c r="H62">
        <v>15</v>
      </c>
      <c r="I62">
        <v>22.6</v>
      </c>
      <c r="J62">
        <v>10.9</v>
      </c>
      <c r="K62">
        <v>12.4</v>
      </c>
      <c r="L62">
        <v>23.3</v>
      </c>
      <c r="M62">
        <v>100</v>
      </c>
    </row>
    <row r="63" spans="1:13" x14ac:dyDescent="0.25">
      <c r="A63" t="s">
        <v>344</v>
      </c>
      <c r="B63" t="s">
        <v>495</v>
      </c>
      <c r="C63" t="s">
        <v>501</v>
      </c>
      <c r="D63" t="s">
        <v>493</v>
      </c>
      <c r="E63">
        <v>2</v>
      </c>
      <c r="F63">
        <v>8</v>
      </c>
      <c r="G63">
        <v>380</v>
      </c>
      <c r="H63">
        <v>15</v>
      </c>
      <c r="I63">
        <v>22.6</v>
      </c>
      <c r="J63">
        <v>10.9</v>
      </c>
      <c r="K63">
        <v>12.4</v>
      </c>
      <c r="L63">
        <v>23.3</v>
      </c>
      <c r="M63">
        <v>100</v>
      </c>
    </row>
    <row r="64" spans="1:13" x14ac:dyDescent="0.25">
      <c r="A64" t="s">
        <v>344</v>
      </c>
      <c r="B64" t="s">
        <v>495</v>
      </c>
      <c r="C64" t="s">
        <v>501</v>
      </c>
      <c r="D64" t="s">
        <v>493</v>
      </c>
      <c r="E64">
        <v>2</v>
      </c>
      <c r="F64">
        <v>8</v>
      </c>
      <c r="G64">
        <v>400</v>
      </c>
      <c r="H64">
        <v>15</v>
      </c>
      <c r="I64">
        <v>22.6</v>
      </c>
      <c r="J64">
        <v>10.9</v>
      </c>
      <c r="K64">
        <v>12.4</v>
      </c>
      <c r="L64">
        <v>23.3</v>
      </c>
      <c r="M64">
        <v>100</v>
      </c>
    </row>
    <row r="65" spans="1:13" x14ac:dyDescent="0.25">
      <c r="A65" t="s">
        <v>344</v>
      </c>
      <c r="B65" t="s">
        <v>495</v>
      </c>
      <c r="C65" t="s">
        <v>501</v>
      </c>
      <c r="D65" t="s">
        <v>493</v>
      </c>
      <c r="E65">
        <v>2</v>
      </c>
      <c r="F65">
        <v>8</v>
      </c>
      <c r="G65">
        <v>420</v>
      </c>
      <c r="H65">
        <v>15</v>
      </c>
      <c r="I65">
        <v>22.6</v>
      </c>
      <c r="J65">
        <v>10.9</v>
      </c>
      <c r="K65">
        <v>12.4</v>
      </c>
      <c r="L65">
        <v>23.3</v>
      </c>
      <c r="M65">
        <v>100</v>
      </c>
    </row>
    <row r="66" spans="1:13" x14ac:dyDescent="0.25">
      <c r="A66" t="s">
        <v>344</v>
      </c>
      <c r="B66" t="s">
        <v>495</v>
      </c>
      <c r="C66" t="s">
        <v>501</v>
      </c>
      <c r="D66" t="s">
        <v>493</v>
      </c>
      <c r="E66">
        <v>2</v>
      </c>
      <c r="F66">
        <v>8</v>
      </c>
      <c r="G66">
        <v>440</v>
      </c>
      <c r="H66">
        <v>15</v>
      </c>
      <c r="I66">
        <v>22.6</v>
      </c>
      <c r="J66">
        <v>10.9</v>
      </c>
      <c r="K66">
        <v>12.4</v>
      </c>
      <c r="L66">
        <v>23.3</v>
      </c>
      <c r="M66">
        <v>100</v>
      </c>
    </row>
    <row r="67" spans="1:13" x14ac:dyDescent="0.25">
      <c r="A67" t="s">
        <v>344</v>
      </c>
      <c r="B67" t="s">
        <v>495</v>
      </c>
      <c r="C67" t="s">
        <v>501</v>
      </c>
      <c r="D67" t="s">
        <v>493</v>
      </c>
      <c r="E67">
        <v>2</v>
      </c>
      <c r="F67">
        <v>8</v>
      </c>
      <c r="G67">
        <v>460</v>
      </c>
      <c r="H67">
        <v>15</v>
      </c>
      <c r="I67">
        <v>22.6</v>
      </c>
      <c r="J67">
        <v>10.9</v>
      </c>
      <c r="K67">
        <v>12.4</v>
      </c>
      <c r="L67">
        <v>23.3</v>
      </c>
      <c r="M67">
        <v>100</v>
      </c>
    </row>
    <row r="68" spans="1:13" x14ac:dyDescent="0.25">
      <c r="A68" t="s">
        <v>344</v>
      </c>
      <c r="B68" t="s">
        <v>495</v>
      </c>
      <c r="C68" t="s">
        <v>501</v>
      </c>
      <c r="D68" t="s">
        <v>493</v>
      </c>
      <c r="E68">
        <v>2</v>
      </c>
      <c r="F68">
        <v>8</v>
      </c>
      <c r="G68">
        <v>480</v>
      </c>
      <c r="H68">
        <v>15</v>
      </c>
      <c r="I68">
        <v>22.6</v>
      </c>
      <c r="J68">
        <v>10.9</v>
      </c>
      <c r="K68">
        <v>12.4</v>
      </c>
      <c r="L68">
        <v>23.3</v>
      </c>
      <c r="M68">
        <v>100</v>
      </c>
    </row>
    <row r="69" spans="1:13" x14ac:dyDescent="0.25">
      <c r="A69" t="s">
        <v>344</v>
      </c>
      <c r="B69" t="s">
        <v>495</v>
      </c>
      <c r="C69" t="s">
        <v>501</v>
      </c>
      <c r="D69" t="s">
        <v>493</v>
      </c>
      <c r="E69">
        <v>2</v>
      </c>
      <c r="F69">
        <v>8</v>
      </c>
      <c r="G69">
        <v>500</v>
      </c>
      <c r="H69">
        <v>15</v>
      </c>
      <c r="I69">
        <v>22.6</v>
      </c>
      <c r="J69">
        <v>10.9</v>
      </c>
      <c r="K69">
        <v>12.4</v>
      </c>
      <c r="L69">
        <v>23.3</v>
      </c>
      <c r="M69">
        <v>100</v>
      </c>
    </row>
    <row r="70" spans="1:13" x14ac:dyDescent="0.25">
      <c r="A70" t="s">
        <v>344</v>
      </c>
      <c r="B70" t="s">
        <v>495</v>
      </c>
      <c r="C70" t="s">
        <v>501</v>
      </c>
      <c r="D70" t="s">
        <v>493</v>
      </c>
      <c r="E70">
        <v>2</v>
      </c>
      <c r="F70">
        <v>10</v>
      </c>
      <c r="G70">
        <v>80</v>
      </c>
      <c r="H70">
        <v>18.5</v>
      </c>
      <c r="I70">
        <v>33.6</v>
      </c>
      <c r="J70">
        <v>11</v>
      </c>
      <c r="K70">
        <v>12.2</v>
      </c>
      <c r="L70">
        <v>35</v>
      </c>
      <c r="M70">
        <v>50</v>
      </c>
    </row>
    <row r="71" spans="1:13" x14ac:dyDescent="0.25">
      <c r="A71" t="s">
        <v>344</v>
      </c>
      <c r="B71" t="s">
        <v>495</v>
      </c>
      <c r="C71" t="s">
        <v>501</v>
      </c>
      <c r="D71" t="s">
        <v>493</v>
      </c>
      <c r="E71">
        <v>2</v>
      </c>
      <c r="F71">
        <v>10</v>
      </c>
      <c r="G71">
        <v>100</v>
      </c>
      <c r="H71">
        <v>18.5</v>
      </c>
      <c r="I71">
        <v>33.6</v>
      </c>
      <c r="J71">
        <v>11</v>
      </c>
      <c r="K71">
        <v>12.2</v>
      </c>
      <c r="L71">
        <v>35</v>
      </c>
      <c r="M71">
        <v>60</v>
      </c>
    </row>
    <row r="72" spans="1:13" x14ac:dyDescent="0.25">
      <c r="A72" t="s">
        <v>344</v>
      </c>
      <c r="B72" t="s">
        <v>495</v>
      </c>
      <c r="C72" t="s">
        <v>501</v>
      </c>
      <c r="D72" t="s">
        <v>493</v>
      </c>
      <c r="E72">
        <v>2</v>
      </c>
      <c r="F72">
        <v>10</v>
      </c>
      <c r="G72">
        <v>120</v>
      </c>
      <c r="H72">
        <v>18.5</v>
      </c>
      <c r="I72">
        <v>33.6</v>
      </c>
      <c r="J72">
        <v>11</v>
      </c>
      <c r="K72">
        <v>12.2</v>
      </c>
      <c r="L72">
        <v>35</v>
      </c>
      <c r="M72">
        <v>80</v>
      </c>
    </row>
    <row r="73" spans="1:13" x14ac:dyDescent="0.25">
      <c r="A73" t="s">
        <v>344</v>
      </c>
      <c r="B73" t="s">
        <v>495</v>
      </c>
      <c r="C73" t="s">
        <v>501</v>
      </c>
      <c r="D73" t="s">
        <v>493</v>
      </c>
      <c r="E73">
        <v>2</v>
      </c>
      <c r="F73">
        <v>10</v>
      </c>
      <c r="G73">
        <v>140</v>
      </c>
      <c r="H73">
        <v>18.5</v>
      </c>
      <c r="I73">
        <v>33.6</v>
      </c>
      <c r="J73">
        <v>11</v>
      </c>
      <c r="K73">
        <v>12.2</v>
      </c>
      <c r="L73">
        <v>35</v>
      </c>
      <c r="M73">
        <v>80</v>
      </c>
    </row>
    <row r="74" spans="1:13" x14ac:dyDescent="0.25">
      <c r="A74" t="s">
        <v>344</v>
      </c>
      <c r="B74" t="s">
        <v>495</v>
      </c>
      <c r="C74" t="s">
        <v>501</v>
      </c>
      <c r="D74" t="s">
        <v>493</v>
      </c>
      <c r="E74">
        <v>2</v>
      </c>
      <c r="F74">
        <v>10</v>
      </c>
      <c r="G74">
        <v>160</v>
      </c>
      <c r="H74">
        <v>18.5</v>
      </c>
      <c r="I74">
        <v>33.6</v>
      </c>
      <c r="J74">
        <v>11</v>
      </c>
      <c r="K74">
        <v>12.2</v>
      </c>
      <c r="L74">
        <v>35</v>
      </c>
      <c r="M74">
        <v>80</v>
      </c>
    </row>
    <row r="75" spans="1:13" x14ac:dyDescent="0.25">
      <c r="A75" t="s">
        <v>344</v>
      </c>
      <c r="B75" t="s">
        <v>495</v>
      </c>
      <c r="C75" t="s">
        <v>501</v>
      </c>
      <c r="D75" t="s">
        <v>493</v>
      </c>
      <c r="E75">
        <v>2</v>
      </c>
      <c r="F75">
        <v>10</v>
      </c>
      <c r="G75">
        <v>180</v>
      </c>
      <c r="H75">
        <v>18.5</v>
      </c>
      <c r="I75">
        <v>33.6</v>
      </c>
      <c r="J75">
        <v>11</v>
      </c>
      <c r="K75">
        <v>12.2</v>
      </c>
      <c r="L75">
        <v>35</v>
      </c>
      <c r="M75">
        <v>100</v>
      </c>
    </row>
    <row r="76" spans="1:13" x14ac:dyDescent="0.25">
      <c r="A76" t="s">
        <v>344</v>
      </c>
      <c r="B76" t="s">
        <v>495</v>
      </c>
      <c r="C76" t="s">
        <v>501</v>
      </c>
      <c r="D76" t="s">
        <v>493</v>
      </c>
      <c r="E76">
        <v>2</v>
      </c>
      <c r="F76">
        <v>10</v>
      </c>
      <c r="G76">
        <v>200</v>
      </c>
      <c r="H76">
        <v>18.5</v>
      </c>
      <c r="I76">
        <v>33.6</v>
      </c>
      <c r="J76">
        <v>11</v>
      </c>
      <c r="K76">
        <v>12.2</v>
      </c>
      <c r="L76">
        <v>35</v>
      </c>
      <c r="M76">
        <v>100</v>
      </c>
    </row>
    <row r="77" spans="1:13" x14ac:dyDescent="0.25">
      <c r="A77" t="s">
        <v>344</v>
      </c>
      <c r="B77" t="s">
        <v>495</v>
      </c>
      <c r="C77" t="s">
        <v>501</v>
      </c>
      <c r="D77" t="s">
        <v>493</v>
      </c>
      <c r="E77">
        <v>2</v>
      </c>
      <c r="F77">
        <v>10</v>
      </c>
      <c r="G77">
        <v>220</v>
      </c>
      <c r="H77">
        <v>18.5</v>
      </c>
      <c r="I77">
        <v>33.6</v>
      </c>
      <c r="J77">
        <v>11</v>
      </c>
      <c r="K77">
        <v>12.2</v>
      </c>
      <c r="L77">
        <v>35</v>
      </c>
      <c r="M77">
        <v>100</v>
      </c>
    </row>
    <row r="78" spans="1:13" x14ac:dyDescent="0.25">
      <c r="A78" t="s">
        <v>344</v>
      </c>
      <c r="B78" t="s">
        <v>495</v>
      </c>
      <c r="C78" t="s">
        <v>501</v>
      </c>
      <c r="D78" t="s">
        <v>493</v>
      </c>
      <c r="E78">
        <v>2</v>
      </c>
      <c r="F78">
        <v>10</v>
      </c>
      <c r="G78">
        <v>240</v>
      </c>
      <c r="H78">
        <v>18.5</v>
      </c>
      <c r="I78">
        <v>33.6</v>
      </c>
      <c r="J78">
        <v>11</v>
      </c>
      <c r="K78">
        <v>12.2</v>
      </c>
      <c r="L78">
        <v>35</v>
      </c>
      <c r="M78">
        <v>100</v>
      </c>
    </row>
    <row r="79" spans="1:13" x14ac:dyDescent="0.25">
      <c r="A79" t="s">
        <v>344</v>
      </c>
      <c r="B79" t="s">
        <v>495</v>
      </c>
      <c r="C79" t="s">
        <v>501</v>
      </c>
      <c r="D79" t="s">
        <v>493</v>
      </c>
      <c r="E79">
        <v>2</v>
      </c>
      <c r="F79">
        <v>10</v>
      </c>
      <c r="G79">
        <v>260</v>
      </c>
      <c r="H79">
        <v>18.5</v>
      </c>
      <c r="I79">
        <v>33.6</v>
      </c>
      <c r="J79">
        <v>11</v>
      </c>
      <c r="K79">
        <v>12.2</v>
      </c>
      <c r="L79">
        <v>35</v>
      </c>
      <c r="M79">
        <v>100</v>
      </c>
    </row>
    <row r="80" spans="1:13" x14ac:dyDescent="0.25">
      <c r="A80" t="s">
        <v>344</v>
      </c>
      <c r="B80" t="s">
        <v>495</v>
      </c>
      <c r="C80" t="s">
        <v>501</v>
      </c>
      <c r="D80" t="s">
        <v>493</v>
      </c>
      <c r="E80">
        <v>2</v>
      </c>
      <c r="F80">
        <v>10</v>
      </c>
      <c r="G80">
        <v>280</v>
      </c>
      <c r="H80">
        <v>18.5</v>
      </c>
      <c r="I80">
        <v>33.6</v>
      </c>
      <c r="J80">
        <v>11</v>
      </c>
      <c r="K80">
        <v>12.2</v>
      </c>
      <c r="L80">
        <v>35</v>
      </c>
      <c r="M80">
        <v>100</v>
      </c>
    </row>
    <row r="81" spans="1:13" x14ac:dyDescent="0.25">
      <c r="A81" t="s">
        <v>344</v>
      </c>
      <c r="B81" t="s">
        <v>495</v>
      </c>
      <c r="C81" t="s">
        <v>501</v>
      </c>
      <c r="D81" t="s">
        <v>493</v>
      </c>
      <c r="E81">
        <v>2</v>
      </c>
      <c r="F81">
        <v>10</v>
      </c>
      <c r="G81">
        <v>300</v>
      </c>
      <c r="H81">
        <v>18.5</v>
      </c>
      <c r="I81">
        <v>33.6</v>
      </c>
      <c r="J81">
        <v>11</v>
      </c>
      <c r="K81">
        <v>12.2</v>
      </c>
      <c r="L81">
        <v>35</v>
      </c>
      <c r="M81">
        <v>100</v>
      </c>
    </row>
    <row r="82" spans="1:13" x14ac:dyDescent="0.25">
      <c r="A82" t="s">
        <v>344</v>
      </c>
      <c r="B82" t="s">
        <v>495</v>
      </c>
      <c r="C82" t="s">
        <v>501</v>
      </c>
      <c r="D82" t="s">
        <v>493</v>
      </c>
      <c r="E82">
        <v>2</v>
      </c>
      <c r="F82">
        <v>10</v>
      </c>
      <c r="G82">
        <v>320</v>
      </c>
      <c r="H82">
        <v>18.5</v>
      </c>
      <c r="I82">
        <v>33.6</v>
      </c>
      <c r="J82">
        <v>11</v>
      </c>
      <c r="K82">
        <v>12.2</v>
      </c>
      <c r="L82">
        <v>35</v>
      </c>
      <c r="M82">
        <v>100</v>
      </c>
    </row>
    <row r="83" spans="1:13" x14ac:dyDescent="0.25">
      <c r="A83" t="s">
        <v>344</v>
      </c>
      <c r="B83" t="s">
        <v>495</v>
      </c>
      <c r="C83" t="s">
        <v>501</v>
      </c>
      <c r="D83" t="s">
        <v>493</v>
      </c>
      <c r="E83">
        <v>2</v>
      </c>
      <c r="F83">
        <v>10</v>
      </c>
      <c r="G83">
        <v>340</v>
      </c>
      <c r="H83">
        <v>18.5</v>
      </c>
      <c r="I83">
        <v>33.6</v>
      </c>
      <c r="J83">
        <v>11</v>
      </c>
      <c r="K83">
        <v>12.2</v>
      </c>
      <c r="L83">
        <v>35</v>
      </c>
      <c r="M83">
        <v>100</v>
      </c>
    </row>
    <row r="84" spans="1:13" x14ac:dyDescent="0.25">
      <c r="A84" t="s">
        <v>344</v>
      </c>
      <c r="B84" t="s">
        <v>495</v>
      </c>
      <c r="C84" t="s">
        <v>501</v>
      </c>
      <c r="D84" t="s">
        <v>493</v>
      </c>
      <c r="E84">
        <v>2</v>
      </c>
      <c r="F84">
        <v>10</v>
      </c>
      <c r="G84">
        <v>360</v>
      </c>
      <c r="H84">
        <v>18.5</v>
      </c>
      <c r="I84">
        <v>33.6</v>
      </c>
      <c r="J84">
        <v>11</v>
      </c>
      <c r="K84">
        <v>12.2</v>
      </c>
      <c r="L84">
        <v>35</v>
      </c>
      <c r="M84">
        <v>100</v>
      </c>
    </row>
    <row r="85" spans="1:13" x14ac:dyDescent="0.25">
      <c r="A85" t="s">
        <v>344</v>
      </c>
      <c r="B85" t="s">
        <v>495</v>
      </c>
      <c r="C85" t="s">
        <v>501</v>
      </c>
      <c r="D85" t="s">
        <v>493</v>
      </c>
      <c r="E85">
        <v>2</v>
      </c>
      <c r="F85">
        <v>10</v>
      </c>
      <c r="G85">
        <v>380</v>
      </c>
      <c r="H85">
        <v>18.5</v>
      </c>
      <c r="I85">
        <v>33.6</v>
      </c>
      <c r="J85">
        <v>11</v>
      </c>
      <c r="K85">
        <v>12.2</v>
      </c>
      <c r="L85">
        <v>35</v>
      </c>
      <c r="M85">
        <v>100</v>
      </c>
    </row>
    <row r="86" spans="1:13" x14ac:dyDescent="0.25">
      <c r="A86" t="s">
        <v>344</v>
      </c>
      <c r="B86" t="s">
        <v>495</v>
      </c>
      <c r="C86" t="s">
        <v>501</v>
      </c>
      <c r="D86" t="s">
        <v>493</v>
      </c>
      <c r="E86">
        <v>2</v>
      </c>
      <c r="F86">
        <v>10</v>
      </c>
      <c r="G86">
        <v>400</v>
      </c>
      <c r="H86">
        <v>18.5</v>
      </c>
      <c r="I86">
        <v>33.6</v>
      </c>
      <c r="J86">
        <v>11</v>
      </c>
      <c r="K86">
        <v>12.2</v>
      </c>
      <c r="L86">
        <v>35</v>
      </c>
      <c r="M86">
        <v>100</v>
      </c>
    </row>
    <row r="87" spans="1:13" x14ac:dyDescent="0.25">
      <c r="A87" t="s">
        <v>344</v>
      </c>
      <c r="B87" t="s">
        <v>495</v>
      </c>
      <c r="C87" t="s">
        <v>501</v>
      </c>
      <c r="D87" t="s">
        <v>493</v>
      </c>
      <c r="E87">
        <v>2</v>
      </c>
      <c r="F87">
        <v>10</v>
      </c>
      <c r="G87">
        <v>420</v>
      </c>
      <c r="H87">
        <v>18.5</v>
      </c>
      <c r="I87">
        <v>33.6</v>
      </c>
      <c r="J87">
        <v>11</v>
      </c>
      <c r="K87">
        <v>12.2</v>
      </c>
      <c r="L87">
        <v>35</v>
      </c>
      <c r="M87">
        <v>100</v>
      </c>
    </row>
    <row r="88" spans="1:13" x14ac:dyDescent="0.25">
      <c r="A88" t="s">
        <v>344</v>
      </c>
      <c r="B88" t="s">
        <v>495</v>
      </c>
      <c r="C88" t="s">
        <v>501</v>
      </c>
      <c r="D88" t="s">
        <v>493</v>
      </c>
      <c r="E88">
        <v>2</v>
      </c>
      <c r="F88">
        <v>10</v>
      </c>
      <c r="G88">
        <v>440</v>
      </c>
      <c r="H88">
        <v>18.5</v>
      </c>
      <c r="I88">
        <v>33.6</v>
      </c>
      <c r="J88">
        <v>11</v>
      </c>
      <c r="K88">
        <v>12.2</v>
      </c>
      <c r="L88">
        <v>35</v>
      </c>
      <c r="M88">
        <v>100</v>
      </c>
    </row>
    <row r="89" spans="1:13" x14ac:dyDescent="0.25">
      <c r="A89" t="s">
        <v>344</v>
      </c>
      <c r="B89" t="s">
        <v>495</v>
      </c>
      <c r="C89" t="s">
        <v>501</v>
      </c>
      <c r="D89" t="s">
        <v>493</v>
      </c>
      <c r="E89">
        <v>2</v>
      </c>
      <c r="F89">
        <v>10</v>
      </c>
      <c r="G89">
        <v>460</v>
      </c>
      <c r="H89">
        <v>18.5</v>
      </c>
      <c r="I89">
        <v>33.6</v>
      </c>
      <c r="J89">
        <v>11</v>
      </c>
      <c r="K89">
        <v>12.2</v>
      </c>
      <c r="L89">
        <v>35</v>
      </c>
      <c r="M89">
        <v>100</v>
      </c>
    </row>
    <row r="90" spans="1:13" x14ac:dyDescent="0.25">
      <c r="A90" t="s">
        <v>344</v>
      </c>
      <c r="B90" t="s">
        <v>495</v>
      </c>
      <c r="C90" t="s">
        <v>501</v>
      </c>
      <c r="D90" t="s">
        <v>493</v>
      </c>
      <c r="E90">
        <v>2</v>
      </c>
      <c r="F90">
        <v>10</v>
      </c>
      <c r="G90">
        <v>480</v>
      </c>
      <c r="H90">
        <v>18.5</v>
      </c>
      <c r="I90">
        <v>33.6</v>
      </c>
      <c r="J90">
        <v>11</v>
      </c>
      <c r="K90">
        <v>12.2</v>
      </c>
      <c r="L90">
        <v>35</v>
      </c>
      <c r="M90">
        <v>100</v>
      </c>
    </row>
    <row r="91" spans="1:13" x14ac:dyDescent="0.25">
      <c r="A91" t="s">
        <v>344</v>
      </c>
      <c r="B91" t="s">
        <v>495</v>
      </c>
      <c r="C91" t="s">
        <v>501</v>
      </c>
      <c r="D91" t="s">
        <v>493</v>
      </c>
      <c r="E91">
        <v>2</v>
      </c>
      <c r="F91">
        <v>10</v>
      </c>
      <c r="G91">
        <v>500</v>
      </c>
      <c r="H91">
        <v>18.5</v>
      </c>
      <c r="I91">
        <v>33.6</v>
      </c>
      <c r="J91">
        <v>11</v>
      </c>
      <c r="K91">
        <v>12.2</v>
      </c>
      <c r="L91">
        <v>35</v>
      </c>
      <c r="M91">
        <v>100</v>
      </c>
    </row>
    <row r="92" spans="1:13" x14ac:dyDescent="0.25">
      <c r="A92" t="s">
        <v>344</v>
      </c>
      <c r="B92" t="s">
        <v>495</v>
      </c>
      <c r="C92" t="s">
        <v>501</v>
      </c>
      <c r="D92" t="s">
        <v>493</v>
      </c>
      <c r="E92">
        <v>2</v>
      </c>
      <c r="F92">
        <v>12</v>
      </c>
      <c r="G92">
        <v>100</v>
      </c>
      <c r="H92">
        <v>21</v>
      </c>
      <c r="I92">
        <v>46.9</v>
      </c>
      <c r="J92">
        <v>11.2</v>
      </c>
      <c r="K92">
        <v>10.3</v>
      </c>
      <c r="L92">
        <v>42</v>
      </c>
      <c r="M92">
        <v>60</v>
      </c>
    </row>
    <row r="93" spans="1:13" x14ac:dyDescent="0.25">
      <c r="A93" t="s">
        <v>344</v>
      </c>
      <c r="B93" t="s">
        <v>495</v>
      </c>
      <c r="C93" t="s">
        <v>501</v>
      </c>
      <c r="D93" t="s">
        <v>493</v>
      </c>
      <c r="E93">
        <v>2</v>
      </c>
      <c r="F93">
        <v>12</v>
      </c>
      <c r="G93">
        <v>120</v>
      </c>
      <c r="H93">
        <v>21</v>
      </c>
      <c r="I93">
        <v>46.9</v>
      </c>
      <c r="J93">
        <v>11.2</v>
      </c>
      <c r="K93">
        <v>10.3</v>
      </c>
      <c r="L93">
        <v>42</v>
      </c>
      <c r="M93">
        <v>80</v>
      </c>
    </row>
    <row r="94" spans="1:13" x14ac:dyDescent="0.25">
      <c r="A94" t="s">
        <v>344</v>
      </c>
      <c r="B94" t="s">
        <v>495</v>
      </c>
      <c r="C94" t="s">
        <v>501</v>
      </c>
      <c r="D94" t="s">
        <v>493</v>
      </c>
      <c r="E94">
        <v>2</v>
      </c>
      <c r="F94">
        <v>12</v>
      </c>
      <c r="G94">
        <v>140</v>
      </c>
      <c r="H94">
        <v>21</v>
      </c>
      <c r="I94">
        <v>46.9</v>
      </c>
      <c r="J94">
        <v>11.2</v>
      </c>
      <c r="K94">
        <v>10.3</v>
      </c>
      <c r="L94">
        <v>42</v>
      </c>
      <c r="M94">
        <v>80</v>
      </c>
    </row>
    <row r="95" spans="1:13" x14ac:dyDescent="0.25">
      <c r="A95" t="s">
        <v>344</v>
      </c>
      <c r="B95" t="s">
        <v>495</v>
      </c>
      <c r="C95" t="s">
        <v>501</v>
      </c>
      <c r="D95" t="s">
        <v>493</v>
      </c>
      <c r="E95">
        <v>2</v>
      </c>
      <c r="F95">
        <v>12</v>
      </c>
      <c r="G95">
        <v>160</v>
      </c>
      <c r="H95">
        <v>21</v>
      </c>
      <c r="I95">
        <v>46.9</v>
      </c>
      <c r="J95">
        <v>11.2</v>
      </c>
      <c r="K95">
        <v>10.3</v>
      </c>
      <c r="L95">
        <v>42</v>
      </c>
      <c r="M95">
        <v>80</v>
      </c>
    </row>
    <row r="96" spans="1:13" x14ac:dyDescent="0.25">
      <c r="A96" t="s">
        <v>344</v>
      </c>
      <c r="B96" t="s">
        <v>495</v>
      </c>
      <c r="C96" t="s">
        <v>501</v>
      </c>
      <c r="D96" t="s">
        <v>493</v>
      </c>
      <c r="E96">
        <v>2</v>
      </c>
      <c r="F96">
        <v>12</v>
      </c>
      <c r="G96">
        <v>180</v>
      </c>
      <c r="H96">
        <v>21</v>
      </c>
      <c r="I96">
        <v>46.9</v>
      </c>
      <c r="J96">
        <v>11.2</v>
      </c>
      <c r="K96">
        <v>10.3</v>
      </c>
      <c r="L96">
        <v>42</v>
      </c>
      <c r="M96">
        <v>100</v>
      </c>
    </row>
    <row r="97" spans="1:13" x14ac:dyDescent="0.25">
      <c r="A97" t="s">
        <v>344</v>
      </c>
      <c r="B97" t="s">
        <v>495</v>
      </c>
      <c r="C97" t="s">
        <v>501</v>
      </c>
      <c r="D97" t="s">
        <v>493</v>
      </c>
      <c r="E97">
        <v>2</v>
      </c>
      <c r="F97">
        <v>12</v>
      </c>
      <c r="G97">
        <v>200</v>
      </c>
      <c r="H97">
        <v>21</v>
      </c>
      <c r="I97">
        <v>46.9</v>
      </c>
      <c r="J97">
        <v>11.2</v>
      </c>
      <c r="K97">
        <v>10.3</v>
      </c>
      <c r="L97">
        <v>42</v>
      </c>
      <c r="M97">
        <v>100</v>
      </c>
    </row>
    <row r="98" spans="1:13" x14ac:dyDescent="0.25">
      <c r="A98" t="s">
        <v>344</v>
      </c>
      <c r="B98" t="s">
        <v>495</v>
      </c>
      <c r="C98" t="s">
        <v>501</v>
      </c>
      <c r="D98" t="s">
        <v>493</v>
      </c>
      <c r="E98">
        <v>2</v>
      </c>
      <c r="F98">
        <v>12</v>
      </c>
      <c r="G98">
        <v>220</v>
      </c>
      <c r="H98">
        <v>21</v>
      </c>
      <c r="I98">
        <v>46.9</v>
      </c>
      <c r="J98">
        <v>11.2</v>
      </c>
      <c r="K98">
        <v>10.3</v>
      </c>
      <c r="L98">
        <v>42</v>
      </c>
      <c r="M98">
        <v>100</v>
      </c>
    </row>
    <row r="99" spans="1:13" x14ac:dyDescent="0.25">
      <c r="A99" t="s">
        <v>344</v>
      </c>
      <c r="B99" t="s">
        <v>495</v>
      </c>
      <c r="C99" t="s">
        <v>501</v>
      </c>
      <c r="D99" t="s">
        <v>493</v>
      </c>
      <c r="E99">
        <v>2</v>
      </c>
      <c r="F99">
        <v>12</v>
      </c>
      <c r="G99">
        <v>240</v>
      </c>
      <c r="H99">
        <v>21</v>
      </c>
      <c r="I99">
        <v>46.9</v>
      </c>
      <c r="J99">
        <v>11.2</v>
      </c>
      <c r="K99">
        <v>10.3</v>
      </c>
      <c r="L99">
        <v>42</v>
      </c>
      <c r="M99">
        <v>100</v>
      </c>
    </row>
    <row r="100" spans="1:13" x14ac:dyDescent="0.25">
      <c r="A100" t="s">
        <v>344</v>
      </c>
      <c r="B100" t="s">
        <v>495</v>
      </c>
      <c r="C100" t="s">
        <v>501</v>
      </c>
      <c r="D100" t="s">
        <v>493</v>
      </c>
      <c r="E100">
        <v>2</v>
      </c>
      <c r="F100">
        <v>12</v>
      </c>
      <c r="G100">
        <v>260</v>
      </c>
      <c r="H100">
        <v>21</v>
      </c>
      <c r="I100">
        <v>46.9</v>
      </c>
      <c r="J100">
        <v>11.2</v>
      </c>
      <c r="K100">
        <v>10.3</v>
      </c>
      <c r="L100">
        <v>42</v>
      </c>
      <c r="M100">
        <v>100</v>
      </c>
    </row>
    <row r="101" spans="1:13" x14ac:dyDescent="0.25">
      <c r="A101" t="s">
        <v>344</v>
      </c>
      <c r="B101" t="s">
        <v>495</v>
      </c>
      <c r="C101" t="s">
        <v>501</v>
      </c>
      <c r="D101" t="s">
        <v>493</v>
      </c>
      <c r="E101">
        <v>2</v>
      </c>
      <c r="F101">
        <v>12</v>
      </c>
      <c r="G101">
        <v>280</v>
      </c>
      <c r="H101">
        <v>21</v>
      </c>
      <c r="I101">
        <v>46.9</v>
      </c>
      <c r="J101">
        <v>11.2</v>
      </c>
      <c r="K101">
        <v>10.3</v>
      </c>
      <c r="L101">
        <v>42</v>
      </c>
      <c r="M101">
        <v>100</v>
      </c>
    </row>
    <row r="102" spans="1:13" x14ac:dyDescent="0.25">
      <c r="A102" t="s">
        <v>344</v>
      </c>
      <c r="B102" t="s">
        <v>495</v>
      </c>
      <c r="C102" t="s">
        <v>501</v>
      </c>
      <c r="D102" t="s">
        <v>493</v>
      </c>
      <c r="E102">
        <v>2</v>
      </c>
      <c r="F102">
        <v>12</v>
      </c>
      <c r="G102">
        <v>300</v>
      </c>
      <c r="H102">
        <v>21</v>
      </c>
      <c r="I102">
        <v>46.9</v>
      </c>
      <c r="J102">
        <v>11.2</v>
      </c>
      <c r="K102">
        <v>10.3</v>
      </c>
      <c r="L102">
        <v>42</v>
      </c>
      <c r="M102">
        <v>120</v>
      </c>
    </row>
    <row r="103" spans="1:13" x14ac:dyDescent="0.25">
      <c r="A103" t="s">
        <v>344</v>
      </c>
      <c r="B103" t="s">
        <v>495</v>
      </c>
      <c r="C103" t="s">
        <v>501</v>
      </c>
      <c r="D103" t="s">
        <v>493</v>
      </c>
      <c r="E103">
        <v>2</v>
      </c>
      <c r="F103">
        <v>12</v>
      </c>
      <c r="G103">
        <v>320</v>
      </c>
      <c r="H103">
        <v>21</v>
      </c>
      <c r="I103">
        <v>46.9</v>
      </c>
      <c r="J103">
        <v>11.2</v>
      </c>
      <c r="K103">
        <v>10.3</v>
      </c>
      <c r="L103">
        <v>42</v>
      </c>
      <c r="M103">
        <v>120</v>
      </c>
    </row>
    <row r="104" spans="1:13" x14ac:dyDescent="0.25">
      <c r="A104" t="s">
        <v>344</v>
      </c>
      <c r="B104" t="s">
        <v>495</v>
      </c>
      <c r="C104" t="s">
        <v>501</v>
      </c>
      <c r="D104" t="s">
        <v>493</v>
      </c>
      <c r="E104">
        <v>2</v>
      </c>
      <c r="F104">
        <v>12</v>
      </c>
      <c r="G104">
        <v>340</v>
      </c>
      <c r="H104">
        <v>21</v>
      </c>
      <c r="I104">
        <v>46.9</v>
      </c>
      <c r="J104">
        <v>11.2</v>
      </c>
      <c r="K104">
        <v>10.3</v>
      </c>
      <c r="L104">
        <v>42</v>
      </c>
      <c r="M104">
        <v>120</v>
      </c>
    </row>
    <row r="105" spans="1:13" x14ac:dyDescent="0.25">
      <c r="A105" t="s">
        <v>344</v>
      </c>
      <c r="B105" t="s">
        <v>495</v>
      </c>
      <c r="C105" t="s">
        <v>501</v>
      </c>
      <c r="D105" t="s">
        <v>493</v>
      </c>
      <c r="E105">
        <v>2</v>
      </c>
      <c r="F105">
        <v>12</v>
      </c>
      <c r="G105">
        <v>360</v>
      </c>
      <c r="H105">
        <v>21</v>
      </c>
      <c r="I105">
        <v>46.9</v>
      </c>
      <c r="J105">
        <v>11.2</v>
      </c>
      <c r="K105">
        <v>10.3</v>
      </c>
      <c r="L105">
        <v>42</v>
      </c>
      <c r="M105">
        <v>120</v>
      </c>
    </row>
    <row r="106" spans="1:13" x14ac:dyDescent="0.25">
      <c r="A106" t="s">
        <v>344</v>
      </c>
      <c r="B106" t="s">
        <v>495</v>
      </c>
      <c r="C106" t="s">
        <v>501</v>
      </c>
      <c r="D106" t="s">
        <v>493</v>
      </c>
      <c r="E106">
        <v>2</v>
      </c>
      <c r="F106">
        <v>12</v>
      </c>
      <c r="G106">
        <v>380</v>
      </c>
      <c r="H106">
        <v>21</v>
      </c>
      <c r="I106">
        <v>46.9</v>
      </c>
      <c r="J106">
        <v>11.2</v>
      </c>
      <c r="K106">
        <v>10.3</v>
      </c>
      <c r="L106">
        <v>42</v>
      </c>
      <c r="M106">
        <v>120</v>
      </c>
    </row>
    <row r="107" spans="1:13" x14ac:dyDescent="0.25">
      <c r="A107" t="s">
        <v>344</v>
      </c>
      <c r="B107" t="s">
        <v>495</v>
      </c>
      <c r="C107" t="s">
        <v>501</v>
      </c>
      <c r="D107" t="s">
        <v>493</v>
      </c>
      <c r="E107">
        <v>2</v>
      </c>
      <c r="F107">
        <v>12</v>
      </c>
      <c r="G107">
        <v>400</v>
      </c>
      <c r="H107">
        <v>21</v>
      </c>
      <c r="I107">
        <v>46.9</v>
      </c>
      <c r="J107">
        <v>11.2</v>
      </c>
      <c r="K107">
        <v>10.3</v>
      </c>
      <c r="L107">
        <v>42</v>
      </c>
      <c r="M107">
        <v>120</v>
      </c>
    </row>
    <row r="108" spans="1:13" x14ac:dyDescent="0.25">
      <c r="A108" t="s">
        <v>344</v>
      </c>
      <c r="B108" t="s">
        <v>495</v>
      </c>
      <c r="C108" t="s">
        <v>502</v>
      </c>
      <c r="D108" t="s">
        <v>494</v>
      </c>
      <c r="E108">
        <v>2</v>
      </c>
      <c r="F108">
        <v>6</v>
      </c>
      <c r="G108">
        <v>60</v>
      </c>
      <c r="H108">
        <v>14</v>
      </c>
      <c r="I108">
        <v>10.7</v>
      </c>
      <c r="J108">
        <v>13</v>
      </c>
      <c r="K108">
        <v>16.7</v>
      </c>
      <c r="L108">
        <v>13.1</v>
      </c>
      <c r="M108">
        <v>40</v>
      </c>
    </row>
    <row r="109" spans="1:13" x14ac:dyDescent="0.25">
      <c r="A109" t="s">
        <v>344</v>
      </c>
      <c r="B109" t="s">
        <v>495</v>
      </c>
      <c r="C109" t="s">
        <v>502</v>
      </c>
      <c r="D109" t="s">
        <v>494</v>
      </c>
      <c r="E109">
        <v>2</v>
      </c>
      <c r="F109">
        <v>6</v>
      </c>
      <c r="G109">
        <v>80</v>
      </c>
      <c r="H109">
        <v>14</v>
      </c>
      <c r="I109">
        <v>10.7</v>
      </c>
      <c r="J109">
        <v>13</v>
      </c>
      <c r="K109">
        <v>16.7</v>
      </c>
      <c r="L109">
        <v>13.1</v>
      </c>
      <c r="M109">
        <v>50</v>
      </c>
    </row>
    <row r="110" spans="1:13" x14ac:dyDescent="0.25">
      <c r="A110" t="s">
        <v>344</v>
      </c>
      <c r="B110" t="s">
        <v>495</v>
      </c>
      <c r="C110" t="s">
        <v>502</v>
      </c>
      <c r="D110" t="s">
        <v>494</v>
      </c>
      <c r="E110">
        <v>2</v>
      </c>
      <c r="F110">
        <v>6</v>
      </c>
      <c r="G110">
        <v>100</v>
      </c>
      <c r="H110">
        <v>14</v>
      </c>
      <c r="I110">
        <v>10.7</v>
      </c>
      <c r="J110">
        <v>13</v>
      </c>
      <c r="K110">
        <v>16.7</v>
      </c>
      <c r="L110">
        <v>13.1</v>
      </c>
      <c r="M110">
        <v>60</v>
      </c>
    </row>
    <row r="111" spans="1:13" x14ac:dyDescent="0.25">
      <c r="A111" t="s">
        <v>344</v>
      </c>
      <c r="B111" t="s">
        <v>495</v>
      </c>
      <c r="C111" t="s">
        <v>502</v>
      </c>
      <c r="D111" t="s">
        <v>494</v>
      </c>
      <c r="E111">
        <v>2</v>
      </c>
      <c r="F111">
        <v>6</v>
      </c>
      <c r="G111">
        <v>120</v>
      </c>
      <c r="H111">
        <v>14</v>
      </c>
      <c r="I111">
        <v>10.7</v>
      </c>
      <c r="J111">
        <v>13</v>
      </c>
      <c r="K111">
        <v>16.7</v>
      </c>
      <c r="L111">
        <v>13.1</v>
      </c>
      <c r="M111">
        <v>70</v>
      </c>
    </row>
    <row r="112" spans="1:13" x14ac:dyDescent="0.25">
      <c r="A112" t="s">
        <v>344</v>
      </c>
      <c r="B112" t="s">
        <v>495</v>
      </c>
      <c r="C112" t="s">
        <v>502</v>
      </c>
      <c r="D112" t="s">
        <v>494</v>
      </c>
      <c r="E112">
        <v>2</v>
      </c>
      <c r="F112">
        <v>6</v>
      </c>
      <c r="G112">
        <v>140</v>
      </c>
      <c r="H112">
        <v>14</v>
      </c>
      <c r="I112">
        <v>10.7</v>
      </c>
      <c r="J112">
        <v>13</v>
      </c>
      <c r="K112">
        <v>16.7</v>
      </c>
      <c r="L112">
        <v>13.1</v>
      </c>
      <c r="M112">
        <v>70</v>
      </c>
    </row>
    <row r="113" spans="1:13" x14ac:dyDescent="0.25">
      <c r="A113" t="s">
        <v>344</v>
      </c>
      <c r="B113" t="s">
        <v>495</v>
      </c>
      <c r="C113" t="s">
        <v>502</v>
      </c>
      <c r="D113" t="s">
        <v>494</v>
      </c>
      <c r="E113">
        <v>2</v>
      </c>
      <c r="F113">
        <v>6</v>
      </c>
      <c r="G113">
        <v>160</v>
      </c>
      <c r="H113">
        <v>14</v>
      </c>
      <c r="I113">
        <v>10.7</v>
      </c>
      <c r="J113">
        <v>13</v>
      </c>
      <c r="K113">
        <v>16.7</v>
      </c>
      <c r="L113">
        <v>13.1</v>
      </c>
      <c r="M113">
        <v>70</v>
      </c>
    </row>
    <row r="114" spans="1:13" x14ac:dyDescent="0.25">
      <c r="A114" t="s">
        <v>344</v>
      </c>
      <c r="B114" t="s">
        <v>495</v>
      </c>
      <c r="C114" t="s">
        <v>502</v>
      </c>
      <c r="D114" t="s">
        <v>494</v>
      </c>
      <c r="E114">
        <v>2</v>
      </c>
      <c r="F114">
        <v>6</v>
      </c>
      <c r="G114">
        <v>180</v>
      </c>
      <c r="H114">
        <v>14</v>
      </c>
      <c r="I114">
        <v>10.7</v>
      </c>
      <c r="J114">
        <v>13</v>
      </c>
      <c r="K114">
        <v>16.7</v>
      </c>
      <c r="L114">
        <v>13.1</v>
      </c>
      <c r="M114">
        <v>70</v>
      </c>
    </row>
    <row r="115" spans="1:13" x14ac:dyDescent="0.25">
      <c r="A115" t="s">
        <v>344</v>
      </c>
      <c r="B115" t="s">
        <v>495</v>
      </c>
      <c r="C115" t="s">
        <v>502</v>
      </c>
      <c r="D115" t="s">
        <v>494</v>
      </c>
      <c r="E115">
        <v>2</v>
      </c>
      <c r="F115">
        <v>6</v>
      </c>
      <c r="G115">
        <v>200</v>
      </c>
      <c r="H115">
        <v>14</v>
      </c>
      <c r="I115">
        <v>10.7</v>
      </c>
      <c r="J115">
        <v>13</v>
      </c>
      <c r="K115">
        <v>16.7</v>
      </c>
      <c r="L115">
        <v>13.1</v>
      </c>
      <c r="M115">
        <v>70</v>
      </c>
    </row>
    <row r="116" spans="1:13" x14ac:dyDescent="0.25">
      <c r="A116" t="s">
        <v>344</v>
      </c>
      <c r="B116" t="s">
        <v>495</v>
      </c>
      <c r="C116" t="s">
        <v>502</v>
      </c>
      <c r="D116" t="s">
        <v>494</v>
      </c>
      <c r="E116">
        <v>2</v>
      </c>
      <c r="F116">
        <v>6</v>
      </c>
      <c r="G116">
        <v>220</v>
      </c>
      <c r="H116">
        <v>14</v>
      </c>
      <c r="I116">
        <v>10.7</v>
      </c>
      <c r="J116">
        <v>13</v>
      </c>
      <c r="K116">
        <v>16.7</v>
      </c>
      <c r="L116">
        <v>13.1</v>
      </c>
      <c r="M116">
        <v>70</v>
      </c>
    </row>
    <row r="117" spans="1:13" x14ac:dyDescent="0.25">
      <c r="A117" t="s">
        <v>344</v>
      </c>
      <c r="B117" t="s">
        <v>495</v>
      </c>
      <c r="C117" t="s">
        <v>502</v>
      </c>
      <c r="D117" t="s">
        <v>494</v>
      </c>
      <c r="E117">
        <v>2</v>
      </c>
      <c r="F117">
        <v>6</v>
      </c>
      <c r="G117">
        <v>240</v>
      </c>
      <c r="H117">
        <v>14</v>
      </c>
      <c r="I117">
        <v>10.7</v>
      </c>
      <c r="J117">
        <v>13</v>
      </c>
      <c r="K117">
        <v>16.7</v>
      </c>
      <c r="L117">
        <v>13.1</v>
      </c>
      <c r="M117">
        <v>70</v>
      </c>
    </row>
    <row r="118" spans="1:13" x14ac:dyDescent="0.25">
      <c r="A118" t="s">
        <v>344</v>
      </c>
      <c r="B118" t="s">
        <v>495</v>
      </c>
      <c r="C118" t="s">
        <v>502</v>
      </c>
      <c r="D118" t="s">
        <v>494</v>
      </c>
      <c r="E118">
        <v>2</v>
      </c>
      <c r="F118">
        <v>6</v>
      </c>
      <c r="G118">
        <v>260</v>
      </c>
      <c r="H118">
        <v>14</v>
      </c>
      <c r="I118">
        <v>10.7</v>
      </c>
      <c r="J118">
        <v>13</v>
      </c>
      <c r="K118">
        <v>16.7</v>
      </c>
      <c r="L118">
        <v>13.1</v>
      </c>
      <c r="M118">
        <v>70</v>
      </c>
    </row>
    <row r="119" spans="1:13" x14ac:dyDescent="0.25">
      <c r="A119" t="s">
        <v>344</v>
      </c>
      <c r="B119" t="s">
        <v>495</v>
      </c>
      <c r="C119" t="s">
        <v>502</v>
      </c>
      <c r="D119" t="s">
        <v>494</v>
      </c>
      <c r="E119">
        <v>2</v>
      </c>
      <c r="F119">
        <v>6</v>
      </c>
      <c r="G119">
        <v>280</v>
      </c>
      <c r="H119">
        <v>14</v>
      </c>
      <c r="I119">
        <v>10.7</v>
      </c>
      <c r="J119">
        <v>13</v>
      </c>
      <c r="K119">
        <v>16.7</v>
      </c>
      <c r="L119">
        <v>13.1</v>
      </c>
      <c r="M119">
        <v>70</v>
      </c>
    </row>
    <row r="120" spans="1:13" x14ac:dyDescent="0.25">
      <c r="A120" t="s">
        <v>344</v>
      </c>
      <c r="B120" t="s">
        <v>495</v>
      </c>
      <c r="C120" t="s">
        <v>502</v>
      </c>
      <c r="D120" t="s">
        <v>494</v>
      </c>
      <c r="E120">
        <v>2</v>
      </c>
      <c r="F120">
        <v>6</v>
      </c>
      <c r="G120">
        <v>300</v>
      </c>
      <c r="H120">
        <v>14</v>
      </c>
      <c r="I120">
        <v>10.7</v>
      </c>
      <c r="J120">
        <v>13</v>
      </c>
      <c r="K120">
        <v>16.7</v>
      </c>
      <c r="L120">
        <v>13.1</v>
      </c>
      <c r="M120">
        <v>70</v>
      </c>
    </row>
    <row r="121" spans="1:13" x14ac:dyDescent="0.25">
      <c r="A121" t="s">
        <v>344</v>
      </c>
      <c r="B121" t="s">
        <v>495</v>
      </c>
      <c r="C121" t="s">
        <v>502</v>
      </c>
      <c r="D121" t="s">
        <v>494</v>
      </c>
      <c r="E121">
        <v>2</v>
      </c>
      <c r="F121">
        <v>8</v>
      </c>
      <c r="G121">
        <v>80</v>
      </c>
      <c r="H121">
        <v>20</v>
      </c>
      <c r="I121">
        <v>22.6</v>
      </c>
      <c r="J121">
        <v>10.9</v>
      </c>
      <c r="K121">
        <v>17.600000000000001</v>
      </c>
      <c r="L121">
        <v>23.3</v>
      </c>
      <c r="M121">
        <v>50</v>
      </c>
    </row>
    <row r="122" spans="1:13" x14ac:dyDescent="0.25">
      <c r="A122" t="s">
        <v>344</v>
      </c>
      <c r="B122" t="s">
        <v>495</v>
      </c>
      <c r="C122" t="s">
        <v>502</v>
      </c>
      <c r="D122" t="s">
        <v>494</v>
      </c>
      <c r="E122">
        <v>2</v>
      </c>
      <c r="F122">
        <v>8</v>
      </c>
      <c r="G122">
        <v>100</v>
      </c>
      <c r="H122">
        <v>20</v>
      </c>
      <c r="I122">
        <v>22.6</v>
      </c>
      <c r="J122">
        <v>10.9</v>
      </c>
      <c r="K122">
        <v>17.600000000000001</v>
      </c>
      <c r="L122">
        <v>23.3</v>
      </c>
      <c r="M122">
        <v>60</v>
      </c>
    </row>
    <row r="123" spans="1:13" x14ac:dyDescent="0.25">
      <c r="A123" t="s">
        <v>344</v>
      </c>
      <c r="B123" t="s">
        <v>495</v>
      </c>
      <c r="C123" t="s">
        <v>502</v>
      </c>
      <c r="D123" t="s">
        <v>494</v>
      </c>
      <c r="E123">
        <v>2</v>
      </c>
      <c r="F123">
        <v>8</v>
      </c>
      <c r="G123">
        <v>120</v>
      </c>
      <c r="H123">
        <v>20</v>
      </c>
      <c r="I123">
        <v>22.6</v>
      </c>
      <c r="J123">
        <v>10.9</v>
      </c>
      <c r="K123">
        <v>17.600000000000001</v>
      </c>
      <c r="L123">
        <v>23.3</v>
      </c>
      <c r="M123">
        <v>80</v>
      </c>
    </row>
    <row r="124" spans="1:13" x14ac:dyDescent="0.25">
      <c r="A124" t="s">
        <v>344</v>
      </c>
      <c r="B124" t="s">
        <v>495</v>
      </c>
      <c r="C124" t="s">
        <v>502</v>
      </c>
      <c r="D124" t="s">
        <v>494</v>
      </c>
      <c r="E124">
        <v>2</v>
      </c>
      <c r="F124">
        <v>8</v>
      </c>
      <c r="G124">
        <v>140</v>
      </c>
      <c r="H124">
        <v>20</v>
      </c>
      <c r="I124">
        <v>22.6</v>
      </c>
      <c r="J124">
        <v>10.9</v>
      </c>
      <c r="K124">
        <v>17.600000000000001</v>
      </c>
      <c r="L124">
        <v>23.3</v>
      </c>
      <c r="M124">
        <v>80</v>
      </c>
    </row>
    <row r="125" spans="1:13" x14ac:dyDescent="0.25">
      <c r="A125" t="s">
        <v>344</v>
      </c>
      <c r="B125" t="s">
        <v>495</v>
      </c>
      <c r="C125" t="s">
        <v>502</v>
      </c>
      <c r="D125" t="s">
        <v>494</v>
      </c>
      <c r="E125">
        <v>2</v>
      </c>
      <c r="F125">
        <v>8</v>
      </c>
      <c r="G125">
        <v>160</v>
      </c>
      <c r="H125">
        <v>20</v>
      </c>
      <c r="I125">
        <v>22.6</v>
      </c>
      <c r="J125">
        <v>10.9</v>
      </c>
      <c r="K125">
        <v>17.600000000000001</v>
      </c>
      <c r="L125">
        <v>23.3</v>
      </c>
      <c r="M125">
        <v>80</v>
      </c>
    </row>
    <row r="126" spans="1:13" x14ac:dyDescent="0.25">
      <c r="A126" t="s">
        <v>344</v>
      </c>
      <c r="B126" t="s">
        <v>495</v>
      </c>
      <c r="C126" t="s">
        <v>502</v>
      </c>
      <c r="D126" t="s">
        <v>494</v>
      </c>
      <c r="E126">
        <v>2</v>
      </c>
      <c r="F126">
        <v>8</v>
      </c>
      <c r="G126">
        <v>180</v>
      </c>
      <c r="H126">
        <v>20</v>
      </c>
      <c r="I126">
        <v>22.6</v>
      </c>
      <c r="J126">
        <v>10.9</v>
      </c>
      <c r="K126">
        <v>17.600000000000001</v>
      </c>
      <c r="L126">
        <v>23.3</v>
      </c>
      <c r="M126">
        <v>100</v>
      </c>
    </row>
    <row r="127" spans="1:13" x14ac:dyDescent="0.25">
      <c r="A127" t="s">
        <v>344</v>
      </c>
      <c r="B127" t="s">
        <v>495</v>
      </c>
      <c r="C127" t="s">
        <v>502</v>
      </c>
      <c r="D127" t="s">
        <v>494</v>
      </c>
      <c r="E127">
        <v>2</v>
      </c>
      <c r="F127">
        <v>8</v>
      </c>
      <c r="G127">
        <v>200</v>
      </c>
      <c r="H127">
        <v>20</v>
      </c>
      <c r="I127">
        <v>22.6</v>
      </c>
      <c r="J127">
        <v>10.9</v>
      </c>
      <c r="K127">
        <v>17.600000000000001</v>
      </c>
      <c r="L127">
        <v>23.3</v>
      </c>
      <c r="M127">
        <v>100</v>
      </c>
    </row>
    <row r="128" spans="1:13" x14ac:dyDescent="0.25">
      <c r="A128" t="s">
        <v>344</v>
      </c>
      <c r="B128" t="s">
        <v>495</v>
      </c>
      <c r="C128" t="s">
        <v>502</v>
      </c>
      <c r="D128" t="s">
        <v>494</v>
      </c>
      <c r="E128">
        <v>2</v>
      </c>
      <c r="F128">
        <v>8</v>
      </c>
      <c r="G128">
        <v>220</v>
      </c>
      <c r="H128">
        <v>20</v>
      </c>
      <c r="I128">
        <v>22.6</v>
      </c>
      <c r="J128">
        <v>10.9</v>
      </c>
      <c r="K128">
        <v>17.600000000000001</v>
      </c>
      <c r="L128">
        <v>23.3</v>
      </c>
      <c r="M128">
        <v>100</v>
      </c>
    </row>
    <row r="129" spans="1:13" x14ac:dyDescent="0.25">
      <c r="A129" t="s">
        <v>344</v>
      </c>
      <c r="B129" t="s">
        <v>495</v>
      </c>
      <c r="C129" t="s">
        <v>502</v>
      </c>
      <c r="D129" t="s">
        <v>494</v>
      </c>
      <c r="E129">
        <v>2</v>
      </c>
      <c r="F129">
        <v>8</v>
      </c>
      <c r="G129">
        <v>240</v>
      </c>
      <c r="H129">
        <v>20</v>
      </c>
      <c r="I129">
        <v>22.6</v>
      </c>
      <c r="J129">
        <v>10.9</v>
      </c>
      <c r="K129">
        <v>17.600000000000001</v>
      </c>
      <c r="L129">
        <v>23.3</v>
      </c>
      <c r="M129">
        <v>100</v>
      </c>
    </row>
    <row r="130" spans="1:13" x14ac:dyDescent="0.25">
      <c r="A130" t="s">
        <v>344</v>
      </c>
      <c r="B130" t="s">
        <v>495</v>
      </c>
      <c r="C130" t="s">
        <v>502</v>
      </c>
      <c r="D130" t="s">
        <v>494</v>
      </c>
      <c r="E130">
        <v>2</v>
      </c>
      <c r="F130">
        <v>8</v>
      </c>
      <c r="G130">
        <v>260</v>
      </c>
      <c r="H130">
        <v>20</v>
      </c>
      <c r="I130">
        <v>22.6</v>
      </c>
      <c r="J130">
        <v>10.9</v>
      </c>
      <c r="K130">
        <v>17.600000000000001</v>
      </c>
      <c r="L130">
        <v>23.3</v>
      </c>
      <c r="M130">
        <v>100</v>
      </c>
    </row>
    <row r="131" spans="1:13" x14ac:dyDescent="0.25">
      <c r="A131" t="s">
        <v>344</v>
      </c>
      <c r="B131" t="s">
        <v>495</v>
      </c>
      <c r="C131" t="s">
        <v>502</v>
      </c>
      <c r="D131" t="s">
        <v>494</v>
      </c>
      <c r="E131">
        <v>2</v>
      </c>
      <c r="F131">
        <v>8</v>
      </c>
      <c r="G131">
        <v>280</v>
      </c>
      <c r="H131">
        <v>20</v>
      </c>
      <c r="I131">
        <v>22.6</v>
      </c>
      <c r="J131">
        <v>10.9</v>
      </c>
      <c r="K131">
        <v>17.600000000000001</v>
      </c>
      <c r="L131">
        <v>23.3</v>
      </c>
      <c r="M131">
        <v>100</v>
      </c>
    </row>
    <row r="132" spans="1:13" x14ac:dyDescent="0.25">
      <c r="A132" t="s">
        <v>344</v>
      </c>
      <c r="B132" t="s">
        <v>495</v>
      </c>
      <c r="C132" t="s">
        <v>502</v>
      </c>
      <c r="D132" t="s">
        <v>494</v>
      </c>
      <c r="E132">
        <v>2</v>
      </c>
      <c r="F132">
        <v>8</v>
      </c>
      <c r="G132">
        <v>300</v>
      </c>
      <c r="H132">
        <v>20</v>
      </c>
      <c r="I132">
        <v>22.6</v>
      </c>
      <c r="J132">
        <v>10.9</v>
      </c>
      <c r="K132">
        <v>17.600000000000001</v>
      </c>
      <c r="L132">
        <v>23.3</v>
      </c>
      <c r="M132">
        <v>100</v>
      </c>
    </row>
    <row r="133" spans="1:13" x14ac:dyDescent="0.25">
      <c r="A133" t="s">
        <v>344</v>
      </c>
      <c r="B133" t="s">
        <v>495</v>
      </c>
      <c r="C133" t="s">
        <v>502</v>
      </c>
      <c r="D133" t="s">
        <v>494</v>
      </c>
      <c r="E133">
        <v>2</v>
      </c>
      <c r="F133">
        <v>8</v>
      </c>
      <c r="G133">
        <v>320</v>
      </c>
      <c r="H133">
        <v>20</v>
      </c>
      <c r="I133">
        <v>22.6</v>
      </c>
      <c r="J133">
        <v>10.9</v>
      </c>
      <c r="K133">
        <v>17.600000000000001</v>
      </c>
      <c r="L133">
        <v>23.3</v>
      </c>
      <c r="M133">
        <v>100</v>
      </c>
    </row>
    <row r="134" spans="1:13" x14ac:dyDescent="0.25">
      <c r="A134" t="s">
        <v>344</v>
      </c>
      <c r="B134" t="s">
        <v>495</v>
      </c>
      <c r="C134" t="s">
        <v>502</v>
      </c>
      <c r="D134" t="s">
        <v>494</v>
      </c>
      <c r="E134">
        <v>2</v>
      </c>
      <c r="F134">
        <v>8</v>
      </c>
      <c r="G134">
        <v>340</v>
      </c>
      <c r="H134">
        <v>20</v>
      </c>
      <c r="I134">
        <v>22.6</v>
      </c>
      <c r="J134">
        <v>10.9</v>
      </c>
      <c r="K134">
        <v>17.600000000000001</v>
      </c>
      <c r="L134">
        <v>23.3</v>
      </c>
      <c r="M134">
        <v>100</v>
      </c>
    </row>
    <row r="135" spans="1:13" x14ac:dyDescent="0.25">
      <c r="A135" t="s">
        <v>344</v>
      </c>
      <c r="B135" t="s">
        <v>495</v>
      </c>
      <c r="C135" t="s">
        <v>502</v>
      </c>
      <c r="D135" t="s">
        <v>494</v>
      </c>
      <c r="E135">
        <v>2</v>
      </c>
      <c r="F135">
        <v>8</v>
      </c>
      <c r="G135">
        <v>360</v>
      </c>
      <c r="H135">
        <v>20</v>
      </c>
      <c r="I135">
        <v>22.6</v>
      </c>
      <c r="J135">
        <v>10.9</v>
      </c>
      <c r="K135">
        <v>17.600000000000001</v>
      </c>
      <c r="L135">
        <v>23.3</v>
      </c>
      <c r="M135">
        <v>100</v>
      </c>
    </row>
    <row r="136" spans="1:13" x14ac:dyDescent="0.25">
      <c r="A136" t="s">
        <v>344</v>
      </c>
      <c r="B136" t="s">
        <v>495</v>
      </c>
      <c r="C136" t="s">
        <v>502</v>
      </c>
      <c r="D136" t="s">
        <v>494</v>
      </c>
      <c r="E136">
        <v>2</v>
      </c>
      <c r="F136">
        <v>8</v>
      </c>
      <c r="G136">
        <v>380</v>
      </c>
      <c r="H136">
        <v>20</v>
      </c>
      <c r="I136">
        <v>22.6</v>
      </c>
      <c r="J136">
        <v>10.9</v>
      </c>
      <c r="K136">
        <v>17.600000000000001</v>
      </c>
      <c r="L136">
        <v>23.3</v>
      </c>
      <c r="M136">
        <v>100</v>
      </c>
    </row>
    <row r="137" spans="1:13" x14ac:dyDescent="0.25">
      <c r="A137" t="s">
        <v>344</v>
      </c>
      <c r="B137" t="s">
        <v>495</v>
      </c>
      <c r="C137" t="s">
        <v>502</v>
      </c>
      <c r="D137" t="s">
        <v>494</v>
      </c>
      <c r="E137">
        <v>2</v>
      </c>
      <c r="F137">
        <v>8</v>
      </c>
      <c r="G137">
        <v>400</v>
      </c>
      <c r="H137">
        <v>20</v>
      </c>
      <c r="I137">
        <v>22.6</v>
      </c>
      <c r="J137">
        <v>10.9</v>
      </c>
      <c r="K137">
        <v>17.600000000000001</v>
      </c>
      <c r="L137">
        <v>23.3</v>
      </c>
      <c r="M137">
        <v>100</v>
      </c>
    </row>
    <row r="138" spans="1:13" x14ac:dyDescent="0.25">
      <c r="A138" t="s">
        <v>344</v>
      </c>
      <c r="B138" t="s">
        <v>495</v>
      </c>
      <c r="C138" t="s">
        <v>502</v>
      </c>
      <c r="D138" t="s">
        <v>494</v>
      </c>
      <c r="E138">
        <v>2</v>
      </c>
      <c r="F138">
        <v>8</v>
      </c>
      <c r="G138">
        <v>450</v>
      </c>
      <c r="H138">
        <v>20</v>
      </c>
      <c r="I138">
        <v>22.6</v>
      </c>
      <c r="J138">
        <v>10.9</v>
      </c>
      <c r="K138">
        <v>17.600000000000001</v>
      </c>
      <c r="L138">
        <v>23.3</v>
      </c>
      <c r="M138">
        <v>100</v>
      </c>
    </row>
    <row r="139" spans="1:13" x14ac:dyDescent="0.25">
      <c r="A139" t="s">
        <v>344</v>
      </c>
      <c r="B139" t="s">
        <v>495</v>
      </c>
      <c r="C139" t="s">
        <v>502</v>
      </c>
      <c r="D139" t="s">
        <v>494</v>
      </c>
      <c r="E139">
        <v>2</v>
      </c>
      <c r="F139">
        <v>8</v>
      </c>
      <c r="G139">
        <v>500</v>
      </c>
      <c r="H139">
        <v>20</v>
      </c>
      <c r="I139">
        <v>22.6</v>
      </c>
      <c r="J139">
        <v>10.9</v>
      </c>
      <c r="K139">
        <v>17.600000000000001</v>
      </c>
      <c r="L139">
        <v>23.3</v>
      </c>
      <c r="M139">
        <v>100</v>
      </c>
    </row>
    <row r="140" spans="1:13" x14ac:dyDescent="0.25">
      <c r="A140" t="s">
        <v>344</v>
      </c>
      <c r="B140" t="s">
        <v>495</v>
      </c>
      <c r="C140" t="s">
        <v>502</v>
      </c>
      <c r="D140" t="s">
        <v>494</v>
      </c>
      <c r="E140">
        <v>2</v>
      </c>
      <c r="F140">
        <v>10</v>
      </c>
      <c r="G140">
        <v>100</v>
      </c>
      <c r="H140">
        <v>25</v>
      </c>
      <c r="I140">
        <v>33.6</v>
      </c>
      <c r="J140">
        <v>11</v>
      </c>
      <c r="K140">
        <v>15.2</v>
      </c>
      <c r="L140">
        <v>35</v>
      </c>
      <c r="M140">
        <v>60</v>
      </c>
    </row>
    <row r="141" spans="1:13" x14ac:dyDescent="0.25">
      <c r="A141" t="s">
        <v>344</v>
      </c>
      <c r="B141" t="s">
        <v>495</v>
      </c>
      <c r="C141" t="s">
        <v>502</v>
      </c>
      <c r="D141" t="s">
        <v>494</v>
      </c>
      <c r="E141">
        <v>2</v>
      </c>
      <c r="F141">
        <v>10</v>
      </c>
      <c r="G141">
        <v>120</v>
      </c>
      <c r="H141">
        <v>25</v>
      </c>
      <c r="I141">
        <v>33.6</v>
      </c>
      <c r="J141">
        <v>11</v>
      </c>
      <c r="K141">
        <v>15.2</v>
      </c>
      <c r="L141">
        <v>35</v>
      </c>
      <c r="M141">
        <v>80</v>
      </c>
    </row>
    <row r="142" spans="1:13" x14ac:dyDescent="0.25">
      <c r="A142" t="s">
        <v>344</v>
      </c>
      <c r="B142" t="s">
        <v>495</v>
      </c>
      <c r="C142" t="s">
        <v>502</v>
      </c>
      <c r="D142" t="s">
        <v>494</v>
      </c>
      <c r="E142">
        <v>2</v>
      </c>
      <c r="F142">
        <v>10</v>
      </c>
      <c r="G142">
        <v>140</v>
      </c>
      <c r="H142">
        <v>25</v>
      </c>
      <c r="I142">
        <v>33.6</v>
      </c>
      <c r="J142">
        <v>11</v>
      </c>
      <c r="K142">
        <v>15.2</v>
      </c>
      <c r="L142">
        <v>35</v>
      </c>
      <c r="M142">
        <v>80</v>
      </c>
    </row>
    <row r="143" spans="1:13" x14ac:dyDescent="0.25">
      <c r="A143" t="s">
        <v>344</v>
      </c>
      <c r="B143" t="s">
        <v>495</v>
      </c>
      <c r="C143" t="s">
        <v>502</v>
      </c>
      <c r="D143" t="s">
        <v>494</v>
      </c>
      <c r="E143">
        <v>2</v>
      </c>
      <c r="F143">
        <v>10</v>
      </c>
      <c r="G143">
        <v>160</v>
      </c>
      <c r="H143">
        <v>25</v>
      </c>
      <c r="I143">
        <v>33.6</v>
      </c>
      <c r="J143">
        <v>11</v>
      </c>
      <c r="K143">
        <v>15.2</v>
      </c>
      <c r="L143">
        <v>35</v>
      </c>
      <c r="M143">
        <v>80</v>
      </c>
    </row>
    <row r="144" spans="1:13" x14ac:dyDescent="0.25">
      <c r="A144" t="s">
        <v>344</v>
      </c>
      <c r="B144" t="s">
        <v>495</v>
      </c>
      <c r="C144" t="s">
        <v>502</v>
      </c>
      <c r="D144" t="s">
        <v>494</v>
      </c>
      <c r="E144">
        <v>2</v>
      </c>
      <c r="F144">
        <v>10</v>
      </c>
      <c r="G144">
        <v>180</v>
      </c>
      <c r="H144">
        <v>25</v>
      </c>
      <c r="I144">
        <v>33.6</v>
      </c>
      <c r="J144">
        <v>11</v>
      </c>
      <c r="K144">
        <v>15.2</v>
      </c>
      <c r="L144">
        <v>35</v>
      </c>
      <c r="M144">
        <v>100</v>
      </c>
    </row>
    <row r="145" spans="1:13" x14ac:dyDescent="0.25">
      <c r="A145" t="s">
        <v>344</v>
      </c>
      <c r="B145" t="s">
        <v>495</v>
      </c>
      <c r="C145" t="s">
        <v>502</v>
      </c>
      <c r="D145" t="s">
        <v>494</v>
      </c>
      <c r="E145">
        <v>2</v>
      </c>
      <c r="F145">
        <v>10</v>
      </c>
      <c r="G145">
        <v>200</v>
      </c>
      <c r="H145">
        <v>25</v>
      </c>
      <c r="I145">
        <v>33.6</v>
      </c>
      <c r="J145">
        <v>11</v>
      </c>
      <c r="K145">
        <v>15.2</v>
      </c>
      <c r="L145">
        <v>35</v>
      </c>
      <c r="M145">
        <v>100</v>
      </c>
    </row>
    <row r="146" spans="1:13" x14ac:dyDescent="0.25">
      <c r="A146" t="s">
        <v>344</v>
      </c>
      <c r="B146" t="s">
        <v>495</v>
      </c>
      <c r="C146" t="s">
        <v>502</v>
      </c>
      <c r="D146" t="s">
        <v>494</v>
      </c>
      <c r="E146">
        <v>2</v>
      </c>
      <c r="F146">
        <v>10</v>
      </c>
      <c r="G146">
        <v>220</v>
      </c>
      <c r="H146">
        <v>25</v>
      </c>
      <c r="I146">
        <v>33.6</v>
      </c>
      <c r="J146">
        <v>11</v>
      </c>
      <c r="K146">
        <v>15.2</v>
      </c>
      <c r="L146">
        <v>35</v>
      </c>
      <c r="M146">
        <v>100</v>
      </c>
    </row>
    <row r="147" spans="1:13" x14ac:dyDescent="0.25">
      <c r="A147" t="s">
        <v>344</v>
      </c>
      <c r="B147" t="s">
        <v>495</v>
      </c>
      <c r="C147" t="s">
        <v>502</v>
      </c>
      <c r="D147" t="s">
        <v>494</v>
      </c>
      <c r="E147">
        <v>2</v>
      </c>
      <c r="F147">
        <v>10</v>
      </c>
      <c r="G147">
        <v>240</v>
      </c>
      <c r="H147">
        <v>25</v>
      </c>
      <c r="I147">
        <v>33.6</v>
      </c>
      <c r="J147">
        <v>11</v>
      </c>
      <c r="K147">
        <v>15.2</v>
      </c>
      <c r="L147">
        <v>35</v>
      </c>
      <c r="M147">
        <v>100</v>
      </c>
    </row>
    <row r="148" spans="1:13" x14ac:dyDescent="0.25">
      <c r="A148" t="s">
        <v>344</v>
      </c>
      <c r="B148" t="s">
        <v>495</v>
      </c>
      <c r="C148" t="s">
        <v>502</v>
      </c>
      <c r="D148" t="s">
        <v>494</v>
      </c>
      <c r="E148">
        <v>2</v>
      </c>
      <c r="F148">
        <v>10</v>
      </c>
      <c r="G148">
        <v>260</v>
      </c>
      <c r="H148">
        <v>25</v>
      </c>
      <c r="I148">
        <v>33.6</v>
      </c>
      <c r="J148">
        <v>11</v>
      </c>
      <c r="K148">
        <v>15.2</v>
      </c>
      <c r="L148">
        <v>35</v>
      </c>
      <c r="M148">
        <v>100</v>
      </c>
    </row>
    <row r="149" spans="1:13" x14ac:dyDescent="0.25">
      <c r="A149" t="s">
        <v>344</v>
      </c>
      <c r="B149" t="s">
        <v>495</v>
      </c>
      <c r="C149" t="s">
        <v>502</v>
      </c>
      <c r="D149" t="s">
        <v>494</v>
      </c>
      <c r="E149">
        <v>2</v>
      </c>
      <c r="F149">
        <v>10</v>
      </c>
      <c r="G149">
        <v>280</v>
      </c>
      <c r="H149">
        <v>25</v>
      </c>
      <c r="I149">
        <v>33.6</v>
      </c>
      <c r="J149">
        <v>11</v>
      </c>
      <c r="K149">
        <v>15.2</v>
      </c>
      <c r="L149">
        <v>35</v>
      </c>
      <c r="M149">
        <v>100</v>
      </c>
    </row>
    <row r="150" spans="1:13" x14ac:dyDescent="0.25">
      <c r="A150" t="s">
        <v>344</v>
      </c>
      <c r="B150" t="s">
        <v>495</v>
      </c>
      <c r="C150" t="s">
        <v>502</v>
      </c>
      <c r="D150" t="s">
        <v>494</v>
      </c>
      <c r="E150">
        <v>2</v>
      </c>
      <c r="F150">
        <v>10</v>
      </c>
      <c r="G150">
        <v>300</v>
      </c>
      <c r="H150">
        <v>25</v>
      </c>
      <c r="I150">
        <v>33.6</v>
      </c>
      <c r="J150">
        <v>11</v>
      </c>
      <c r="K150">
        <v>15.2</v>
      </c>
      <c r="L150">
        <v>35</v>
      </c>
      <c r="M150">
        <v>100</v>
      </c>
    </row>
    <row r="151" spans="1:13" x14ac:dyDescent="0.25">
      <c r="A151" t="s">
        <v>344</v>
      </c>
      <c r="B151" t="s">
        <v>495</v>
      </c>
      <c r="C151" t="s">
        <v>502</v>
      </c>
      <c r="D151" t="s">
        <v>494</v>
      </c>
      <c r="E151">
        <v>2</v>
      </c>
      <c r="F151">
        <v>10</v>
      </c>
      <c r="G151">
        <v>320</v>
      </c>
      <c r="H151">
        <v>25</v>
      </c>
      <c r="I151">
        <v>33.6</v>
      </c>
      <c r="J151">
        <v>11</v>
      </c>
      <c r="K151">
        <v>15.2</v>
      </c>
      <c r="L151">
        <v>35</v>
      </c>
      <c r="M151">
        <v>100</v>
      </c>
    </row>
    <row r="152" spans="1:13" x14ac:dyDescent="0.25">
      <c r="A152" t="s">
        <v>344</v>
      </c>
      <c r="B152" t="s">
        <v>495</v>
      </c>
      <c r="C152" t="s">
        <v>502</v>
      </c>
      <c r="D152" t="s">
        <v>494</v>
      </c>
      <c r="E152">
        <v>2</v>
      </c>
      <c r="F152">
        <v>10</v>
      </c>
      <c r="G152">
        <v>340</v>
      </c>
      <c r="H152">
        <v>25</v>
      </c>
      <c r="I152">
        <v>33.6</v>
      </c>
      <c r="J152">
        <v>11</v>
      </c>
      <c r="K152">
        <v>15.2</v>
      </c>
      <c r="L152">
        <v>35</v>
      </c>
      <c r="M152">
        <v>100</v>
      </c>
    </row>
    <row r="153" spans="1:13" x14ac:dyDescent="0.25">
      <c r="A153" t="s">
        <v>344</v>
      </c>
      <c r="B153" t="s">
        <v>495</v>
      </c>
      <c r="C153" t="s">
        <v>502</v>
      </c>
      <c r="D153" t="s">
        <v>494</v>
      </c>
      <c r="E153">
        <v>2</v>
      </c>
      <c r="F153">
        <v>10</v>
      </c>
      <c r="G153">
        <v>360</v>
      </c>
      <c r="H153">
        <v>25</v>
      </c>
      <c r="I153">
        <v>33.6</v>
      </c>
      <c r="J153">
        <v>11</v>
      </c>
      <c r="K153">
        <v>15.2</v>
      </c>
      <c r="L153">
        <v>35</v>
      </c>
      <c r="M153">
        <v>100</v>
      </c>
    </row>
    <row r="154" spans="1:13" x14ac:dyDescent="0.25">
      <c r="A154" t="s">
        <v>344</v>
      </c>
      <c r="B154" t="s">
        <v>495</v>
      </c>
      <c r="C154" t="s">
        <v>502</v>
      </c>
      <c r="D154" t="s">
        <v>494</v>
      </c>
      <c r="E154">
        <v>2</v>
      </c>
      <c r="F154">
        <v>10</v>
      </c>
      <c r="G154">
        <v>380</v>
      </c>
      <c r="H154">
        <v>25</v>
      </c>
      <c r="I154">
        <v>33.6</v>
      </c>
      <c r="J154">
        <v>11</v>
      </c>
      <c r="K154">
        <v>15.2</v>
      </c>
      <c r="L154">
        <v>35</v>
      </c>
      <c r="M154">
        <v>100</v>
      </c>
    </row>
    <row r="155" spans="1:13" x14ac:dyDescent="0.25">
      <c r="A155" t="s">
        <v>344</v>
      </c>
      <c r="B155" t="s">
        <v>495</v>
      </c>
      <c r="C155" t="s">
        <v>502</v>
      </c>
      <c r="D155" t="s">
        <v>494</v>
      </c>
      <c r="E155">
        <v>2</v>
      </c>
      <c r="F155">
        <v>10</v>
      </c>
      <c r="G155">
        <v>400</v>
      </c>
      <c r="H155">
        <v>25</v>
      </c>
      <c r="I155">
        <v>33.6</v>
      </c>
      <c r="J155">
        <v>11</v>
      </c>
      <c r="K155">
        <v>15.2</v>
      </c>
      <c r="L155">
        <v>35</v>
      </c>
      <c r="M155">
        <v>100</v>
      </c>
    </row>
    <row r="156" spans="1:13" x14ac:dyDescent="0.25">
      <c r="A156" t="s">
        <v>344</v>
      </c>
      <c r="B156" t="s">
        <v>495</v>
      </c>
      <c r="C156" t="s">
        <v>502</v>
      </c>
      <c r="D156" t="s">
        <v>494</v>
      </c>
      <c r="E156">
        <v>2</v>
      </c>
      <c r="F156">
        <v>10</v>
      </c>
      <c r="G156">
        <v>450</v>
      </c>
      <c r="H156">
        <v>25</v>
      </c>
      <c r="I156">
        <v>33.6</v>
      </c>
      <c r="J156">
        <v>11</v>
      </c>
      <c r="K156">
        <v>15.2</v>
      </c>
      <c r="L156">
        <v>35</v>
      </c>
      <c r="M156">
        <v>100</v>
      </c>
    </row>
    <row r="157" spans="1:13" x14ac:dyDescent="0.25">
      <c r="A157" t="s">
        <v>344</v>
      </c>
      <c r="B157" t="s">
        <v>495</v>
      </c>
      <c r="C157" t="s">
        <v>502</v>
      </c>
      <c r="D157" t="s">
        <v>494</v>
      </c>
      <c r="E157">
        <v>2</v>
      </c>
      <c r="F157">
        <v>10</v>
      </c>
      <c r="G157">
        <v>500</v>
      </c>
      <c r="H157">
        <v>25</v>
      </c>
      <c r="I157">
        <v>33.6</v>
      </c>
      <c r="J157">
        <v>11</v>
      </c>
      <c r="K157">
        <v>15.2</v>
      </c>
      <c r="L157">
        <v>35</v>
      </c>
      <c r="M157">
        <v>100</v>
      </c>
    </row>
    <row r="158" spans="1:13" x14ac:dyDescent="0.25">
      <c r="A158" t="s">
        <v>344</v>
      </c>
      <c r="B158" t="s">
        <v>495</v>
      </c>
      <c r="C158" t="s">
        <v>503</v>
      </c>
      <c r="D158" t="s">
        <v>504</v>
      </c>
      <c r="E158">
        <v>2</v>
      </c>
      <c r="F158">
        <v>8</v>
      </c>
      <c r="G158">
        <v>50</v>
      </c>
      <c r="H158">
        <v>12</v>
      </c>
      <c r="I158">
        <v>22.6</v>
      </c>
      <c r="J158">
        <v>10.9</v>
      </c>
      <c r="K158">
        <v>16.5</v>
      </c>
      <c r="L158">
        <v>23.3</v>
      </c>
      <c r="M158">
        <v>30</v>
      </c>
    </row>
    <row r="159" spans="1:13" x14ac:dyDescent="0.25">
      <c r="A159" t="s">
        <v>344</v>
      </c>
      <c r="B159" t="s">
        <v>495</v>
      </c>
      <c r="C159" t="s">
        <v>503</v>
      </c>
      <c r="D159" t="s">
        <v>504</v>
      </c>
      <c r="E159">
        <v>2</v>
      </c>
      <c r="F159">
        <v>8</v>
      </c>
      <c r="G159">
        <v>60</v>
      </c>
      <c r="H159">
        <v>12</v>
      </c>
      <c r="I159">
        <v>22.6</v>
      </c>
      <c r="J159">
        <v>10.9</v>
      </c>
      <c r="K159">
        <v>16.5</v>
      </c>
      <c r="L159">
        <v>23.3</v>
      </c>
      <c r="M159">
        <v>40</v>
      </c>
    </row>
    <row r="160" spans="1:13" x14ac:dyDescent="0.25">
      <c r="A160" t="s">
        <v>344</v>
      </c>
      <c r="B160" t="s">
        <v>495</v>
      </c>
      <c r="C160" t="s">
        <v>503</v>
      </c>
      <c r="D160" t="s">
        <v>504</v>
      </c>
      <c r="E160">
        <v>2</v>
      </c>
      <c r="F160">
        <v>8</v>
      </c>
      <c r="G160">
        <v>70</v>
      </c>
      <c r="H160">
        <v>12</v>
      </c>
      <c r="I160">
        <v>22.6</v>
      </c>
      <c r="J160">
        <v>10.9</v>
      </c>
      <c r="K160">
        <v>16.5</v>
      </c>
      <c r="L160">
        <v>23.3</v>
      </c>
      <c r="M160">
        <v>40</v>
      </c>
    </row>
    <row r="161" spans="1:13" x14ac:dyDescent="0.25">
      <c r="A161" t="s">
        <v>344</v>
      </c>
      <c r="B161" t="s">
        <v>495</v>
      </c>
      <c r="C161" t="s">
        <v>503</v>
      </c>
      <c r="D161" t="s">
        <v>504</v>
      </c>
      <c r="E161">
        <v>2</v>
      </c>
      <c r="F161">
        <v>8</v>
      </c>
      <c r="G161">
        <v>80</v>
      </c>
      <c r="H161">
        <v>12</v>
      </c>
      <c r="I161">
        <v>22.6</v>
      </c>
      <c r="J161">
        <v>10.9</v>
      </c>
      <c r="K161">
        <v>16.5</v>
      </c>
      <c r="L161">
        <v>23.3</v>
      </c>
      <c r="M161">
        <v>50</v>
      </c>
    </row>
    <row r="162" spans="1:13" x14ac:dyDescent="0.25">
      <c r="A162" t="s">
        <v>344</v>
      </c>
      <c r="B162" t="s">
        <v>495</v>
      </c>
      <c r="C162" t="s">
        <v>503</v>
      </c>
      <c r="D162" t="s">
        <v>504</v>
      </c>
      <c r="E162">
        <v>2</v>
      </c>
      <c r="F162">
        <v>8</v>
      </c>
      <c r="G162">
        <v>100</v>
      </c>
      <c r="H162">
        <v>12</v>
      </c>
      <c r="I162">
        <v>22.6</v>
      </c>
      <c r="J162">
        <v>10.9</v>
      </c>
      <c r="K162">
        <v>16.5</v>
      </c>
      <c r="L162">
        <v>23.3</v>
      </c>
      <c r="M162">
        <v>60</v>
      </c>
    </row>
    <row r="163" spans="1:13" x14ac:dyDescent="0.25">
      <c r="A163" t="s">
        <v>344</v>
      </c>
      <c r="B163" t="s">
        <v>495</v>
      </c>
      <c r="C163" t="s">
        <v>503</v>
      </c>
      <c r="D163" t="s">
        <v>504</v>
      </c>
      <c r="E163">
        <v>2</v>
      </c>
      <c r="F163">
        <v>8</v>
      </c>
      <c r="G163">
        <v>120</v>
      </c>
      <c r="H163">
        <v>12</v>
      </c>
      <c r="I163">
        <v>22.6</v>
      </c>
      <c r="J163">
        <v>10.9</v>
      </c>
      <c r="K163">
        <v>16.5</v>
      </c>
      <c r="L163">
        <v>23.3</v>
      </c>
      <c r="M163">
        <v>80</v>
      </c>
    </row>
    <row r="164" spans="1:13" x14ac:dyDescent="0.25">
      <c r="A164" t="s">
        <v>344</v>
      </c>
      <c r="B164" t="s">
        <v>495</v>
      </c>
      <c r="C164" t="s">
        <v>503</v>
      </c>
      <c r="D164" t="s">
        <v>504</v>
      </c>
      <c r="E164">
        <v>2</v>
      </c>
      <c r="F164">
        <v>8</v>
      </c>
      <c r="G164">
        <v>140</v>
      </c>
      <c r="H164">
        <v>12</v>
      </c>
      <c r="I164">
        <v>22.6</v>
      </c>
      <c r="J164">
        <v>10.9</v>
      </c>
      <c r="K164">
        <v>16.5</v>
      </c>
      <c r="L164">
        <v>23.3</v>
      </c>
      <c r="M164">
        <v>80</v>
      </c>
    </row>
    <row r="165" spans="1:13" x14ac:dyDescent="0.25">
      <c r="A165" t="s">
        <v>344</v>
      </c>
      <c r="B165" t="s">
        <v>495</v>
      </c>
      <c r="C165" t="s">
        <v>503</v>
      </c>
      <c r="D165" t="s">
        <v>504</v>
      </c>
      <c r="E165">
        <v>2</v>
      </c>
      <c r="F165">
        <v>8</v>
      </c>
      <c r="G165">
        <v>160</v>
      </c>
      <c r="H165">
        <v>12</v>
      </c>
      <c r="I165">
        <v>22.6</v>
      </c>
      <c r="J165">
        <v>10.9</v>
      </c>
      <c r="K165">
        <v>16.5</v>
      </c>
      <c r="L165">
        <v>23.3</v>
      </c>
      <c r="M165">
        <v>80</v>
      </c>
    </row>
    <row r="166" spans="1:13" x14ac:dyDescent="0.25">
      <c r="A166" t="s">
        <v>344</v>
      </c>
      <c r="B166" t="s">
        <v>495</v>
      </c>
      <c r="C166" t="s">
        <v>503</v>
      </c>
      <c r="D166" t="s">
        <v>504</v>
      </c>
      <c r="E166">
        <v>2</v>
      </c>
      <c r="F166">
        <v>8</v>
      </c>
      <c r="G166">
        <v>180</v>
      </c>
      <c r="H166">
        <v>12</v>
      </c>
      <c r="I166">
        <v>22.6</v>
      </c>
      <c r="J166">
        <v>10.9</v>
      </c>
      <c r="K166">
        <v>16.5</v>
      </c>
      <c r="L166">
        <v>23.3</v>
      </c>
      <c r="M166">
        <v>100</v>
      </c>
    </row>
    <row r="167" spans="1:13" x14ac:dyDescent="0.25">
      <c r="A167" t="s">
        <v>344</v>
      </c>
      <c r="B167" t="s">
        <v>495</v>
      </c>
      <c r="C167" t="s">
        <v>503</v>
      </c>
      <c r="D167" t="s">
        <v>504</v>
      </c>
      <c r="E167">
        <v>2</v>
      </c>
      <c r="F167">
        <v>8</v>
      </c>
      <c r="G167">
        <v>200</v>
      </c>
      <c r="H167">
        <v>12</v>
      </c>
      <c r="I167">
        <v>22.6</v>
      </c>
      <c r="J167">
        <v>10.9</v>
      </c>
      <c r="K167">
        <v>16.5</v>
      </c>
      <c r="L167">
        <v>23.3</v>
      </c>
      <c r="M167">
        <v>100</v>
      </c>
    </row>
    <row r="168" spans="1:13" x14ac:dyDescent="0.25">
      <c r="A168" t="s">
        <v>344</v>
      </c>
      <c r="B168" t="s">
        <v>495</v>
      </c>
      <c r="C168" t="s">
        <v>503</v>
      </c>
      <c r="D168" t="s">
        <v>504</v>
      </c>
      <c r="E168">
        <v>2</v>
      </c>
      <c r="F168">
        <v>8</v>
      </c>
      <c r="G168">
        <v>220</v>
      </c>
      <c r="H168">
        <v>12</v>
      </c>
      <c r="I168">
        <v>22.6</v>
      </c>
      <c r="J168">
        <v>10.9</v>
      </c>
      <c r="K168">
        <v>16.5</v>
      </c>
      <c r="L168">
        <v>23.3</v>
      </c>
      <c r="M168">
        <v>100</v>
      </c>
    </row>
    <row r="169" spans="1:13" x14ac:dyDescent="0.25">
      <c r="A169" t="s">
        <v>344</v>
      </c>
      <c r="B169" t="s">
        <v>495</v>
      </c>
      <c r="C169" t="s">
        <v>503</v>
      </c>
      <c r="D169" t="s">
        <v>504</v>
      </c>
      <c r="E169">
        <v>2</v>
      </c>
      <c r="F169">
        <v>8</v>
      </c>
      <c r="G169">
        <v>240</v>
      </c>
      <c r="H169">
        <v>12</v>
      </c>
      <c r="I169">
        <v>22.6</v>
      </c>
      <c r="J169">
        <v>10.9</v>
      </c>
      <c r="K169">
        <v>16.5</v>
      </c>
      <c r="L169">
        <v>23.3</v>
      </c>
      <c r="M169">
        <v>100</v>
      </c>
    </row>
    <row r="170" spans="1:13" x14ac:dyDescent="0.25">
      <c r="A170" t="s">
        <v>344</v>
      </c>
      <c r="B170" t="s">
        <v>495</v>
      </c>
      <c r="C170" t="s">
        <v>503</v>
      </c>
      <c r="D170" t="s">
        <v>504</v>
      </c>
      <c r="E170">
        <v>2</v>
      </c>
      <c r="F170">
        <v>8</v>
      </c>
      <c r="G170">
        <v>260</v>
      </c>
      <c r="H170">
        <v>12</v>
      </c>
      <c r="I170">
        <v>22.6</v>
      </c>
      <c r="J170">
        <v>10.9</v>
      </c>
      <c r="K170">
        <v>16.5</v>
      </c>
      <c r="L170">
        <v>23.3</v>
      </c>
      <c r="M170">
        <v>100</v>
      </c>
    </row>
    <row r="171" spans="1:13" x14ac:dyDescent="0.25">
      <c r="A171" t="s">
        <v>344</v>
      </c>
      <c r="B171" t="s">
        <v>495</v>
      </c>
      <c r="C171" t="s">
        <v>503</v>
      </c>
      <c r="D171" t="s">
        <v>504</v>
      </c>
      <c r="E171">
        <v>2</v>
      </c>
      <c r="F171">
        <v>8</v>
      </c>
      <c r="G171">
        <v>280</v>
      </c>
      <c r="H171">
        <v>12</v>
      </c>
      <c r="I171">
        <v>22.6</v>
      </c>
      <c r="J171">
        <v>10.9</v>
      </c>
      <c r="K171">
        <v>16.5</v>
      </c>
      <c r="L171">
        <v>23.3</v>
      </c>
      <c r="M171">
        <v>100</v>
      </c>
    </row>
    <row r="172" spans="1:13" x14ac:dyDescent="0.25">
      <c r="A172" t="s">
        <v>344</v>
      </c>
      <c r="B172" t="s">
        <v>495</v>
      </c>
      <c r="C172" t="s">
        <v>503</v>
      </c>
      <c r="D172" t="s">
        <v>504</v>
      </c>
      <c r="E172">
        <v>2</v>
      </c>
      <c r="F172">
        <v>8</v>
      </c>
      <c r="G172">
        <v>300</v>
      </c>
      <c r="H172">
        <v>12</v>
      </c>
      <c r="I172">
        <v>22.6</v>
      </c>
      <c r="J172">
        <v>10.9</v>
      </c>
      <c r="K172">
        <v>16.5</v>
      </c>
      <c r="L172">
        <v>23.3</v>
      </c>
      <c r="M172">
        <v>100</v>
      </c>
    </row>
    <row r="173" spans="1:13" x14ac:dyDescent="0.25">
      <c r="A173" t="s">
        <v>344</v>
      </c>
      <c r="B173" t="s">
        <v>495</v>
      </c>
      <c r="C173" t="s">
        <v>503</v>
      </c>
      <c r="D173" t="s">
        <v>504</v>
      </c>
      <c r="E173">
        <v>2</v>
      </c>
      <c r="F173">
        <v>8</v>
      </c>
      <c r="G173">
        <v>320</v>
      </c>
      <c r="H173">
        <v>12</v>
      </c>
      <c r="I173">
        <v>22.6</v>
      </c>
      <c r="J173">
        <v>10.9</v>
      </c>
      <c r="K173">
        <v>16.5</v>
      </c>
      <c r="L173">
        <v>23.3</v>
      </c>
      <c r="M173">
        <v>100</v>
      </c>
    </row>
    <row r="174" spans="1:13" x14ac:dyDescent="0.25">
      <c r="A174" t="s">
        <v>344</v>
      </c>
      <c r="B174" t="s">
        <v>495</v>
      </c>
      <c r="C174" t="s">
        <v>503</v>
      </c>
      <c r="D174" t="s">
        <v>504</v>
      </c>
      <c r="E174">
        <v>2</v>
      </c>
      <c r="F174">
        <v>8</v>
      </c>
      <c r="G174">
        <v>340</v>
      </c>
      <c r="H174">
        <v>12</v>
      </c>
      <c r="I174">
        <v>22.6</v>
      </c>
      <c r="J174">
        <v>10.9</v>
      </c>
      <c r="K174">
        <v>16.5</v>
      </c>
      <c r="L174">
        <v>23.3</v>
      </c>
      <c r="M174">
        <v>100</v>
      </c>
    </row>
    <row r="175" spans="1:13" x14ac:dyDescent="0.25">
      <c r="A175" t="s">
        <v>344</v>
      </c>
      <c r="B175" t="s">
        <v>495</v>
      </c>
      <c r="C175" t="s">
        <v>503</v>
      </c>
      <c r="D175" t="s">
        <v>504</v>
      </c>
      <c r="E175">
        <v>2</v>
      </c>
      <c r="F175">
        <v>8</v>
      </c>
      <c r="G175">
        <v>360</v>
      </c>
      <c r="H175">
        <v>12</v>
      </c>
      <c r="I175">
        <v>22.6</v>
      </c>
      <c r="J175">
        <v>10.9</v>
      </c>
      <c r="K175">
        <v>16.5</v>
      </c>
      <c r="L175">
        <v>23.3</v>
      </c>
      <c r="M175">
        <v>100</v>
      </c>
    </row>
    <row r="176" spans="1:13" x14ac:dyDescent="0.25">
      <c r="A176" t="s">
        <v>344</v>
      </c>
      <c r="B176" t="s">
        <v>495</v>
      </c>
      <c r="C176" t="s">
        <v>503</v>
      </c>
      <c r="D176" t="s">
        <v>504</v>
      </c>
      <c r="E176">
        <v>2</v>
      </c>
      <c r="F176">
        <v>8</v>
      </c>
      <c r="G176">
        <v>380</v>
      </c>
      <c r="H176">
        <v>12</v>
      </c>
      <c r="I176">
        <v>22.6</v>
      </c>
      <c r="J176">
        <v>10.9</v>
      </c>
      <c r="K176">
        <v>16.5</v>
      </c>
      <c r="L176">
        <v>23.3</v>
      </c>
      <c r="M176">
        <v>100</v>
      </c>
    </row>
    <row r="177" spans="1:13" x14ac:dyDescent="0.25">
      <c r="A177" t="s">
        <v>344</v>
      </c>
      <c r="B177" t="s">
        <v>495</v>
      </c>
      <c r="C177" t="s">
        <v>503</v>
      </c>
      <c r="D177" t="s">
        <v>504</v>
      </c>
      <c r="E177">
        <v>2</v>
      </c>
      <c r="F177">
        <v>8</v>
      </c>
      <c r="G177">
        <v>400</v>
      </c>
      <c r="H177">
        <v>12</v>
      </c>
      <c r="I177">
        <v>22.6</v>
      </c>
      <c r="J177">
        <v>10.9</v>
      </c>
      <c r="K177">
        <v>16.5</v>
      </c>
      <c r="L177">
        <v>23.3</v>
      </c>
      <c r="M177">
        <v>100</v>
      </c>
    </row>
    <row r="178" spans="1:13" x14ac:dyDescent="0.25">
      <c r="A178" t="s">
        <v>344</v>
      </c>
      <c r="B178" t="s">
        <v>495</v>
      </c>
      <c r="C178" t="s">
        <v>503</v>
      </c>
      <c r="D178" t="s">
        <v>504</v>
      </c>
      <c r="E178">
        <v>2</v>
      </c>
      <c r="F178">
        <v>10</v>
      </c>
      <c r="G178">
        <v>60</v>
      </c>
      <c r="H178">
        <v>15</v>
      </c>
      <c r="I178">
        <v>33.6</v>
      </c>
      <c r="J178">
        <v>11</v>
      </c>
      <c r="K178">
        <v>16.7</v>
      </c>
      <c r="L178">
        <v>35</v>
      </c>
      <c r="M178">
        <v>40</v>
      </c>
    </row>
    <row r="179" spans="1:13" x14ac:dyDescent="0.25">
      <c r="A179" t="s">
        <v>344</v>
      </c>
      <c r="B179" t="s">
        <v>495</v>
      </c>
      <c r="C179" t="s">
        <v>503</v>
      </c>
      <c r="D179" t="s">
        <v>504</v>
      </c>
      <c r="E179">
        <v>2</v>
      </c>
      <c r="F179">
        <v>10</v>
      </c>
      <c r="G179">
        <v>70</v>
      </c>
      <c r="H179">
        <v>15</v>
      </c>
      <c r="I179">
        <v>33.6</v>
      </c>
      <c r="J179">
        <v>11</v>
      </c>
      <c r="K179">
        <v>16.7</v>
      </c>
      <c r="L179">
        <v>35</v>
      </c>
      <c r="M179">
        <v>40</v>
      </c>
    </row>
    <row r="180" spans="1:13" x14ac:dyDescent="0.25">
      <c r="A180" t="s">
        <v>344</v>
      </c>
      <c r="B180" t="s">
        <v>495</v>
      </c>
      <c r="C180" t="s">
        <v>503</v>
      </c>
      <c r="D180" t="s">
        <v>504</v>
      </c>
      <c r="E180">
        <v>2</v>
      </c>
      <c r="F180">
        <v>10</v>
      </c>
      <c r="G180">
        <v>80</v>
      </c>
      <c r="H180">
        <v>15</v>
      </c>
      <c r="I180">
        <v>33.6</v>
      </c>
      <c r="J180">
        <v>11</v>
      </c>
      <c r="K180">
        <v>16.7</v>
      </c>
      <c r="L180">
        <v>35</v>
      </c>
      <c r="M180">
        <v>50</v>
      </c>
    </row>
    <row r="181" spans="1:13" x14ac:dyDescent="0.25">
      <c r="A181" t="s">
        <v>344</v>
      </c>
      <c r="B181" t="s">
        <v>495</v>
      </c>
      <c r="C181" t="s">
        <v>503</v>
      </c>
      <c r="D181" t="s">
        <v>504</v>
      </c>
      <c r="E181">
        <v>2</v>
      </c>
      <c r="F181">
        <v>10</v>
      </c>
      <c r="G181">
        <v>100</v>
      </c>
      <c r="H181">
        <v>15</v>
      </c>
      <c r="I181">
        <v>33.6</v>
      </c>
      <c r="J181">
        <v>11</v>
      </c>
      <c r="K181">
        <v>16.7</v>
      </c>
      <c r="L181">
        <v>35</v>
      </c>
      <c r="M181">
        <v>60</v>
      </c>
    </row>
    <row r="182" spans="1:13" x14ac:dyDescent="0.25">
      <c r="A182" t="s">
        <v>344</v>
      </c>
      <c r="B182" t="s">
        <v>495</v>
      </c>
      <c r="C182" t="s">
        <v>503</v>
      </c>
      <c r="D182" t="s">
        <v>504</v>
      </c>
      <c r="E182">
        <v>2</v>
      </c>
      <c r="F182">
        <v>10</v>
      </c>
      <c r="G182">
        <v>120</v>
      </c>
      <c r="H182">
        <v>15</v>
      </c>
      <c r="I182">
        <v>33.6</v>
      </c>
      <c r="J182">
        <v>11</v>
      </c>
      <c r="K182">
        <v>16.7</v>
      </c>
      <c r="L182">
        <v>35</v>
      </c>
      <c r="M182">
        <v>80</v>
      </c>
    </row>
    <row r="183" spans="1:13" x14ac:dyDescent="0.25">
      <c r="A183" t="s">
        <v>344</v>
      </c>
      <c r="B183" t="s">
        <v>495</v>
      </c>
      <c r="C183" t="s">
        <v>503</v>
      </c>
      <c r="D183" t="s">
        <v>504</v>
      </c>
      <c r="E183">
        <v>2</v>
      </c>
      <c r="F183">
        <v>10</v>
      </c>
      <c r="G183">
        <v>140</v>
      </c>
      <c r="H183">
        <v>15</v>
      </c>
      <c r="I183">
        <v>33.6</v>
      </c>
      <c r="J183">
        <v>11</v>
      </c>
      <c r="K183">
        <v>16.7</v>
      </c>
      <c r="L183">
        <v>35</v>
      </c>
      <c r="M183">
        <v>80</v>
      </c>
    </row>
    <row r="184" spans="1:13" x14ac:dyDescent="0.25">
      <c r="A184" t="s">
        <v>344</v>
      </c>
      <c r="B184" t="s">
        <v>495</v>
      </c>
      <c r="C184" t="s">
        <v>503</v>
      </c>
      <c r="D184" t="s">
        <v>504</v>
      </c>
      <c r="E184">
        <v>2</v>
      </c>
      <c r="F184">
        <v>10</v>
      </c>
      <c r="G184">
        <v>160</v>
      </c>
      <c r="H184">
        <v>15</v>
      </c>
      <c r="I184">
        <v>33.6</v>
      </c>
      <c r="J184">
        <v>11</v>
      </c>
      <c r="K184">
        <v>16.7</v>
      </c>
      <c r="L184">
        <v>35</v>
      </c>
      <c r="M184">
        <v>80</v>
      </c>
    </row>
    <row r="185" spans="1:13" x14ac:dyDescent="0.25">
      <c r="A185" t="s">
        <v>344</v>
      </c>
      <c r="B185" t="s">
        <v>495</v>
      </c>
      <c r="C185" t="s">
        <v>503</v>
      </c>
      <c r="D185" t="s">
        <v>504</v>
      </c>
      <c r="E185">
        <v>2</v>
      </c>
      <c r="F185">
        <v>10</v>
      </c>
      <c r="G185">
        <v>180</v>
      </c>
      <c r="H185">
        <v>15</v>
      </c>
      <c r="I185">
        <v>33.6</v>
      </c>
      <c r="J185">
        <v>11</v>
      </c>
      <c r="K185">
        <v>16.7</v>
      </c>
      <c r="L185">
        <v>35</v>
      </c>
      <c r="M185">
        <v>100</v>
      </c>
    </row>
    <row r="186" spans="1:13" x14ac:dyDescent="0.25">
      <c r="A186" t="s">
        <v>344</v>
      </c>
      <c r="B186" t="s">
        <v>495</v>
      </c>
      <c r="C186" t="s">
        <v>503</v>
      </c>
      <c r="D186" t="s">
        <v>504</v>
      </c>
      <c r="E186">
        <v>2</v>
      </c>
      <c r="F186">
        <v>10</v>
      </c>
      <c r="G186">
        <v>200</v>
      </c>
      <c r="H186">
        <v>15</v>
      </c>
      <c r="I186">
        <v>33.6</v>
      </c>
      <c r="J186">
        <v>11</v>
      </c>
      <c r="K186">
        <v>16.7</v>
      </c>
      <c r="L186">
        <v>35</v>
      </c>
      <c r="M186">
        <v>100</v>
      </c>
    </row>
    <row r="187" spans="1:13" x14ac:dyDescent="0.25">
      <c r="A187" t="s">
        <v>344</v>
      </c>
      <c r="B187" t="s">
        <v>495</v>
      </c>
      <c r="C187" t="s">
        <v>503</v>
      </c>
      <c r="D187" t="s">
        <v>504</v>
      </c>
      <c r="E187">
        <v>2</v>
      </c>
      <c r="F187">
        <v>10</v>
      </c>
      <c r="G187">
        <v>220</v>
      </c>
      <c r="H187">
        <v>15</v>
      </c>
      <c r="I187">
        <v>33.6</v>
      </c>
      <c r="J187">
        <v>11</v>
      </c>
      <c r="K187">
        <v>16.7</v>
      </c>
      <c r="L187">
        <v>35</v>
      </c>
      <c r="M187">
        <v>100</v>
      </c>
    </row>
    <row r="188" spans="1:13" x14ac:dyDescent="0.25">
      <c r="A188" t="s">
        <v>344</v>
      </c>
      <c r="B188" t="s">
        <v>495</v>
      </c>
      <c r="C188" t="s">
        <v>503</v>
      </c>
      <c r="D188" t="s">
        <v>504</v>
      </c>
      <c r="E188">
        <v>2</v>
      </c>
      <c r="F188">
        <v>10</v>
      </c>
      <c r="G188">
        <v>240</v>
      </c>
      <c r="H188">
        <v>15</v>
      </c>
      <c r="I188">
        <v>33.6</v>
      </c>
      <c r="J188">
        <v>11</v>
      </c>
      <c r="K188">
        <v>16.7</v>
      </c>
      <c r="L188">
        <v>35</v>
      </c>
      <c r="M188">
        <v>100</v>
      </c>
    </row>
    <row r="189" spans="1:13" x14ac:dyDescent="0.25">
      <c r="A189" t="s">
        <v>344</v>
      </c>
      <c r="B189" t="s">
        <v>495</v>
      </c>
      <c r="C189" t="s">
        <v>503</v>
      </c>
      <c r="D189" t="s">
        <v>504</v>
      </c>
      <c r="E189">
        <v>2</v>
      </c>
      <c r="F189">
        <v>10</v>
      </c>
      <c r="G189">
        <v>260</v>
      </c>
      <c r="H189">
        <v>15</v>
      </c>
      <c r="I189">
        <v>33.6</v>
      </c>
      <c r="J189">
        <v>11</v>
      </c>
      <c r="K189">
        <v>16.7</v>
      </c>
      <c r="L189">
        <v>35</v>
      </c>
      <c r="M189">
        <v>100</v>
      </c>
    </row>
    <row r="190" spans="1:13" x14ac:dyDescent="0.25">
      <c r="A190" t="s">
        <v>344</v>
      </c>
      <c r="B190" t="s">
        <v>495</v>
      </c>
      <c r="C190" t="s">
        <v>503</v>
      </c>
      <c r="D190" t="s">
        <v>504</v>
      </c>
      <c r="E190">
        <v>2</v>
      </c>
      <c r="F190">
        <v>10</v>
      </c>
      <c r="G190">
        <v>280</v>
      </c>
      <c r="H190">
        <v>15</v>
      </c>
      <c r="I190">
        <v>33.6</v>
      </c>
      <c r="J190">
        <v>11</v>
      </c>
      <c r="K190">
        <v>16.7</v>
      </c>
      <c r="L190">
        <v>35</v>
      </c>
      <c r="M190">
        <v>100</v>
      </c>
    </row>
    <row r="191" spans="1:13" x14ac:dyDescent="0.25">
      <c r="A191" t="s">
        <v>344</v>
      </c>
      <c r="B191" t="s">
        <v>495</v>
      </c>
      <c r="C191" t="s">
        <v>503</v>
      </c>
      <c r="D191" t="s">
        <v>504</v>
      </c>
      <c r="E191">
        <v>2</v>
      </c>
      <c r="F191">
        <v>10</v>
      </c>
      <c r="G191">
        <v>300</v>
      </c>
      <c r="H191">
        <v>15</v>
      </c>
      <c r="I191">
        <v>33.6</v>
      </c>
      <c r="J191">
        <v>11</v>
      </c>
      <c r="K191">
        <v>16.7</v>
      </c>
      <c r="L191">
        <v>35</v>
      </c>
      <c r="M191">
        <v>100</v>
      </c>
    </row>
    <row r="192" spans="1:13" x14ac:dyDescent="0.25">
      <c r="A192" t="s">
        <v>344</v>
      </c>
      <c r="B192" t="s">
        <v>495</v>
      </c>
      <c r="C192" t="s">
        <v>503</v>
      </c>
      <c r="D192" t="s">
        <v>504</v>
      </c>
      <c r="E192">
        <v>2</v>
      </c>
      <c r="F192">
        <v>10</v>
      </c>
      <c r="G192">
        <v>350</v>
      </c>
      <c r="H192">
        <v>15</v>
      </c>
      <c r="I192">
        <v>33.6</v>
      </c>
      <c r="J192">
        <v>11</v>
      </c>
      <c r="K192">
        <v>16.7</v>
      </c>
      <c r="L192">
        <v>35</v>
      </c>
      <c r="M192">
        <v>100</v>
      </c>
    </row>
    <row r="193" spans="1:13" x14ac:dyDescent="0.25">
      <c r="A193" t="s">
        <v>344</v>
      </c>
      <c r="B193" t="s">
        <v>495</v>
      </c>
      <c r="C193" t="s">
        <v>503</v>
      </c>
      <c r="D193" t="s">
        <v>504</v>
      </c>
      <c r="E193">
        <v>2</v>
      </c>
      <c r="F193">
        <v>10</v>
      </c>
      <c r="G193">
        <v>400</v>
      </c>
      <c r="H193">
        <v>15</v>
      </c>
      <c r="I193">
        <v>33.6</v>
      </c>
      <c r="J193">
        <v>11</v>
      </c>
      <c r="K193">
        <v>16.7</v>
      </c>
      <c r="L193">
        <v>35</v>
      </c>
      <c r="M193">
        <v>100</v>
      </c>
    </row>
    <row r="194" spans="1:13" x14ac:dyDescent="0.25">
      <c r="A194" t="s">
        <v>344</v>
      </c>
      <c r="B194" t="s">
        <v>495</v>
      </c>
      <c r="C194" t="s">
        <v>503</v>
      </c>
      <c r="D194" t="s">
        <v>504</v>
      </c>
      <c r="E194">
        <v>2</v>
      </c>
      <c r="F194">
        <v>12</v>
      </c>
      <c r="G194">
        <v>80</v>
      </c>
      <c r="H194">
        <v>17</v>
      </c>
      <c r="I194">
        <v>46.9</v>
      </c>
      <c r="J194">
        <v>11.2</v>
      </c>
      <c r="K194">
        <v>17.100000000000001</v>
      </c>
      <c r="L194">
        <v>42</v>
      </c>
      <c r="M194">
        <v>50</v>
      </c>
    </row>
    <row r="195" spans="1:13" x14ac:dyDescent="0.25">
      <c r="A195" t="s">
        <v>344</v>
      </c>
      <c r="B195" t="s">
        <v>495</v>
      </c>
      <c r="C195" t="s">
        <v>503</v>
      </c>
      <c r="D195" t="s">
        <v>504</v>
      </c>
      <c r="E195">
        <v>2</v>
      </c>
      <c r="F195">
        <v>12</v>
      </c>
      <c r="G195">
        <v>100</v>
      </c>
      <c r="H195">
        <v>17</v>
      </c>
      <c r="I195">
        <v>46.9</v>
      </c>
      <c r="J195">
        <v>11.2</v>
      </c>
      <c r="K195">
        <v>17.100000000000001</v>
      </c>
      <c r="L195">
        <v>42</v>
      </c>
      <c r="M195">
        <v>60</v>
      </c>
    </row>
    <row r="196" spans="1:13" x14ac:dyDescent="0.25">
      <c r="A196" t="s">
        <v>344</v>
      </c>
      <c r="B196" t="s">
        <v>495</v>
      </c>
      <c r="C196" t="s">
        <v>503</v>
      </c>
      <c r="D196" t="s">
        <v>504</v>
      </c>
      <c r="E196">
        <v>2</v>
      </c>
      <c r="F196">
        <v>12</v>
      </c>
      <c r="G196">
        <v>120</v>
      </c>
      <c r="H196">
        <v>17</v>
      </c>
      <c r="I196">
        <v>46.9</v>
      </c>
      <c r="J196">
        <v>11.2</v>
      </c>
      <c r="K196">
        <v>17.100000000000001</v>
      </c>
      <c r="L196">
        <v>42</v>
      </c>
      <c r="M196">
        <v>80</v>
      </c>
    </row>
    <row r="197" spans="1:13" x14ac:dyDescent="0.25">
      <c r="A197" t="s">
        <v>344</v>
      </c>
      <c r="B197" t="s">
        <v>495</v>
      </c>
      <c r="C197" t="s">
        <v>503</v>
      </c>
      <c r="D197" t="s">
        <v>504</v>
      </c>
      <c r="E197">
        <v>2</v>
      </c>
      <c r="F197">
        <v>12</v>
      </c>
      <c r="G197">
        <v>140</v>
      </c>
      <c r="H197">
        <v>17</v>
      </c>
      <c r="I197">
        <v>46.9</v>
      </c>
      <c r="J197">
        <v>11.2</v>
      </c>
      <c r="K197">
        <v>17.100000000000001</v>
      </c>
      <c r="L197">
        <v>42</v>
      </c>
      <c r="M197">
        <v>80</v>
      </c>
    </row>
    <row r="198" spans="1:13" x14ac:dyDescent="0.25">
      <c r="A198" t="s">
        <v>344</v>
      </c>
      <c r="B198" t="s">
        <v>495</v>
      </c>
      <c r="C198" t="s">
        <v>503</v>
      </c>
      <c r="D198" t="s">
        <v>504</v>
      </c>
      <c r="E198">
        <v>2</v>
      </c>
      <c r="F198">
        <v>12</v>
      </c>
      <c r="G198">
        <v>160</v>
      </c>
      <c r="H198">
        <v>17</v>
      </c>
      <c r="I198">
        <v>46.9</v>
      </c>
      <c r="J198">
        <v>11.2</v>
      </c>
      <c r="K198">
        <v>17.100000000000001</v>
      </c>
      <c r="L198">
        <v>42</v>
      </c>
      <c r="M198">
        <v>80</v>
      </c>
    </row>
    <row r="199" spans="1:13" x14ac:dyDescent="0.25">
      <c r="A199" t="s">
        <v>344</v>
      </c>
      <c r="B199" t="s">
        <v>495</v>
      </c>
      <c r="C199" t="s">
        <v>503</v>
      </c>
      <c r="D199" t="s">
        <v>504</v>
      </c>
      <c r="E199">
        <v>2</v>
      </c>
      <c r="F199">
        <v>12</v>
      </c>
      <c r="G199">
        <v>180</v>
      </c>
      <c r="H199">
        <v>17</v>
      </c>
      <c r="I199">
        <v>46.9</v>
      </c>
      <c r="J199">
        <v>11.2</v>
      </c>
      <c r="K199">
        <v>17.100000000000001</v>
      </c>
      <c r="L199">
        <v>42</v>
      </c>
      <c r="M199">
        <v>100</v>
      </c>
    </row>
    <row r="200" spans="1:13" x14ac:dyDescent="0.25">
      <c r="A200" t="s">
        <v>344</v>
      </c>
      <c r="B200" t="s">
        <v>495</v>
      </c>
      <c r="C200" t="s">
        <v>503</v>
      </c>
      <c r="D200" t="s">
        <v>504</v>
      </c>
      <c r="E200">
        <v>2</v>
      </c>
      <c r="F200">
        <v>12</v>
      </c>
      <c r="G200">
        <v>200</v>
      </c>
      <c r="H200">
        <v>17</v>
      </c>
      <c r="I200">
        <v>46.9</v>
      </c>
      <c r="J200">
        <v>11.2</v>
      </c>
      <c r="K200">
        <v>17.100000000000001</v>
      </c>
      <c r="L200">
        <v>42</v>
      </c>
      <c r="M200">
        <v>100</v>
      </c>
    </row>
    <row r="201" spans="1:13" x14ac:dyDescent="0.25">
      <c r="A201" t="s">
        <v>344</v>
      </c>
      <c r="B201" t="s">
        <v>495</v>
      </c>
      <c r="C201" t="s">
        <v>503</v>
      </c>
      <c r="D201" t="s">
        <v>504</v>
      </c>
      <c r="E201">
        <v>2</v>
      </c>
      <c r="F201">
        <v>12</v>
      </c>
      <c r="G201">
        <v>220</v>
      </c>
      <c r="H201">
        <v>17</v>
      </c>
      <c r="I201">
        <v>46.9</v>
      </c>
      <c r="J201">
        <v>11.2</v>
      </c>
      <c r="K201">
        <v>17.100000000000001</v>
      </c>
      <c r="L201">
        <v>42</v>
      </c>
      <c r="M201">
        <v>100</v>
      </c>
    </row>
    <row r="202" spans="1:13" x14ac:dyDescent="0.25">
      <c r="A202" t="s">
        <v>344</v>
      </c>
      <c r="B202" t="s">
        <v>495</v>
      </c>
      <c r="C202" t="s">
        <v>503</v>
      </c>
      <c r="D202" t="s">
        <v>504</v>
      </c>
      <c r="E202">
        <v>2</v>
      </c>
      <c r="F202">
        <v>12</v>
      </c>
      <c r="G202">
        <v>240</v>
      </c>
      <c r="H202">
        <v>17</v>
      </c>
      <c r="I202">
        <v>46.9</v>
      </c>
      <c r="J202">
        <v>11.2</v>
      </c>
      <c r="K202">
        <v>17.100000000000001</v>
      </c>
      <c r="L202">
        <v>42</v>
      </c>
      <c r="M202">
        <v>100</v>
      </c>
    </row>
    <row r="203" spans="1:13" x14ac:dyDescent="0.25">
      <c r="A203" t="s">
        <v>344</v>
      </c>
      <c r="B203" t="s">
        <v>495</v>
      </c>
      <c r="C203" t="s">
        <v>503</v>
      </c>
      <c r="D203" t="s">
        <v>504</v>
      </c>
      <c r="E203">
        <v>2</v>
      </c>
      <c r="F203">
        <v>12</v>
      </c>
      <c r="G203">
        <v>260</v>
      </c>
      <c r="H203">
        <v>17</v>
      </c>
      <c r="I203">
        <v>46.9</v>
      </c>
      <c r="J203">
        <v>11.2</v>
      </c>
      <c r="K203">
        <v>17.100000000000001</v>
      </c>
      <c r="L203">
        <v>42</v>
      </c>
      <c r="M203">
        <v>100</v>
      </c>
    </row>
    <row r="204" spans="1:13" x14ac:dyDescent="0.25">
      <c r="A204" t="s">
        <v>344</v>
      </c>
      <c r="B204" t="s">
        <v>495</v>
      </c>
      <c r="C204" t="s">
        <v>503</v>
      </c>
      <c r="D204" t="s">
        <v>504</v>
      </c>
      <c r="E204">
        <v>2</v>
      </c>
      <c r="F204">
        <v>12</v>
      </c>
      <c r="G204">
        <v>280</v>
      </c>
      <c r="H204">
        <v>17</v>
      </c>
      <c r="I204">
        <v>46.9</v>
      </c>
      <c r="J204">
        <v>11.2</v>
      </c>
      <c r="K204">
        <v>17.100000000000001</v>
      </c>
      <c r="L204">
        <v>42</v>
      </c>
      <c r="M204">
        <v>100</v>
      </c>
    </row>
    <row r="205" spans="1:13" x14ac:dyDescent="0.25">
      <c r="A205" t="s">
        <v>344</v>
      </c>
      <c r="B205" t="s">
        <v>495</v>
      </c>
      <c r="C205" t="s">
        <v>503</v>
      </c>
      <c r="D205" t="s">
        <v>504</v>
      </c>
      <c r="E205">
        <v>2</v>
      </c>
      <c r="F205">
        <v>12</v>
      </c>
      <c r="G205">
        <v>300</v>
      </c>
      <c r="H205">
        <v>17</v>
      </c>
      <c r="I205">
        <v>46.9</v>
      </c>
      <c r="J205">
        <v>11.2</v>
      </c>
      <c r="K205">
        <v>17.100000000000001</v>
      </c>
      <c r="L205">
        <v>42</v>
      </c>
      <c r="M205">
        <v>120</v>
      </c>
    </row>
    <row r="206" spans="1:13" x14ac:dyDescent="0.25">
      <c r="A206" t="s">
        <v>344</v>
      </c>
      <c r="B206" t="s">
        <v>495</v>
      </c>
      <c r="C206" t="s">
        <v>503</v>
      </c>
      <c r="D206" t="s">
        <v>504</v>
      </c>
      <c r="E206">
        <v>2</v>
      </c>
      <c r="F206">
        <v>12</v>
      </c>
      <c r="G206">
        <v>350</v>
      </c>
      <c r="H206">
        <v>17</v>
      </c>
      <c r="I206">
        <v>46.9</v>
      </c>
      <c r="J206">
        <v>11.2</v>
      </c>
      <c r="K206">
        <v>17.100000000000001</v>
      </c>
      <c r="L206">
        <v>42</v>
      </c>
      <c r="M206">
        <v>120</v>
      </c>
    </row>
    <row r="207" spans="1:13" x14ac:dyDescent="0.25">
      <c r="A207" t="s">
        <v>344</v>
      </c>
      <c r="B207" t="s">
        <v>495</v>
      </c>
      <c r="C207" t="s">
        <v>503</v>
      </c>
      <c r="D207" t="s">
        <v>504</v>
      </c>
      <c r="E207">
        <v>2</v>
      </c>
      <c r="F207">
        <v>12</v>
      </c>
      <c r="G207">
        <v>400</v>
      </c>
      <c r="H207">
        <v>17</v>
      </c>
      <c r="I207">
        <v>46.9</v>
      </c>
      <c r="J207">
        <v>11.2</v>
      </c>
      <c r="K207">
        <v>17.100000000000001</v>
      </c>
      <c r="L207">
        <v>42</v>
      </c>
      <c r="M207">
        <v>120</v>
      </c>
    </row>
    <row r="208" spans="1:13" x14ac:dyDescent="0.25">
      <c r="A208" t="s">
        <v>344</v>
      </c>
      <c r="B208" t="s">
        <v>495</v>
      </c>
      <c r="C208" t="s">
        <v>505</v>
      </c>
      <c r="D208" t="s">
        <v>506</v>
      </c>
      <c r="E208">
        <v>2</v>
      </c>
      <c r="F208">
        <v>6</v>
      </c>
      <c r="G208">
        <v>80</v>
      </c>
      <c r="H208">
        <v>13</v>
      </c>
      <c r="I208">
        <v>10.7</v>
      </c>
      <c r="J208">
        <v>13</v>
      </c>
      <c r="K208">
        <v>19.7</v>
      </c>
      <c r="L208">
        <v>13.1</v>
      </c>
      <c r="M208">
        <v>50</v>
      </c>
    </row>
    <row r="209" spans="1:13" x14ac:dyDescent="0.25">
      <c r="A209" t="s">
        <v>344</v>
      </c>
      <c r="B209" t="s">
        <v>495</v>
      </c>
      <c r="C209" t="s">
        <v>505</v>
      </c>
      <c r="D209" t="s">
        <v>506</v>
      </c>
      <c r="E209">
        <v>2</v>
      </c>
      <c r="F209">
        <v>6</v>
      </c>
      <c r="G209">
        <v>100</v>
      </c>
      <c r="H209">
        <v>13</v>
      </c>
      <c r="I209">
        <v>10.7</v>
      </c>
      <c r="J209">
        <v>13</v>
      </c>
      <c r="K209">
        <v>19.7</v>
      </c>
      <c r="L209">
        <v>13.1</v>
      </c>
      <c r="M209">
        <v>60</v>
      </c>
    </row>
    <row r="210" spans="1:13" x14ac:dyDescent="0.25">
      <c r="A210" t="s">
        <v>344</v>
      </c>
      <c r="B210" t="s">
        <v>495</v>
      </c>
      <c r="C210" t="s">
        <v>505</v>
      </c>
      <c r="D210" t="s">
        <v>506</v>
      </c>
      <c r="E210">
        <v>2</v>
      </c>
      <c r="F210">
        <v>6</v>
      </c>
      <c r="G210">
        <v>120</v>
      </c>
      <c r="H210">
        <v>13</v>
      </c>
      <c r="I210">
        <v>10.7</v>
      </c>
      <c r="J210">
        <v>13</v>
      </c>
      <c r="K210">
        <v>19.7</v>
      </c>
      <c r="L210">
        <v>13.1</v>
      </c>
      <c r="M210">
        <v>70</v>
      </c>
    </row>
    <row r="211" spans="1:13" x14ac:dyDescent="0.25">
      <c r="A211" t="s">
        <v>344</v>
      </c>
      <c r="B211" t="s">
        <v>495</v>
      </c>
      <c r="C211" t="s">
        <v>505</v>
      </c>
      <c r="D211" t="s">
        <v>506</v>
      </c>
      <c r="E211">
        <v>2</v>
      </c>
      <c r="F211">
        <v>6</v>
      </c>
      <c r="G211">
        <v>140</v>
      </c>
      <c r="H211">
        <v>13</v>
      </c>
      <c r="I211">
        <v>10.7</v>
      </c>
      <c r="J211">
        <v>13</v>
      </c>
      <c r="K211">
        <v>19.7</v>
      </c>
      <c r="L211">
        <v>13.1</v>
      </c>
      <c r="M211">
        <v>70</v>
      </c>
    </row>
    <row r="212" spans="1:13" x14ac:dyDescent="0.25">
      <c r="A212" t="s">
        <v>344</v>
      </c>
      <c r="B212" t="s">
        <v>495</v>
      </c>
      <c r="C212" t="s">
        <v>505</v>
      </c>
      <c r="D212" t="s">
        <v>506</v>
      </c>
      <c r="E212">
        <v>2</v>
      </c>
      <c r="F212">
        <v>6</v>
      </c>
      <c r="G212">
        <v>160</v>
      </c>
      <c r="H212">
        <v>13</v>
      </c>
      <c r="I212">
        <v>10.7</v>
      </c>
      <c r="J212">
        <v>13</v>
      </c>
      <c r="K212">
        <v>19.7</v>
      </c>
      <c r="L212">
        <v>13.1</v>
      </c>
      <c r="M212">
        <v>70</v>
      </c>
    </row>
    <row r="213" spans="1:13" x14ac:dyDescent="0.25">
      <c r="A213" t="s">
        <v>344</v>
      </c>
      <c r="B213" t="s">
        <v>495</v>
      </c>
      <c r="C213" t="s">
        <v>505</v>
      </c>
      <c r="D213" t="s">
        <v>506</v>
      </c>
      <c r="E213">
        <v>2</v>
      </c>
      <c r="F213">
        <v>6</v>
      </c>
      <c r="G213">
        <v>180</v>
      </c>
      <c r="H213">
        <v>13</v>
      </c>
      <c r="I213">
        <v>10.7</v>
      </c>
      <c r="J213">
        <v>13</v>
      </c>
      <c r="K213">
        <v>19.7</v>
      </c>
      <c r="L213">
        <v>13.1</v>
      </c>
      <c r="M213">
        <v>70</v>
      </c>
    </row>
    <row r="214" spans="1:13" x14ac:dyDescent="0.25">
      <c r="A214" t="s">
        <v>344</v>
      </c>
      <c r="B214" t="s">
        <v>495</v>
      </c>
      <c r="C214" t="s">
        <v>505</v>
      </c>
      <c r="D214" t="s">
        <v>506</v>
      </c>
      <c r="E214">
        <v>2</v>
      </c>
      <c r="F214">
        <v>6</v>
      </c>
      <c r="G214">
        <v>200</v>
      </c>
      <c r="H214">
        <v>13</v>
      </c>
      <c r="I214">
        <v>10.7</v>
      </c>
      <c r="J214">
        <v>13</v>
      </c>
      <c r="K214">
        <v>19.7</v>
      </c>
      <c r="L214">
        <v>13.1</v>
      </c>
      <c r="M214">
        <v>70</v>
      </c>
    </row>
    <row r="215" spans="1:13" x14ac:dyDescent="0.25">
      <c r="A215" t="s">
        <v>344</v>
      </c>
      <c r="B215" t="s">
        <v>495</v>
      </c>
      <c r="C215" t="s">
        <v>505</v>
      </c>
      <c r="D215" t="s">
        <v>506</v>
      </c>
      <c r="E215">
        <v>2</v>
      </c>
      <c r="F215">
        <v>8</v>
      </c>
      <c r="G215">
        <v>80</v>
      </c>
      <c r="H215">
        <v>19</v>
      </c>
      <c r="I215">
        <v>22.6</v>
      </c>
      <c r="J215">
        <v>10.9</v>
      </c>
      <c r="K215">
        <v>22.9</v>
      </c>
      <c r="L215">
        <v>23.3</v>
      </c>
      <c r="M215">
        <v>50</v>
      </c>
    </row>
    <row r="216" spans="1:13" x14ac:dyDescent="0.25">
      <c r="A216" t="s">
        <v>344</v>
      </c>
      <c r="B216" t="s">
        <v>495</v>
      </c>
      <c r="C216" t="s">
        <v>505</v>
      </c>
      <c r="D216" t="s">
        <v>506</v>
      </c>
      <c r="E216">
        <v>2</v>
      </c>
      <c r="F216">
        <v>8</v>
      </c>
      <c r="G216">
        <v>100</v>
      </c>
      <c r="H216">
        <v>19</v>
      </c>
      <c r="I216">
        <v>22.6</v>
      </c>
      <c r="J216">
        <v>10.9</v>
      </c>
      <c r="K216">
        <v>22.9</v>
      </c>
      <c r="L216">
        <v>23.3</v>
      </c>
      <c r="M216">
        <v>60</v>
      </c>
    </row>
    <row r="217" spans="1:13" x14ac:dyDescent="0.25">
      <c r="A217" t="s">
        <v>344</v>
      </c>
      <c r="B217" t="s">
        <v>495</v>
      </c>
      <c r="C217" t="s">
        <v>505</v>
      </c>
      <c r="D217" t="s">
        <v>506</v>
      </c>
      <c r="E217">
        <v>2</v>
      </c>
      <c r="F217">
        <v>8</v>
      </c>
      <c r="G217">
        <v>120</v>
      </c>
      <c r="H217">
        <v>19</v>
      </c>
      <c r="I217">
        <v>22.6</v>
      </c>
      <c r="J217">
        <v>10.9</v>
      </c>
      <c r="K217">
        <v>22.9</v>
      </c>
      <c r="L217">
        <v>23.3</v>
      </c>
      <c r="M217">
        <v>80</v>
      </c>
    </row>
    <row r="218" spans="1:13" x14ac:dyDescent="0.25">
      <c r="A218" t="s">
        <v>344</v>
      </c>
      <c r="B218" t="s">
        <v>495</v>
      </c>
      <c r="C218" t="s">
        <v>505</v>
      </c>
      <c r="D218" t="s">
        <v>506</v>
      </c>
      <c r="E218">
        <v>2</v>
      </c>
      <c r="F218">
        <v>8</v>
      </c>
      <c r="G218">
        <v>140</v>
      </c>
      <c r="H218">
        <v>19</v>
      </c>
      <c r="I218">
        <v>22.6</v>
      </c>
      <c r="J218">
        <v>10.9</v>
      </c>
      <c r="K218">
        <v>22.9</v>
      </c>
      <c r="L218">
        <v>23.3</v>
      </c>
      <c r="M218">
        <v>80</v>
      </c>
    </row>
    <row r="219" spans="1:13" x14ac:dyDescent="0.25">
      <c r="A219" t="s">
        <v>344</v>
      </c>
      <c r="B219" t="s">
        <v>495</v>
      </c>
      <c r="C219" t="s">
        <v>505</v>
      </c>
      <c r="D219" t="s">
        <v>506</v>
      </c>
      <c r="E219">
        <v>2</v>
      </c>
      <c r="F219">
        <v>8</v>
      </c>
      <c r="G219">
        <v>160</v>
      </c>
      <c r="H219">
        <v>19</v>
      </c>
      <c r="I219">
        <v>22.6</v>
      </c>
      <c r="J219">
        <v>10.9</v>
      </c>
      <c r="K219">
        <v>22.9</v>
      </c>
      <c r="L219">
        <v>23.3</v>
      </c>
      <c r="M219">
        <v>80</v>
      </c>
    </row>
    <row r="220" spans="1:13" x14ac:dyDescent="0.25">
      <c r="A220" t="s">
        <v>344</v>
      </c>
      <c r="B220" t="s">
        <v>495</v>
      </c>
      <c r="C220" t="s">
        <v>505</v>
      </c>
      <c r="D220" t="s">
        <v>506</v>
      </c>
      <c r="E220">
        <v>2</v>
      </c>
      <c r="F220">
        <v>8</v>
      </c>
      <c r="G220">
        <v>180</v>
      </c>
      <c r="H220">
        <v>19</v>
      </c>
      <c r="I220">
        <v>22.6</v>
      </c>
      <c r="J220">
        <v>10.9</v>
      </c>
      <c r="K220">
        <v>22.9</v>
      </c>
      <c r="L220">
        <v>23.3</v>
      </c>
      <c r="M220">
        <v>100</v>
      </c>
    </row>
    <row r="221" spans="1:13" x14ac:dyDescent="0.25">
      <c r="A221" t="s">
        <v>344</v>
      </c>
      <c r="B221" t="s">
        <v>495</v>
      </c>
      <c r="C221" t="s">
        <v>505</v>
      </c>
      <c r="D221" t="s">
        <v>506</v>
      </c>
      <c r="E221">
        <v>2</v>
      </c>
      <c r="F221">
        <v>8</v>
      </c>
      <c r="G221">
        <v>200</v>
      </c>
      <c r="H221">
        <v>19</v>
      </c>
      <c r="I221">
        <v>22.6</v>
      </c>
      <c r="J221">
        <v>10.9</v>
      </c>
      <c r="K221">
        <v>22.9</v>
      </c>
      <c r="L221">
        <v>23.3</v>
      </c>
      <c r="M221">
        <v>100</v>
      </c>
    </row>
    <row r="222" spans="1:13" x14ac:dyDescent="0.25">
      <c r="A222" t="s">
        <v>344</v>
      </c>
      <c r="B222" t="s">
        <v>495</v>
      </c>
      <c r="C222" t="s">
        <v>505</v>
      </c>
      <c r="D222" t="s">
        <v>506</v>
      </c>
      <c r="E222">
        <v>2</v>
      </c>
      <c r="F222">
        <v>8</v>
      </c>
      <c r="G222">
        <v>220</v>
      </c>
      <c r="H222">
        <v>19</v>
      </c>
      <c r="I222">
        <v>22.6</v>
      </c>
      <c r="J222">
        <v>10.9</v>
      </c>
      <c r="K222">
        <v>22.9</v>
      </c>
      <c r="L222">
        <v>23.3</v>
      </c>
      <c r="M222">
        <v>100</v>
      </c>
    </row>
    <row r="223" spans="1:13" x14ac:dyDescent="0.25">
      <c r="A223" t="s">
        <v>344</v>
      </c>
      <c r="B223" t="s">
        <v>495</v>
      </c>
      <c r="C223" t="s">
        <v>505</v>
      </c>
      <c r="D223" t="s">
        <v>506</v>
      </c>
      <c r="E223">
        <v>2</v>
      </c>
      <c r="F223">
        <v>8</v>
      </c>
      <c r="G223">
        <v>240</v>
      </c>
      <c r="H223">
        <v>19</v>
      </c>
      <c r="I223">
        <v>22.6</v>
      </c>
      <c r="J223">
        <v>10.9</v>
      </c>
      <c r="K223">
        <v>22.9</v>
      </c>
      <c r="L223">
        <v>23.3</v>
      </c>
      <c r="M223">
        <v>100</v>
      </c>
    </row>
    <row r="224" spans="1:13" x14ac:dyDescent="0.25">
      <c r="A224" t="s">
        <v>344</v>
      </c>
      <c r="B224" t="s">
        <v>495</v>
      </c>
      <c r="C224" t="s">
        <v>505</v>
      </c>
      <c r="D224" t="s">
        <v>506</v>
      </c>
      <c r="E224">
        <v>2</v>
      </c>
      <c r="F224">
        <v>8</v>
      </c>
      <c r="G224">
        <v>260</v>
      </c>
      <c r="H224">
        <v>19</v>
      </c>
      <c r="I224">
        <v>22.6</v>
      </c>
      <c r="J224">
        <v>10.9</v>
      </c>
      <c r="K224">
        <v>22.9</v>
      </c>
      <c r="L224">
        <v>23.3</v>
      </c>
      <c r="M224">
        <v>100</v>
      </c>
    </row>
    <row r="225" spans="1:13" x14ac:dyDescent="0.25">
      <c r="A225" t="s">
        <v>344</v>
      </c>
      <c r="B225" t="s">
        <v>495</v>
      </c>
      <c r="C225" t="s">
        <v>505</v>
      </c>
      <c r="D225" t="s">
        <v>506</v>
      </c>
      <c r="E225">
        <v>2</v>
      </c>
      <c r="F225">
        <v>8</v>
      </c>
      <c r="G225">
        <v>280</v>
      </c>
      <c r="H225">
        <v>19</v>
      </c>
      <c r="I225">
        <v>22.6</v>
      </c>
      <c r="J225">
        <v>10.9</v>
      </c>
      <c r="K225">
        <v>22.9</v>
      </c>
      <c r="L225">
        <v>23.3</v>
      </c>
      <c r="M225">
        <v>100</v>
      </c>
    </row>
    <row r="226" spans="1:13" x14ac:dyDescent="0.25">
      <c r="A226" t="s">
        <v>344</v>
      </c>
      <c r="B226" t="s">
        <v>495</v>
      </c>
      <c r="C226" t="s">
        <v>505</v>
      </c>
      <c r="D226" t="s">
        <v>506</v>
      </c>
      <c r="E226">
        <v>2</v>
      </c>
      <c r="F226">
        <v>8</v>
      </c>
      <c r="G226">
        <v>300</v>
      </c>
      <c r="H226">
        <v>19</v>
      </c>
      <c r="I226">
        <v>22.6</v>
      </c>
      <c r="J226">
        <v>10.9</v>
      </c>
      <c r="K226">
        <v>22.9</v>
      </c>
      <c r="L226">
        <v>23.3</v>
      </c>
      <c r="M226">
        <v>100</v>
      </c>
    </row>
    <row r="227" spans="1:13" x14ac:dyDescent="0.25">
      <c r="A227" t="s">
        <v>344</v>
      </c>
      <c r="B227" t="s">
        <v>495</v>
      </c>
      <c r="C227" t="s">
        <v>505</v>
      </c>
      <c r="D227" t="s">
        <v>506</v>
      </c>
      <c r="E227">
        <v>2</v>
      </c>
      <c r="F227">
        <v>8</v>
      </c>
      <c r="G227">
        <v>320</v>
      </c>
      <c r="H227">
        <v>19</v>
      </c>
      <c r="I227">
        <v>22.6</v>
      </c>
      <c r="J227">
        <v>10.9</v>
      </c>
      <c r="K227">
        <v>22.9</v>
      </c>
      <c r="L227">
        <v>23.3</v>
      </c>
      <c r="M227">
        <v>100</v>
      </c>
    </row>
    <row r="228" spans="1:13" x14ac:dyDescent="0.25">
      <c r="A228" t="s">
        <v>344</v>
      </c>
      <c r="B228" t="s">
        <v>495</v>
      </c>
      <c r="C228" t="s">
        <v>505</v>
      </c>
      <c r="D228" t="s">
        <v>506</v>
      </c>
      <c r="E228">
        <v>2</v>
      </c>
      <c r="F228">
        <v>8</v>
      </c>
      <c r="G228">
        <v>340</v>
      </c>
      <c r="H228">
        <v>19</v>
      </c>
      <c r="I228">
        <v>22.6</v>
      </c>
      <c r="J228">
        <v>10.9</v>
      </c>
      <c r="K228">
        <v>22.9</v>
      </c>
      <c r="L228">
        <v>23.3</v>
      </c>
      <c r="M228">
        <v>100</v>
      </c>
    </row>
    <row r="229" spans="1:13" x14ac:dyDescent="0.25">
      <c r="A229" t="s">
        <v>344</v>
      </c>
      <c r="B229" t="s">
        <v>495</v>
      </c>
      <c r="C229" t="s">
        <v>505</v>
      </c>
      <c r="D229" t="s">
        <v>506</v>
      </c>
      <c r="E229">
        <v>2</v>
      </c>
      <c r="F229">
        <v>8</v>
      </c>
      <c r="G229">
        <v>360</v>
      </c>
      <c r="H229">
        <v>19</v>
      </c>
      <c r="I229">
        <v>22.6</v>
      </c>
      <c r="J229">
        <v>10.9</v>
      </c>
      <c r="K229">
        <v>22.9</v>
      </c>
      <c r="L229">
        <v>23.3</v>
      </c>
      <c r="M229">
        <v>100</v>
      </c>
    </row>
    <row r="230" spans="1:13" x14ac:dyDescent="0.25">
      <c r="A230" t="s">
        <v>344</v>
      </c>
      <c r="B230" t="s">
        <v>495</v>
      </c>
      <c r="C230" t="s">
        <v>505</v>
      </c>
      <c r="D230" t="s">
        <v>506</v>
      </c>
      <c r="E230">
        <v>2</v>
      </c>
      <c r="F230">
        <v>8</v>
      </c>
      <c r="G230">
        <v>380</v>
      </c>
      <c r="H230">
        <v>19</v>
      </c>
      <c r="I230">
        <v>22.6</v>
      </c>
      <c r="J230">
        <v>10.9</v>
      </c>
      <c r="K230">
        <v>22.9</v>
      </c>
      <c r="L230">
        <v>23.3</v>
      </c>
      <c r="M230">
        <v>100</v>
      </c>
    </row>
    <row r="231" spans="1:13" x14ac:dyDescent="0.25">
      <c r="A231" t="s">
        <v>344</v>
      </c>
      <c r="B231" t="s">
        <v>495</v>
      </c>
      <c r="C231" t="s">
        <v>505</v>
      </c>
      <c r="D231" t="s">
        <v>506</v>
      </c>
      <c r="E231">
        <v>2</v>
      </c>
      <c r="F231">
        <v>8</v>
      </c>
      <c r="G231">
        <v>400</v>
      </c>
      <c r="H231">
        <v>19</v>
      </c>
      <c r="I231">
        <v>22.6</v>
      </c>
      <c r="J231">
        <v>10.9</v>
      </c>
      <c r="K231">
        <v>22.9</v>
      </c>
      <c r="L231">
        <v>23.3</v>
      </c>
      <c r="M231">
        <v>100</v>
      </c>
    </row>
    <row r="232" spans="1:13" x14ac:dyDescent="0.25">
      <c r="A232" t="s">
        <v>344</v>
      </c>
      <c r="B232" t="s">
        <v>495</v>
      </c>
      <c r="C232" t="s">
        <v>505</v>
      </c>
      <c r="D232" t="s">
        <v>506</v>
      </c>
      <c r="E232">
        <v>2</v>
      </c>
      <c r="F232">
        <v>10</v>
      </c>
      <c r="G232">
        <v>120</v>
      </c>
      <c r="H232">
        <v>24</v>
      </c>
      <c r="I232">
        <v>33.6</v>
      </c>
      <c r="J232">
        <v>11</v>
      </c>
      <c r="K232">
        <v>12.3</v>
      </c>
      <c r="L232">
        <v>35</v>
      </c>
      <c r="M232">
        <v>80</v>
      </c>
    </row>
    <row r="233" spans="1:13" x14ac:dyDescent="0.25">
      <c r="A233" t="s">
        <v>344</v>
      </c>
      <c r="B233" t="s">
        <v>495</v>
      </c>
      <c r="C233" t="s">
        <v>505</v>
      </c>
      <c r="D233" t="s">
        <v>506</v>
      </c>
      <c r="E233">
        <v>2</v>
      </c>
      <c r="F233">
        <v>10</v>
      </c>
      <c r="G233">
        <v>140</v>
      </c>
      <c r="H233">
        <v>24</v>
      </c>
      <c r="I233">
        <v>33.6</v>
      </c>
      <c r="J233">
        <v>11</v>
      </c>
      <c r="K233">
        <v>12.3</v>
      </c>
      <c r="L233">
        <v>35</v>
      </c>
      <c r="M233">
        <v>80</v>
      </c>
    </row>
    <row r="234" spans="1:13" x14ac:dyDescent="0.25">
      <c r="A234" t="s">
        <v>344</v>
      </c>
      <c r="B234" t="s">
        <v>495</v>
      </c>
      <c r="C234" t="s">
        <v>505</v>
      </c>
      <c r="D234" t="s">
        <v>506</v>
      </c>
      <c r="E234">
        <v>2</v>
      </c>
      <c r="F234">
        <v>10</v>
      </c>
      <c r="G234">
        <v>160</v>
      </c>
      <c r="H234">
        <v>24</v>
      </c>
      <c r="I234">
        <v>33.6</v>
      </c>
      <c r="J234">
        <v>11</v>
      </c>
      <c r="K234">
        <v>12.3</v>
      </c>
      <c r="L234">
        <v>35</v>
      </c>
      <c r="M234">
        <v>80</v>
      </c>
    </row>
    <row r="235" spans="1:13" x14ac:dyDescent="0.25">
      <c r="A235" t="s">
        <v>344</v>
      </c>
      <c r="B235" t="s">
        <v>495</v>
      </c>
      <c r="C235" t="s">
        <v>505</v>
      </c>
      <c r="D235" t="s">
        <v>506</v>
      </c>
      <c r="E235">
        <v>2</v>
      </c>
      <c r="F235">
        <v>10</v>
      </c>
      <c r="G235">
        <v>180</v>
      </c>
      <c r="H235">
        <v>24</v>
      </c>
      <c r="I235">
        <v>33.6</v>
      </c>
      <c r="J235">
        <v>11</v>
      </c>
      <c r="K235">
        <v>12.3</v>
      </c>
      <c r="L235">
        <v>35</v>
      </c>
      <c r="M235">
        <v>100</v>
      </c>
    </row>
    <row r="236" spans="1:13" x14ac:dyDescent="0.25">
      <c r="A236" t="s">
        <v>344</v>
      </c>
      <c r="B236" t="s">
        <v>495</v>
      </c>
      <c r="C236" t="s">
        <v>505</v>
      </c>
      <c r="D236" t="s">
        <v>506</v>
      </c>
      <c r="E236">
        <v>2</v>
      </c>
      <c r="F236">
        <v>10</v>
      </c>
      <c r="G236">
        <v>200</v>
      </c>
      <c r="H236">
        <v>24</v>
      </c>
      <c r="I236">
        <v>33.6</v>
      </c>
      <c r="J236">
        <v>11</v>
      </c>
      <c r="K236">
        <v>12.3</v>
      </c>
      <c r="L236">
        <v>35</v>
      </c>
      <c r="M236">
        <v>100</v>
      </c>
    </row>
    <row r="237" spans="1:13" x14ac:dyDescent="0.25">
      <c r="A237" t="s">
        <v>344</v>
      </c>
      <c r="B237" t="s">
        <v>495</v>
      </c>
      <c r="C237" t="s">
        <v>505</v>
      </c>
      <c r="D237" t="s">
        <v>506</v>
      </c>
      <c r="E237">
        <v>2</v>
      </c>
      <c r="F237">
        <v>10</v>
      </c>
      <c r="G237">
        <v>220</v>
      </c>
      <c r="H237">
        <v>24</v>
      </c>
      <c r="I237">
        <v>33.6</v>
      </c>
      <c r="J237">
        <v>11</v>
      </c>
      <c r="K237">
        <v>12.3</v>
      </c>
      <c r="L237">
        <v>35</v>
      </c>
      <c r="M237">
        <v>100</v>
      </c>
    </row>
    <row r="238" spans="1:13" x14ac:dyDescent="0.25">
      <c r="A238" t="s">
        <v>344</v>
      </c>
      <c r="B238" t="s">
        <v>495</v>
      </c>
      <c r="C238" t="s">
        <v>505</v>
      </c>
      <c r="D238" t="s">
        <v>506</v>
      </c>
      <c r="E238">
        <v>2</v>
      </c>
      <c r="F238">
        <v>10</v>
      </c>
      <c r="G238">
        <v>240</v>
      </c>
      <c r="H238">
        <v>24</v>
      </c>
      <c r="I238">
        <v>33.6</v>
      </c>
      <c r="J238">
        <v>11</v>
      </c>
      <c r="K238">
        <v>12.3</v>
      </c>
      <c r="L238">
        <v>35</v>
      </c>
      <c r="M238">
        <v>100</v>
      </c>
    </row>
    <row r="239" spans="1:13" x14ac:dyDescent="0.25">
      <c r="A239" t="s">
        <v>344</v>
      </c>
      <c r="B239" t="s">
        <v>495</v>
      </c>
      <c r="C239" t="s">
        <v>505</v>
      </c>
      <c r="D239" t="s">
        <v>506</v>
      </c>
      <c r="E239">
        <v>2</v>
      </c>
      <c r="F239">
        <v>10</v>
      </c>
      <c r="G239">
        <v>260</v>
      </c>
      <c r="H239">
        <v>24</v>
      </c>
      <c r="I239">
        <v>33.6</v>
      </c>
      <c r="J239">
        <v>11</v>
      </c>
      <c r="K239">
        <v>12.3</v>
      </c>
      <c r="L239">
        <v>35</v>
      </c>
      <c r="M239">
        <v>100</v>
      </c>
    </row>
    <row r="240" spans="1:13" x14ac:dyDescent="0.25">
      <c r="A240" t="s">
        <v>344</v>
      </c>
      <c r="B240" t="s">
        <v>495</v>
      </c>
      <c r="C240" t="s">
        <v>505</v>
      </c>
      <c r="D240" t="s">
        <v>506</v>
      </c>
      <c r="E240">
        <v>2</v>
      </c>
      <c r="F240">
        <v>10</v>
      </c>
      <c r="G240">
        <v>280</v>
      </c>
      <c r="H240">
        <v>24</v>
      </c>
      <c r="I240">
        <v>33.6</v>
      </c>
      <c r="J240">
        <v>11</v>
      </c>
      <c r="K240">
        <v>12.3</v>
      </c>
      <c r="L240">
        <v>35</v>
      </c>
      <c r="M240">
        <v>100</v>
      </c>
    </row>
    <row r="241" spans="1:13" x14ac:dyDescent="0.25">
      <c r="A241" t="s">
        <v>344</v>
      </c>
      <c r="B241" t="s">
        <v>495</v>
      </c>
      <c r="C241" t="s">
        <v>505</v>
      </c>
      <c r="D241" t="s">
        <v>506</v>
      </c>
      <c r="E241">
        <v>2</v>
      </c>
      <c r="F241">
        <v>10</v>
      </c>
      <c r="G241">
        <v>300</v>
      </c>
      <c r="H241">
        <v>24</v>
      </c>
      <c r="I241">
        <v>33.6</v>
      </c>
      <c r="J241">
        <v>11</v>
      </c>
      <c r="K241">
        <v>12.3</v>
      </c>
      <c r="L241">
        <v>35</v>
      </c>
      <c r="M241">
        <v>100</v>
      </c>
    </row>
    <row r="242" spans="1:13" x14ac:dyDescent="0.25">
      <c r="A242" t="s">
        <v>344</v>
      </c>
      <c r="B242" t="s">
        <v>495</v>
      </c>
      <c r="C242" t="s">
        <v>505</v>
      </c>
      <c r="D242" t="s">
        <v>506</v>
      </c>
      <c r="E242">
        <v>2</v>
      </c>
      <c r="F242">
        <v>10</v>
      </c>
      <c r="G242">
        <v>350</v>
      </c>
      <c r="H242">
        <v>24</v>
      </c>
      <c r="I242">
        <v>33.6</v>
      </c>
      <c r="J242">
        <v>11</v>
      </c>
      <c r="K242">
        <v>12.3</v>
      </c>
      <c r="L242">
        <v>35</v>
      </c>
      <c r="M242">
        <v>100</v>
      </c>
    </row>
    <row r="243" spans="1:13" x14ac:dyDescent="0.25">
      <c r="A243" t="s">
        <v>344</v>
      </c>
      <c r="B243" t="s">
        <v>495</v>
      </c>
      <c r="C243" t="s">
        <v>505</v>
      </c>
      <c r="D243" t="s">
        <v>506</v>
      </c>
      <c r="E243">
        <v>2</v>
      </c>
      <c r="F243">
        <v>10</v>
      </c>
      <c r="G243">
        <v>400</v>
      </c>
      <c r="H243">
        <v>24</v>
      </c>
      <c r="I243">
        <v>33.6</v>
      </c>
      <c r="J243">
        <v>11</v>
      </c>
      <c r="K243">
        <v>12.3</v>
      </c>
      <c r="L243">
        <v>35</v>
      </c>
      <c r="M243">
        <v>100</v>
      </c>
    </row>
    <row r="244" spans="1:13" x14ac:dyDescent="0.25">
      <c r="A244" t="s">
        <v>344</v>
      </c>
      <c r="B244" t="s">
        <v>495</v>
      </c>
      <c r="C244" t="s">
        <v>507</v>
      </c>
      <c r="D244" t="s">
        <v>508</v>
      </c>
      <c r="E244">
        <v>3</v>
      </c>
      <c r="F244">
        <v>8</v>
      </c>
      <c r="G244">
        <v>100</v>
      </c>
      <c r="H244">
        <v>15</v>
      </c>
      <c r="I244">
        <v>13.8</v>
      </c>
      <c r="J244">
        <v>13.1</v>
      </c>
      <c r="K244">
        <v>12.4</v>
      </c>
      <c r="L244">
        <v>13.5</v>
      </c>
      <c r="M244">
        <v>54</v>
      </c>
    </row>
    <row r="245" spans="1:13" x14ac:dyDescent="0.25">
      <c r="A245" t="s">
        <v>344</v>
      </c>
      <c r="B245" t="s">
        <v>495</v>
      </c>
      <c r="C245" t="s">
        <v>507</v>
      </c>
      <c r="D245" t="s">
        <v>508</v>
      </c>
      <c r="E245">
        <v>3</v>
      </c>
      <c r="F245">
        <v>8</v>
      </c>
      <c r="G245">
        <v>120</v>
      </c>
      <c r="H245">
        <v>15</v>
      </c>
      <c r="I245">
        <v>13.8</v>
      </c>
      <c r="J245">
        <v>13.1</v>
      </c>
      <c r="K245">
        <v>12.4</v>
      </c>
      <c r="L245">
        <v>13.5</v>
      </c>
      <c r="M245">
        <v>54</v>
      </c>
    </row>
    <row r="246" spans="1:13" x14ac:dyDescent="0.25">
      <c r="A246" t="s">
        <v>344</v>
      </c>
      <c r="B246" t="s">
        <v>495</v>
      </c>
      <c r="C246" t="s">
        <v>507</v>
      </c>
      <c r="D246" t="s">
        <v>508</v>
      </c>
      <c r="E246">
        <v>3</v>
      </c>
      <c r="F246">
        <v>8</v>
      </c>
      <c r="G246">
        <v>140</v>
      </c>
      <c r="H246">
        <v>15</v>
      </c>
      <c r="I246">
        <v>13.8</v>
      </c>
      <c r="J246">
        <v>13.1</v>
      </c>
      <c r="K246">
        <v>12.4</v>
      </c>
      <c r="L246">
        <v>13.5</v>
      </c>
      <c r="M246">
        <v>84</v>
      </c>
    </row>
    <row r="247" spans="1:13" x14ac:dyDescent="0.25">
      <c r="A247" t="s">
        <v>344</v>
      </c>
      <c r="B247" t="s">
        <v>495</v>
      </c>
      <c r="C247" t="s">
        <v>509</v>
      </c>
      <c r="D247" t="s">
        <v>510</v>
      </c>
      <c r="E247">
        <v>3</v>
      </c>
      <c r="F247">
        <v>8</v>
      </c>
      <c r="G247">
        <v>100</v>
      </c>
      <c r="H247">
        <v>20</v>
      </c>
      <c r="I247">
        <v>13.8</v>
      </c>
      <c r="J247">
        <v>13.1</v>
      </c>
      <c r="K247">
        <v>17.600000000000001</v>
      </c>
      <c r="L247">
        <v>13.5</v>
      </c>
      <c r="M247">
        <v>54</v>
      </c>
    </row>
    <row r="248" spans="1:13" x14ac:dyDescent="0.25">
      <c r="A248" t="s">
        <v>344</v>
      </c>
      <c r="B248" t="s">
        <v>495</v>
      </c>
      <c r="C248" t="s">
        <v>509</v>
      </c>
      <c r="D248" t="s">
        <v>510</v>
      </c>
      <c r="E248">
        <v>3</v>
      </c>
      <c r="F248">
        <v>8</v>
      </c>
      <c r="G248">
        <v>120</v>
      </c>
      <c r="H248">
        <v>20</v>
      </c>
      <c r="I248">
        <v>13.8</v>
      </c>
      <c r="J248">
        <v>13.1</v>
      </c>
      <c r="K248">
        <v>17.600000000000001</v>
      </c>
      <c r="L248">
        <v>13.5</v>
      </c>
      <c r="M248">
        <v>54</v>
      </c>
    </row>
    <row r="249" spans="1:13" x14ac:dyDescent="0.25">
      <c r="A249" t="s">
        <v>344</v>
      </c>
      <c r="B249" t="s">
        <v>495</v>
      </c>
      <c r="C249" t="s">
        <v>509</v>
      </c>
      <c r="D249" t="s">
        <v>510</v>
      </c>
      <c r="E249">
        <v>3</v>
      </c>
      <c r="F249">
        <v>8</v>
      </c>
      <c r="G249">
        <v>140</v>
      </c>
      <c r="H249">
        <v>20</v>
      </c>
      <c r="I249">
        <v>13.8</v>
      </c>
      <c r="J249">
        <v>13.1</v>
      </c>
      <c r="K249">
        <v>17.600000000000001</v>
      </c>
      <c r="L249">
        <v>13.5</v>
      </c>
      <c r="M249">
        <v>84</v>
      </c>
    </row>
    <row r="250" spans="1:13" x14ac:dyDescent="0.25">
      <c r="A250" t="s">
        <v>344</v>
      </c>
      <c r="B250" t="s">
        <v>495</v>
      </c>
      <c r="C250" t="s">
        <v>491</v>
      </c>
      <c r="D250" t="s">
        <v>493</v>
      </c>
      <c r="E250">
        <v>1</v>
      </c>
      <c r="F250">
        <v>4</v>
      </c>
      <c r="G250">
        <v>30</v>
      </c>
      <c r="H250">
        <v>8</v>
      </c>
      <c r="I250">
        <v>3.2</v>
      </c>
      <c r="J250">
        <v>14.8</v>
      </c>
      <c r="K250">
        <v>17.100000000000001</v>
      </c>
      <c r="L250">
        <v>5</v>
      </c>
      <c r="M250">
        <v>24</v>
      </c>
    </row>
    <row r="251" spans="1:13" x14ac:dyDescent="0.25">
      <c r="A251" t="s">
        <v>344</v>
      </c>
      <c r="B251" t="s">
        <v>495</v>
      </c>
      <c r="C251" t="s">
        <v>491</v>
      </c>
      <c r="D251" t="s">
        <v>493</v>
      </c>
      <c r="E251">
        <v>1</v>
      </c>
      <c r="F251">
        <v>4</v>
      </c>
      <c r="G251">
        <v>35</v>
      </c>
      <c r="H251">
        <v>8</v>
      </c>
      <c r="I251">
        <v>3.2</v>
      </c>
      <c r="J251">
        <v>14.8</v>
      </c>
      <c r="K251">
        <v>17.100000000000001</v>
      </c>
      <c r="L251">
        <v>5</v>
      </c>
      <c r="M251">
        <v>24</v>
      </c>
    </row>
    <row r="252" spans="1:13" x14ac:dyDescent="0.25">
      <c r="A252" t="s">
        <v>344</v>
      </c>
      <c r="B252" t="s">
        <v>495</v>
      </c>
      <c r="C252" t="s">
        <v>491</v>
      </c>
      <c r="D252" t="s">
        <v>493</v>
      </c>
      <c r="E252">
        <v>1</v>
      </c>
      <c r="F252">
        <v>4</v>
      </c>
      <c r="G252">
        <v>40</v>
      </c>
      <c r="H252">
        <v>8</v>
      </c>
      <c r="I252">
        <v>3.2</v>
      </c>
      <c r="J252">
        <v>14.8</v>
      </c>
      <c r="K252">
        <v>17.100000000000001</v>
      </c>
      <c r="L252">
        <v>5</v>
      </c>
      <c r="M252">
        <v>30</v>
      </c>
    </row>
    <row r="253" spans="1:13" x14ac:dyDescent="0.25">
      <c r="A253" t="s">
        <v>344</v>
      </c>
      <c r="B253" t="s">
        <v>495</v>
      </c>
      <c r="C253" t="s">
        <v>491</v>
      </c>
      <c r="D253" t="s">
        <v>493</v>
      </c>
      <c r="E253">
        <v>1</v>
      </c>
      <c r="F253">
        <v>4</v>
      </c>
      <c r="G253">
        <v>50</v>
      </c>
      <c r="H253">
        <v>8</v>
      </c>
      <c r="I253">
        <v>3.2</v>
      </c>
      <c r="J253">
        <v>14.8</v>
      </c>
      <c r="K253">
        <v>17.100000000000001</v>
      </c>
      <c r="L253">
        <v>5</v>
      </c>
      <c r="M253">
        <v>30</v>
      </c>
    </row>
    <row r="254" spans="1:13" x14ac:dyDescent="0.25">
      <c r="A254" t="s">
        <v>344</v>
      </c>
      <c r="B254" t="s">
        <v>495</v>
      </c>
      <c r="C254" t="s">
        <v>491</v>
      </c>
      <c r="D254" t="s">
        <v>493</v>
      </c>
      <c r="E254">
        <v>1</v>
      </c>
      <c r="F254">
        <v>4</v>
      </c>
      <c r="G254">
        <v>60</v>
      </c>
      <c r="H254">
        <v>8</v>
      </c>
      <c r="I254">
        <v>3.2</v>
      </c>
      <c r="J254">
        <v>14.8</v>
      </c>
      <c r="K254">
        <v>17.100000000000001</v>
      </c>
      <c r="L254">
        <v>5</v>
      </c>
      <c r="M254">
        <v>35</v>
      </c>
    </row>
    <row r="255" spans="1:13" x14ac:dyDescent="0.25">
      <c r="A255" t="s">
        <v>344</v>
      </c>
      <c r="B255" t="s">
        <v>495</v>
      </c>
      <c r="C255" t="s">
        <v>491</v>
      </c>
      <c r="D255" t="s">
        <v>493</v>
      </c>
      <c r="E255">
        <v>1</v>
      </c>
      <c r="F255">
        <v>4</v>
      </c>
      <c r="G255">
        <v>70</v>
      </c>
      <c r="H255">
        <v>8</v>
      </c>
      <c r="I255">
        <v>3.2</v>
      </c>
      <c r="J255">
        <v>14.8</v>
      </c>
      <c r="K255">
        <v>17.100000000000001</v>
      </c>
      <c r="L255">
        <v>5</v>
      </c>
      <c r="M255">
        <v>35</v>
      </c>
    </row>
    <row r="256" spans="1:13" x14ac:dyDescent="0.25">
      <c r="A256" t="s">
        <v>344</v>
      </c>
      <c r="B256" t="s">
        <v>495</v>
      </c>
      <c r="C256" t="s">
        <v>491</v>
      </c>
      <c r="D256" t="s">
        <v>493</v>
      </c>
      <c r="E256">
        <v>2</v>
      </c>
      <c r="F256">
        <v>4.5</v>
      </c>
      <c r="G256">
        <v>50</v>
      </c>
      <c r="H256">
        <v>9</v>
      </c>
      <c r="I256">
        <v>4.9000000000000004</v>
      </c>
      <c r="J256">
        <v>13.8</v>
      </c>
      <c r="K256">
        <v>17.600000000000001</v>
      </c>
      <c r="L256">
        <v>5.8</v>
      </c>
      <c r="M256">
        <v>29</v>
      </c>
    </row>
    <row r="257" spans="1:13" x14ac:dyDescent="0.25">
      <c r="A257" t="s">
        <v>344</v>
      </c>
      <c r="B257" t="s">
        <v>495</v>
      </c>
      <c r="C257" t="s">
        <v>491</v>
      </c>
      <c r="D257" t="s">
        <v>493</v>
      </c>
      <c r="E257">
        <v>2</v>
      </c>
      <c r="F257">
        <v>4.5</v>
      </c>
      <c r="G257">
        <v>60</v>
      </c>
      <c r="H257">
        <v>9</v>
      </c>
      <c r="I257">
        <v>4.9000000000000004</v>
      </c>
      <c r="J257">
        <v>13.8</v>
      </c>
      <c r="K257">
        <v>17.600000000000001</v>
      </c>
      <c r="L257">
        <v>5.8</v>
      </c>
      <c r="M257">
        <v>29</v>
      </c>
    </row>
    <row r="258" spans="1:13" x14ac:dyDescent="0.25">
      <c r="A258" t="s">
        <v>344</v>
      </c>
      <c r="B258" t="s">
        <v>495</v>
      </c>
      <c r="C258" t="s">
        <v>491</v>
      </c>
      <c r="D258" t="s">
        <v>493</v>
      </c>
      <c r="E258">
        <v>2</v>
      </c>
      <c r="F258">
        <v>4.5</v>
      </c>
      <c r="G258">
        <v>70</v>
      </c>
      <c r="H258">
        <v>9</v>
      </c>
      <c r="I258">
        <v>4.9000000000000004</v>
      </c>
      <c r="J258">
        <v>13.8</v>
      </c>
      <c r="K258">
        <v>17.600000000000001</v>
      </c>
      <c r="L258">
        <v>5.8</v>
      </c>
      <c r="M258">
        <v>39</v>
      </c>
    </row>
    <row r="259" spans="1:13" x14ac:dyDescent="0.25">
      <c r="A259" t="s">
        <v>344</v>
      </c>
      <c r="B259" t="s">
        <v>495</v>
      </c>
      <c r="C259" t="s">
        <v>491</v>
      </c>
      <c r="D259" t="s">
        <v>493</v>
      </c>
      <c r="E259">
        <v>2</v>
      </c>
      <c r="F259">
        <v>4.5</v>
      </c>
      <c r="G259">
        <v>80</v>
      </c>
      <c r="H259">
        <v>9</v>
      </c>
      <c r="I259">
        <v>4.9000000000000004</v>
      </c>
      <c r="J259">
        <v>13.8</v>
      </c>
      <c r="K259">
        <v>17.600000000000001</v>
      </c>
      <c r="L259">
        <v>5.8</v>
      </c>
      <c r="M259">
        <v>39</v>
      </c>
    </row>
    <row r="260" spans="1:13" x14ac:dyDescent="0.25">
      <c r="A260" t="s">
        <v>344</v>
      </c>
      <c r="B260" t="s">
        <v>495</v>
      </c>
      <c r="C260" t="s">
        <v>491</v>
      </c>
      <c r="D260" t="s">
        <v>493</v>
      </c>
      <c r="E260">
        <v>2</v>
      </c>
      <c r="F260">
        <v>5</v>
      </c>
      <c r="G260">
        <v>50</v>
      </c>
      <c r="H260">
        <v>10</v>
      </c>
      <c r="I260">
        <v>6.5</v>
      </c>
      <c r="J260">
        <v>12.8</v>
      </c>
      <c r="K260">
        <v>14.6</v>
      </c>
      <c r="L260">
        <v>8.5</v>
      </c>
      <c r="M260">
        <v>30</v>
      </c>
    </row>
    <row r="261" spans="1:13" x14ac:dyDescent="0.25">
      <c r="A261" t="s">
        <v>344</v>
      </c>
      <c r="B261" t="s">
        <v>495</v>
      </c>
      <c r="C261" t="s">
        <v>491</v>
      </c>
      <c r="D261" t="s">
        <v>493</v>
      </c>
      <c r="E261">
        <v>2</v>
      </c>
      <c r="F261">
        <v>5</v>
      </c>
      <c r="G261">
        <v>60</v>
      </c>
      <c r="H261">
        <v>10</v>
      </c>
      <c r="I261">
        <v>6.5</v>
      </c>
      <c r="J261">
        <v>12.8</v>
      </c>
      <c r="K261">
        <v>14.6</v>
      </c>
      <c r="L261">
        <v>8.5</v>
      </c>
      <c r="M261">
        <v>30</v>
      </c>
    </row>
    <row r="262" spans="1:13" x14ac:dyDescent="0.25">
      <c r="A262" t="s">
        <v>344</v>
      </c>
      <c r="B262" t="s">
        <v>495</v>
      </c>
      <c r="C262" t="s">
        <v>491</v>
      </c>
      <c r="D262" t="s">
        <v>493</v>
      </c>
      <c r="E262">
        <v>2</v>
      </c>
      <c r="F262">
        <v>5</v>
      </c>
      <c r="G262">
        <v>70</v>
      </c>
      <c r="H262">
        <v>10</v>
      </c>
      <c r="I262">
        <v>6.5</v>
      </c>
      <c r="J262">
        <v>12.8</v>
      </c>
      <c r="K262">
        <v>14.6</v>
      </c>
      <c r="L262">
        <v>8.5</v>
      </c>
      <c r="M262">
        <v>37</v>
      </c>
    </row>
    <row r="263" spans="1:13" x14ac:dyDescent="0.25">
      <c r="A263" t="s">
        <v>344</v>
      </c>
      <c r="B263" t="s">
        <v>495</v>
      </c>
      <c r="C263" t="s">
        <v>491</v>
      </c>
      <c r="D263" t="s">
        <v>493</v>
      </c>
      <c r="E263">
        <v>2</v>
      </c>
      <c r="F263">
        <v>5</v>
      </c>
      <c r="G263">
        <v>80</v>
      </c>
      <c r="H263">
        <v>10</v>
      </c>
      <c r="I263">
        <v>6.5</v>
      </c>
      <c r="J263">
        <v>12.8</v>
      </c>
      <c r="K263">
        <v>14.6</v>
      </c>
      <c r="L263">
        <v>8.5</v>
      </c>
      <c r="M263">
        <v>37</v>
      </c>
    </row>
    <row r="264" spans="1:13" x14ac:dyDescent="0.25">
      <c r="A264" t="s">
        <v>344</v>
      </c>
      <c r="B264" t="s">
        <v>495</v>
      </c>
      <c r="C264" t="s">
        <v>491</v>
      </c>
      <c r="D264" t="s">
        <v>493</v>
      </c>
      <c r="E264">
        <v>2</v>
      </c>
      <c r="F264">
        <v>5</v>
      </c>
      <c r="G264">
        <v>90</v>
      </c>
      <c r="H264">
        <v>10</v>
      </c>
      <c r="I264">
        <v>6.5</v>
      </c>
      <c r="J264">
        <v>12.8</v>
      </c>
      <c r="K264">
        <v>14.6</v>
      </c>
      <c r="L264">
        <v>8.5</v>
      </c>
      <c r="M264">
        <v>55</v>
      </c>
    </row>
    <row r="265" spans="1:13" x14ac:dyDescent="0.25">
      <c r="A265" t="s">
        <v>344</v>
      </c>
      <c r="B265" t="s">
        <v>495</v>
      </c>
      <c r="C265" t="s">
        <v>491</v>
      </c>
      <c r="D265" t="s">
        <v>493</v>
      </c>
      <c r="E265">
        <v>2</v>
      </c>
      <c r="F265">
        <v>5</v>
      </c>
      <c r="G265">
        <v>100</v>
      </c>
      <c r="H265">
        <v>10</v>
      </c>
      <c r="I265">
        <v>6.5</v>
      </c>
      <c r="J265">
        <v>12.8</v>
      </c>
      <c r="K265">
        <v>14.6</v>
      </c>
      <c r="L265">
        <v>8.5</v>
      </c>
      <c r="M265">
        <v>55</v>
      </c>
    </row>
    <row r="266" spans="1:13" x14ac:dyDescent="0.25">
      <c r="A266" t="s">
        <v>344</v>
      </c>
      <c r="B266" t="s">
        <v>495</v>
      </c>
      <c r="C266" t="s">
        <v>491</v>
      </c>
      <c r="D266" t="s">
        <v>493</v>
      </c>
      <c r="E266">
        <v>2</v>
      </c>
      <c r="F266">
        <v>5</v>
      </c>
      <c r="G266">
        <v>120</v>
      </c>
      <c r="H266">
        <v>10</v>
      </c>
      <c r="I266">
        <v>6.5</v>
      </c>
      <c r="J266">
        <v>12.8</v>
      </c>
      <c r="K266">
        <v>14.6</v>
      </c>
      <c r="L266">
        <v>8.5</v>
      </c>
      <c r="M266">
        <v>55</v>
      </c>
    </row>
    <row r="267" spans="1:13" x14ac:dyDescent="0.25">
      <c r="A267" t="s">
        <v>344</v>
      </c>
      <c r="B267" t="s">
        <v>495</v>
      </c>
      <c r="C267" t="s">
        <v>491</v>
      </c>
      <c r="D267" t="s">
        <v>493</v>
      </c>
      <c r="E267">
        <v>2</v>
      </c>
      <c r="F267">
        <v>6</v>
      </c>
      <c r="G267">
        <v>60</v>
      </c>
      <c r="H267">
        <v>12</v>
      </c>
      <c r="I267">
        <v>10.1</v>
      </c>
      <c r="J267">
        <v>13.5</v>
      </c>
      <c r="K267">
        <v>14.6</v>
      </c>
      <c r="L267">
        <v>12.4</v>
      </c>
      <c r="M267">
        <v>36</v>
      </c>
    </row>
    <row r="268" spans="1:13" x14ac:dyDescent="0.25">
      <c r="A268" t="s">
        <v>344</v>
      </c>
      <c r="B268" t="s">
        <v>495</v>
      </c>
      <c r="C268" t="s">
        <v>491</v>
      </c>
      <c r="D268" t="s">
        <v>493</v>
      </c>
      <c r="E268">
        <v>2</v>
      </c>
      <c r="F268">
        <v>6</v>
      </c>
      <c r="G268">
        <v>70</v>
      </c>
      <c r="H268">
        <v>12</v>
      </c>
      <c r="I268">
        <v>10.1</v>
      </c>
      <c r="J268">
        <v>13.5</v>
      </c>
      <c r="K268">
        <v>14.6</v>
      </c>
      <c r="L268">
        <v>12.4</v>
      </c>
      <c r="M268">
        <v>36</v>
      </c>
    </row>
    <row r="269" spans="1:13" x14ac:dyDescent="0.25">
      <c r="A269" t="s">
        <v>344</v>
      </c>
      <c r="B269" t="s">
        <v>495</v>
      </c>
      <c r="C269" t="s">
        <v>491</v>
      </c>
      <c r="D269" t="s">
        <v>493</v>
      </c>
      <c r="E269">
        <v>2</v>
      </c>
      <c r="F269">
        <v>6</v>
      </c>
      <c r="G269">
        <v>80</v>
      </c>
      <c r="H269">
        <v>12</v>
      </c>
      <c r="I269">
        <v>10.1</v>
      </c>
      <c r="J269">
        <v>13.5</v>
      </c>
      <c r="K269">
        <v>14.6</v>
      </c>
      <c r="L269">
        <v>12.4</v>
      </c>
      <c r="M269">
        <v>48</v>
      </c>
    </row>
    <row r="270" spans="1:13" x14ac:dyDescent="0.25">
      <c r="A270" t="s">
        <v>344</v>
      </c>
      <c r="B270" t="s">
        <v>495</v>
      </c>
      <c r="C270" t="s">
        <v>491</v>
      </c>
      <c r="D270" t="s">
        <v>493</v>
      </c>
      <c r="E270">
        <v>2</v>
      </c>
      <c r="F270">
        <v>6</v>
      </c>
      <c r="G270">
        <v>90</v>
      </c>
      <c r="H270">
        <v>12</v>
      </c>
      <c r="I270">
        <v>10.1</v>
      </c>
      <c r="J270">
        <v>13.5</v>
      </c>
      <c r="K270">
        <v>14.6</v>
      </c>
      <c r="L270">
        <v>12.4</v>
      </c>
      <c r="M270">
        <v>48</v>
      </c>
    </row>
    <row r="271" spans="1:13" x14ac:dyDescent="0.25">
      <c r="A271" t="s">
        <v>344</v>
      </c>
      <c r="B271" t="s">
        <v>495</v>
      </c>
      <c r="C271" t="s">
        <v>491</v>
      </c>
      <c r="D271" t="s">
        <v>493</v>
      </c>
      <c r="E271">
        <v>2</v>
      </c>
      <c r="F271">
        <v>6</v>
      </c>
      <c r="G271">
        <v>100</v>
      </c>
      <c r="H271">
        <v>12</v>
      </c>
      <c r="I271">
        <v>10.1</v>
      </c>
      <c r="J271">
        <v>13.5</v>
      </c>
      <c r="K271">
        <v>14.6</v>
      </c>
      <c r="L271">
        <v>12.4</v>
      </c>
      <c r="M271">
        <v>48</v>
      </c>
    </row>
    <row r="272" spans="1:13" x14ac:dyDescent="0.25">
      <c r="A272" t="s">
        <v>344</v>
      </c>
      <c r="B272" t="s">
        <v>495</v>
      </c>
      <c r="C272" t="s">
        <v>491</v>
      </c>
      <c r="D272" t="s">
        <v>493</v>
      </c>
      <c r="E272">
        <v>2</v>
      </c>
      <c r="F272">
        <v>6</v>
      </c>
      <c r="G272">
        <v>110</v>
      </c>
      <c r="H272">
        <v>12</v>
      </c>
      <c r="I272">
        <v>10.1</v>
      </c>
      <c r="J272">
        <v>13.5</v>
      </c>
      <c r="K272">
        <v>14.6</v>
      </c>
      <c r="L272">
        <v>12.4</v>
      </c>
      <c r="M272">
        <v>64</v>
      </c>
    </row>
    <row r="273" spans="1:13" x14ac:dyDescent="0.25">
      <c r="A273" t="s">
        <v>344</v>
      </c>
      <c r="B273" t="s">
        <v>495</v>
      </c>
      <c r="C273" t="s">
        <v>491</v>
      </c>
      <c r="D273" t="s">
        <v>493</v>
      </c>
      <c r="E273">
        <v>2</v>
      </c>
      <c r="F273">
        <v>6</v>
      </c>
      <c r="G273">
        <v>120</v>
      </c>
      <c r="H273">
        <v>12</v>
      </c>
      <c r="I273">
        <v>10.1</v>
      </c>
      <c r="J273">
        <v>13.5</v>
      </c>
      <c r="K273">
        <v>14.6</v>
      </c>
      <c r="L273">
        <v>12.4</v>
      </c>
      <c r="M273">
        <v>64</v>
      </c>
    </row>
    <row r="274" spans="1:13" x14ac:dyDescent="0.25">
      <c r="A274" t="s">
        <v>344</v>
      </c>
      <c r="B274" t="s">
        <v>495</v>
      </c>
      <c r="C274" t="s">
        <v>491</v>
      </c>
      <c r="D274" t="s">
        <v>493</v>
      </c>
      <c r="E274">
        <v>2</v>
      </c>
      <c r="F274">
        <v>6</v>
      </c>
      <c r="G274">
        <v>130</v>
      </c>
      <c r="H274">
        <v>12</v>
      </c>
      <c r="I274">
        <v>10.1</v>
      </c>
      <c r="J274">
        <v>13.5</v>
      </c>
      <c r="K274">
        <v>14.6</v>
      </c>
      <c r="L274">
        <v>12.4</v>
      </c>
      <c r="M274">
        <v>64</v>
      </c>
    </row>
    <row r="275" spans="1:13" x14ac:dyDescent="0.25">
      <c r="A275" t="s">
        <v>344</v>
      </c>
      <c r="B275" t="s">
        <v>495</v>
      </c>
      <c r="C275" t="s">
        <v>491</v>
      </c>
      <c r="D275" t="s">
        <v>493</v>
      </c>
      <c r="E275">
        <v>2</v>
      </c>
      <c r="F275">
        <v>6</v>
      </c>
      <c r="G275">
        <v>140</v>
      </c>
      <c r="H275">
        <v>12</v>
      </c>
      <c r="I275">
        <v>10.1</v>
      </c>
      <c r="J275">
        <v>13.5</v>
      </c>
      <c r="K275">
        <v>14.6</v>
      </c>
      <c r="L275">
        <v>12.4</v>
      </c>
      <c r="M275">
        <v>64</v>
      </c>
    </row>
    <row r="276" spans="1:13" x14ac:dyDescent="0.25">
      <c r="A276" t="s">
        <v>344</v>
      </c>
      <c r="B276" t="s">
        <v>495</v>
      </c>
      <c r="C276" t="s">
        <v>491</v>
      </c>
      <c r="D276" t="s">
        <v>493</v>
      </c>
      <c r="E276">
        <v>2</v>
      </c>
      <c r="F276">
        <v>6</v>
      </c>
      <c r="G276">
        <v>150</v>
      </c>
      <c r="H276">
        <v>12</v>
      </c>
      <c r="I276">
        <v>10.1</v>
      </c>
      <c r="J276">
        <v>13.5</v>
      </c>
      <c r="K276">
        <v>14.6</v>
      </c>
      <c r="L276">
        <v>12.4</v>
      </c>
      <c r="M276">
        <v>64</v>
      </c>
    </row>
    <row r="277" spans="1:13" x14ac:dyDescent="0.25">
      <c r="A277" t="s">
        <v>344</v>
      </c>
      <c r="B277" t="s">
        <v>495</v>
      </c>
      <c r="C277" t="s">
        <v>491</v>
      </c>
      <c r="D277" t="s">
        <v>493</v>
      </c>
      <c r="E277">
        <v>2</v>
      </c>
      <c r="F277">
        <v>6</v>
      </c>
      <c r="G277">
        <v>160</v>
      </c>
      <c r="H277">
        <v>12</v>
      </c>
      <c r="I277">
        <v>10.1</v>
      </c>
      <c r="J277">
        <v>13.5</v>
      </c>
      <c r="K277">
        <v>14.6</v>
      </c>
      <c r="L277">
        <v>12.4</v>
      </c>
      <c r="M277">
        <v>64</v>
      </c>
    </row>
    <row r="278" spans="1:13" x14ac:dyDescent="0.25">
      <c r="A278" t="s">
        <v>344</v>
      </c>
      <c r="B278" t="s">
        <v>495</v>
      </c>
      <c r="C278" t="s">
        <v>491</v>
      </c>
      <c r="D278" t="s">
        <v>493</v>
      </c>
      <c r="E278">
        <v>2</v>
      </c>
      <c r="F278">
        <v>6</v>
      </c>
      <c r="G278">
        <v>180</v>
      </c>
      <c r="H278">
        <v>12</v>
      </c>
      <c r="I278">
        <v>10.1</v>
      </c>
      <c r="J278">
        <v>13.5</v>
      </c>
      <c r="K278">
        <v>14.6</v>
      </c>
      <c r="L278">
        <v>12.4</v>
      </c>
      <c r="M278">
        <v>64</v>
      </c>
    </row>
    <row r="279" spans="1:13" x14ac:dyDescent="0.25">
      <c r="A279" t="s">
        <v>344</v>
      </c>
      <c r="B279" t="s">
        <v>495</v>
      </c>
      <c r="C279" t="s">
        <v>491</v>
      </c>
      <c r="D279" t="s">
        <v>493</v>
      </c>
      <c r="E279">
        <v>2</v>
      </c>
      <c r="F279">
        <v>6</v>
      </c>
      <c r="G279">
        <v>200</v>
      </c>
      <c r="H279">
        <v>12</v>
      </c>
      <c r="I279">
        <v>10.1</v>
      </c>
      <c r="J279">
        <v>13.5</v>
      </c>
      <c r="K279">
        <v>14.6</v>
      </c>
      <c r="L279">
        <v>12.4</v>
      </c>
      <c r="M279">
        <v>64</v>
      </c>
    </row>
    <row r="280" spans="1:13" x14ac:dyDescent="0.25">
      <c r="A280" t="s">
        <v>344</v>
      </c>
      <c r="B280" t="s">
        <v>495</v>
      </c>
      <c r="C280" t="s">
        <v>491</v>
      </c>
      <c r="D280" t="s">
        <v>493</v>
      </c>
      <c r="E280">
        <v>2</v>
      </c>
      <c r="F280">
        <v>6</v>
      </c>
      <c r="G280">
        <v>220</v>
      </c>
      <c r="H280">
        <v>12</v>
      </c>
      <c r="I280">
        <v>10.1</v>
      </c>
      <c r="J280">
        <v>13.5</v>
      </c>
      <c r="K280">
        <v>14.6</v>
      </c>
      <c r="L280">
        <v>12.4</v>
      </c>
      <c r="M280">
        <v>64</v>
      </c>
    </row>
    <row r="281" spans="1:13" x14ac:dyDescent="0.25">
      <c r="A281" t="s">
        <v>344</v>
      </c>
      <c r="B281" t="s">
        <v>495</v>
      </c>
      <c r="C281" t="s">
        <v>491</v>
      </c>
      <c r="D281" t="s">
        <v>493</v>
      </c>
      <c r="E281">
        <v>2</v>
      </c>
      <c r="F281">
        <v>6</v>
      </c>
      <c r="G281">
        <v>240</v>
      </c>
      <c r="H281">
        <v>12</v>
      </c>
      <c r="I281">
        <v>10.1</v>
      </c>
      <c r="J281">
        <v>13.5</v>
      </c>
      <c r="K281">
        <v>14.6</v>
      </c>
      <c r="L281">
        <v>12.4</v>
      </c>
      <c r="M281">
        <v>64</v>
      </c>
    </row>
    <row r="282" spans="1:13" x14ac:dyDescent="0.25">
      <c r="A282" t="s">
        <v>344</v>
      </c>
      <c r="B282" t="s">
        <v>495</v>
      </c>
      <c r="C282" t="s">
        <v>491</v>
      </c>
      <c r="D282" t="s">
        <v>493</v>
      </c>
      <c r="E282">
        <v>2</v>
      </c>
      <c r="F282">
        <v>6</v>
      </c>
      <c r="G282">
        <v>260</v>
      </c>
      <c r="H282">
        <v>12</v>
      </c>
      <c r="I282">
        <v>10.1</v>
      </c>
      <c r="J282">
        <v>13.5</v>
      </c>
      <c r="K282">
        <v>14.6</v>
      </c>
      <c r="L282">
        <v>12.4</v>
      </c>
      <c r="M282">
        <v>64</v>
      </c>
    </row>
    <row r="283" spans="1:13" x14ac:dyDescent="0.25">
      <c r="A283" t="s">
        <v>344</v>
      </c>
      <c r="B283" t="s">
        <v>495</v>
      </c>
      <c r="C283" t="s">
        <v>491</v>
      </c>
      <c r="D283" t="s">
        <v>493</v>
      </c>
      <c r="E283">
        <v>2</v>
      </c>
      <c r="F283">
        <v>6</v>
      </c>
      <c r="G283">
        <v>280</v>
      </c>
      <c r="H283">
        <v>12</v>
      </c>
      <c r="I283">
        <v>10.1</v>
      </c>
      <c r="J283">
        <v>13.5</v>
      </c>
      <c r="K283">
        <v>14.6</v>
      </c>
      <c r="L283">
        <v>12.4</v>
      </c>
      <c r="M283">
        <v>64</v>
      </c>
    </row>
    <row r="284" spans="1:13" x14ac:dyDescent="0.25">
      <c r="A284" t="s">
        <v>344</v>
      </c>
      <c r="B284" t="s">
        <v>495</v>
      </c>
      <c r="C284" t="s">
        <v>491</v>
      </c>
      <c r="D284" t="s">
        <v>493</v>
      </c>
      <c r="E284">
        <v>2</v>
      </c>
      <c r="F284">
        <v>6</v>
      </c>
      <c r="G284">
        <v>300</v>
      </c>
      <c r="H284">
        <v>12</v>
      </c>
      <c r="I284">
        <v>10.1</v>
      </c>
      <c r="J284">
        <v>13.5</v>
      </c>
      <c r="K284">
        <v>14.6</v>
      </c>
      <c r="L284">
        <v>12.4</v>
      </c>
      <c r="M284">
        <v>64</v>
      </c>
    </row>
    <row r="285" spans="1:13" x14ac:dyDescent="0.25">
      <c r="A285" t="s">
        <v>344</v>
      </c>
      <c r="B285" t="s">
        <v>495</v>
      </c>
      <c r="C285" t="s">
        <v>491</v>
      </c>
      <c r="D285" t="s">
        <v>493</v>
      </c>
      <c r="E285">
        <v>2</v>
      </c>
      <c r="F285">
        <v>8</v>
      </c>
      <c r="G285">
        <v>80</v>
      </c>
      <c r="H285">
        <v>15</v>
      </c>
      <c r="I285">
        <v>21</v>
      </c>
      <c r="J285">
        <v>13.1</v>
      </c>
      <c r="K285">
        <v>12.4</v>
      </c>
      <c r="L285">
        <v>22</v>
      </c>
      <c r="M285">
        <v>54</v>
      </c>
    </row>
    <row r="286" spans="1:13" x14ac:dyDescent="0.25">
      <c r="A286" t="s">
        <v>344</v>
      </c>
      <c r="B286" t="s">
        <v>495</v>
      </c>
      <c r="C286" t="s">
        <v>491</v>
      </c>
      <c r="D286" t="s">
        <v>493</v>
      </c>
      <c r="E286">
        <v>2</v>
      </c>
      <c r="F286">
        <v>8</v>
      </c>
      <c r="G286">
        <v>100</v>
      </c>
      <c r="H286">
        <v>15</v>
      </c>
      <c r="I286">
        <v>21</v>
      </c>
      <c r="J286">
        <v>13.1</v>
      </c>
      <c r="K286">
        <v>12.4</v>
      </c>
      <c r="L286">
        <v>22</v>
      </c>
      <c r="M286">
        <v>54</v>
      </c>
    </row>
    <row r="287" spans="1:13" x14ac:dyDescent="0.25">
      <c r="A287" t="s">
        <v>344</v>
      </c>
      <c r="B287" t="s">
        <v>495</v>
      </c>
      <c r="C287" t="s">
        <v>491</v>
      </c>
      <c r="D287" t="s">
        <v>493</v>
      </c>
      <c r="E287">
        <v>2</v>
      </c>
      <c r="F287">
        <v>8</v>
      </c>
      <c r="G287">
        <v>120</v>
      </c>
      <c r="H287">
        <v>15</v>
      </c>
      <c r="I287">
        <v>21</v>
      </c>
      <c r="J287">
        <v>13.1</v>
      </c>
      <c r="K287">
        <v>12.4</v>
      </c>
      <c r="L287">
        <v>22</v>
      </c>
      <c r="M287">
        <v>54</v>
      </c>
    </row>
    <row r="288" spans="1:13" x14ac:dyDescent="0.25">
      <c r="A288" t="s">
        <v>344</v>
      </c>
      <c r="B288" t="s">
        <v>495</v>
      </c>
      <c r="C288" t="s">
        <v>491</v>
      </c>
      <c r="D288" t="s">
        <v>493</v>
      </c>
      <c r="E288">
        <v>2</v>
      </c>
      <c r="F288">
        <v>8</v>
      </c>
      <c r="G288">
        <v>140</v>
      </c>
      <c r="H288">
        <v>15</v>
      </c>
      <c r="I288">
        <v>21</v>
      </c>
      <c r="J288">
        <v>13.1</v>
      </c>
      <c r="K288">
        <v>12.4</v>
      </c>
      <c r="L288">
        <v>22</v>
      </c>
      <c r="M288">
        <v>84</v>
      </c>
    </row>
    <row r="289" spans="1:13" x14ac:dyDescent="0.25">
      <c r="A289" t="s">
        <v>344</v>
      </c>
      <c r="B289" t="s">
        <v>495</v>
      </c>
      <c r="C289" t="s">
        <v>491</v>
      </c>
      <c r="D289" t="s">
        <v>493</v>
      </c>
      <c r="E289">
        <v>2</v>
      </c>
      <c r="F289">
        <v>8</v>
      </c>
      <c r="G289">
        <v>160</v>
      </c>
      <c r="H289">
        <v>15</v>
      </c>
      <c r="I289">
        <v>21</v>
      </c>
      <c r="J289">
        <v>13.1</v>
      </c>
      <c r="K289">
        <v>12.4</v>
      </c>
      <c r="L289">
        <v>22</v>
      </c>
      <c r="M289">
        <v>84</v>
      </c>
    </row>
    <row r="290" spans="1:13" x14ac:dyDescent="0.25">
      <c r="A290" t="s">
        <v>344</v>
      </c>
      <c r="B290" t="s">
        <v>495</v>
      </c>
      <c r="C290" t="s">
        <v>491</v>
      </c>
      <c r="D290" t="s">
        <v>493</v>
      </c>
      <c r="E290">
        <v>2</v>
      </c>
      <c r="F290">
        <v>8</v>
      </c>
      <c r="G290">
        <v>180</v>
      </c>
      <c r="H290">
        <v>15</v>
      </c>
      <c r="I290">
        <v>21</v>
      </c>
      <c r="J290">
        <v>13.1</v>
      </c>
      <c r="K290">
        <v>12.4</v>
      </c>
      <c r="L290">
        <v>22</v>
      </c>
      <c r="M290">
        <v>100</v>
      </c>
    </row>
    <row r="291" spans="1:13" x14ac:dyDescent="0.25">
      <c r="A291" t="s">
        <v>344</v>
      </c>
      <c r="B291" t="s">
        <v>495</v>
      </c>
      <c r="C291" t="s">
        <v>491</v>
      </c>
      <c r="D291" t="s">
        <v>493</v>
      </c>
      <c r="E291">
        <v>2</v>
      </c>
      <c r="F291">
        <v>8</v>
      </c>
      <c r="G291">
        <v>200</v>
      </c>
      <c r="H291">
        <v>15</v>
      </c>
      <c r="I291">
        <v>21</v>
      </c>
      <c r="J291">
        <v>13.1</v>
      </c>
      <c r="K291">
        <v>12.4</v>
      </c>
      <c r="L291">
        <v>22</v>
      </c>
      <c r="M291">
        <v>100</v>
      </c>
    </row>
    <row r="292" spans="1:13" x14ac:dyDescent="0.25">
      <c r="A292" t="s">
        <v>344</v>
      </c>
      <c r="B292" t="s">
        <v>495</v>
      </c>
      <c r="C292" t="s">
        <v>491</v>
      </c>
      <c r="D292" t="s">
        <v>493</v>
      </c>
      <c r="E292">
        <v>2</v>
      </c>
      <c r="F292">
        <v>8</v>
      </c>
      <c r="G292">
        <v>220</v>
      </c>
      <c r="H292">
        <v>15</v>
      </c>
      <c r="I292">
        <v>21</v>
      </c>
      <c r="J292">
        <v>13.1</v>
      </c>
      <c r="K292">
        <v>12.4</v>
      </c>
      <c r="L292">
        <v>22</v>
      </c>
      <c r="M292">
        <v>100</v>
      </c>
    </row>
    <row r="293" spans="1:13" x14ac:dyDescent="0.25">
      <c r="A293" t="s">
        <v>344</v>
      </c>
      <c r="B293" t="s">
        <v>495</v>
      </c>
      <c r="C293" t="s">
        <v>491</v>
      </c>
      <c r="D293" t="s">
        <v>493</v>
      </c>
      <c r="E293">
        <v>2</v>
      </c>
      <c r="F293">
        <v>8</v>
      </c>
      <c r="G293">
        <v>240</v>
      </c>
      <c r="H293">
        <v>15</v>
      </c>
      <c r="I293">
        <v>21</v>
      </c>
      <c r="J293">
        <v>13.1</v>
      </c>
      <c r="K293">
        <v>12.4</v>
      </c>
      <c r="L293">
        <v>22</v>
      </c>
      <c r="M293">
        <v>100</v>
      </c>
    </row>
    <row r="294" spans="1:13" x14ac:dyDescent="0.25">
      <c r="A294" t="s">
        <v>344</v>
      </c>
      <c r="B294" t="s">
        <v>495</v>
      </c>
      <c r="C294" t="s">
        <v>491</v>
      </c>
      <c r="D294" t="s">
        <v>493</v>
      </c>
      <c r="E294">
        <v>2</v>
      </c>
      <c r="F294">
        <v>8</v>
      </c>
      <c r="G294">
        <v>260</v>
      </c>
      <c r="H294">
        <v>15</v>
      </c>
      <c r="I294">
        <v>21</v>
      </c>
      <c r="J294">
        <v>13.1</v>
      </c>
      <c r="K294">
        <v>12.4</v>
      </c>
      <c r="L294">
        <v>22</v>
      </c>
      <c r="M294">
        <v>100</v>
      </c>
    </row>
    <row r="295" spans="1:13" x14ac:dyDescent="0.25">
      <c r="A295" t="s">
        <v>344</v>
      </c>
      <c r="B295" t="s">
        <v>495</v>
      </c>
      <c r="C295" t="s">
        <v>491</v>
      </c>
      <c r="D295" t="s">
        <v>493</v>
      </c>
      <c r="E295">
        <v>2</v>
      </c>
      <c r="F295">
        <v>8</v>
      </c>
      <c r="G295">
        <v>280</v>
      </c>
      <c r="H295">
        <v>15</v>
      </c>
      <c r="I295">
        <v>21</v>
      </c>
      <c r="J295">
        <v>13.1</v>
      </c>
      <c r="K295">
        <v>12.4</v>
      </c>
      <c r="L295">
        <v>22</v>
      </c>
      <c r="M295">
        <v>100</v>
      </c>
    </row>
    <row r="296" spans="1:13" x14ac:dyDescent="0.25">
      <c r="A296" t="s">
        <v>344</v>
      </c>
      <c r="B296" t="s">
        <v>495</v>
      </c>
      <c r="C296" t="s">
        <v>491</v>
      </c>
      <c r="D296" t="s">
        <v>493</v>
      </c>
      <c r="E296">
        <v>2</v>
      </c>
      <c r="F296">
        <v>8</v>
      </c>
      <c r="G296">
        <v>300</v>
      </c>
      <c r="H296">
        <v>15</v>
      </c>
      <c r="I296">
        <v>21</v>
      </c>
      <c r="J296">
        <v>13.1</v>
      </c>
      <c r="K296">
        <v>12.4</v>
      </c>
      <c r="L296">
        <v>22</v>
      </c>
      <c r="M296">
        <v>100</v>
      </c>
    </row>
    <row r="297" spans="1:13" x14ac:dyDescent="0.25">
      <c r="A297" t="s">
        <v>344</v>
      </c>
      <c r="B297" t="s">
        <v>495</v>
      </c>
      <c r="C297" t="s">
        <v>491</v>
      </c>
      <c r="D297" t="s">
        <v>493</v>
      </c>
      <c r="E297">
        <v>2</v>
      </c>
      <c r="F297">
        <v>8</v>
      </c>
      <c r="G297">
        <v>320</v>
      </c>
      <c r="H297">
        <v>15</v>
      </c>
      <c r="I297">
        <v>21</v>
      </c>
      <c r="J297">
        <v>13.1</v>
      </c>
      <c r="K297">
        <v>12.4</v>
      </c>
      <c r="L297">
        <v>22</v>
      </c>
      <c r="M297">
        <v>100</v>
      </c>
    </row>
    <row r="298" spans="1:13" x14ac:dyDescent="0.25">
      <c r="A298" t="s">
        <v>344</v>
      </c>
      <c r="B298" t="s">
        <v>495</v>
      </c>
      <c r="C298" t="s">
        <v>491</v>
      </c>
      <c r="D298" t="s">
        <v>493</v>
      </c>
      <c r="E298">
        <v>2</v>
      </c>
      <c r="F298">
        <v>8</v>
      </c>
      <c r="G298">
        <v>340</v>
      </c>
      <c r="H298">
        <v>15</v>
      </c>
      <c r="I298">
        <v>21</v>
      </c>
      <c r="J298">
        <v>13.1</v>
      </c>
      <c r="K298">
        <v>12.4</v>
      </c>
      <c r="L298">
        <v>22</v>
      </c>
      <c r="M298">
        <v>100</v>
      </c>
    </row>
    <row r="299" spans="1:13" x14ac:dyDescent="0.25">
      <c r="A299" t="s">
        <v>344</v>
      </c>
      <c r="B299" t="s">
        <v>495</v>
      </c>
      <c r="C299" t="s">
        <v>491</v>
      </c>
      <c r="D299" t="s">
        <v>493</v>
      </c>
      <c r="E299">
        <v>2</v>
      </c>
      <c r="F299">
        <v>8</v>
      </c>
      <c r="G299">
        <v>360</v>
      </c>
      <c r="H299">
        <v>15</v>
      </c>
      <c r="I299">
        <v>21</v>
      </c>
      <c r="J299">
        <v>13.1</v>
      </c>
      <c r="K299">
        <v>12.4</v>
      </c>
      <c r="L299">
        <v>22</v>
      </c>
      <c r="M299">
        <v>100</v>
      </c>
    </row>
    <row r="300" spans="1:13" x14ac:dyDescent="0.25">
      <c r="A300" t="s">
        <v>344</v>
      </c>
      <c r="B300" t="s">
        <v>495</v>
      </c>
      <c r="C300" t="s">
        <v>491</v>
      </c>
      <c r="D300" t="s">
        <v>493</v>
      </c>
      <c r="E300">
        <v>2</v>
      </c>
      <c r="F300">
        <v>8</v>
      </c>
      <c r="G300">
        <v>380</v>
      </c>
      <c r="H300">
        <v>15</v>
      </c>
      <c r="I300">
        <v>21</v>
      </c>
      <c r="J300">
        <v>13.1</v>
      </c>
      <c r="K300">
        <v>12.4</v>
      </c>
      <c r="L300">
        <v>22</v>
      </c>
      <c r="M300">
        <v>100</v>
      </c>
    </row>
    <row r="301" spans="1:13" x14ac:dyDescent="0.25">
      <c r="A301" t="s">
        <v>344</v>
      </c>
      <c r="B301" t="s">
        <v>495</v>
      </c>
      <c r="C301" t="s">
        <v>491</v>
      </c>
      <c r="D301" t="s">
        <v>493</v>
      </c>
      <c r="E301">
        <v>2</v>
      </c>
      <c r="F301">
        <v>8</v>
      </c>
      <c r="G301">
        <v>400</v>
      </c>
      <c r="H301">
        <v>15</v>
      </c>
      <c r="I301">
        <v>21</v>
      </c>
      <c r="J301">
        <v>13.1</v>
      </c>
      <c r="K301">
        <v>12.4</v>
      </c>
      <c r="L301">
        <v>22</v>
      </c>
      <c r="M301">
        <v>100</v>
      </c>
    </row>
    <row r="302" spans="1:13" x14ac:dyDescent="0.25">
      <c r="A302" t="s">
        <v>344</v>
      </c>
      <c r="B302" t="s">
        <v>495</v>
      </c>
      <c r="C302" t="s">
        <v>491</v>
      </c>
      <c r="D302" t="s">
        <v>493</v>
      </c>
      <c r="E302">
        <v>2</v>
      </c>
      <c r="F302">
        <v>10</v>
      </c>
      <c r="G302">
        <v>80</v>
      </c>
      <c r="H302">
        <v>18.5</v>
      </c>
      <c r="I302">
        <v>33</v>
      </c>
      <c r="J302">
        <v>12.5</v>
      </c>
      <c r="K302">
        <v>12.2</v>
      </c>
      <c r="L302">
        <v>32</v>
      </c>
      <c r="M302">
        <v>60</v>
      </c>
    </row>
    <row r="303" spans="1:13" x14ac:dyDescent="0.25">
      <c r="A303" t="s">
        <v>344</v>
      </c>
      <c r="B303" t="s">
        <v>495</v>
      </c>
      <c r="C303" t="s">
        <v>491</v>
      </c>
      <c r="D303" t="s">
        <v>493</v>
      </c>
      <c r="E303">
        <v>2</v>
      </c>
      <c r="F303">
        <v>10</v>
      </c>
      <c r="G303">
        <v>100</v>
      </c>
      <c r="H303">
        <v>18.5</v>
      </c>
      <c r="I303">
        <v>33</v>
      </c>
      <c r="J303">
        <v>12.5</v>
      </c>
      <c r="K303">
        <v>12.2</v>
      </c>
      <c r="L303">
        <v>32</v>
      </c>
      <c r="M303">
        <v>60</v>
      </c>
    </row>
    <row r="304" spans="1:13" x14ac:dyDescent="0.25">
      <c r="A304" t="s">
        <v>344</v>
      </c>
      <c r="B304" t="s">
        <v>495</v>
      </c>
      <c r="C304" t="s">
        <v>491</v>
      </c>
      <c r="D304" t="s">
        <v>493</v>
      </c>
      <c r="E304">
        <v>2</v>
      </c>
      <c r="F304">
        <v>10</v>
      </c>
      <c r="G304">
        <v>120</v>
      </c>
      <c r="H304">
        <v>18.5</v>
      </c>
      <c r="I304">
        <v>33</v>
      </c>
      <c r="J304">
        <v>12.5</v>
      </c>
      <c r="K304">
        <v>12.2</v>
      </c>
      <c r="L304">
        <v>32</v>
      </c>
      <c r="M304">
        <v>60</v>
      </c>
    </row>
    <row r="305" spans="1:13" x14ac:dyDescent="0.25">
      <c r="A305" t="s">
        <v>344</v>
      </c>
      <c r="B305" t="s">
        <v>495</v>
      </c>
      <c r="C305" t="s">
        <v>491</v>
      </c>
      <c r="D305" t="s">
        <v>493</v>
      </c>
      <c r="E305">
        <v>2</v>
      </c>
      <c r="F305">
        <v>10</v>
      </c>
      <c r="G305">
        <v>140</v>
      </c>
      <c r="H305">
        <v>18.5</v>
      </c>
      <c r="I305">
        <v>33</v>
      </c>
      <c r="J305">
        <v>12.5</v>
      </c>
      <c r="K305">
        <v>12.2</v>
      </c>
      <c r="L305">
        <v>32</v>
      </c>
      <c r="M305">
        <v>60</v>
      </c>
    </row>
    <row r="306" spans="1:13" x14ac:dyDescent="0.25">
      <c r="A306" t="s">
        <v>344</v>
      </c>
      <c r="B306" t="s">
        <v>495</v>
      </c>
      <c r="C306" t="s">
        <v>491</v>
      </c>
      <c r="D306" t="s">
        <v>493</v>
      </c>
      <c r="E306">
        <v>2</v>
      </c>
      <c r="F306">
        <v>10</v>
      </c>
      <c r="G306">
        <v>160</v>
      </c>
      <c r="H306">
        <v>18.5</v>
      </c>
      <c r="I306">
        <v>33</v>
      </c>
      <c r="J306">
        <v>12.5</v>
      </c>
      <c r="K306">
        <v>12.2</v>
      </c>
      <c r="L306">
        <v>32</v>
      </c>
      <c r="M306">
        <v>100</v>
      </c>
    </row>
    <row r="307" spans="1:13" x14ac:dyDescent="0.25">
      <c r="A307" t="s">
        <v>344</v>
      </c>
      <c r="B307" t="s">
        <v>495</v>
      </c>
      <c r="C307" t="s">
        <v>491</v>
      </c>
      <c r="D307" t="s">
        <v>493</v>
      </c>
      <c r="E307">
        <v>2</v>
      </c>
      <c r="F307">
        <v>10</v>
      </c>
      <c r="G307">
        <v>180</v>
      </c>
      <c r="H307">
        <v>18.5</v>
      </c>
      <c r="I307">
        <v>33</v>
      </c>
      <c r="J307">
        <v>12.5</v>
      </c>
      <c r="K307">
        <v>12.2</v>
      </c>
      <c r="L307">
        <v>32</v>
      </c>
      <c r="M307">
        <v>100</v>
      </c>
    </row>
    <row r="308" spans="1:13" x14ac:dyDescent="0.25">
      <c r="A308" t="s">
        <v>344</v>
      </c>
      <c r="B308" t="s">
        <v>495</v>
      </c>
      <c r="C308" t="s">
        <v>491</v>
      </c>
      <c r="D308" t="s">
        <v>493</v>
      </c>
      <c r="E308">
        <v>2</v>
      </c>
      <c r="F308">
        <v>10</v>
      </c>
      <c r="G308">
        <v>200</v>
      </c>
      <c r="H308">
        <v>18.5</v>
      </c>
      <c r="I308">
        <v>33</v>
      </c>
      <c r="J308">
        <v>12.5</v>
      </c>
      <c r="K308">
        <v>12.2</v>
      </c>
      <c r="L308">
        <v>32</v>
      </c>
      <c r="M308">
        <v>100</v>
      </c>
    </row>
    <row r="309" spans="1:13" x14ac:dyDescent="0.25">
      <c r="A309" t="s">
        <v>344</v>
      </c>
      <c r="B309" t="s">
        <v>495</v>
      </c>
      <c r="C309" t="s">
        <v>491</v>
      </c>
      <c r="D309" t="s">
        <v>493</v>
      </c>
      <c r="E309">
        <v>2</v>
      </c>
      <c r="F309">
        <v>10</v>
      </c>
      <c r="G309">
        <v>220</v>
      </c>
      <c r="H309">
        <v>18.5</v>
      </c>
      <c r="I309">
        <v>33</v>
      </c>
      <c r="J309">
        <v>12.5</v>
      </c>
      <c r="K309">
        <v>12.2</v>
      </c>
      <c r="L309">
        <v>32</v>
      </c>
      <c r="M309">
        <v>100</v>
      </c>
    </row>
    <row r="310" spans="1:13" x14ac:dyDescent="0.25">
      <c r="A310" t="s">
        <v>344</v>
      </c>
      <c r="B310" t="s">
        <v>495</v>
      </c>
      <c r="C310" t="s">
        <v>491</v>
      </c>
      <c r="D310" t="s">
        <v>493</v>
      </c>
      <c r="E310">
        <v>2</v>
      </c>
      <c r="F310">
        <v>10</v>
      </c>
      <c r="G310">
        <v>240</v>
      </c>
      <c r="H310">
        <v>18.5</v>
      </c>
      <c r="I310">
        <v>33</v>
      </c>
      <c r="J310">
        <v>12.5</v>
      </c>
      <c r="K310">
        <v>12.2</v>
      </c>
      <c r="L310">
        <v>32</v>
      </c>
      <c r="M310">
        <v>100</v>
      </c>
    </row>
    <row r="311" spans="1:13" x14ac:dyDescent="0.25">
      <c r="A311" t="s">
        <v>344</v>
      </c>
      <c r="B311" t="s">
        <v>495</v>
      </c>
      <c r="C311" t="s">
        <v>491</v>
      </c>
      <c r="D311" t="s">
        <v>493</v>
      </c>
      <c r="E311">
        <v>2</v>
      </c>
      <c r="F311">
        <v>10</v>
      </c>
      <c r="G311">
        <v>260</v>
      </c>
      <c r="H311">
        <v>18.5</v>
      </c>
      <c r="I311">
        <v>33</v>
      </c>
      <c r="J311">
        <v>12.5</v>
      </c>
      <c r="K311">
        <v>12.2</v>
      </c>
      <c r="L311">
        <v>32</v>
      </c>
      <c r="M311">
        <v>100</v>
      </c>
    </row>
    <row r="312" spans="1:13" x14ac:dyDescent="0.25">
      <c r="A312" t="s">
        <v>344</v>
      </c>
      <c r="B312" t="s">
        <v>495</v>
      </c>
      <c r="C312" t="s">
        <v>491</v>
      </c>
      <c r="D312" t="s">
        <v>493</v>
      </c>
      <c r="E312">
        <v>2</v>
      </c>
      <c r="F312">
        <v>10</v>
      </c>
      <c r="G312">
        <v>280</v>
      </c>
      <c r="H312">
        <v>18.5</v>
      </c>
      <c r="I312">
        <v>33</v>
      </c>
      <c r="J312">
        <v>12.5</v>
      </c>
      <c r="K312">
        <v>12.2</v>
      </c>
      <c r="L312">
        <v>32</v>
      </c>
      <c r="M312">
        <v>100</v>
      </c>
    </row>
    <row r="313" spans="1:13" x14ac:dyDescent="0.25">
      <c r="A313" t="s">
        <v>344</v>
      </c>
      <c r="B313" t="s">
        <v>495</v>
      </c>
      <c r="C313" t="s">
        <v>491</v>
      </c>
      <c r="D313" t="s">
        <v>493</v>
      </c>
      <c r="E313">
        <v>2</v>
      </c>
      <c r="F313">
        <v>10</v>
      </c>
      <c r="G313">
        <v>300</v>
      </c>
      <c r="H313">
        <v>18.5</v>
      </c>
      <c r="I313">
        <v>33</v>
      </c>
      <c r="J313">
        <v>12.5</v>
      </c>
      <c r="K313">
        <v>12.2</v>
      </c>
      <c r="L313">
        <v>32</v>
      </c>
      <c r="M313">
        <v>100</v>
      </c>
    </row>
    <row r="314" spans="1:13" x14ac:dyDescent="0.25">
      <c r="A314" t="s">
        <v>344</v>
      </c>
      <c r="B314" t="s">
        <v>495</v>
      </c>
      <c r="C314" t="s">
        <v>491</v>
      </c>
      <c r="D314" t="s">
        <v>493</v>
      </c>
      <c r="E314">
        <v>2</v>
      </c>
      <c r="F314">
        <v>10</v>
      </c>
      <c r="G314">
        <v>320</v>
      </c>
      <c r="H314">
        <v>18.5</v>
      </c>
      <c r="I314">
        <v>33</v>
      </c>
      <c r="J314">
        <v>12.5</v>
      </c>
      <c r="K314">
        <v>12.2</v>
      </c>
      <c r="L314">
        <v>32</v>
      </c>
      <c r="M314">
        <v>100</v>
      </c>
    </row>
    <row r="315" spans="1:13" x14ac:dyDescent="0.25">
      <c r="A315" t="s">
        <v>344</v>
      </c>
      <c r="B315" t="s">
        <v>495</v>
      </c>
      <c r="C315" t="s">
        <v>491</v>
      </c>
      <c r="D315" t="s">
        <v>493</v>
      </c>
      <c r="E315">
        <v>2</v>
      </c>
      <c r="F315">
        <v>10</v>
      </c>
      <c r="G315">
        <v>340</v>
      </c>
      <c r="H315">
        <v>18.5</v>
      </c>
      <c r="I315">
        <v>33</v>
      </c>
      <c r="J315">
        <v>12.5</v>
      </c>
      <c r="K315">
        <v>12.2</v>
      </c>
      <c r="L315">
        <v>32</v>
      </c>
      <c r="M315">
        <v>100</v>
      </c>
    </row>
    <row r="316" spans="1:13" x14ac:dyDescent="0.25">
      <c r="A316" t="s">
        <v>344</v>
      </c>
      <c r="B316" t="s">
        <v>495</v>
      </c>
      <c r="C316" t="s">
        <v>491</v>
      </c>
      <c r="D316" t="s">
        <v>493</v>
      </c>
      <c r="E316">
        <v>2</v>
      </c>
      <c r="F316">
        <v>10</v>
      </c>
      <c r="G316">
        <v>360</v>
      </c>
      <c r="H316">
        <v>18.5</v>
      </c>
      <c r="I316">
        <v>33</v>
      </c>
      <c r="J316">
        <v>12.5</v>
      </c>
      <c r="K316">
        <v>12.2</v>
      </c>
      <c r="L316">
        <v>32</v>
      </c>
      <c r="M316">
        <v>100</v>
      </c>
    </row>
    <row r="317" spans="1:13" x14ac:dyDescent="0.25">
      <c r="A317" t="s">
        <v>344</v>
      </c>
      <c r="B317" t="s">
        <v>495</v>
      </c>
      <c r="C317" t="s">
        <v>491</v>
      </c>
      <c r="D317" t="s">
        <v>493</v>
      </c>
      <c r="E317">
        <v>2</v>
      </c>
      <c r="F317">
        <v>10</v>
      </c>
      <c r="G317">
        <v>380</v>
      </c>
      <c r="H317">
        <v>18.5</v>
      </c>
      <c r="I317">
        <v>33</v>
      </c>
      <c r="J317">
        <v>12.5</v>
      </c>
      <c r="K317">
        <v>12.2</v>
      </c>
      <c r="L317">
        <v>32</v>
      </c>
      <c r="M317">
        <v>100</v>
      </c>
    </row>
    <row r="318" spans="1:13" x14ac:dyDescent="0.25">
      <c r="A318" t="s">
        <v>344</v>
      </c>
      <c r="B318" t="s">
        <v>495</v>
      </c>
      <c r="C318" t="s">
        <v>491</v>
      </c>
      <c r="D318" t="s">
        <v>493</v>
      </c>
      <c r="E318">
        <v>2</v>
      </c>
      <c r="F318">
        <v>10</v>
      </c>
      <c r="G318">
        <v>400</v>
      </c>
      <c r="H318">
        <v>18.5</v>
      </c>
      <c r="I318">
        <v>33</v>
      </c>
      <c r="J318">
        <v>12.5</v>
      </c>
      <c r="K318">
        <v>12.2</v>
      </c>
      <c r="L318">
        <v>32</v>
      </c>
      <c r="M318">
        <v>100</v>
      </c>
    </row>
    <row r="319" spans="1:13" x14ac:dyDescent="0.25">
      <c r="A319" t="s">
        <v>344</v>
      </c>
      <c r="B319" t="s">
        <v>495</v>
      </c>
      <c r="C319" t="s">
        <v>492</v>
      </c>
      <c r="D319" t="s">
        <v>494</v>
      </c>
      <c r="E319">
        <v>2</v>
      </c>
      <c r="F319">
        <v>6</v>
      </c>
      <c r="G319">
        <v>60</v>
      </c>
      <c r="H319">
        <v>14</v>
      </c>
      <c r="I319">
        <v>10.1</v>
      </c>
      <c r="J319">
        <v>13.5</v>
      </c>
      <c r="K319">
        <v>16.7</v>
      </c>
      <c r="L319">
        <v>12.4</v>
      </c>
      <c r="M319">
        <v>36</v>
      </c>
    </row>
    <row r="320" spans="1:13" x14ac:dyDescent="0.25">
      <c r="A320" t="s">
        <v>344</v>
      </c>
      <c r="B320" t="s">
        <v>495</v>
      </c>
      <c r="C320" t="s">
        <v>492</v>
      </c>
      <c r="D320" t="s">
        <v>494</v>
      </c>
      <c r="E320">
        <v>2</v>
      </c>
      <c r="F320">
        <v>6</v>
      </c>
      <c r="G320">
        <v>80</v>
      </c>
      <c r="H320">
        <v>14</v>
      </c>
      <c r="I320">
        <v>10.1</v>
      </c>
      <c r="J320">
        <v>13.5</v>
      </c>
      <c r="K320">
        <v>16.7</v>
      </c>
      <c r="L320">
        <v>12.4</v>
      </c>
      <c r="M320">
        <v>48</v>
      </c>
    </row>
    <row r="321" spans="1:13" x14ac:dyDescent="0.25">
      <c r="A321" t="s">
        <v>344</v>
      </c>
      <c r="B321" t="s">
        <v>495</v>
      </c>
      <c r="C321" t="s">
        <v>492</v>
      </c>
      <c r="D321" t="s">
        <v>494</v>
      </c>
      <c r="E321">
        <v>2</v>
      </c>
      <c r="F321">
        <v>6</v>
      </c>
      <c r="G321">
        <v>100</v>
      </c>
      <c r="H321">
        <v>14</v>
      </c>
      <c r="I321">
        <v>10.1</v>
      </c>
      <c r="J321">
        <v>13.5</v>
      </c>
      <c r="K321">
        <v>16.7</v>
      </c>
      <c r="L321">
        <v>12.4</v>
      </c>
      <c r="M321">
        <v>48</v>
      </c>
    </row>
    <row r="322" spans="1:13" x14ac:dyDescent="0.25">
      <c r="A322" t="s">
        <v>344</v>
      </c>
      <c r="B322" t="s">
        <v>495</v>
      </c>
      <c r="C322" t="s">
        <v>492</v>
      </c>
      <c r="D322" t="s">
        <v>494</v>
      </c>
      <c r="E322">
        <v>2</v>
      </c>
      <c r="F322">
        <v>6</v>
      </c>
      <c r="G322">
        <v>120</v>
      </c>
      <c r="H322">
        <v>14</v>
      </c>
      <c r="I322">
        <v>10.1</v>
      </c>
      <c r="J322">
        <v>13.5</v>
      </c>
      <c r="K322">
        <v>16.7</v>
      </c>
      <c r="L322">
        <v>12.4</v>
      </c>
      <c r="M322">
        <v>64</v>
      </c>
    </row>
    <row r="323" spans="1:13" x14ac:dyDescent="0.25">
      <c r="A323" t="s">
        <v>344</v>
      </c>
      <c r="B323" t="s">
        <v>495</v>
      </c>
      <c r="C323" t="s">
        <v>492</v>
      </c>
      <c r="D323" t="s">
        <v>494</v>
      </c>
      <c r="E323">
        <v>2</v>
      </c>
      <c r="F323">
        <v>6</v>
      </c>
      <c r="G323">
        <v>140</v>
      </c>
      <c r="H323">
        <v>14</v>
      </c>
      <c r="I323">
        <v>10.1</v>
      </c>
      <c r="J323">
        <v>13.5</v>
      </c>
      <c r="K323">
        <v>16.7</v>
      </c>
      <c r="L323">
        <v>12.4</v>
      </c>
      <c r="M323">
        <v>64</v>
      </c>
    </row>
    <row r="324" spans="1:13" x14ac:dyDescent="0.25">
      <c r="A324" t="s">
        <v>344</v>
      </c>
      <c r="B324" t="s">
        <v>495</v>
      </c>
      <c r="C324" t="s">
        <v>492</v>
      </c>
      <c r="D324" t="s">
        <v>494</v>
      </c>
      <c r="E324">
        <v>2</v>
      </c>
      <c r="F324">
        <v>6</v>
      </c>
      <c r="G324">
        <v>160</v>
      </c>
      <c r="H324">
        <v>14</v>
      </c>
      <c r="I324">
        <v>10.1</v>
      </c>
      <c r="J324">
        <v>13.5</v>
      </c>
      <c r="K324">
        <v>16.7</v>
      </c>
      <c r="L324">
        <v>12.4</v>
      </c>
      <c r="M324">
        <v>64</v>
      </c>
    </row>
    <row r="325" spans="1:13" x14ac:dyDescent="0.25">
      <c r="A325" t="s">
        <v>344</v>
      </c>
      <c r="B325" t="s">
        <v>495</v>
      </c>
      <c r="C325" t="s">
        <v>492</v>
      </c>
      <c r="D325" t="s">
        <v>494</v>
      </c>
      <c r="E325">
        <v>2</v>
      </c>
      <c r="F325">
        <v>6</v>
      </c>
      <c r="G325">
        <v>180</v>
      </c>
      <c r="H325">
        <v>14</v>
      </c>
      <c r="I325">
        <v>10.1</v>
      </c>
      <c r="J325">
        <v>13.5</v>
      </c>
      <c r="K325">
        <v>16.7</v>
      </c>
      <c r="L325">
        <v>12.4</v>
      </c>
      <c r="M325">
        <v>64</v>
      </c>
    </row>
    <row r="326" spans="1:13" x14ac:dyDescent="0.25">
      <c r="A326" t="s">
        <v>344</v>
      </c>
      <c r="B326" t="s">
        <v>495</v>
      </c>
      <c r="C326" t="s">
        <v>492</v>
      </c>
      <c r="D326" t="s">
        <v>494</v>
      </c>
      <c r="E326">
        <v>2</v>
      </c>
      <c r="F326">
        <v>6</v>
      </c>
      <c r="G326">
        <v>200</v>
      </c>
      <c r="H326">
        <v>14</v>
      </c>
      <c r="I326">
        <v>10.1</v>
      </c>
      <c r="J326">
        <v>13.5</v>
      </c>
      <c r="K326">
        <v>16.7</v>
      </c>
      <c r="L326">
        <v>12.4</v>
      </c>
      <c r="M326">
        <v>64</v>
      </c>
    </row>
    <row r="327" spans="1:13" x14ac:dyDescent="0.25">
      <c r="A327" t="s">
        <v>344</v>
      </c>
      <c r="B327" t="s">
        <v>495</v>
      </c>
      <c r="C327" t="s">
        <v>492</v>
      </c>
      <c r="D327" t="s">
        <v>494</v>
      </c>
      <c r="E327">
        <v>2</v>
      </c>
      <c r="F327">
        <v>8</v>
      </c>
      <c r="G327">
        <v>80</v>
      </c>
      <c r="H327">
        <v>20</v>
      </c>
      <c r="I327">
        <v>21</v>
      </c>
      <c r="J327">
        <v>13.1</v>
      </c>
      <c r="K327">
        <v>17.600000000000001</v>
      </c>
      <c r="L327">
        <v>22</v>
      </c>
      <c r="M327">
        <v>54</v>
      </c>
    </row>
    <row r="328" spans="1:13" x14ac:dyDescent="0.25">
      <c r="A328" t="s">
        <v>344</v>
      </c>
      <c r="B328" t="s">
        <v>495</v>
      </c>
      <c r="C328" t="s">
        <v>492</v>
      </c>
      <c r="D328" t="s">
        <v>494</v>
      </c>
      <c r="E328">
        <v>2</v>
      </c>
      <c r="F328">
        <v>8</v>
      </c>
      <c r="G328">
        <v>100</v>
      </c>
      <c r="H328">
        <v>20</v>
      </c>
      <c r="I328">
        <v>21</v>
      </c>
      <c r="J328">
        <v>13.1</v>
      </c>
      <c r="K328">
        <v>17.600000000000001</v>
      </c>
      <c r="L328">
        <v>22</v>
      </c>
      <c r="M328">
        <v>54</v>
      </c>
    </row>
    <row r="329" spans="1:13" x14ac:dyDescent="0.25">
      <c r="A329" t="s">
        <v>344</v>
      </c>
      <c r="B329" t="s">
        <v>495</v>
      </c>
      <c r="C329" t="s">
        <v>492</v>
      </c>
      <c r="D329" t="s">
        <v>494</v>
      </c>
      <c r="E329">
        <v>2</v>
      </c>
      <c r="F329">
        <v>8</v>
      </c>
      <c r="G329">
        <v>120</v>
      </c>
      <c r="H329">
        <v>20</v>
      </c>
      <c r="I329">
        <v>21</v>
      </c>
      <c r="J329">
        <v>13.1</v>
      </c>
      <c r="K329">
        <v>17.600000000000001</v>
      </c>
      <c r="L329">
        <v>22</v>
      </c>
      <c r="M329">
        <v>54</v>
      </c>
    </row>
    <row r="330" spans="1:13" x14ac:dyDescent="0.25">
      <c r="A330" t="s">
        <v>344</v>
      </c>
      <c r="B330" t="s">
        <v>495</v>
      </c>
      <c r="C330" t="s">
        <v>492</v>
      </c>
      <c r="D330" t="s">
        <v>494</v>
      </c>
      <c r="E330">
        <v>2</v>
      </c>
      <c r="F330">
        <v>8</v>
      </c>
      <c r="G330">
        <v>140</v>
      </c>
      <c r="H330">
        <v>20</v>
      </c>
      <c r="I330">
        <v>21</v>
      </c>
      <c r="J330">
        <v>13.1</v>
      </c>
      <c r="K330">
        <v>17.600000000000001</v>
      </c>
      <c r="L330">
        <v>22</v>
      </c>
      <c r="M330">
        <v>84</v>
      </c>
    </row>
    <row r="331" spans="1:13" x14ac:dyDescent="0.25">
      <c r="A331" t="s">
        <v>344</v>
      </c>
      <c r="B331" t="s">
        <v>495</v>
      </c>
      <c r="C331" t="s">
        <v>492</v>
      </c>
      <c r="D331" t="s">
        <v>494</v>
      </c>
      <c r="E331">
        <v>2</v>
      </c>
      <c r="F331">
        <v>8</v>
      </c>
      <c r="G331">
        <v>160</v>
      </c>
      <c r="H331">
        <v>20</v>
      </c>
      <c r="I331">
        <v>21</v>
      </c>
      <c r="J331">
        <v>13.1</v>
      </c>
      <c r="K331">
        <v>17.600000000000001</v>
      </c>
      <c r="L331">
        <v>22</v>
      </c>
      <c r="M331">
        <v>84</v>
      </c>
    </row>
    <row r="332" spans="1:13" x14ac:dyDescent="0.25">
      <c r="A332" t="s">
        <v>344</v>
      </c>
      <c r="B332" t="s">
        <v>495</v>
      </c>
      <c r="C332" t="s">
        <v>492</v>
      </c>
      <c r="D332" t="s">
        <v>494</v>
      </c>
      <c r="E332">
        <v>2</v>
      </c>
      <c r="F332">
        <v>8</v>
      </c>
      <c r="G332">
        <v>180</v>
      </c>
      <c r="H332">
        <v>20</v>
      </c>
      <c r="I332">
        <v>21</v>
      </c>
      <c r="J332">
        <v>13.1</v>
      </c>
      <c r="K332">
        <v>17.600000000000001</v>
      </c>
      <c r="L332">
        <v>22</v>
      </c>
      <c r="M332">
        <v>100</v>
      </c>
    </row>
    <row r="333" spans="1:13" x14ac:dyDescent="0.25">
      <c r="A333" t="s">
        <v>344</v>
      </c>
      <c r="B333" t="s">
        <v>495</v>
      </c>
      <c r="C333" t="s">
        <v>492</v>
      </c>
      <c r="D333" t="s">
        <v>494</v>
      </c>
      <c r="E333">
        <v>2</v>
      </c>
      <c r="F333">
        <v>8</v>
      </c>
      <c r="G333">
        <v>200</v>
      </c>
      <c r="H333">
        <v>20</v>
      </c>
      <c r="I333">
        <v>21</v>
      </c>
      <c r="J333">
        <v>13.1</v>
      </c>
      <c r="K333">
        <v>17.600000000000001</v>
      </c>
      <c r="L333">
        <v>22</v>
      </c>
      <c r="M333">
        <v>100</v>
      </c>
    </row>
    <row r="334" spans="1:13" x14ac:dyDescent="0.25">
      <c r="A334" t="s">
        <v>344</v>
      </c>
      <c r="B334" t="s">
        <v>495</v>
      </c>
      <c r="C334" t="s">
        <v>492</v>
      </c>
      <c r="D334" t="s">
        <v>494</v>
      </c>
      <c r="E334">
        <v>2</v>
      </c>
      <c r="F334">
        <v>8</v>
      </c>
      <c r="G334">
        <v>220</v>
      </c>
      <c r="H334">
        <v>20</v>
      </c>
      <c r="I334">
        <v>21</v>
      </c>
      <c r="J334">
        <v>13.1</v>
      </c>
      <c r="K334">
        <v>17.600000000000001</v>
      </c>
      <c r="L334">
        <v>22</v>
      </c>
      <c r="M334">
        <v>100</v>
      </c>
    </row>
    <row r="335" spans="1:13" x14ac:dyDescent="0.25">
      <c r="A335" t="s">
        <v>344</v>
      </c>
      <c r="B335" t="s">
        <v>495</v>
      </c>
      <c r="C335" t="s">
        <v>492</v>
      </c>
      <c r="D335" t="s">
        <v>494</v>
      </c>
      <c r="E335">
        <v>2</v>
      </c>
      <c r="F335">
        <v>8</v>
      </c>
      <c r="G335">
        <v>240</v>
      </c>
      <c r="H335">
        <v>20</v>
      </c>
      <c r="I335">
        <v>21</v>
      </c>
      <c r="J335">
        <v>13.1</v>
      </c>
      <c r="K335">
        <v>17.600000000000001</v>
      </c>
      <c r="L335">
        <v>22</v>
      </c>
      <c r="M335">
        <v>100</v>
      </c>
    </row>
    <row r="336" spans="1:13" x14ac:dyDescent="0.25">
      <c r="A336" t="s">
        <v>344</v>
      </c>
      <c r="B336" t="s">
        <v>495</v>
      </c>
      <c r="C336" t="s">
        <v>492</v>
      </c>
      <c r="D336" t="s">
        <v>494</v>
      </c>
      <c r="E336">
        <v>2</v>
      </c>
      <c r="F336">
        <v>8</v>
      </c>
      <c r="G336">
        <v>260</v>
      </c>
      <c r="H336">
        <v>20</v>
      </c>
      <c r="I336">
        <v>21</v>
      </c>
      <c r="J336">
        <v>13.1</v>
      </c>
      <c r="K336">
        <v>17.600000000000001</v>
      </c>
      <c r="L336">
        <v>22</v>
      </c>
      <c r="M336">
        <v>100</v>
      </c>
    </row>
    <row r="337" spans="1:13" x14ac:dyDescent="0.25">
      <c r="A337" t="s">
        <v>344</v>
      </c>
      <c r="B337" t="s">
        <v>495</v>
      </c>
      <c r="C337" t="s">
        <v>492</v>
      </c>
      <c r="D337" t="s">
        <v>494</v>
      </c>
      <c r="E337">
        <v>2</v>
      </c>
      <c r="F337">
        <v>8</v>
      </c>
      <c r="G337">
        <v>280</v>
      </c>
      <c r="H337">
        <v>20</v>
      </c>
      <c r="I337">
        <v>21</v>
      </c>
      <c r="J337">
        <v>13.1</v>
      </c>
      <c r="K337">
        <v>17.600000000000001</v>
      </c>
      <c r="L337">
        <v>22</v>
      </c>
      <c r="M337">
        <v>100</v>
      </c>
    </row>
    <row r="338" spans="1:13" x14ac:dyDescent="0.25">
      <c r="A338" t="s">
        <v>344</v>
      </c>
      <c r="B338" t="s">
        <v>495</v>
      </c>
      <c r="C338" t="s">
        <v>492</v>
      </c>
      <c r="D338" t="s">
        <v>494</v>
      </c>
      <c r="E338">
        <v>2</v>
      </c>
      <c r="F338">
        <v>8</v>
      </c>
      <c r="G338">
        <v>300</v>
      </c>
      <c r="H338">
        <v>20</v>
      </c>
      <c r="I338">
        <v>21</v>
      </c>
      <c r="J338">
        <v>13.1</v>
      </c>
      <c r="K338">
        <v>17.600000000000001</v>
      </c>
      <c r="L338">
        <v>22</v>
      </c>
      <c r="M338">
        <v>100</v>
      </c>
    </row>
    <row r="339" spans="1:13" x14ac:dyDescent="0.25">
      <c r="A339" t="s">
        <v>344</v>
      </c>
      <c r="B339" t="s">
        <v>495</v>
      </c>
      <c r="C339" t="s">
        <v>492</v>
      </c>
      <c r="D339" t="s">
        <v>494</v>
      </c>
      <c r="E339">
        <v>2</v>
      </c>
      <c r="F339">
        <v>8</v>
      </c>
      <c r="G339">
        <v>320</v>
      </c>
      <c r="H339">
        <v>20</v>
      </c>
      <c r="I339">
        <v>21</v>
      </c>
      <c r="J339">
        <v>13.1</v>
      </c>
      <c r="K339">
        <v>17.600000000000001</v>
      </c>
      <c r="L339">
        <v>22</v>
      </c>
      <c r="M339">
        <v>100</v>
      </c>
    </row>
    <row r="340" spans="1:13" x14ac:dyDescent="0.25">
      <c r="A340" t="s">
        <v>344</v>
      </c>
      <c r="B340" t="s">
        <v>495</v>
      </c>
      <c r="C340" t="s">
        <v>492</v>
      </c>
      <c r="D340" t="s">
        <v>494</v>
      </c>
      <c r="E340">
        <v>2</v>
      </c>
      <c r="F340">
        <v>8</v>
      </c>
      <c r="G340">
        <v>340</v>
      </c>
      <c r="H340">
        <v>20</v>
      </c>
      <c r="I340">
        <v>21</v>
      </c>
      <c r="J340">
        <v>13.1</v>
      </c>
      <c r="K340">
        <v>17.600000000000001</v>
      </c>
      <c r="L340">
        <v>22</v>
      </c>
      <c r="M340">
        <v>100</v>
      </c>
    </row>
    <row r="341" spans="1:13" x14ac:dyDescent="0.25">
      <c r="A341" t="s">
        <v>344</v>
      </c>
      <c r="B341" t="s">
        <v>495</v>
      </c>
      <c r="C341" t="s">
        <v>492</v>
      </c>
      <c r="D341" t="s">
        <v>494</v>
      </c>
      <c r="E341">
        <v>2</v>
      </c>
      <c r="F341">
        <v>8</v>
      </c>
      <c r="G341">
        <v>360</v>
      </c>
      <c r="H341">
        <v>20</v>
      </c>
      <c r="I341">
        <v>21</v>
      </c>
      <c r="J341">
        <v>13.1</v>
      </c>
      <c r="K341">
        <v>17.600000000000001</v>
      </c>
      <c r="L341">
        <v>22</v>
      </c>
      <c r="M341">
        <v>100</v>
      </c>
    </row>
    <row r="342" spans="1:13" x14ac:dyDescent="0.25">
      <c r="A342" t="s">
        <v>344</v>
      </c>
      <c r="B342" t="s">
        <v>495</v>
      </c>
      <c r="C342" t="s">
        <v>492</v>
      </c>
      <c r="D342" t="s">
        <v>494</v>
      </c>
      <c r="E342">
        <v>2</v>
      </c>
      <c r="F342">
        <v>8</v>
      </c>
      <c r="G342">
        <v>380</v>
      </c>
      <c r="H342">
        <v>20</v>
      </c>
      <c r="I342">
        <v>21</v>
      </c>
      <c r="J342">
        <v>13.1</v>
      </c>
      <c r="K342">
        <v>17.600000000000001</v>
      </c>
      <c r="L342">
        <v>22</v>
      </c>
      <c r="M342">
        <v>100</v>
      </c>
    </row>
    <row r="343" spans="1:13" x14ac:dyDescent="0.25">
      <c r="A343" t="s">
        <v>344</v>
      </c>
      <c r="B343" t="s">
        <v>495</v>
      </c>
      <c r="C343" t="s">
        <v>492</v>
      </c>
      <c r="D343" t="s">
        <v>494</v>
      </c>
      <c r="E343">
        <v>2</v>
      </c>
      <c r="F343">
        <v>8</v>
      </c>
      <c r="G343">
        <v>400</v>
      </c>
      <c r="H343">
        <v>20</v>
      </c>
      <c r="I343">
        <v>21</v>
      </c>
      <c r="J343">
        <v>13.1</v>
      </c>
      <c r="K343">
        <v>17.600000000000001</v>
      </c>
      <c r="L343">
        <v>22</v>
      </c>
      <c r="M343">
        <v>100</v>
      </c>
    </row>
    <row r="344" spans="1:13" x14ac:dyDescent="0.25">
      <c r="A344" t="s">
        <v>344</v>
      </c>
      <c r="B344" t="s">
        <v>495</v>
      </c>
      <c r="C344" t="s">
        <v>492</v>
      </c>
      <c r="D344" t="s">
        <v>494</v>
      </c>
      <c r="E344">
        <v>2</v>
      </c>
      <c r="F344">
        <v>10</v>
      </c>
      <c r="G344">
        <v>100</v>
      </c>
      <c r="H344">
        <v>25</v>
      </c>
      <c r="I344">
        <v>33</v>
      </c>
      <c r="J344">
        <v>12.5</v>
      </c>
      <c r="K344">
        <v>15.2</v>
      </c>
      <c r="L344">
        <v>32</v>
      </c>
      <c r="M344">
        <v>60</v>
      </c>
    </row>
    <row r="345" spans="1:13" x14ac:dyDescent="0.25">
      <c r="A345" t="s">
        <v>344</v>
      </c>
      <c r="B345" t="s">
        <v>495</v>
      </c>
      <c r="C345" t="s">
        <v>492</v>
      </c>
      <c r="D345" t="s">
        <v>494</v>
      </c>
      <c r="E345">
        <v>2</v>
      </c>
      <c r="F345">
        <v>10</v>
      </c>
      <c r="G345">
        <v>120</v>
      </c>
      <c r="H345">
        <v>25</v>
      </c>
      <c r="I345">
        <v>33</v>
      </c>
      <c r="J345">
        <v>12.5</v>
      </c>
      <c r="K345">
        <v>15.2</v>
      </c>
      <c r="L345">
        <v>32</v>
      </c>
      <c r="M345">
        <v>60</v>
      </c>
    </row>
    <row r="346" spans="1:13" x14ac:dyDescent="0.25">
      <c r="A346" t="s">
        <v>344</v>
      </c>
      <c r="B346" t="s">
        <v>495</v>
      </c>
      <c r="C346" t="s">
        <v>492</v>
      </c>
      <c r="D346" t="s">
        <v>494</v>
      </c>
      <c r="E346">
        <v>2</v>
      </c>
      <c r="F346">
        <v>10</v>
      </c>
      <c r="G346">
        <v>140</v>
      </c>
      <c r="H346">
        <v>25</v>
      </c>
      <c r="I346">
        <v>33</v>
      </c>
      <c r="J346">
        <v>12.5</v>
      </c>
      <c r="K346">
        <v>15.2</v>
      </c>
      <c r="L346">
        <v>32</v>
      </c>
      <c r="M346">
        <v>60</v>
      </c>
    </row>
    <row r="347" spans="1:13" x14ac:dyDescent="0.25">
      <c r="A347" t="s">
        <v>344</v>
      </c>
      <c r="B347" t="s">
        <v>495</v>
      </c>
      <c r="C347" t="s">
        <v>492</v>
      </c>
      <c r="D347" t="s">
        <v>494</v>
      </c>
      <c r="E347">
        <v>2</v>
      </c>
      <c r="F347">
        <v>10</v>
      </c>
      <c r="G347">
        <v>160</v>
      </c>
      <c r="H347">
        <v>25</v>
      </c>
      <c r="I347">
        <v>33</v>
      </c>
      <c r="J347">
        <v>12.5</v>
      </c>
      <c r="K347">
        <v>15.2</v>
      </c>
      <c r="L347">
        <v>32</v>
      </c>
      <c r="M347">
        <v>100</v>
      </c>
    </row>
    <row r="348" spans="1:13" x14ac:dyDescent="0.25">
      <c r="A348" t="s">
        <v>344</v>
      </c>
      <c r="B348" t="s">
        <v>495</v>
      </c>
      <c r="C348" t="s">
        <v>492</v>
      </c>
      <c r="D348" t="s">
        <v>494</v>
      </c>
      <c r="E348">
        <v>2</v>
      </c>
      <c r="F348">
        <v>10</v>
      </c>
      <c r="G348">
        <v>180</v>
      </c>
      <c r="H348">
        <v>25</v>
      </c>
      <c r="I348">
        <v>33</v>
      </c>
      <c r="J348">
        <v>12.5</v>
      </c>
      <c r="K348">
        <v>15.2</v>
      </c>
      <c r="L348">
        <v>32</v>
      </c>
      <c r="M348">
        <v>100</v>
      </c>
    </row>
    <row r="349" spans="1:13" x14ac:dyDescent="0.25">
      <c r="A349" t="s">
        <v>344</v>
      </c>
      <c r="B349" t="s">
        <v>495</v>
      </c>
      <c r="C349" t="s">
        <v>492</v>
      </c>
      <c r="D349" t="s">
        <v>494</v>
      </c>
      <c r="E349">
        <v>2</v>
      </c>
      <c r="F349">
        <v>10</v>
      </c>
      <c r="G349">
        <v>200</v>
      </c>
      <c r="H349">
        <v>25</v>
      </c>
      <c r="I349">
        <v>33</v>
      </c>
      <c r="J349">
        <v>12.5</v>
      </c>
      <c r="K349">
        <v>15.2</v>
      </c>
      <c r="L349">
        <v>32</v>
      </c>
      <c r="M349">
        <v>100</v>
      </c>
    </row>
    <row r="350" spans="1:13" x14ac:dyDescent="0.25">
      <c r="A350" t="s">
        <v>344</v>
      </c>
      <c r="B350" t="s">
        <v>495</v>
      </c>
      <c r="C350" t="s">
        <v>492</v>
      </c>
      <c r="D350" t="s">
        <v>494</v>
      </c>
      <c r="E350">
        <v>2</v>
      </c>
      <c r="F350">
        <v>10</v>
      </c>
      <c r="G350">
        <v>220</v>
      </c>
      <c r="H350">
        <v>25</v>
      </c>
      <c r="I350">
        <v>33</v>
      </c>
      <c r="J350">
        <v>12.5</v>
      </c>
      <c r="K350">
        <v>15.2</v>
      </c>
      <c r="L350">
        <v>32</v>
      </c>
      <c r="M350">
        <v>100</v>
      </c>
    </row>
    <row r="351" spans="1:13" x14ac:dyDescent="0.25">
      <c r="A351" t="s">
        <v>344</v>
      </c>
      <c r="B351" t="s">
        <v>495</v>
      </c>
      <c r="C351" t="s">
        <v>492</v>
      </c>
      <c r="D351" t="s">
        <v>494</v>
      </c>
      <c r="E351">
        <v>2</v>
      </c>
      <c r="F351">
        <v>10</v>
      </c>
      <c r="G351">
        <v>240</v>
      </c>
      <c r="H351">
        <v>25</v>
      </c>
      <c r="I351">
        <v>33</v>
      </c>
      <c r="J351">
        <v>12.5</v>
      </c>
      <c r="K351">
        <v>15.2</v>
      </c>
      <c r="L351">
        <v>32</v>
      </c>
      <c r="M351">
        <v>100</v>
      </c>
    </row>
    <row r="352" spans="1:13" x14ac:dyDescent="0.25">
      <c r="A352" t="s">
        <v>344</v>
      </c>
      <c r="B352" t="s">
        <v>495</v>
      </c>
      <c r="C352" t="s">
        <v>492</v>
      </c>
      <c r="D352" t="s">
        <v>494</v>
      </c>
      <c r="E352">
        <v>2</v>
      </c>
      <c r="F352">
        <v>10</v>
      </c>
      <c r="G352">
        <v>260</v>
      </c>
      <c r="H352">
        <v>25</v>
      </c>
      <c r="I352">
        <v>33</v>
      </c>
      <c r="J352">
        <v>12.5</v>
      </c>
      <c r="K352">
        <v>15.2</v>
      </c>
      <c r="L352">
        <v>32</v>
      </c>
      <c r="M352">
        <v>100</v>
      </c>
    </row>
    <row r="353" spans="1:13" x14ac:dyDescent="0.25">
      <c r="A353" t="s">
        <v>344</v>
      </c>
      <c r="B353" t="s">
        <v>495</v>
      </c>
      <c r="C353" t="s">
        <v>492</v>
      </c>
      <c r="D353" t="s">
        <v>494</v>
      </c>
      <c r="E353">
        <v>2</v>
      </c>
      <c r="F353">
        <v>10</v>
      </c>
      <c r="G353">
        <v>280</v>
      </c>
      <c r="H353">
        <v>25</v>
      </c>
      <c r="I353">
        <v>33</v>
      </c>
      <c r="J353">
        <v>12.5</v>
      </c>
      <c r="K353">
        <v>15.2</v>
      </c>
      <c r="L353">
        <v>32</v>
      </c>
      <c r="M353">
        <v>100</v>
      </c>
    </row>
    <row r="354" spans="1:13" x14ac:dyDescent="0.25">
      <c r="A354" t="s">
        <v>344</v>
      </c>
      <c r="B354" t="s">
        <v>495</v>
      </c>
      <c r="C354" t="s">
        <v>492</v>
      </c>
      <c r="D354" t="s">
        <v>494</v>
      </c>
      <c r="E354">
        <v>2</v>
      </c>
      <c r="F354">
        <v>10</v>
      </c>
      <c r="G354">
        <v>300</v>
      </c>
      <c r="H354">
        <v>25</v>
      </c>
      <c r="I354">
        <v>33</v>
      </c>
      <c r="J354">
        <v>12.5</v>
      </c>
      <c r="K354">
        <v>15.2</v>
      </c>
      <c r="L354">
        <v>32</v>
      </c>
      <c r="M354">
        <v>100</v>
      </c>
    </row>
    <row r="355" spans="1:13" x14ac:dyDescent="0.25">
      <c r="A355" t="s">
        <v>344</v>
      </c>
      <c r="B355" t="s">
        <v>495</v>
      </c>
      <c r="C355" t="s">
        <v>492</v>
      </c>
      <c r="D355" t="s">
        <v>494</v>
      </c>
      <c r="E355">
        <v>2</v>
      </c>
      <c r="F355">
        <v>10</v>
      </c>
      <c r="G355">
        <v>320</v>
      </c>
      <c r="H355">
        <v>25</v>
      </c>
      <c r="I355">
        <v>33</v>
      </c>
      <c r="J355">
        <v>12.5</v>
      </c>
      <c r="K355">
        <v>15.2</v>
      </c>
      <c r="L355">
        <v>32</v>
      </c>
      <c r="M355">
        <v>100</v>
      </c>
    </row>
    <row r="356" spans="1:13" x14ac:dyDescent="0.25">
      <c r="A356" t="s">
        <v>344</v>
      </c>
      <c r="B356" t="s">
        <v>495</v>
      </c>
      <c r="C356" t="s">
        <v>492</v>
      </c>
      <c r="D356" t="s">
        <v>494</v>
      </c>
      <c r="E356">
        <v>2</v>
      </c>
      <c r="F356">
        <v>10</v>
      </c>
      <c r="G356">
        <v>340</v>
      </c>
      <c r="H356">
        <v>25</v>
      </c>
      <c r="I356">
        <v>33</v>
      </c>
      <c r="J356">
        <v>12.5</v>
      </c>
      <c r="K356">
        <v>15.2</v>
      </c>
      <c r="L356">
        <v>32</v>
      </c>
      <c r="M356">
        <v>100</v>
      </c>
    </row>
    <row r="357" spans="1:13" x14ac:dyDescent="0.25">
      <c r="A357" t="s">
        <v>344</v>
      </c>
      <c r="B357" t="s">
        <v>495</v>
      </c>
      <c r="C357" t="s">
        <v>492</v>
      </c>
      <c r="D357" t="s">
        <v>494</v>
      </c>
      <c r="E357">
        <v>2</v>
      </c>
      <c r="F357">
        <v>10</v>
      </c>
      <c r="G357">
        <v>360</v>
      </c>
      <c r="H357">
        <v>25</v>
      </c>
      <c r="I357">
        <v>33</v>
      </c>
      <c r="J357">
        <v>12.5</v>
      </c>
      <c r="K357">
        <v>15.2</v>
      </c>
      <c r="L357">
        <v>32</v>
      </c>
      <c r="M357">
        <v>100</v>
      </c>
    </row>
    <row r="358" spans="1:13" x14ac:dyDescent="0.25">
      <c r="A358" t="s">
        <v>344</v>
      </c>
      <c r="B358" t="s">
        <v>495</v>
      </c>
      <c r="C358" t="s">
        <v>492</v>
      </c>
      <c r="D358" t="s">
        <v>494</v>
      </c>
      <c r="E358">
        <v>2</v>
      </c>
      <c r="F358">
        <v>10</v>
      </c>
      <c r="G358">
        <v>380</v>
      </c>
      <c r="H358">
        <v>25</v>
      </c>
      <c r="I358">
        <v>33</v>
      </c>
      <c r="J358">
        <v>12.5</v>
      </c>
      <c r="K358">
        <v>15.2</v>
      </c>
      <c r="L358">
        <v>32</v>
      </c>
      <c r="M358">
        <v>100</v>
      </c>
    </row>
    <row r="359" spans="1:13" x14ac:dyDescent="0.25">
      <c r="A359" t="s">
        <v>344</v>
      </c>
      <c r="B359" t="s">
        <v>495</v>
      </c>
      <c r="C359" t="s">
        <v>492</v>
      </c>
      <c r="D359" t="s">
        <v>494</v>
      </c>
      <c r="E359">
        <v>2</v>
      </c>
      <c r="F359">
        <v>10</v>
      </c>
      <c r="G359">
        <v>400</v>
      </c>
      <c r="H359">
        <v>25</v>
      </c>
      <c r="I359">
        <v>33</v>
      </c>
      <c r="J359">
        <v>12.5</v>
      </c>
      <c r="K359">
        <v>15.2</v>
      </c>
      <c r="L359">
        <v>32</v>
      </c>
      <c r="M359">
        <v>100</v>
      </c>
    </row>
    <row r="360" spans="1:13" x14ac:dyDescent="0.25">
      <c r="A360" t="s">
        <v>344</v>
      </c>
      <c r="B360" t="s">
        <v>495</v>
      </c>
      <c r="C360" t="s">
        <v>511</v>
      </c>
      <c r="D360" t="s">
        <v>512</v>
      </c>
      <c r="E360">
        <v>2</v>
      </c>
      <c r="F360">
        <v>8</v>
      </c>
      <c r="G360">
        <v>40</v>
      </c>
      <c r="H360">
        <v>20</v>
      </c>
      <c r="I360">
        <v>21</v>
      </c>
      <c r="J360">
        <v>13.1</v>
      </c>
      <c r="K360">
        <v>17.600000000000001</v>
      </c>
      <c r="L360">
        <v>22</v>
      </c>
      <c r="M360">
        <v>32</v>
      </c>
    </row>
    <row r="361" spans="1:13" x14ac:dyDescent="0.25">
      <c r="A361" t="s">
        <v>344</v>
      </c>
      <c r="B361" t="s">
        <v>495</v>
      </c>
      <c r="C361" t="s">
        <v>511</v>
      </c>
      <c r="D361" t="s">
        <v>512</v>
      </c>
      <c r="E361">
        <v>2</v>
      </c>
      <c r="F361">
        <v>8</v>
      </c>
      <c r="G361">
        <v>50</v>
      </c>
      <c r="H361">
        <v>20</v>
      </c>
      <c r="I361">
        <v>21</v>
      </c>
      <c r="J361">
        <v>13.1</v>
      </c>
      <c r="K361">
        <v>17.600000000000001</v>
      </c>
      <c r="L361">
        <v>22</v>
      </c>
      <c r="M361">
        <v>42</v>
      </c>
    </row>
    <row r="362" spans="1:13" x14ac:dyDescent="0.25">
      <c r="A362" t="s">
        <v>344</v>
      </c>
      <c r="B362" t="s">
        <v>495</v>
      </c>
      <c r="C362" t="s">
        <v>511</v>
      </c>
      <c r="D362" t="s">
        <v>512</v>
      </c>
      <c r="E362">
        <v>2</v>
      </c>
      <c r="F362">
        <v>8</v>
      </c>
      <c r="G362">
        <v>60</v>
      </c>
      <c r="H362">
        <v>20</v>
      </c>
      <c r="I362">
        <v>21</v>
      </c>
      <c r="J362">
        <v>13.1</v>
      </c>
      <c r="K362">
        <v>17.600000000000001</v>
      </c>
      <c r="L362">
        <v>22</v>
      </c>
      <c r="M362">
        <v>52</v>
      </c>
    </row>
    <row r="363" spans="1:13" x14ac:dyDescent="0.25">
      <c r="A363" t="s">
        <v>344</v>
      </c>
      <c r="B363" t="s">
        <v>495</v>
      </c>
      <c r="C363" t="s">
        <v>513</v>
      </c>
      <c r="D363" t="s">
        <v>514</v>
      </c>
      <c r="E363">
        <v>2</v>
      </c>
      <c r="F363">
        <v>6</v>
      </c>
      <c r="G363">
        <v>80</v>
      </c>
      <c r="H363">
        <v>8.1999999999999993</v>
      </c>
      <c r="I363">
        <v>10</v>
      </c>
      <c r="J363">
        <v>13.5</v>
      </c>
      <c r="K363">
        <v>0</v>
      </c>
      <c r="L363">
        <v>12.5</v>
      </c>
      <c r="M363">
        <v>70</v>
      </c>
    </row>
    <row r="364" spans="1:13" x14ac:dyDescent="0.25">
      <c r="A364" t="s">
        <v>344</v>
      </c>
      <c r="B364" t="s">
        <v>495</v>
      </c>
      <c r="C364" t="s">
        <v>513</v>
      </c>
      <c r="D364" t="s">
        <v>514</v>
      </c>
      <c r="E364">
        <v>2</v>
      </c>
      <c r="F364">
        <v>6</v>
      </c>
      <c r="G364">
        <v>100</v>
      </c>
      <c r="H364">
        <v>8.1999999999999993</v>
      </c>
      <c r="I364">
        <v>10</v>
      </c>
      <c r="J364">
        <v>13.5</v>
      </c>
      <c r="K364">
        <v>0</v>
      </c>
      <c r="L364">
        <v>12.5</v>
      </c>
      <c r="M364">
        <v>90</v>
      </c>
    </row>
    <row r="365" spans="1:13" x14ac:dyDescent="0.25">
      <c r="A365" t="s">
        <v>344</v>
      </c>
      <c r="B365" t="s">
        <v>495</v>
      </c>
      <c r="C365" t="s">
        <v>513</v>
      </c>
      <c r="D365" t="s">
        <v>514</v>
      </c>
      <c r="E365">
        <v>2</v>
      </c>
      <c r="F365">
        <v>6</v>
      </c>
      <c r="G365">
        <v>120</v>
      </c>
      <c r="H365">
        <v>8.1999999999999993</v>
      </c>
      <c r="I365">
        <v>10</v>
      </c>
      <c r="J365">
        <v>13.5</v>
      </c>
      <c r="K365">
        <v>0</v>
      </c>
      <c r="L365">
        <v>12.5</v>
      </c>
      <c r="M365">
        <v>110</v>
      </c>
    </row>
    <row r="366" spans="1:13" x14ac:dyDescent="0.25">
      <c r="A366" t="s">
        <v>344</v>
      </c>
      <c r="B366" t="s">
        <v>495</v>
      </c>
      <c r="C366" t="s">
        <v>513</v>
      </c>
      <c r="D366" t="s">
        <v>514</v>
      </c>
      <c r="E366">
        <v>2</v>
      </c>
      <c r="F366">
        <v>6</v>
      </c>
      <c r="G366">
        <v>140</v>
      </c>
      <c r="H366">
        <v>8.1999999999999993</v>
      </c>
      <c r="I366">
        <v>10</v>
      </c>
      <c r="J366">
        <v>13.5</v>
      </c>
      <c r="K366">
        <v>0</v>
      </c>
      <c r="L366">
        <v>12.5</v>
      </c>
      <c r="M366">
        <v>130</v>
      </c>
    </row>
    <row r="367" spans="1:13" x14ac:dyDescent="0.25">
      <c r="A367" t="s">
        <v>344</v>
      </c>
      <c r="B367" t="s">
        <v>495</v>
      </c>
      <c r="C367" t="s">
        <v>513</v>
      </c>
      <c r="D367" t="s">
        <v>514</v>
      </c>
      <c r="E367">
        <v>2</v>
      </c>
      <c r="F367">
        <v>6</v>
      </c>
      <c r="G367">
        <v>160</v>
      </c>
      <c r="H367">
        <v>8.1999999999999993</v>
      </c>
      <c r="I367">
        <v>10</v>
      </c>
      <c r="J367">
        <v>13.5</v>
      </c>
      <c r="K367">
        <v>0</v>
      </c>
      <c r="L367">
        <v>12.5</v>
      </c>
      <c r="M367">
        <v>150</v>
      </c>
    </row>
    <row r="368" spans="1:13" x14ac:dyDescent="0.25">
      <c r="A368" t="s">
        <v>344</v>
      </c>
      <c r="B368" t="s">
        <v>495</v>
      </c>
      <c r="C368" t="s">
        <v>513</v>
      </c>
      <c r="D368" t="s">
        <v>514</v>
      </c>
      <c r="E368">
        <v>2</v>
      </c>
      <c r="F368">
        <v>6</v>
      </c>
      <c r="G368">
        <v>180</v>
      </c>
      <c r="H368">
        <v>8.1999999999999993</v>
      </c>
      <c r="I368">
        <v>10</v>
      </c>
      <c r="J368">
        <v>13.5</v>
      </c>
      <c r="K368">
        <v>0</v>
      </c>
      <c r="L368">
        <v>12.5</v>
      </c>
      <c r="M368">
        <v>170</v>
      </c>
    </row>
    <row r="369" spans="1:13" x14ac:dyDescent="0.25">
      <c r="A369" t="s">
        <v>344</v>
      </c>
      <c r="B369" t="s">
        <v>495</v>
      </c>
      <c r="C369" t="s">
        <v>513</v>
      </c>
      <c r="D369" t="s">
        <v>514</v>
      </c>
      <c r="E369">
        <v>2</v>
      </c>
      <c r="F369">
        <v>6</v>
      </c>
      <c r="G369">
        <v>200</v>
      </c>
      <c r="H369">
        <v>8.1999999999999993</v>
      </c>
      <c r="I369">
        <v>10</v>
      </c>
      <c r="J369">
        <v>13.5</v>
      </c>
      <c r="K369">
        <v>0</v>
      </c>
      <c r="L369">
        <v>12.5</v>
      </c>
      <c r="M369">
        <v>190</v>
      </c>
    </row>
    <row r="370" spans="1:13" x14ac:dyDescent="0.25">
      <c r="A370" t="s">
        <v>344</v>
      </c>
      <c r="B370" t="s">
        <v>495</v>
      </c>
      <c r="C370" t="s">
        <v>513</v>
      </c>
      <c r="D370" t="s">
        <v>514</v>
      </c>
      <c r="E370">
        <v>2</v>
      </c>
      <c r="F370">
        <v>8</v>
      </c>
      <c r="G370">
        <v>120</v>
      </c>
      <c r="H370">
        <v>10.199999999999999</v>
      </c>
      <c r="I370">
        <v>20.3</v>
      </c>
      <c r="J370">
        <v>13.1</v>
      </c>
      <c r="K370">
        <v>0</v>
      </c>
      <c r="L370">
        <v>24.1</v>
      </c>
      <c r="M370">
        <v>110</v>
      </c>
    </row>
    <row r="371" spans="1:13" x14ac:dyDescent="0.25">
      <c r="A371" t="s">
        <v>344</v>
      </c>
      <c r="B371" t="s">
        <v>495</v>
      </c>
      <c r="C371" t="s">
        <v>513</v>
      </c>
      <c r="D371" t="s">
        <v>514</v>
      </c>
      <c r="E371">
        <v>2</v>
      </c>
      <c r="F371">
        <v>8</v>
      </c>
      <c r="G371">
        <v>140</v>
      </c>
      <c r="H371">
        <v>10.199999999999999</v>
      </c>
      <c r="I371">
        <v>20.3</v>
      </c>
      <c r="J371">
        <v>13.1</v>
      </c>
      <c r="K371">
        <v>0</v>
      </c>
      <c r="L371">
        <v>24.1</v>
      </c>
      <c r="M371">
        <v>130</v>
      </c>
    </row>
    <row r="372" spans="1:13" x14ac:dyDescent="0.25">
      <c r="A372" t="s">
        <v>344</v>
      </c>
      <c r="B372" t="s">
        <v>495</v>
      </c>
      <c r="C372" t="s">
        <v>513</v>
      </c>
      <c r="D372" t="s">
        <v>514</v>
      </c>
      <c r="E372">
        <v>2</v>
      </c>
      <c r="F372">
        <v>8</v>
      </c>
      <c r="G372">
        <v>160</v>
      </c>
      <c r="H372">
        <v>10.199999999999999</v>
      </c>
      <c r="I372">
        <v>20.3</v>
      </c>
      <c r="J372">
        <v>13.1</v>
      </c>
      <c r="K372">
        <v>0</v>
      </c>
      <c r="L372">
        <v>24.1</v>
      </c>
      <c r="M372">
        <v>150</v>
      </c>
    </row>
    <row r="373" spans="1:13" x14ac:dyDescent="0.25">
      <c r="A373" t="s">
        <v>344</v>
      </c>
      <c r="B373" t="s">
        <v>495</v>
      </c>
      <c r="C373" t="s">
        <v>513</v>
      </c>
      <c r="D373" t="s">
        <v>514</v>
      </c>
      <c r="E373">
        <v>2</v>
      </c>
      <c r="F373">
        <v>8</v>
      </c>
      <c r="G373">
        <v>180</v>
      </c>
      <c r="H373">
        <v>10.199999999999999</v>
      </c>
      <c r="I373">
        <v>20.3</v>
      </c>
      <c r="J373">
        <v>13.1</v>
      </c>
      <c r="K373">
        <v>0</v>
      </c>
      <c r="L373">
        <v>24.1</v>
      </c>
      <c r="M373">
        <v>170</v>
      </c>
    </row>
    <row r="374" spans="1:13" x14ac:dyDescent="0.25">
      <c r="A374" t="s">
        <v>344</v>
      </c>
      <c r="B374" t="s">
        <v>495</v>
      </c>
      <c r="C374" t="s">
        <v>513</v>
      </c>
      <c r="D374" t="s">
        <v>514</v>
      </c>
      <c r="E374">
        <v>2</v>
      </c>
      <c r="F374">
        <v>8</v>
      </c>
      <c r="G374">
        <v>200</v>
      </c>
      <c r="H374">
        <v>10.199999999999999</v>
      </c>
      <c r="I374">
        <v>20.3</v>
      </c>
      <c r="J374">
        <v>13.1</v>
      </c>
      <c r="K374">
        <v>0</v>
      </c>
      <c r="L374">
        <v>24.1</v>
      </c>
      <c r="M374">
        <v>190</v>
      </c>
    </row>
    <row r="375" spans="1:13" x14ac:dyDescent="0.25">
      <c r="A375" t="s">
        <v>344</v>
      </c>
      <c r="B375" t="s">
        <v>495</v>
      </c>
      <c r="C375" t="s">
        <v>513</v>
      </c>
      <c r="D375" t="s">
        <v>514</v>
      </c>
      <c r="E375">
        <v>2</v>
      </c>
      <c r="F375">
        <v>8</v>
      </c>
      <c r="G375">
        <v>220</v>
      </c>
      <c r="H375">
        <v>10.199999999999999</v>
      </c>
      <c r="I375">
        <v>20.3</v>
      </c>
      <c r="J375">
        <v>13.1</v>
      </c>
      <c r="K375">
        <v>0</v>
      </c>
      <c r="L375">
        <v>24.1</v>
      </c>
      <c r="M375">
        <v>210</v>
      </c>
    </row>
    <row r="376" spans="1:13" x14ac:dyDescent="0.25">
      <c r="A376" t="s">
        <v>344</v>
      </c>
      <c r="B376" t="s">
        <v>495</v>
      </c>
      <c r="C376" t="s">
        <v>513</v>
      </c>
      <c r="D376" t="s">
        <v>514</v>
      </c>
      <c r="E376">
        <v>2</v>
      </c>
      <c r="F376">
        <v>8</v>
      </c>
      <c r="G376">
        <v>240</v>
      </c>
      <c r="H376">
        <v>10.199999999999999</v>
      </c>
      <c r="I376">
        <v>20.3</v>
      </c>
      <c r="J376">
        <v>13.1</v>
      </c>
      <c r="K376">
        <v>0</v>
      </c>
      <c r="L376">
        <v>24.1</v>
      </c>
      <c r="M376">
        <v>230</v>
      </c>
    </row>
    <row r="377" spans="1:13" x14ac:dyDescent="0.25">
      <c r="A377" t="s">
        <v>344</v>
      </c>
      <c r="B377" t="s">
        <v>495</v>
      </c>
      <c r="C377" t="s">
        <v>513</v>
      </c>
      <c r="D377" t="s">
        <v>514</v>
      </c>
      <c r="E377">
        <v>2</v>
      </c>
      <c r="F377">
        <v>8</v>
      </c>
      <c r="G377">
        <v>260</v>
      </c>
      <c r="H377">
        <v>10.199999999999999</v>
      </c>
      <c r="I377">
        <v>20.3</v>
      </c>
      <c r="J377">
        <v>13.1</v>
      </c>
      <c r="K377">
        <v>0</v>
      </c>
      <c r="L377">
        <v>24.1</v>
      </c>
      <c r="M377">
        <v>250</v>
      </c>
    </row>
    <row r="378" spans="1:13" x14ac:dyDescent="0.25">
      <c r="A378" t="s">
        <v>344</v>
      </c>
      <c r="B378" t="s">
        <v>495</v>
      </c>
      <c r="C378" t="s">
        <v>513</v>
      </c>
      <c r="D378" t="s">
        <v>514</v>
      </c>
      <c r="E378">
        <v>2</v>
      </c>
      <c r="F378">
        <v>8</v>
      </c>
      <c r="G378">
        <v>280</v>
      </c>
      <c r="H378">
        <v>10.199999999999999</v>
      </c>
      <c r="I378">
        <v>20.3</v>
      </c>
      <c r="J378">
        <v>13.1</v>
      </c>
      <c r="K378">
        <v>0</v>
      </c>
      <c r="L378">
        <v>24.1</v>
      </c>
      <c r="M378">
        <v>270</v>
      </c>
    </row>
    <row r="379" spans="1:13" x14ac:dyDescent="0.25">
      <c r="A379" t="s">
        <v>344</v>
      </c>
      <c r="B379" t="s">
        <v>495</v>
      </c>
      <c r="C379" t="s">
        <v>513</v>
      </c>
      <c r="D379" t="s">
        <v>514</v>
      </c>
      <c r="E379">
        <v>2</v>
      </c>
      <c r="F379">
        <v>8</v>
      </c>
      <c r="G379">
        <v>300</v>
      </c>
      <c r="H379">
        <v>10.199999999999999</v>
      </c>
      <c r="I379">
        <v>20.3</v>
      </c>
      <c r="J379">
        <v>13.1</v>
      </c>
      <c r="K379">
        <v>0</v>
      </c>
      <c r="L379">
        <v>24.1</v>
      </c>
      <c r="M379">
        <v>290</v>
      </c>
    </row>
    <row r="380" spans="1:13" x14ac:dyDescent="0.25">
      <c r="A380" t="s">
        <v>344</v>
      </c>
      <c r="B380" t="s">
        <v>495</v>
      </c>
      <c r="C380" t="s">
        <v>513</v>
      </c>
      <c r="D380" t="s">
        <v>514</v>
      </c>
      <c r="E380">
        <v>2</v>
      </c>
      <c r="F380">
        <v>8</v>
      </c>
      <c r="G380">
        <v>325</v>
      </c>
      <c r="H380">
        <v>10.199999999999999</v>
      </c>
      <c r="I380">
        <v>20.3</v>
      </c>
      <c r="J380">
        <v>13.1</v>
      </c>
      <c r="K380">
        <v>0</v>
      </c>
      <c r="L380">
        <v>24.1</v>
      </c>
      <c r="M380">
        <v>315</v>
      </c>
    </row>
    <row r="381" spans="1:13" x14ac:dyDescent="0.25">
      <c r="A381" t="s">
        <v>344</v>
      </c>
      <c r="B381" t="s">
        <v>495</v>
      </c>
      <c r="C381" t="s">
        <v>513</v>
      </c>
      <c r="D381" t="s">
        <v>514</v>
      </c>
      <c r="E381">
        <v>2</v>
      </c>
      <c r="F381">
        <v>8</v>
      </c>
      <c r="G381">
        <v>350</v>
      </c>
      <c r="H381">
        <v>10.199999999999999</v>
      </c>
      <c r="I381">
        <v>20.3</v>
      </c>
      <c r="J381">
        <v>13.1</v>
      </c>
      <c r="K381">
        <v>0</v>
      </c>
      <c r="L381">
        <v>24.1</v>
      </c>
      <c r="M381">
        <v>340</v>
      </c>
    </row>
    <row r="382" spans="1:13" x14ac:dyDescent="0.25">
      <c r="A382" t="s">
        <v>344</v>
      </c>
      <c r="B382" t="s">
        <v>495</v>
      </c>
      <c r="C382" t="s">
        <v>513</v>
      </c>
      <c r="D382" t="s">
        <v>514</v>
      </c>
      <c r="E382">
        <v>2</v>
      </c>
      <c r="F382">
        <v>8</v>
      </c>
      <c r="G382">
        <v>375</v>
      </c>
      <c r="H382">
        <v>10.199999999999999</v>
      </c>
      <c r="I382">
        <v>20.3</v>
      </c>
      <c r="J382">
        <v>13.1</v>
      </c>
      <c r="K382">
        <v>0</v>
      </c>
      <c r="L382">
        <v>24.1</v>
      </c>
      <c r="M382">
        <v>365</v>
      </c>
    </row>
    <row r="383" spans="1:13" x14ac:dyDescent="0.25">
      <c r="A383" t="s">
        <v>344</v>
      </c>
      <c r="B383" t="s">
        <v>495</v>
      </c>
      <c r="C383" t="s">
        <v>513</v>
      </c>
      <c r="D383" t="s">
        <v>514</v>
      </c>
      <c r="E383">
        <v>2</v>
      </c>
      <c r="F383">
        <v>8</v>
      </c>
      <c r="G383">
        <v>400</v>
      </c>
      <c r="H383">
        <v>10.199999999999999</v>
      </c>
      <c r="I383">
        <v>20.3</v>
      </c>
      <c r="J383">
        <v>13.1</v>
      </c>
      <c r="K383">
        <v>0</v>
      </c>
      <c r="L383">
        <v>24.1</v>
      </c>
      <c r="M383">
        <v>390</v>
      </c>
    </row>
    <row r="384" spans="1:13" x14ac:dyDescent="0.25">
      <c r="A384" t="s">
        <v>344</v>
      </c>
      <c r="B384" t="s">
        <v>495</v>
      </c>
      <c r="C384" t="s">
        <v>513</v>
      </c>
      <c r="D384" t="s">
        <v>515</v>
      </c>
      <c r="E384">
        <v>2</v>
      </c>
      <c r="F384">
        <v>8</v>
      </c>
      <c r="G384">
        <v>450</v>
      </c>
      <c r="H384">
        <v>10.199999999999999</v>
      </c>
      <c r="I384">
        <v>20.3</v>
      </c>
      <c r="J384">
        <v>13.1</v>
      </c>
      <c r="K384">
        <v>0</v>
      </c>
      <c r="L384">
        <v>24.1</v>
      </c>
      <c r="M384">
        <v>428</v>
      </c>
    </row>
    <row r="385" spans="1:13" x14ac:dyDescent="0.25">
      <c r="A385" t="s">
        <v>344</v>
      </c>
      <c r="B385" t="s">
        <v>495</v>
      </c>
      <c r="C385" t="s">
        <v>513</v>
      </c>
      <c r="D385" t="s">
        <v>515</v>
      </c>
      <c r="E385">
        <v>2</v>
      </c>
      <c r="F385">
        <v>8</v>
      </c>
      <c r="G385">
        <v>500</v>
      </c>
      <c r="H385">
        <v>10.199999999999999</v>
      </c>
      <c r="I385">
        <v>20.3</v>
      </c>
      <c r="J385">
        <v>13.1</v>
      </c>
      <c r="K385">
        <v>0</v>
      </c>
      <c r="L385">
        <v>24.1</v>
      </c>
      <c r="M385">
        <v>478</v>
      </c>
    </row>
    <row r="386" spans="1:13" x14ac:dyDescent="0.25">
      <c r="A386" t="s">
        <v>344</v>
      </c>
      <c r="B386" t="s">
        <v>495</v>
      </c>
      <c r="C386" t="s">
        <v>513</v>
      </c>
      <c r="D386" t="s">
        <v>515</v>
      </c>
      <c r="E386">
        <v>2</v>
      </c>
      <c r="F386">
        <v>8</v>
      </c>
      <c r="G386">
        <v>600</v>
      </c>
      <c r="H386">
        <v>10.199999999999999</v>
      </c>
      <c r="I386">
        <v>20.3</v>
      </c>
      <c r="J386">
        <v>13.1</v>
      </c>
      <c r="K386">
        <v>0</v>
      </c>
      <c r="L386">
        <v>24.1</v>
      </c>
      <c r="M386">
        <v>578</v>
      </c>
    </row>
    <row r="387" spans="1:13" x14ac:dyDescent="0.25">
      <c r="A387" t="s">
        <v>344</v>
      </c>
      <c r="B387" t="s">
        <v>495</v>
      </c>
      <c r="C387" t="s">
        <v>513</v>
      </c>
      <c r="D387" t="s">
        <v>515</v>
      </c>
      <c r="E387">
        <v>2</v>
      </c>
      <c r="F387">
        <v>10</v>
      </c>
      <c r="G387">
        <v>200</v>
      </c>
      <c r="H387">
        <v>13.4</v>
      </c>
      <c r="I387">
        <v>36.700000000000003</v>
      </c>
      <c r="J387">
        <v>12.5</v>
      </c>
      <c r="K387">
        <v>0</v>
      </c>
      <c r="L387">
        <v>40</v>
      </c>
      <c r="M387">
        <v>188</v>
      </c>
    </row>
    <row r="388" spans="1:13" x14ac:dyDescent="0.25">
      <c r="A388" t="s">
        <v>344</v>
      </c>
      <c r="B388" t="s">
        <v>495</v>
      </c>
      <c r="C388" t="s">
        <v>513</v>
      </c>
      <c r="D388" t="s">
        <v>515</v>
      </c>
      <c r="E388">
        <v>2</v>
      </c>
      <c r="F388">
        <v>10</v>
      </c>
      <c r="G388">
        <v>240</v>
      </c>
      <c r="H388">
        <v>13.4</v>
      </c>
      <c r="I388">
        <v>36.700000000000003</v>
      </c>
      <c r="J388">
        <v>12.5</v>
      </c>
      <c r="K388">
        <v>0</v>
      </c>
      <c r="L388">
        <v>40</v>
      </c>
      <c r="M388">
        <v>228</v>
      </c>
    </row>
    <row r="389" spans="1:13" x14ac:dyDescent="0.25">
      <c r="A389" t="s">
        <v>344</v>
      </c>
      <c r="B389" t="s">
        <v>495</v>
      </c>
      <c r="C389" t="s">
        <v>513</v>
      </c>
      <c r="D389" t="s">
        <v>515</v>
      </c>
      <c r="E389">
        <v>2</v>
      </c>
      <c r="F389">
        <v>10</v>
      </c>
      <c r="G389">
        <v>260</v>
      </c>
      <c r="H389">
        <v>13.4</v>
      </c>
      <c r="I389">
        <v>36.700000000000003</v>
      </c>
      <c r="J389">
        <v>12.5</v>
      </c>
      <c r="K389">
        <v>0</v>
      </c>
      <c r="L389">
        <v>40</v>
      </c>
      <c r="M389">
        <v>248</v>
      </c>
    </row>
    <row r="390" spans="1:13" x14ac:dyDescent="0.25">
      <c r="A390" t="s">
        <v>344</v>
      </c>
      <c r="B390" t="s">
        <v>495</v>
      </c>
      <c r="C390" t="s">
        <v>513</v>
      </c>
      <c r="D390" t="s">
        <v>515</v>
      </c>
      <c r="E390">
        <v>2</v>
      </c>
      <c r="F390">
        <v>10</v>
      </c>
      <c r="G390">
        <v>280</v>
      </c>
      <c r="H390">
        <v>13.4</v>
      </c>
      <c r="I390">
        <v>36.700000000000003</v>
      </c>
      <c r="J390">
        <v>12.5</v>
      </c>
      <c r="K390">
        <v>0</v>
      </c>
      <c r="L390">
        <v>40</v>
      </c>
      <c r="M390">
        <v>268</v>
      </c>
    </row>
    <row r="391" spans="1:13" x14ac:dyDescent="0.25">
      <c r="A391" t="s">
        <v>344</v>
      </c>
      <c r="B391" t="s">
        <v>495</v>
      </c>
      <c r="C391" t="s">
        <v>513</v>
      </c>
      <c r="D391" t="s">
        <v>515</v>
      </c>
      <c r="E391">
        <v>2</v>
      </c>
      <c r="F391">
        <v>10</v>
      </c>
      <c r="G391">
        <v>300</v>
      </c>
      <c r="H391">
        <v>13.4</v>
      </c>
      <c r="I391">
        <v>36.700000000000003</v>
      </c>
      <c r="J391">
        <v>12.5</v>
      </c>
      <c r="K391">
        <v>0</v>
      </c>
      <c r="L391">
        <v>40</v>
      </c>
      <c r="M391">
        <v>288</v>
      </c>
    </row>
    <row r="392" spans="1:13" x14ac:dyDescent="0.25">
      <c r="A392" t="s">
        <v>344</v>
      </c>
      <c r="B392" t="s">
        <v>495</v>
      </c>
      <c r="C392" t="s">
        <v>513</v>
      </c>
      <c r="D392" t="s">
        <v>515</v>
      </c>
      <c r="E392">
        <v>2</v>
      </c>
      <c r="F392">
        <v>10</v>
      </c>
      <c r="G392">
        <v>325</v>
      </c>
      <c r="H392">
        <v>13.4</v>
      </c>
      <c r="I392">
        <v>36.700000000000003</v>
      </c>
      <c r="J392">
        <v>12.5</v>
      </c>
      <c r="K392">
        <v>0</v>
      </c>
      <c r="L392">
        <v>40</v>
      </c>
      <c r="M392">
        <v>301</v>
      </c>
    </row>
    <row r="393" spans="1:13" x14ac:dyDescent="0.25">
      <c r="A393" t="s">
        <v>344</v>
      </c>
      <c r="B393" t="s">
        <v>495</v>
      </c>
      <c r="C393" t="s">
        <v>513</v>
      </c>
      <c r="D393" t="s">
        <v>515</v>
      </c>
      <c r="E393">
        <v>2</v>
      </c>
      <c r="F393">
        <v>10</v>
      </c>
      <c r="G393">
        <v>350</v>
      </c>
      <c r="H393">
        <v>13.4</v>
      </c>
      <c r="I393">
        <v>36.700000000000003</v>
      </c>
      <c r="J393">
        <v>12.5</v>
      </c>
      <c r="K393">
        <v>0</v>
      </c>
      <c r="L393">
        <v>40</v>
      </c>
      <c r="M393">
        <v>326</v>
      </c>
    </row>
    <row r="394" spans="1:13" x14ac:dyDescent="0.25">
      <c r="A394" t="s">
        <v>344</v>
      </c>
      <c r="B394" t="s">
        <v>495</v>
      </c>
      <c r="C394" t="s">
        <v>513</v>
      </c>
      <c r="D394" t="s">
        <v>515</v>
      </c>
      <c r="E394">
        <v>2</v>
      </c>
      <c r="F394">
        <v>10</v>
      </c>
      <c r="G394">
        <v>375</v>
      </c>
      <c r="H394">
        <v>13.4</v>
      </c>
      <c r="I394">
        <v>36.700000000000003</v>
      </c>
      <c r="J394">
        <v>12.5</v>
      </c>
      <c r="K394">
        <v>0</v>
      </c>
      <c r="L394">
        <v>40</v>
      </c>
      <c r="M394">
        <v>351</v>
      </c>
    </row>
    <row r="395" spans="1:13" x14ac:dyDescent="0.25">
      <c r="A395" t="s">
        <v>344</v>
      </c>
      <c r="B395" t="s">
        <v>495</v>
      </c>
      <c r="C395" t="s">
        <v>513</v>
      </c>
      <c r="D395" t="s">
        <v>515</v>
      </c>
      <c r="E395">
        <v>2</v>
      </c>
      <c r="F395">
        <v>10</v>
      </c>
      <c r="G395">
        <v>400</v>
      </c>
      <c r="H395">
        <v>13.4</v>
      </c>
      <c r="I395">
        <v>36.700000000000003</v>
      </c>
      <c r="J395">
        <v>12.5</v>
      </c>
      <c r="K395">
        <v>0</v>
      </c>
      <c r="L395">
        <v>40</v>
      </c>
      <c r="M395">
        <v>376</v>
      </c>
    </row>
    <row r="396" spans="1:13" x14ac:dyDescent="0.25">
      <c r="A396" t="s">
        <v>344</v>
      </c>
      <c r="B396" t="s">
        <v>495</v>
      </c>
      <c r="C396" t="s">
        <v>513</v>
      </c>
      <c r="D396" t="s">
        <v>515</v>
      </c>
      <c r="E396">
        <v>2</v>
      </c>
      <c r="F396">
        <v>10</v>
      </c>
      <c r="G396">
        <v>450</v>
      </c>
      <c r="H396">
        <v>13.4</v>
      </c>
      <c r="I396">
        <v>36.700000000000003</v>
      </c>
      <c r="J396">
        <v>12.5</v>
      </c>
      <c r="K396">
        <v>0</v>
      </c>
      <c r="L396">
        <v>40</v>
      </c>
      <c r="M396">
        <v>426</v>
      </c>
    </row>
    <row r="397" spans="1:13" x14ac:dyDescent="0.25">
      <c r="A397" t="s">
        <v>344</v>
      </c>
      <c r="B397" t="s">
        <v>495</v>
      </c>
      <c r="C397" t="s">
        <v>513</v>
      </c>
      <c r="D397" t="s">
        <v>515</v>
      </c>
      <c r="E397">
        <v>2</v>
      </c>
      <c r="F397">
        <v>10</v>
      </c>
      <c r="G397">
        <v>500</v>
      </c>
      <c r="H397">
        <v>13.4</v>
      </c>
      <c r="I397">
        <v>36.700000000000003</v>
      </c>
      <c r="J397">
        <v>12.5</v>
      </c>
      <c r="K397">
        <v>0</v>
      </c>
      <c r="L397">
        <v>40</v>
      </c>
      <c r="M397">
        <v>476</v>
      </c>
    </row>
    <row r="398" spans="1:13" x14ac:dyDescent="0.25">
      <c r="A398" t="s">
        <v>344</v>
      </c>
      <c r="B398" t="s">
        <v>495</v>
      </c>
      <c r="C398" t="s">
        <v>513</v>
      </c>
      <c r="D398" t="s">
        <v>515</v>
      </c>
      <c r="E398">
        <v>2</v>
      </c>
      <c r="F398">
        <v>10</v>
      </c>
      <c r="G398">
        <v>600</v>
      </c>
      <c r="H398">
        <v>13.4</v>
      </c>
      <c r="I398">
        <v>36.700000000000003</v>
      </c>
      <c r="J398">
        <v>12.5</v>
      </c>
      <c r="K398">
        <v>0</v>
      </c>
      <c r="L398">
        <v>40</v>
      </c>
      <c r="M398">
        <v>576</v>
      </c>
    </row>
    <row r="399" spans="1:13" x14ac:dyDescent="0.25">
      <c r="A399" t="s">
        <v>344</v>
      </c>
      <c r="B399" t="s">
        <v>495</v>
      </c>
      <c r="C399" t="s">
        <v>513</v>
      </c>
      <c r="D399" t="s">
        <v>515</v>
      </c>
      <c r="E399">
        <v>2</v>
      </c>
      <c r="F399">
        <v>10</v>
      </c>
      <c r="G399">
        <v>700</v>
      </c>
      <c r="H399">
        <v>13.4</v>
      </c>
      <c r="I399">
        <v>36.700000000000003</v>
      </c>
      <c r="J399">
        <v>12.5</v>
      </c>
      <c r="K399">
        <v>0</v>
      </c>
      <c r="L399">
        <v>40</v>
      </c>
      <c r="M399">
        <v>676</v>
      </c>
    </row>
    <row r="400" spans="1:13" x14ac:dyDescent="0.25">
      <c r="A400" t="s">
        <v>344</v>
      </c>
      <c r="B400" t="s">
        <v>495</v>
      </c>
      <c r="C400" t="s">
        <v>513</v>
      </c>
      <c r="D400" t="s">
        <v>515</v>
      </c>
      <c r="E400">
        <v>2</v>
      </c>
      <c r="F400">
        <v>10</v>
      </c>
      <c r="G400">
        <v>800</v>
      </c>
      <c r="H400">
        <v>13.4</v>
      </c>
      <c r="I400">
        <v>36.700000000000003</v>
      </c>
      <c r="J400">
        <v>12.5</v>
      </c>
      <c r="K400">
        <v>0</v>
      </c>
      <c r="L400">
        <v>40</v>
      </c>
      <c r="M400">
        <v>776</v>
      </c>
    </row>
    <row r="401" spans="1:13" x14ac:dyDescent="0.25">
      <c r="A401" t="s">
        <v>344</v>
      </c>
      <c r="B401" t="s">
        <v>495</v>
      </c>
      <c r="C401" t="s">
        <v>513</v>
      </c>
      <c r="D401" t="s">
        <v>515</v>
      </c>
      <c r="E401">
        <v>2</v>
      </c>
      <c r="F401">
        <v>10</v>
      </c>
      <c r="G401">
        <v>1000</v>
      </c>
      <c r="H401">
        <v>13.4</v>
      </c>
      <c r="I401">
        <v>36.700000000000003</v>
      </c>
      <c r="J401">
        <v>12.5</v>
      </c>
      <c r="K401">
        <v>0</v>
      </c>
      <c r="L401">
        <v>40</v>
      </c>
      <c r="M401">
        <v>976</v>
      </c>
    </row>
    <row r="402" spans="1:13" x14ac:dyDescent="0.25">
      <c r="A402" t="s">
        <v>344</v>
      </c>
      <c r="B402" t="s">
        <v>495</v>
      </c>
      <c r="C402" t="s">
        <v>516</v>
      </c>
      <c r="D402" t="s">
        <v>517</v>
      </c>
      <c r="E402">
        <v>2</v>
      </c>
      <c r="F402">
        <v>8</v>
      </c>
      <c r="G402">
        <v>120</v>
      </c>
      <c r="H402">
        <v>15</v>
      </c>
      <c r="I402">
        <v>20.3</v>
      </c>
      <c r="J402">
        <v>13.1</v>
      </c>
      <c r="K402">
        <v>12.4</v>
      </c>
      <c r="L402">
        <v>24.1</v>
      </c>
      <c r="M402">
        <v>110</v>
      </c>
    </row>
    <row r="403" spans="1:13" x14ac:dyDescent="0.25">
      <c r="A403" t="s">
        <v>344</v>
      </c>
      <c r="B403" t="s">
        <v>495</v>
      </c>
      <c r="C403" t="s">
        <v>516</v>
      </c>
      <c r="D403" t="s">
        <v>517</v>
      </c>
      <c r="E403">
        <v>2</v>
      </c>
      <c r="F403">
        <v>8</v>
      </c>
      <c r="G403">
        <v>140</v>
      </c>
      <c r="H403">
        <v>15</v>
      </c>
      <c r="I403">
        <v>20.3</v>
      </c>
      <c r="J403">
        <v>13.1</v>
      </c>
      <c r="K403">
        <v>12.4</v>
      </c>
      <c r="L403">
        <v>24.1</v>
      </c>
      <c r="M403">
        <v>130</v>
      </c>
    </row>
    <row r="404" spans="1:13" x14ac:dyDescent="0.25">
      <c r="A404" t="s">
        <v>344</v>
      </c>
      <c r="B404" t="s">
        <v>495</v>
      </c>
      <c r="C404" t="s">
        <v>516</v>
      </c>
      <c r="D404" t="s">
        <v>517</v>
      </c>
      <c r="E404">
        <v>2</v>
      </c>
      <c r="F404">
        <v>8</v>
      </c>
      <c r="G404">
        <v>160</v>
      </c>
      <c r="H404">
        <v>15</v>
      </c>
      <c r="I404">
        <v>20.3</v>
      </c>
      <c r="J404">
        <v>13.1</v>
      </c>
      <c r="K404">
        <v>12.4</v>
      </c>
      <c r="L404">
        <v>24.1</v>
      </c>
      <c r="M404">
        <v>150</v>
      </c>
    </row>
    <row r="405" spans="1:13" x14ac:dyDescent="0.25">
      <c r="A405" t="s">
        <v>344</v>
      </c>
      <c r="B405" t="s">
        <v>495</v>
      </c>
      <c r="C405" t="s">
        <v>516</v>
      </c>
      <c r="D405" t="s">
        <v>517</v>
      </c>
      <c r="E405">
        <v>2</v>
      </c>
      <c r="F405">
        <v>8</v>
      </c>
      <c r="G405">
        <v>180</v>
      </c>
      <c r="H405">
        <v>15</v>
      </c>
      <c r="I405">
        <v>20.3</v>
      </c>
      <c r="J405">
        <v>13.1</v>
      </c>
      <c r="K405">
        <v>12.4</v>
      </c>
      <c r="L405">
        <v>24.1</v>
      </c>
      <c r="M405">
        <v>170</v>
      </c>
    </row>
    <row r="406" spans="1:13" x14ac:dyDescent="0.25">
      <c r="A406" t="s">
        <v>344</v>
      </c>
      <c r="B406" t="s">
        <v>495</v>
      </c>
      <c r="C406" t="s">
        <v>516</v>
      </c>
      <c r="D406" t="s">
        <v>517</v>
      </c>
      <c r="E406">
        <v>2</v>
      </c>
      <c r="F406">
        <v>8</v>
      </c>
      <c r="G406">
        <v>200</v>
      </c>
      <c r="H406">
        <v>15</v>
      </c>
      <c r="I406">
        <v>20.3</v>
      </c>
      <c r="J406">
        <v>13.1</v>
      </c>
      <c r="K406">
        <v>12.4</v>
      </c>
      <c r="L406">
        <v>24.1</v>
      </c>
      <c r="M406">
        <v>190</v>
      </c>
    </row>
    <row r="407" spans="1:13" x14ac:dyDescent="0.25">
      <c r="A407" t="s">
        <v>344</v>
      </c>
      <c r="B407" t="s">
        <v>495</v>
      </c>
      <c r="C407" t="s">
        <v>516</v>
      </c>
      <c r="D407" t="s">
        <v>517</v>
      </c>
      <c r="E407">
        <v>2</v>
      </c>
      <c r="F407">
        <v>8</v>
      </c>
      <c r="G407">
        <v>220</v>
      </c>
      <c r="H407">
        <v>15</v>
      </c>
      <c r="I407">
        <v>20.3</v>
      </c>
      <c r="J407">
        <v>13.1</v>
      </c>
      <c r="K407">
        <v>12.4</v>
      </c>
      <c r="L407">
        <v>24.1</v>
      </c>
      <c r="M407">
        <v>210</v>
      </c>
    </row>
    <row r="408" spans="1:13" x14ac:dyDescent="0.25">
      <c r="A408" t="s">
        <v>344</v>
      </c>
      <c r="B408" t="s">
        <v>495</v>
      </c>
      <c r="C408" t="s">
        <v>516</v>
      </c>
      <c r="D408" t="s">
        <v>517</v>
      </c>
      <c r="E408">
        <v>2</v>
      </c>
      <c r="F408">
        <v>8</v>
      </c>
      <c r="G408">
        <v>240</v>
      </c>
      <c r="H408">
        <v>15</v>
      </c>
      <c r="I408">
        <v>20.3</v>
      </c>
      <c r="J408">
        <v>13.1</v>
      </c>
      <c r="K408">
        <v>12.4</v>
      </c>
      <c r="L408">
        <v>24.1</v>
      </c>
      <c r="M408">
        <v>230</v>
      </c>
    </row>
    <row r="409" spans="1:13" x14ac:dyDescent="0.25">
      <c r="A409" t="s">
        <v>344</v>
      </c>
      <c r="B409" t="s">
        <v>495</v>
      </c>
      <c r="C409" t="s">
        <v>516</v>
      </c>
      <c r="D409" t="s">
        <v>517</v>
      </c>
      <c r="E409">
        <v>2</v>
      </c>
      <c r="F409">
        <v>8</v>
      </c>
      <c r="G409">
        <v>260</v>
      </c>
      <c r="H409">
        <v>15</v>
      </c>
      <c r="I409">
        <v>20.3</v>
      </c>
      <c r="J409">
        <v>13.1</v>
      </c>
      <c r="K409">
        <v>12.4</v>
      </c>
      <c r="L409">
        <v>24.1</v>
      </c>
      <c r="M409">
        <v>250</v>
      </c>
    </row>
    <row r="410" spans="1:13" x14ac:dyDescent="0.25">
      <c r="A410" t="s">
        <v>344</v>
      </c>
      <c r="B410" t="s">
        <v>495</v>
      </c>
      <c r="C410" t="s">
        <v>516</v>
      </c>
      <c r="D410" t="s">
        <v>517</v>
      </c>
      <c r="E410">
        <v>2</v>
      </c>
      <c r="F410">
        <v>8</v>
      </c>
      <c r="G410">
        <v>280</v>
      </c>
      <c r="H410">
        <v>15</v>
      </c>
      <c r="I410">
        <v>20.3</v>
      </c>
      <c r="J410">
        <v>13.1</v>
      </c>
      <c r="K410">
        <v>12.4</v>
      </c>
      <c r="L410">
        <v>24.1</v>
      </c>
      <c r="M410">
        <v>270</v>
      </c>
    </row>
    <row r="411" spans="1:13" x14ac:dyDescent="0.25">
      <c r="A411" t="s">
        <v>344</v>
      </c>
      <c r="B411" t="s">
        <v>495</v>
      </c>
      <c r="C411" t="s">
        <v>516</v>
      </c>
      <c r="D411" t="s">
        <v>517</v>
      </c>
      <c r="E411">
        <v>2</v>
      </c>
      <c r="F411">
        <v>8</v>
      </c>
      <c r="G411">
        <v>300</v>
      </c>
      <c r="H411">
        <v>15</v>
      </c>
      <c r="I411">
        <v>20.3</v>
      </c>
      <c r="J411">
        <v>13.1</v>
      </c>
      <c r="K411">
        <v>12.4</v>
      </c>
      <c r="L411">
        <v>24.1</v>
      </c>
      <c r="M411">
        <v>290</v>
      </c>
    </row>
    <row r="412" spans="1:13" x14ac:dyDescent="0.25">
      <c r="A412" t="s">
        <v>344</v>
      </c>
      <c r="B412" t="s">
        <v>495</v>
      </c>
      <c r="C412" t="s">
        <v>516</v>
      </c>
      <c r="D412" t="s">
        <v>517</v>
      </c>
      <c r="E412">
        <v>2</v>
      </c>
      <c r="F412">
        <v>8</v>
      </c>
      <c r="G412">
        <v>325</v>
      </c>
      <c r="H412">
        <v>15</v>
      </c>
      <c r="I412">
        <v>20.3</v>
      </c>
      <c r="J412">
        <v>13.1</v>
      </c>
      <c r="K412">
        <v>12.4</v>
      </c>
      <c r="L412">
        <v>24.1</v>
      </c>
      <c r="M412">
        <v>315</v>
      </c>
    </row>
    <row r="413" spans="1:13" x14ac:dyDescent="0.25">
      <c r="A413" t="s">
        <v>344</v>
      </c>
      <c r="B413" t="s">
        <v>495</v>
      </c>
      <c r="C413" t="s">
        <v>516</v>
      </c>
      <c r="D413" t="s">
        <v>517</v>
      </c>
      <c r="E413">
        <v>2</v>
      </c>
      <c r="F413">
        <v>8</v>
      </c>
      <c r="G413">
        <v>350</v>
      </c>
      <c r="H413">
        <v>15</v>
      </c>
      <c r="I413">
        <v>20.3</v>
      </c>
      <c r="J413">
        <v>13.1</v>
      </c>
      <c r="K413">
        <v>12.4</v>
      </c>
      <c r="L413">
        <v>24.1</v>
      </c>
      <c r="M413">
        <v>340</v>
      </c>
    </row>
    <row r="414" spans="1:13" x14ac:dyDescent="0.25">
      <c r="A414" t="s">
        <v>344</v>
      </c>
      <c r="B414" t="s">
        <v>495</v>
      </c>
      <c r="C414" t="s">
        <v>516</v>
      </c>
      <c r="D414" t="s">
        <v>517</v>
      </c>
      <c r="E414">
        <v>2</v>
      </c>
      <c r="F414">
        <v>8</v>
      </c>
      <c r="G414">
        <v>375</v>
      </c>
      <c r="H414">
        <v>15</v>
      </c>
      <c r="I414">
        <v>20.3</v>
      </c>
      <c r="J414">
        <v>13.1</v>
      </c>
      <c r="K414">
        <v>12.4</v>
      </c>
      <c r="L414">
        <v>24.1</v>
      </c>
      <c r="M414">
        <v>365</v>
      </c>
    </row>
    <row r="415" spans="1:13" x14ac:dyDescent="0.25">
      <c r="A415" t="s">
        <v>344</v>
      </c>
      <c r="B415" t="s">
        <v>495</v>
      </c>
      <c r="C415" t="s">
        <v>516</v>
      </c>
      <c r="D415" t="s">
        <v>517</v>
      </c>
      <c r="E415">
        <v>2</v>
      </c>
      <c r="F415">
        <v>8</v>
      </c>
      <c r="G415">
        <v>400</v>
      </c>
      <c r="H415">
        <v>15</v>
      </c>
      <c r="I415">
        <v>20.3</v>
      </c>
      <c r="J415">
        <v>13.1</v>
      </c>
      <c r="K415">
        <v>12.4</v>
      </c>
      <c r="L415">
        <v>24.1</v>
      </c>
      <c r="M415">
        <v>390</v>
      </c>
    </row>
    <row r="416" spans="1:13" x14ac:dyDescent="0.25">
      <c r="A416" t="s">
        <v>344</v>
      </c>
      <c r="B416" t="s">
        <v>495</v>
      </c>
      <c r="C416" t="s">
        <v>516</v>
      </c>
      <c r="D416" t="s">
        <v>517</v>
      </c>
      <c r="E416">
        <v>2</v>
      </c>
      <c r="F416">
        <v>8</v>
      </c>
      <c r="G416">
        <v>450</v>
      </c>
      <c r="H416">
        <v>15</v>
      </c>
      <c r="I416">
        <v>20.3</v>
      </c>
      <c r="J416">
        <v>13.1</v>
      </c>
      <c r="K416">
        <v>12.4</v>
      </c>
      <c r="L416">
        <v>24.1</v>
      </c>
      <c r="M416">
        <v>428</v>
      </c>
    </row>
    <row r="417" spans="1:13" x14ac:dyDescent="0.25">
      <c r="A417" t="s">
        <v>344</v>
      </c>
      <c r="B417" t="s">
        <v>495</v>
      </c>
      <c r="C417" t="s">
        <v>516</v>
      </c>
      <c r="D417" t="s">
        <v>517</v>
      </c>
      <c r="E417">
        <v>2</v>
      </c>
      <c r="F417">
        <v>8</v>
      </c>
      <c r="G417">
        <v>500</v>
      </c>
      <c r="H417">
        <v>15</v>
      </c>
      <c r="I417">
        <v>20.3</v>
      </c>
      <c r="J417">
        <v>13.1</v>
      </c>
      <c r="K417">
        <v>12.4</v>
      </c>
      <c r="L417">
        <v>24.1</v>
      </c>
      <c r="M417">
        <v>478</v>
      </c>
    </row>
    <row r="418" spans="1:13" x14ac:dyDescent="0.25">
      <c r="A418" t="s">
        <v>344</v>
      </c>
      <c r="B418" t="s">
        <v>495</v>
      </c>
      <c r="C418" t="s">
        <v>516</v>
      </c>
      <c r="D418" t="s">
        <v>517</v>
      </c>
      <c r="E418">
        <v>2</v>
      </c>
      <c r="F418">
        <v>8</v>
      </c>
      <c r="G418">
        <v>600</v>
      </c>
      <c r="H418">
        <v>15</v>
      </c>
      <c r="I418">
        <v>20.3</v>
      </c>
      <c r="J418">
        <v>13.1</v>
      </c>
      <c r="K418">
        <v>12.4</v>
      </c>
      <c r="L418">
        <v>24.1</v>
      </c>
      <c r="M418">
        <v>578</v>
      </c>
    </row>
    <row r="419" spans="1:13" x14ac:dyDescent="0.25">
      <c r="A419" t="s">
        <v>344</v>
      </c>
      <c r="B419" t="s">
        <v>495</v>
      </c>
      <c r="C419" t="s">
        <v>516</v>
      </c>
      <c r="D419" t="s">
        <v>517</v>
      </c>
      <c r="E419">
        <v>2</v>
      </c>
      <c r="F419">
        <v>10</v>
      </c>
      <c r="G419">
        <v>120</v>
      </c>
      <c r="H419">
        <v>18.5</v>
      </c>
      <c r="I419">
        <v>36.700000000000003</v>
      </c>
      <c r="J419">
        <v>12.5</v>
      </c>
      <c r="K419">
        <v>12.2</v>
      </c>
      <c r="L419">
        <v>40</v>
      </c>
      <c r="M419">
        <v>108</v>
      </c>
    </row>
    <row r="420" spans="1:13" x14ac:dyDescent="0.25">
      <c r="A420" t="s">
        <v>344</v>
      </c>
      <c r="B420" t="s">
        <v>495</v>
      </c>
      <c r="C420" t="s">
        <v>516</v>
      </c>
      <c r="D420" t="s">
        <v>517</v>
      </c>
      <c r="E420">
        <v>2</v>
      </c>
      <c r="F420">
        <v>10</v>
      </c>
      <c r="G420">
        <v>160</v>
      </c>
      <c r="H420">
        <v>18.5</v>
      </c>
      <c r="I420">
        <v>36.700000000000003</v>
      </c>
      <c r="J420">
        <v>12.5</v>
      </c>
      <c r="K420">
        <v>12.2</v>
      </c>
      <c r="L420">
        <v>40</v>
      </c>
      <c r="M420">
        <v>148</v>
      </c>
    </row>
    <row r="421" spans="1:13" x14ac:dyDescent="0.25">
      <c r="A421" t="s">
        <v>344</v>
      </c>
      <c r="B421" t="s">
        <v>495</v>
      </c>
      <c r="C421" t="s">
        <v>516</v>
      </c>
      <c r="D421" t="s">
        <v>517</v>
      </c>
      <c r="E421">
        <v>2</v>
      </c>
      <c r="F421">
        <v>10</v>
      </c>
      <c r="G421">
        <v>180</v>
      </c>
      <c r="H421">
        <v>18.5</v>
      </c>
      <c r="I421">
        <v>36.700000000000003</v>
      </c>
      <c r="J421">
        <v>12.5</v>
      </c>
      <c r="K421">
        <v>12.2</v>
      </c>
      <c r="L421">
        <v>40</v>
      </c>
      <c r="M421">
        <v>168</v>
      </c>
    </row>
    <row r="422" spans="1:13" x14ac:dyDescent="0.25">
      <c r="A422" t="s">
        <v>344</v>
      </c>
      <c r="B422" t="s">
        <v>495</v>
      </c>
      <c r="C422" t="s">
        <v>516</v>
      </c>
      <c r="D422" t="s">
        <v>517</v>
      </c>
      <c r="E422">
        <v>2</v>
      </c>
      <c r="F422">
        <v>10</v>
      </c>
      <c r="G422">
        <v>200</v>
      </c>
      <c r="H422">
        <v>18.5</v>
      </c>
      <c r="I422">
        <v>36.700000000000003</v>
      </c>
      <c r="J422">
        <v>12.5</v>
      </c>
      <c r="K422">
        <v>12.2</v>
      </c>
      <c r="L422">
        <v>40</v>
      </c>
      <c r="M422">
        <v>188</v>
      </c>
    </row>
    <row r="423" spans="1:13" x14ac:dyDescent="0.25">
      <c r="A423" t="s">
        <v>344</v>
      </c>
      <c r="B423" t="s">
        <v>495</v>
      </c>
      <c r="C423" t="s">
        <v>516</v>
      </c>
      <c r="D423" t="s">
        <v>517</v>
      </c>
      <c r="E423">
        <v>2</v>
      </c>
      <c r="F423">
        <v>10</v>
      </c>
      <c r="G423">
        <v>220</v>
      </c>
      <c r="H423">
        <v>18.5</v>
      </c>
      <c r="I423">
        <v>36.700000000000003</v>
      </c>
      <c r="J423">
        <v>12.5</v>
      </c>
      <c r="K423">
        <v>12.2</v>
      </c>
      <c r="L423">
        <v>40</v>
      </c>
      <c r="M423">
        <v>208</v>
      </c>
    </row>
    <row r="424" spans="1:13" x14ac:dyDescent="0.25">
      <c r="A424" t="s">
        <v>344</v>
      </c>
      <c r="B424" t="s">
        <v>495</v>
      </c>
      <c r="C424" t="s">
        <v>516</v>
      </c>
      <c r="D424" t="s">
        <v>517</v>
      </c>
      <c r="E424">
        <v>2</v>
      </c>
      <c r="F424">
        <v>10</v>
      </c>
      <c r="G424">
        <v>240</v>
      </c>
      <c r="H424">
        <v>18.5</v>
      </c>
      <c r="I424">
        <v>36.700000000000003</v>
      </c>
      <c r="J424">
        <v>12.5</v>
      </c>
      <c r="K424">
        <v>12.2</v>
      </c>
      <c r="L424">
        <v>40</v>
      </c>
      <c r="M424">
        <v>228</v>
      </c>
    </row>
    <row r="425" spans="1:13" x14ac:dyDescent="0.25">
      <c r="A425" t="s">
        <v>344</v>
      </c>
      <c r="B425" t="s">
        <v>495</v>
      </c>
      <c r="C425" t="s">
        <v>516</v>
      </c>
      <c r="D425" t="s">
        <v>517</v>
      </c>
      <c r="E425">
        <v>2</v>
      </c>
      <c r="F425">
        <v>10</v>
      </c>
      <c r="G425">
        <v>260</v>
      </c>
      <c r="H425">
        <v>18.5</v>
      </c>
      <c r="I425">
        <v>36.700000000000003</v>
      </c>
      <c r="J425">
        <v>12.5</v>
      </c>
      <c r="K425">
        <v>12.2</v>
      </c>
      <c r="L425">
        <v>40</v>
      </c>
      <c r="M425">
        <v>248</v>
      </c>
    </row>
    <row r="426" spans="1:13" x14ac:dyDescent="0.25">
      <c r="A426" t="s">
        <v>344</v>
      </c>
      <c r="B426" t="s">
        <v>495</v>
      </c>
      <c r="C426" t="s">
        <v>516</v>
      </c>
      <c r="D426" t="s">
        <v>517</v>
      </c>
      <c r="E426">
        <v>2</v>
      </c>
      <c r="F426">
        <v>10</v>
      </c>
      <c r="G426">
        <v>280</v>
      </c>
      <c r="H426">
        <v>18.5</v>
      </c>
      <c r="I426">
        <v>36.700000000000003</v>
      </c>
      <c r="J426">
        <v>12.5</v>
      </c>
      <c r="K426">
        <v>12.2</v>
      </c>
      <c r="L426">
        <v>40</v>
      </c>
      <c r="M426">
        <v>268</v>
      </c>
    </row>
    <row r="427" spans="1:13" x14ac:dyDescent="0.25">
      <c r="A427" t="s">
        <v>344</v>
      </c>
      <c r="B427" t="s">
        <v>495</v>
      </c>
      <c r="C427" t="s">
        <v>516</v>
      </c>
      <c r="D427" t="s">
        <v>517</v>
      </c>
      <c r="E427">
        <v>2</v>
      </c>
      <c r="F427">
        <v>10</v>
      </c>
      <c r="G427">
        <v>300</v>
      </c>
      <c r="H427">
        <v>18.5</v>
      </c>
      <c r="I427">
        <v>36.700000000000003</v>
      </c>
      <c r="J427">
        <v>12.5</v>
      </c>
      <c r="K427">
        <v>12.2</v>
      </c>
      <c r="L427">
        <v>40</v>
      </c>
      <c r="M427">
        <v>288</v>
      </c>
    </row>
    <row r="428" spans="1:13" x14ac:dyDescent="0.25">
      <c r="A428" t="s">
        <v>344</v>
      </c>
      <c r="B428" t="s">
        <v>495</v>
      </c>
      <c r="C428" t="s">
        <v>516</v>
      </c>
      <c r="D428" t="s">
        <v>517</v>
      </c>
      <c r="E428">
        <v>2</v>
      </c>
      <c r="F428">
        <v>10</v>
      </c>
      <c r="G428">
        <v>325</v>
      </c>
      <c r="H428">
        <v>18.5</v>
      </c>
      <c r="I428">
        <v>36.700000000000003</v>
      </c>
      <c r="J428">
        <v>12.5</v>
      </c>
      <c r="K428">
        <v>12.2</v>
      </c>
      <c r="L428">
        <v>40</v>
      </c>
      <c r="M428">
        <v>301</v>
      </c>
    </row>
    <row r="429" spans="1:13" x14ac:dyDescent="0.25">
      <c r="A429" t="s">
        <v>344</v>
      </c>
      <c r="B429" t="s">
        <v>495</v>
      </c>
      <c r="C429" t="s">
        <v>516</v>
      </c>
      <c r="D429" t="s">
        <v>517</v>
      </c>
      <c r="E429">
        <v>2</v>
      </c>
      <c r="F429">
        <v>10</v>
      </c>
      <c r="G429">
        <v>350</v>
      </c>
      <c r="H429">
        <v>18.5</v>
      </c>
      <c r="I429">
        <v>36.700000000000003</v>
      </c>
      <c r="J429">
        <v>12.5</v>
      </c>
      <c r="K429">
        <v>12.2</v>
      </c>
      <c r="L429">
        <v>40</v>
      </c>
      <c r="M429">
        <v>326</v>
      </c>
    </row>
    <row r="430" spans="1:13" x14ac:dyDescent="0.25">
      <c r="A430" t="s">
        <v>344</v>
      </c>
      <c r="B430" t="s">
        <v>495</v>
      </c>
      <c r="C430" t="s">
        <v>516</v>
      </c>
      <c r="D430" t="s">
        <v>517</v>
      </c>
      <c r="E430">
        <v>2</v>
      </c>
      <c r="F430">
        <v>10</v>
      </c>
      <c r="G430">
        <v>375</v>
      </c>
      <c r="H430">
        <v>18.5</v>
      </c>
      <c r="I430">
        <v>36.700000000000003</v>
      </c>
      <c r="J430">
        <v>12.5</v>
      </c>
      <c r="K430">
        <v>12.2</v>
      </c>
      <c r="L430">
        <v>40</v>
      </c>
      <c r="M430">
        <v>351</v>
      </c>
    </row>
    <row r="431" spans="1:13" x14ac:dyDescent="0.25">
      <c r="A431" t="s">
        <v>344</v>
      </c>
      <c r="B431" t="s">
        <v>495</v>
      </c>
      <c r="C431" t="s">
        <v>516</v>
      </c>
      <c r="D431" t="s">
        <v>517</v>
      </c>
      <c r="E431">
        <v>2</v>
      </c>
      <c r="F431">
        <v>10</v>
      </c>
      <c r="G431">
        <v>400</v>
      </c>
      <c r="H431">
        <v>18.5</v>
      </c>
      <c r="I431">
        <v>36.700000000000003</v>
      </c>
      <c r="J431">
        <v>12.5</v>
      </c>
      <c r="K431">
        <v>12.2</v>
      </c>
      <c r="L431">
        <v>40</v>
      </c>
      <c r="M431">
        <v>376</v>
      </c>
    </row>
    <row r="432" spans="1:13" x14ac:dyDescent="0.25">
      <c r="A432" t="s">
        <v>344</v>
      </c>
      <c r="B432" t="s">
        <v>495</v>
      </c>
      <c r="C432" t="s">
        <v>516</v>
      </c>
      <c r="D432" t="s">
        <v>517</v>
      </c>
      <c r="E432">
        <v>2</v>
      </c>
      <c r="F432">
        <v>10</v>
      </c>
      <c r="G432">
        <v>450</v>
      </c>
      <c r="H432">
        <v>18.5</v>
      </c>
      <c r="I432">
        <v>36.700000000000003</v>
      </c>
      <c r="J432">
        <v>12.5</v>
      </c>
      <c r="K432">
        <v>12.2</v>
      </c>
      <c r="L432">
        <v>40</v>
      </c>
      <c r="M432">
        <v>426</v>
      </c>
    </row>
    <row r="433" spans="1:13" x14ac:dyDescent="0.25">
      <c r="A433" t="s">
        <v>344</v>
      </c>
      <c r="B433" t="s">
        <v>495</v>
      </c>
      <c r="C433" t="s">
        <v>516</v>
      </c>
      <c r="D433" t="s">
        <v>517</v>
      </c>
      <c r="E433">
        <v>2</v>
      </c>
      <c r="F433">
        <v>10</v>
      </c>
      <c r="G433">
        <v>500</v>
      </c>
      <c r="H433">
        <v>18.5</v>
      </c>
      <c r="I433">
        <v>36.700000000000003</v>
      </c>
      <c r="J433">
        <v>12.5</v>
      </c>
      <c r="K433">
        <v>12.2</v>
      </c>
      <c r="L433">
        <v>40</v>
      </c>
      <c r="M433">
        <v>476</v>
      </c>
    </row>
    <row r="434" spans="1:13" x14ac:dyDescent="0.25">
      <c r="A434" t="s">
        <v>344</v>
      </c>
      <c r="B434" t="s">
        <v>495</v>
      </c>
      <c r="C434" t="s">
        <v>516</v>
      </c>
      <c r="D434" t="s">
        <v>517</v>
      </c>
      <c r="E434">
        <v>2</v>
      </c>
      <c r="F434">
        <v>10</v>
      </c>
      <c r="G434">
        <v>600</v>
      </c>
      <c r="H434">
        <v>18.5</v>
      </c>
      <c r="I434">
        <v>36.700000000000003</v>
      </c>
      <c r="J434">
        <v>12.5</v>
      </c>
      <c r="K434">
        <v>12.2</v>
      </c>
      <c r="L434">
        <v>40</v>
      </c>
      <c r="M434">
        <v>576</v>
      </c>
    </row>
    <row r="435" spans="1:13" x14ac:dyDescent="0.25">
      <c r="A435" t="s">
        <v>344</v>
      </c>
      <c r="B435" t="s">
        <v>495</v>
      </c>
      <c r="C435" t="s">
        <v>516</v>
      </c>
      <c r="D435" t="s">
        <v>517</v>
      </c>
      <c r="E435">
        <v>2</v>
      </c>
      <c r="F435">
        <v>10</v>
      </c>
      <c r="G435">
        <v>700</v>
      </c>
      <c r="H435">
        <v>18.5</v>
      </c>
      <c r="I435">
        <v>36.700000000000003</v>
      </c>
      <c r="J435">
        <v>12.5</v>
      </c>
      <c r="K435">
        <v>12.2</v>
      </c>
      <c r="L435">
        <v>40</v>
      </c>
      <c r="M435">
        <v>676</v>
      </c>
    </row>
    <row r="436" spans="1:13" x14ac:dyDescent="0.25">
      <c r="A436" t="s">
        <v>344</v>
      </c>
      <c r="B436" t="s">
        <v>495</v>
      </c>
      <c r="C436" t="s">
        <v>516</v>
      </c>
      <c r="D436" t="s">
        <v>517</v>
      </c>
      <c r="E436">
        <v>2</v>
      </c>
      <c r="F436">
        <v>10</v>
      </c>
      <c r="G436">
        <v>800</v>
      </c>
      <c r="H436">
        <v>18.5</v>
      </c>
      <c r="I436">
        <v>36.700000000000003</v>
      </c>
      <c r="J436">
        <v>12.5</v>
      </c>
      <c r="K436">
        <v>12.2</v>
      </c>
      <c r="L436">
        <v>40</v>
      </c>
      <c r="M436">
        <v>776</v>
      </c>
    </row>
    <row r="437" spans="1:13" x14ac:dyDescent="0.25">
      <c r="A437" t="s">
        <v>344</v>
      </c>
      <c r="B437" t="s">
        <v>495</v>
      </c>
      <c r="C437" t="s">
        <v>516</v>
      </c>
      <c r="D437" t="s">
        <v>517</v>
      </c>
      <c r="E437">
        <v>2</v>
      </c>
      <c r="F437">
        <v>10</v>
      </c>
      <c r="G437">
        <v>1000</v>
      </c>
      <c r="H437">
        <v>18.5</v>
      </c>
      <c r="I437">
        <v>36.700000000000003</v>
      </c>
      <c r="J437">
        <v>12.5</v>
      </c>
      <c r="K437">
        <v>12.2</v>
      </c>
      <c r="L437">
        <v>40</v>
      </c>
      <c r="M437">
        <v>976</v>
      </c>
    </row>
    <row r="438" spans="1:13" x14ac:dyDescent="0.25">
      <c r="A438" t="s">
        <v>344</v>
      </c>
      <c r="B438" t="s">
        <v>495</v>
      </c>
      <c r="C438" t="s">
        <v>516</v>
      </c>
      <c r="D438" t="s">
        <v>517</v>
      </c>
      <c r="E438">
        <v>2</v>
      </c>
      <c r="F438">
        <v>12</v>
      </c>
      <c r="G438">
        <v>200</v>
      </c>
      <c r="H438">
        <v>21</v>
      </c>
      <c r="I438">
        <v>48.5</v>
      </c>
      <c r="J438">
        <v>11.2</v>
      </c>
      <c r="K438">
        <v>10.3</v>
      </c>
      <c r="L438">
        <v>46.7</v>
      </c>
      <c r="M438">
        <v>180</v>
      </c>
    </row>
    <row r="439" spans="1:13" x14ac:dyDescent="0.25">
      <c r="A439" t="s">
        <v>344</v>
      </c>
      <c r="B439" t="s">
        <v>495</v>
      </c>
      <c r="C439" t="s">
        <v>516</v>
      </c>
      <c r="D439" t="s">
        <v>517</v>
      </c>
      <c r="E439">
        <v>2</v>
      </c>
      <c r="F439">
        <v>12</v>
      </c>
      <c r="G439">
        <v>220</v>
      </c>
      <c r="H439">
        <v>21</v>
      </c>
      <c r="I439">
        <v>48.5</v>
      </c>
      <c r="J439">
        <v>11.2</v>
      </c>
      <c r="K439">
        <v>10.3</v>
      </c>
      <c r="L439">
        <v>46.7</v>
      </c>
      <c r="M439">
        <v>200</v>
      </c>
    </row>
    <row r="440" spans="1:13" x14ac:dyDescent="0.25">
      <c r="A440" t="s">
        <v>344</v>
      </c>
      <c r="B440" t="s">
        <v>495</v>
      </c>
      <c r="C440" t="s">
        <v>516</v>
      </c>
      <c r="D440" t="s">
        <v>517</v>
      </c>
      <c r="E440">
        <v>2</v>
      </c>
      <c r="F440">
        <v>12</v>
      </c>
      <c r="G440">
        <v>240</v>
      </c>
      <c r="H440">
        <v>21</v>
      </c>
      <c r="I440">
        <v>48.5</v>
      </c>
      <c r="J440">
        <v>11.2</v>
      </c>
      <c r="K440">
        <v>10.3</v>
      </c>
      <c r="L440">
        <v>46.7</v>
      </c>
      <c r="M440">
        <v>220</v>
      </c>
    </row>
    <row r="441" spans="1:13" x14ac:dyDescent="0.25">
      <c r="A441" t="s">
        <v>344</v>
      </c>
      <c r="B441" t="s">
        <v>495</v>
      </c>
      <c r="C441" t="s">
        <v>516</v>
      </c>
      <c r="D441" t="s">
        <v>517</v>
      </c>
      <c r="E441">
        <v>2</v>
      </c>
      <c r="F441">
        <v>12</v>
      </c>
      <c r="G441">
        <v>260</v>
      </c>
      <c r="H441">
        <v>21</v>
      </c>
      <c r="I441">
        <v>48.5</v>
      </c>
      <c r="J441">
        <v>11.2</v>
      </c>
      <c r="K441">
        <v>10.3</v>
      </c>
      <c r="L441">
        <v>46.7</v>
      </c>
      <c r="M441">
        <v>240</v>
      </c>
    </row>
    <row r="442" spans="1:13" x14ac:dyDescent="0.25">
      <c r="A442" t="s">
        <v>344</v>
      </c>
      <c r="B442" t="s">
        <v>495</v>
      </c>
      <c r="C442" t="s">
        <v>516</v>
      </c>
      <c r="D442" t="s">
        <v>517</v>
      </c>
      <c r="E442">
        <v>2</v>
      </c>
      <c r="F442">
        <v>12</v>
      </c>
      <c r="G442">
        <v>280</v>
      </c>
      <c r="H442">
        <v>21</v>
      </c>
      <c r="I442">
        <v>48.5</v>
      </c>
      <c r="J442">
        <v>11.2</v>
      </c>
      <c r="K442">
        <v>10.3</v>
      </c>
      <c r="L442">
        <v>46.7</v>
      </c>
      <c r="M442">
        <v>260</v>
      </c>
    </row>
    <row r="443" spans="1:13" x14ac:dyDescent="0.25">
      <c r="A443" t="s">
        <v>344</v>
      </c>
      <c r="B443" t="s">
        <v>495</v>
      </c>
      <c r="C443" t="s">
        <v>516</v>
      </c>
      <c r="D443" t="s">
        <v>517</v>
      </c>
      <c r="E443">
        <v>2</v>
      </c>
      <c r="F443">
        <v>12</v>
      </c>
      <c r="G443">
        <v>300</v>
      </c>
      <c r="H443">
        <v>21</v>
      </c>
      <c r="I443">
        <v>48.5</v>
      </c>
      <c r="J443">
        <v>11.2</v>
      </c>
      <c r="K443">
        <v>10.3</v>
      </c>
      <c r="L443">
        <v>46.7</v>
      </c>
      <c r="M443">
        <v>280</v>
      </c>
    </row>
    <row r="444" spans="1:13" x14ac:dyDescent="0.25">
      <c r="A444" t="s">
        <v>344</v>
      </c>
      <c r="B444" t="s">
        <v>495</v>
      </c>
      <c r="C444" t="s">
        <v>516</v>
      </c>
      <c r="D444" t="s">
        <v>517</v>
      </c>
      <c r="E444">
        <v>2</v>
      </c>
      <c r="F444">
        <v>12</v>
      </c>
      <c r="G444">
        <v>350</v>
      </c>
      <c r="H444">
        <v>21</v>
      </c>
      <c r="I444">
        <v>48.5</v>
      </c>
      <c r="J444">
        <v>11.2</v>
      </c>
      <c r="K444">
        <v>10.3</v>
      </c>
      <c r="L444">
        <v>46.7</v>
      </c>
      <c r="M444">
        <v>330</v>
      </c>
    </row>
    <row r="445" spans="1:13" x14ac:dyDescent="0.25">
      <c r="A445" t="s">
        <v>344</v>
      </c>
      <c r="B445" t="s">
        <v>495</v>
      </c>
      <c r="C445" t="s">
        <v>516</v>
      </c>
      <c r="D445" t="s">
        <v>517</v>
      </c>
      <c r="E445">
        <v>2</v>
      </c>
      <c r="F445">
        <v>12</v>
      </c>
      <c r="G445">
        <v>400</v>
      </c>
      <c r="H445">
        <v>21</v>
      </c>
      <c r="I445">
        <v>48.5</v>
      </c>
      <c r="J445">
        <v>11.2</v>
      </c>
      <c r="K445">
        <v>10.3</v>
      </c>
      <c r="L445">
        <v>46.7</v>
      </c>
      <c r="M445">
        <v>380</v>
      </c>
    </row>
    <row r="446" spans="1:13" x14ac:dyDescent="0.25">
      <c r="A446" t="s">
        <v>344</v>
      </c>
      <c r="B446" t="s">
        <v>495</v>
      </c>
      <c r="C446" t="s">
        <v>516</v>
      </c>
      <c r="D446" t="s">
        <v>517</v>
      </c>
      <c r="E446">
        <v>2</v>
      </c>
      <c r="F446">
        <v>12</v>
      </c>
      <c r="G446">
        <v>500</v>
      </c>
      <c r="H446">
        <v>21</v>
      </c>
      <c r="I446">
        <v>48.5</v>
      </c>
      <c r="J446">
        <v>11.2</v>
      </c>
      <c r="K446">
        <v>10.3</v>
      </c>
      <c r="L446">
        <v>46.7</v>
      </c>
      <c r="M446">
        <v>480</v>
      </c>
    </row>
    <row r="447" spans="1:13" x14ac:dyDescent="0.25">
      <c r="A447" t="s">
        <v>344</v>
      </c>
      <c r="B447" t="s">
        <v>495</v>
      </c>
      <c r="C447" t="s">
        <v>516</v>
      </c>
      <c r="D447" t="s">
        <v>517</v>
      </c>
      <c r="E447">
        <v>2</v>
      </c>
      <c r="F447">
        <v>12</v>
      </c>
      <c r="G447">
        <v>600</v>
      </c>
      <c r="H447">
        <v>21</v>
      </c>
      <c r="I447">
        <v>48.5</v>
      </c>
      <c r="J447">
        <v>11.2</v>
      </c>
      <c r="K447">
        <v>10.3</v>
      </c>
      <c r="L447">
        <v>46.7</v>
      </c>
      <c r="M447">
        <v>580</v>
      </c>
    </row>
    <row r="448" spans="1:13" x14ac:dyDescent="0.25">
      <c r="A448" t="s">
        <v>344</v>
      </c>
      <c r="B448" t="s">
        <v>495</v>
      </c>
      <c r="C448" t="s">
        <v>516</v>
      </c>
      <c r="D448" t="s">
        <v>517</v>
      </c>
      <c r="E448">
        <v>2</v>
      </c>
      <c r="F448">
        <v>12</v>
      </c>
      <c r="G448">
        <v>700</v>
      </c>
      <c r="H448">
        <v>21</v>
      </c>
      <c r="I448">
        <v>48.5</v>
      </c>
      <c r="J448">
        <v>11.2</v>
      </c>
      <c r="K448">
        <v>10.3</v>
      </c>
      <c r="L448">
        <v>46.7</v>
      </c>
      <c r="M448">
        <v>680</v>
      </c>
    </row>
    <row r="449" spans="1:13" x14ac:dyDescent="0.25">
      <c r="A449" t="s">
        <v>344</v>
      </c>
      <c r="B449" t="s">
        <v>495</v>
      </c>
      <c r="C449" t="s">
        <v>516</v>
      </c>
      <c r="D449" t="s">
        <v>517</v>
      </c>
      <c r="E449">
        <v>2</v>
      </c>
      <c r="F449">
        <v>12</v>
      </c>
      <c r="G449">
        <v>800</v>
      </c>
      <c r="H449">
        <v>21</v>
      </c>
      <c r="I449">
        <v>48.5</v>
      </c>
      <c r="J449">
        <v>11.2</v>
      </c>
      <c r="K449">
        <v>10.3</v>
      </c>
      <c r="L449">
        <v>46.7</v>
      </c>
      <c r="M449">
        <v>780</v>
      </c>
    </row>
    <row r="450" spans="1:13" x14ac:dyDescent="0.25">
      <c r="A450" t="s">
        <v>344</v>
      </c>
      <c r="B450" t="s">
        <v>495</v>
      </c>
      <c r="C450" t="s">
        <v>516</v>
      </c>
      <c r="D450" t="s">
        <v>517</v>
      </c>
      <c r="E450">
        <v>2</v>
      </c>
      <c r="F450">
        <v>12</v>
      </c>
      <c r="G450">
        <v>1000</v>
      </c>
      <c r="H450">
        <v>21</v>
      </c>
      <c r="I450">
        <v>48.5</v>
      </c>
      <c r="J450">
        <v>11.2</v>
      </c>
      <c r="K450">
        <v>10.3</v>
      </c>
      <c r="L450">
        <v>46.7</v>
      </c>
      <c r="M450">
        <v>980</v>
      </c>
    </row>
    <row r="451" spans="1:13" x14ac:dyDescent="0.25">
      <c r="A451" t="s">
        <v>344</v>
      </c>
      <c r="B451" t="s">
        <v>495</v>
      </c>
      <c r="C451" t="s">
        <v>518</v>
      </c>
      <c r="D451" t="s">
        <v>519</v>
      </c>
      <c r="E451">
        <v>2</v>
      </c>
      <c r="F451">
        <v>12</v>
      </c>
      <c r="G451">
        <v>60</v>
      </c>
      <c r="H451">
        <v>17</v>
      </c>
      <c r="I451">
        <v>48.5</v>
      </c>
      <c r="J451">
        <v>11.2</v>
      </c>
      <c r="K451">
        <v>17.100000000000001</v>
      </c>
      <c r="L451">
        <v>45</v>
      </c>
      <c r="M451">
        <v>48</v>
      </c>
    </row>
    <row r="452" spans="1:13" x14ac:dyDescent="0.25">
      <c r="A452" t="s">
        <v>344</v>
      </c>
      <c r="B452" t="s">
        <v>495</v>
      </c>
      <c r="C452" t="s">
        <v>518</v>
      </c>
      <c r="D452" t="s">
        <v>519</v>
      </c>
      <c r="E452">
        <v>2</v>
      </c>
      <c r="F452">
        <v>12</v>
      </c>
      <c r="G452">
        <v>80</v>
      </c>
      <c r="H452">
        <v>17</v>
      </c>
      <c r="I452">
        <v>48.5</v>
      </c>
      <c r="J452">
        <v>11.2</v>
      </c>
      <c r="K452">
        <v>17.100000000000001</v>
      </c>
      <c r="L452">
        <v>45</v>
      </c>
      <c r="M452">
        <v>68</v>
      </c>
    </row>
    <row r="453" spans="1:13" x14ac:dyDescent="0.25">
      <c r="A453" t="s">
        <v>344</v>
      </c>
      <c r="B453" t="s">
        <v>495</v>
      </c>
      <c r="C453" t="s">
        <v>518</v>
      </c>
      <c r="D453" t="s">
        <v>519</v>
      </c>
      <c r="E453">
        <v>2</v>
      </c>
      <c r="F453">
        <v>12</v>
      </c>
      <c r="G453">
        <v>100</v>
      </c>
      <c r="H453">
        <v>17</v>
      </c>
      <c r="I453">
        <v>48.5</v>
      </c>
      <c r="J453">
        <v>11.2</v>
      </c>
      <c r="K453">
        <v>17.100000000000001</v>
      </c>
      <c r="L453">
        <v>45</v>
      </c>
      <c r="M453">
        <v>85</v>
      </c>
    </row>
    <row r="454" spans="1:13" x14ac:dyDescent="0.25">
      <c r="A454" t="s">
        <v>344</v>
      </c>
      <c r="B454" t="s">
        <v>495</v>
      </c>
      <c r="C454" t="s">
        <v>518</v>
      </c>
      <c r="D454" t="s">
        <v>519</v>
      </c>
      <c r="E454">
        <v>2</v>
      </c>
      <c r="F454">
        <v>12</v>
      </c>
      <c r="G454">
        <v>120</v>
      </c>
      <c r="H454">
        <v>17</v>
      </c>
      <c r="I454">
        <v>48.5</v>
      </c>
      <c r="J454">
        <v>11.2</v>
      </c>
      <c r="K454">
        <v>17.100000000000001</v>
      </c>
      <c r="L454">
        <v>45</v>
      </c>
      <c r="M454">
        <v>105</v>
      </c>
    </row>
    <row r="455" spans="1:13" x14ac:dyDescent="0.25">
      <c r="A455" t="s">
        <v>344</v>
      </c>
      <c r="B455" t="s">
        <v>495</v>
      </c>
      <c r="C455" t="s">
        <v>518</v>
      </c>
      <c r="D455" t="s">
        <v>519</v>
      </c>
      <c r="E455">
        <v>2</v>
      </c>
      <c r="F455">
        <v>12</v>
      </c>
      <c r="G455">
        <v>140</v>
      </c>
      <c r="H455">
        <v>17</v>
      </c>
      <c r="I455">
        <v>48.5</v>
      </c>
      <c r="J455">
        <v>11.2</v>
      </c>
      <c r="K455">
        <v>17.100000000000001</v>
      </c>
      <c r="L455">
        <v>45</v>
      </c>
      <c r="M455">
        <v>125</v>
      </c>
    </row>
    <row r="456" spans="1:13" x14ac:dyDescent="0.25">
      <c r="A456" t="s">
        <v>344</v>
      </c>
      <c r="B456" t="s">
        <v>495</v>
      </c>
      <c r="C456" t="s">
        <v>518</v>
      </c>
      <c r="D456" t="s">
        <v>519</v>
      </c>
      <c r="E456">
        <v>2</v>
      </c>
      <c r="F456">
        <v>12</v>
      </c>
      <c r="G456">
        <v>160</v>
      </c>
      <c r="H456">
        <v>17</v>
      </c>
      <c r="I456">
        <v>48.5</v>
      </c>
      <c r="J456">
        <v>11.2</v>
      </c>
      <c r="K456">
        <v>17.100000000000001</v>
      </c>
      <c r="L456">
        <v>45</v>
      </c>
      <c r="M456">
        <v>145</v>
      </c>
    </row>
    <row r="457" spans="1:13" x14ac:dyDescent="0.25">
      <c r="A457" t="s">
        <v>344</v>
      </c>
      <c r="B457" t="s">
        <v>495</v>
      </c>
      <c r="C457" t="s">
        <v>518</v>
      </c>
      <c r="D457" t="s">
        <v>519</v>
      </c>
      <c r="E457">
        <v>2</v>
      </c>
      <c r="F457">
        <v>12</v>
      </c>
      <c r="G457">
        <v>180</v>
      </c>
      <c r="H457">
        <v>17</v>
      </c>
      <c r="I457">
        <v>48.5</v>
      </c>
      <c r="J457">
        <v>11.2</v>
      </c>
      <c r="K457">
        <v>17.100000000000001</v>
      </c>
      <c r="L457">
        <v>45</v>
      </c>
      <c r="M457">
        <v>165</v>
      </c>
    </row>
    <row r="458" spans="1:13" x14ac:dyDescent="0.25">
      <c r="A458" t="s">
        <v>344</v>
      </c>
      <c r="B458" t="s">
        <v>495</v>
      </c>
      <c r="C458" t="s">
        <v>518</v>
      </c>
      <c r="D458" t="s">
        <v>519</v>
      </c>
      <c r="E458">
        <v>2</v>
      </c>
      <c r="F458">
        <v>12</v>
      </c>
      <c r="G458">
        <v>220</v>
      </c>
      <c r="H458">
        <v>17</v>
      </c>
      <c r="I458">
        <v>48.5</v>
      </c>
      <c r="J458">
        <v>11.2</v>
      </c>
      <c r="K458">
        <v>17.100000000000001</v>
      </c>
      <c r="L458">
        <v>45</v>
      </c>
      <c r="M458">
        <v>205</v>
      </c>
    </row>
    <row r="459" spans="1:13" x14ac:dyDescent="0.25">
      <c r="A459" t="s">
        <v>344</v>
      </c>
      <c r="B459" t="s">
        <v>495</v>
      </c>
      <c r="C459" t="s">
        <v>518</v>
      </c>
      <c r="D459" t="s">
        <v>519</v>
      </c>
      <c r="E459">
        <v>2</v>
      </c>
      <c r="F459">
        <v>12</v>
      </c>
      <c r="G459">
        <v>300</v>
      </c>
      <c r="H459">
        <v>17</v>
      </c>
      <c r="I459">
        <v>48.5</v>
      </c>
      <c r="J459">
        <v>11.2</v>
      </c>
      <c r="K459">
        <v>17.100000000000001</v>
      </c>
      <c r="L459">
        <v>45</v>
      </c>
      <c r="M459">
        <v>285</v>
      </c>
    </row>
    <row r="460" spans="1:13" x14ac:dyDescent="0.25">
      <c r="A460" t="s">
        <v>344</v>
      </c>
      <c r="B460" t="s">
        <v>495</v>
      </c>
      <c r="C460" t="s">
        <v>518</v>
      </c>
      <c r="D460" t="s">
        <v>519</v>
      </c>
      <c r="E460">
        <v>2</v>
      </c>
      <c r="F460">
        <v>12</v>
      </c>
      <c r="G460">
        <v>380</v>
      </c>
      <c r="H460">
        <v>17</v>
      </c>
      <c r="I460">
        <v>48.5</v>
      </c>
      <c r="J460">
        <v>11.2</v>
      </c>
      <c r="K460">
        <v>17.100000000000001</v>
      </c>
      <c r="L460">
        <v>45</v>
      </c>
      <c r="M460">
        <v>365</v>
      </c>
    </row>
    <row r="461" spans="1:13" x14ac:dyDescent="0.25">
      <c r="A461" t="s">
        <v>344</v>
      </c>
      <c r="B461" t="s">
        <v>495</v>
      </c>
      <c r="C461" t="s">
        <v>518</v>
      </c>
      <c r="D461" t="s">
        <v>519</v>
      </c>
      <c r="E461">
        <v>2</v>
      </c>
      <c r="F461">
        <v>16</v>
      </c>
      <c r="G461">
        <v>180</v>
      </c>
      <c r="H461">
        <v>24</v>
      </c>
      <c r="I461">
        <v>112.9</v>
      </c>
      <c r="J461">
        <v>11</v>
      </c>
      <c r="K461">
        <v>20.399999999999999</v>
      </c>
      <c r="L461">
        <v>88.6</v>
      </c>
      <c r="M461">
        <v>155</v>
      </c>
    </row>
    <row r="462" spans="1:13" x14ac:dyDescent="0.25">
      <c r="A462" t="s">
        <v>344</v>
      </c>
      <c r="B462" t="s">
        <v>495</v>
      </c>
      <c r="C462" t="s">
        <v>518</v>
      </c>
      <c r="D462" t="s">
        <v>519</v>
      </c>
      <c r="E462">
        <v>2</v>
      </c>
      <c r="F462">
        <v>16</v>
      </c>
      <c r="G462">
        <v>240</v>
      </c>
      <c r="H462">
        <v>24</v>
      </c>
      <c r="I462">
        <v>112.9</v>
      </c>
      <c r="J462">
        <v>11.1</v>
      </c>
      <c r="K462">
        <v>20.399999999999999</v>
      </c>
      <c r="L462">
        <v>88.6</v>
      </c>
      <c r="M462">
        <v>215</v>
      </c>
    </row>
    <row r="463" spans="1:13" x14ac:dyDescent="0.25">
      <c r="A463" t="s">
        <v>344</v>
      </c>
      <c r="B463" t="s">
        <v>495</v>
      </c>
      <c r="C463" t="s">
        <v>518</v>
      </c>
      <c r="D463" t="s">
        <v>519</v>
      </c>
      <c r="E463">
        <v>2</v>
      </c>
      <c r="F463">
        <v>16</v>
      </c>
      <c r="G463">
        <v>280</v>
      </c>
      <c r="H463">
        <v>24</v>
      </c>
      <c r="I463">
        <v>112.9</v>
      </c>
      <c r="J463">
        <v>11.2</v>
      </c>
      <c r="K463">
        <v>20.399999999999999</v>
      </c>
      <c r="L463">
        <v>88.6</v>
      </c>
      <c r="M463">
        <v>255</v>
      </c>
    </row>
    <row r="464" spans="1:13" x14ac:dyDescent="0.25">
      <c r="A464" t="s">
        <v>344</v>
      </c>
      <c r="B464" t="s">
        <v>495</v>
      </c>
      <c r="C464" t="s">
        <v>518</v>
      </c>
      <c r="D464" t="s">
        <v>519</v>
      </c>
      <c r="E464">
        <v>2</v>
      </c>
      <c r="F464">
        <v>16</v>
      </c>
      <c r="G464">
        <v>320</v>
      </c>
      <c r="H464">
        <v>24</v>
      </c>
      <c r="I464">
        <v>112.9</v>
      </c>
      <c r="J464">
        <v>11.3</v>
      </c>
      <c r="K464">
        <v>20.399999999999999</v>
      </c>
      <c r="L464">
        <v>88.6</v>
      </c>
      <c r="M464">
        <v>295</v>
      </c>
    </row>
    <row r="465" spans="1:14" x14ac:dyDescent="0.25">
      <c r="A465" t="s">
        <v>344</v>
      </c>
      <c r="B465" t="s">
        <v>495</v>
      </c>
      <c r="C465" t="s">
        <v>518</v>
      </c>
      <c r="D465" t="s">
        <v>519</v>
      </c>
      <c r="E465">
        <v>2</v>
      </c>
      <c r="F465">
        <v>16</v>
      </c>
      <c r="G465">
        <v>400</v>
      </c>
      <c r="H465">
        <v>24</v>
      </c>
      <c r="I465">
        <v>112.9</v>
      </c>
      <c r="J465">
        <v>11.4</v>
      </c>
      <c r="K465">
        <v>20.399999999999999</v>
      </c>
      <c r="L465">
        <v>88.6</v>
      </c>
      <c r="M465">
        <v>375</v>
      </c>
    </row>
    <row r="466" spans="1:14" x14ac:dyDescent="0.25">
      <c r="A466" t="s">
        <v>344</v>
      </c>
      <c r="B466" t="s">
        <v>495</v>
      </c>
      <c r="C466" t="s">
        <v>518</v>
      </c>
      <c r="D466" t="s">
        <v>519</v>
      </c>
      <c r="E466">
        <v>2</v>
      </c>
      <c r="F466">
        <v>16</v>
      </c>
      <c r="G466">
        <v>600</v>
      </c>
      <c r="H466">
        <v>24</v>
      </c>
      <c r="I466">
        <v>112.9</v>
      </c>
      <c r="J466">
        <v>11.5</v>
      </c>
      <c r="K466">
        <v>20.399999999999999</v>
      </c>
      <c r="L466">
        <v>88.6</v>
      </c>
      <c r="M466">
        <v>575</v>
      </c>
    </row>
    <row r="467" spans="1:14" x14ac:dyDescent="0.25">
      <c r="A467" t="s">
        <v>344</v>
      </c>
      <c r="B467" t="s">
        <v>495</v>
      </c>
      <c r="C467" t="s">
        <v>520</v>
      </c>
      <c r="D467" t="s">
        <v>494</v>
      </c>
      <c r="E467">
        <v>2</v>
      </c>
      <c r="F467">
        <v>8</v>
      </c>
      <c r="G467">
        <v>160</v>
      </c>
      <c r="H467">
        <v>22</v>
      </c>
      <c r="I467">
        <v>42.8</v>
      </c>
      <c r="J467">
        <v>13.1</v>
      </c>
      <c r="K467">
        <v>20.399999999999999</v>
      </c>
      <c r="L467">
        <v>32.799999999999997</v>
      </c>
      <c r="M467">
        <v>100</v>
      </c>
    </row>
    <row r="468" spans="1:14" x14ac:dyDescent="0.25">
      <c r="A468" t="s">
        <v>344</v>
      </c>
      <c r="B468" t="s">
        <v>495</v>
      </c>
      <c r="C468" t="s">
        <v>521</v>
      </c>
      <c r="D468" t="s">
        <v>493</v>
      </c>
      <c r="E468">
        <v>2</v>
      </c>
      <c r="F468">
        <v>8</v>
      </c>
      <c r="G468">
        <v>80</v>
      </c>
      <c r="H468">
        <v>15</v>
      </c>
      <c r="I468">
        <v>42.8</v>
      </c>
      <c r="J468">
        <v>13.1</v>
      </c>
      <c r="K468">
        <v>12.4</v>
      </c>
      <c r="L468">
        <v>32.799999999999997</v>
      </c>
      <c r="M468">
        <v>60</v>
      </c>
    </row>
    <row r="469" spans="1:14" x14ac:dyDescent="0.25">
      <c r="A469" t="s">
        <v>344</v>
      </c>
      <c r="B469" t="s">
        <v>495</v>
      </c>
      <c r="C469" t="s">
        <v>521</v>
      </c>
      <c r="D469" t="s">
        <v>493</v>
      </c>
      <c r="E469">
        <v>2</v>
      </c>
      <c r="F469">
        <v>8</v>
      </c>
      <c r="G469">
        <v>120</v>
      </c>
      <c r="H469">
        <v>15</v>
      </c>
      <c r="I469">
        <v>42.8</v>
      </c>
      <c r="J469">
        <v>13.1</v>
      </c>
      <c r="K469">
        <v>12.4</v>
      </c>
      <c r="L469">
        <v>32.799999999999997</v>
      </c>
      <c r="M469">
        <v>100</v>
      </c>
    </row>
    <row r="470" spans="1:14" x14ac:dyDescent="0.25">
      <c r="A470" t="s">
        <v>344</v>
      </c>
      <c r="B470" t="s">
        <v>495</v>
      </c>
      <c r="C470" t="s">
        <v>521</v>
      </c>
      <c r="D470" t="s">
        <v>493</v>
      </c>
      <c r="E470">
        <v>2</v>
      </c>
      <c r="F470">
        <v>8</v>
      </c>
      <c r="G470">
        <v>160</v>
      </c>
      <c r="H470">
        <v>15</v>
      </c>
      <c r="I470">
        <v>42.8</v>
      </c>
      <c r="J470">
        <v>13.1</v>
      </c>
      <c r="K470">
        <v>12.4</v>
      </c>
      <c r="L470">
        <v>32.799999999999997</v>
      </c>
      <c r="M470">
        <v>100</v>
      </c>
    </row>
    <row r="471" spans="1:14" x14ac:dyDescent="0.25">
      <c r="A471" t="s">
        <v>344</v>
      </c>
      <c r="B471" t="s">
        <v>495</v>
      </c>
      <c r="C471" t="s">
        <v>521</v>
      </c>
      <c r="D471" t="s">
        <v>493</v>
      </c>
      <c r="E471">
        <v>2</v>
      </c>
      <c r="F471">
        <v>8</v>
      </c>
      <c r="G471">
        <v>200</v>
      </c>
      <c r="H471">
        <v>15</v>
      </c>
      <c r="I471">
        <v>42.8</v>
      </c>
      <c r="J471">
        <v>13.1</v>
      </c>
      <c r="K471">
        <v>12.4</v>
      </c>
      <c r="L471">
        <v>32.799999999999997</v>
      </c>
      <c r="M471">
        <v>100</v>
      </c>
    </row>
    <row r="472" spans="1:14" x14ac:dyDescent="0.25">
      <c r="A472" t="s">
        <v>344</v>
      </c>
      <c r="B472" t="s">
        <v>495</v>
      </c>
      <c r="C472" t="s">
        <v>521</v>
      </c>
      <c r="D472" t="s">
        <v>493</v>
      </c>
      <c r="E472">
        <v>2</v>
      </c>
      <c r="F472">
        <v>8</v>
      </c>
      <c r="G472">
        <v>240</v>
      </c>
      <c r="H472">
        <v>15</v>
      </c>
      <c r="I472">
        <v>42.8</v>
      </c>
      <c r="J472">
        <v>13.1</v>
      </c>
      <c r="K472">
        <v>12.4</v>
      </c>
      <c r="L472">
        <v>32.799999999999997</v>
      </c>
      <c r="M472">
        <v>100</v>
      </c>
    </row>
    <row r="473" spans="1:14" x14ac:dyDescent="0.25">
      <c r="A473" t="s">
        <v>344</v>
      </c>
      <c r="B473" t="s">
        <v>495</v>
      </c>
      <c r="C473" t="s">
        <v>521</v>
      </c>
      <c r="D473" t="s">
        <v>493</v>
      </c>
      <c r="E473">
        <v>2</v>
      </c>
      <c r="F473">
        <v>8</v>
      </c>
      <c r="G473">
        <v>280</v>
      </c>
      <c r="H473">
        <v>15</v>
      </c>
      <c r="I473">
        <v>42.8</v>
      </c>
      <c r="J473">
        <v>13.1</v>
      </c>
      <c r="K473">
        <v>12.4</v>
      </c>
      <c r="L473">
        <v>32.799999999999997</v>
      </c>
      <c r="M473">
        <v>100</v>
      </c>
    </row>
    <row r="474" spans="1:14" x14ac:dyDescent="0.25">
      <c r="A474" t="s">
        <v>344</v>
      </c>
      <c r="B474" t="s">
        <v>495</v>
      </c>
      <c r="C474" t="s">
        <v>521</v>
      </c>
      <c r="D474" t="s">
        <v>493</v>
      </c>
      <c r="E474">
        <v>2</v>
      </c>
      <c r="F474">
        <v>8</v>
      </c>
      <c r="G474">
        <v>320</v>
      </c>
      <c r="H474">
        <v>15</v>
      </c>
      <c r="I474">
        <v>42.8</v>
      </c>
      <c r="J474">
        <v>13.1</v>
      </c>
      <c r="K474">
        <v>12.4</v>
      </c>
      <c r="L474">
        <v>32.799999999999997</v>
      </c>
      <c r="M474">
        <v>100</v>
      </c>
    </row>
    <row r="475" spans="1:14" x14ac:dyDescent="0.25">
      <c r="A475" t="s">
        <v>344</v>
      </c>
      <c r="B475" t="s">
        <v>495</v>
      </c>
      <c r="C475" t="s">
        <v>521</v>
      </c>
      <c r="D475" t="s">
        <v>493</v>
      </c>
      <c r="E475">
        <v>2</v>
      </c>
      <c r="F475">
        <v>8</v>
      </c>
      <c r="G475">
        <v>440</v>
      </c>
      <c r="H475">
        <v>15</v>
      </c>
      <c r="I475">
        <v>42.8</v>
      </c>
      <c r="J475">
        <v>13.1</v>
      </c>
      <c r="K475">
        <v>12.4</v>
      </c>
      <c r="L475">
        <v>32.799999999999997</v>
      </c>
      <c r="M475">
        <v>100</v>
      </c>
    </row>
    <row r="476" spans="1:14" x14ac:dyDescent="0.25">
      <c r="A476" t="s">
        <v>344</v>
      </c>
      <c r="B476" t="s">
        <v>495</v>
      </c>
      <c r="C476" t="s">
        <v>522</v>
      </c>
      <c r="D476" t="s">
        <v>523</v>
      </c>
      <c r="E476">
        <v>2</v>
      </c>
      <c r="F476">
        <v>8</v>
      </c>
      <c r="G476">
        <v>240</v>
      </c>
      <c r="H476">
        <v>10.199999999999999</v>
      </c>
      <c r="I476">
        <v>21</v>
      </c>
      <c r="J476">
        <v>13.1</v>
      </c>
      <c r="K476">
        <v>0</v>
      </c>
      <c r="L476">
        <v>22</v>
      </c>
      <c r="M476">
        <v>80</v>
      </c>
      <c r="N476">
        <v>80</v>
      </c>
    </row>
    <row r="477" spans="1:14" x14ac:dyDescent="0.25">
      <c r="A477" t="s">
        <v>344</v>
      </c>
      <c r="B477" t="s">
        <v>495</v>
      </c>
      <c r="C477" t="s">
        <v>522</v>
      </c>
      <c r="D477" t="s">
        <v>523</v>
      </c>
      <c r="E477">
        <v>2</v>
      </c>
      <c r="F477">
        <v>8</v>
      </c>
      <c r="G477">
        <v>260</v>
      </c>
      <c r="H477">
        <v>10.199999999999999</v>
      </c>
      <c r="I477">
        <v>21</v>
      </c>
      <c r="J477">
        <v>13.1</v>
      </c>
      <c r="K477">
        <v>0</v>
      </c>
      <c r="L477">
        <v>22</v>
      </c>
      <c r="M477">
        <v>100</v>
      </c>
      <c r="N477">
        <v>80</v>
      </c>
    </row>
    <row r="478" spans="1:14" x14ac:dyDescent="0.25">
      <c r="A478" t="s">
        <v>344</v>
      </c>
      <c r="B478" t="s">
        <v>495</v>
      </c>
      <c r="C478" t="s">
        <v>522</v>
      </c>
      <c r="D478" t="s">
        <v>523</v>
      </c>
      <c r="E478">
        <v>2</v>
      </c>
      <c r="F478">
        <v>8</v>
      </c>
      <c r="G478">
        <v>280</v>
      </c>
      <c r="H478">
        <v>10.199999999999999</v>
      </c>
      <c r="I478">
        <v>21</v>
      </c>
      <c r="J478">
        <v>13.1</v>
      </c>
      <c r="K478">
        <v>0</v>
      </c>
      <c r="L478">
        <v>22</v>
      </c>
      <c r="M478">
        <v>100</v>
      </c>
      <c r="N478">
        <v>80</v>
      </c>
    </row>
    <row r="479" spans="1:14" x14ac:dyDescent="0.25">
      <c r="A479" t="s">
        <v>344</v>
      </c>
      <c r="B479" t="s">
        <v>495</v>
      </c>
      <c r="C479" t="s">
        <v>522</v>
      </c>
      <c r="D479" t="s">
        <v>523</v>
      </c>
      <c r="E479">
        <v>2</v>
      </c>
      <c r="F479">
        <v>8</v>
      </c>
      <c r="G479">
        <v>300</v>
      </c>
      <c r="H479">
        <v>10.199999999999999</v>
      </c>
      <c r="I479">
        <v>21</v>
      </c>
      <c r="J479">
        <v>13.1</v>
      </c>
      <c r="K479">
        <v>0</v>
      </c>
      <c r="L479">
        <v>22</v>
      </c>
      <c r="M479">
        <v>100</v>
      </c>
      <c r="N479">
        <v>80</v>
      </c>
    </row>
    <row r="480" spans="1:14" x14ac:dyDescent="0.25">
      <c r="A480" t="s">
        <v>344</v>
      </c>
      <c r="B480" t="s">
        <v>495</v>
      </c>
      <c r="C480" t="s">
        <v>522</v>
      </c>
      <c r="D480" t="s">
        <v>523</v>
      </c>
      <c r="E480">
        <v>2</v>
      </c>
      <c r="F480">
        <v>8</v>
      </c>
      <c r="G480">
        <v>320</v>
      </c>
      <c r="H480">
        <v>10.199999999999999</v>
      </c>
      <c r="I480">
        <v>21</v>
      </c>
      <c r="J480">
        <v>13.1</v>
      </c>
      <c r="K480">
        <v>0</v>
      </c>
      <c r="L480">
        <v>22</v>
      </c>
      <c r="M480">
        <v>100</v>
      </c>
      <c r="N480">
        <v>80</v>
      </c>
    </row>
    <row r="481" spans="1:14" x14ac:dyDescent="0.25">
      <c r="A481" t="s">
        <v>344</v>
      </c>
      <c r="B481" t="s">
        <v>495</v>
      </c>
      <c r="C481" t="s">
        <v>522</v>
      </c>
      <c r="D481" t="s">
        <v>523</v>
      </c>
      <c r="E481">
        <v>2</v>
      </c>
      <c r="F481">
        <v>8</v>
      </c>
      <c r="G481">
        <v>340</v>
      </c>
      <c r="H481">
        <v>10.199999999999999</v>
      </c>
      <c r="I481">
        <v>21</v>
      </c>
      <c r="J481">
        <v>13.1</v>
      </c>
      <c r="K481">
        <v>0</v>
      </c>
      <c r="L481">
        <v>22</v>
      </c>
      <c r="M481">
        <v>100</v>
      </c>
      <c r="N481">
        <v>80</v>
      </c>
    </row>
    <row r="482" spans="1:14" x14ac:dyDescent="0.25">
      <c r="A482" t="s">
        <v>344</v>
      </c>
      <c r="B482" t="s">
        <v>495</v>
      </c>
      <c r="C482" t="s">
        <v>522</v>
      </c>
      <c r="D482" t="s">
        <v>523</v>
      </c>
      <c r="E482">
        <v>2</v>
      </c>
      <c r="F482">
        <v>8</v>
      </c>
      <c r="G482">
        <v>360</v>
      </c>
      <c r="H482">
        <v>10.199999999999999</v>
      </c>
      <c r="I482">
        <v>21</v>
      </c>
      <c r="J482">
        <v>13.1</v>
      </c>
      <c r="K482">
        <v>0</v>
      </c>
      <c r="L482">
        <v>22</v>
      </c>
      <c r="M482">
        <v>100</v>
      </c>
      <c r="N482">
        <v>80</v>
      </c>
    </row>
    <row r="483" spans="1:14" x14ac:dyDescent="0.25">
      <c r="A483" t="s">
        <v>344</v>
      </c>
      <c r="B483" t="s">
        <v>495</v>
      </c>
      <c r="C483" t="s">
        <v>522</v>
      </c>
      <c r="D483" t="s">
        <v>523</v>
      </c>
      <c r="E483">
        <v>2</v>
      </c>
      <c r="F483">
        <v>8</v>
      </c>
      <c r="G483">
        <v>400</v>
      </c>
      <c r="H483">
        <v>10.199999999999999</v>
      </c>
      <c r="I483">
        <v>21</v>
      </c>
      <c r="J483">
        <v>13.1</v>
      </c>
      <c r="K483">
        <v>0</v>
      </c>
      <c r="L483">
        <v>22</v>
      </c>
      <c r="M483">
        <v>100</v>
      </c>
      <c r="N483">
        <v>80</v>
      </c>
    </row>
    <row r="484" spans="1:14" x14ac:dyDescent="0.25">
      <c r="A484" t="s">
        <v>344</v>
      </c>
      <c r="B484" t="s">
        <v>495</v>
      </c>
      <c r="C484" t="s">
        <v>522</v>
      </c>
      <c r="D484" t="s">
        <v>523</v>
      </c>
      <c r="E484">
        <v>2</v>
      </c>
      <c r="F484">
        <v>8</v>
      </c>
      <c r="G484">
        <v>450</v>
      </c>
      <c r="H484">
        <v>10.199999999999999</v>
      </c>
      <c r="I484">
        <v>21</v>
      </c>
      <c r="J484">
        <v>13.1</v>
      </c>
      <c r="K484">
        <v>0</v>
      </c>
      <c r="L484">
        <v>22</v>
      </c>
      <c r="M484">
        <v>100</v>
      </c>
      <c r="N484">
        <v>80</v>
      </c>
    </row>
    <row r="485" spans="1:14" x14ac:dyDescent="0.25">
      <c r="A485" t="s">
        <v>344</v>
      </c>
      <c r="B485" t="s">
        <v>495</v>
      </c>
      <c r="C485" t="s">
        <v>522</v>
      </c>
      <c r="D485" t="s">
        <v>523</v>
      </c>
      <c r="E485">
        <v>2</v>
      </c>
      <c r="F485">
        <v>8</v>
      </c>
      <c r="G485">
        <v>480</v>
      </c>
      <c r="H485">
        <v>10.199999999999999</v>
      </c>
      <c r="I485">
        <v>21</v>
      </c>
      <c r="J485">
        <v>13.1</v>
      </c>
      <c r="K485">
        <v>0</v>
      </c>
      <c r="L485">
        <v>22</v>
      </c>
      <c r="M485">
        <v>100</v>
      </c>
      <c r="N485">
        <v>80</v>
      </c>
    </row>
    <row r="486" spans="1:14" x14ac:dyDescent="0.25">
      <c r="A486" t="s">
        <v>344</v>
      </c>
      <c r="B486" t="s">
        <v>495</v>
      </c>
      <c r="C486" t="s">
        <v>522</v>
      </c>
      <c r="D486" t="s">
        <v>523</v>
      </c>
      <c r="E486">
        <v>2</v>
      </c>
      <c r="F486">
        <v>8</v>
      </c>
      <c r="G486">
        <v>520</v>
      </c>
      <c r="H486">
        <v>10.199999999999999</v>
      </c>
      <c r="I486">
        <v>21</v>
      </c>
      <c r="J486">
        <v>13.1</v>
      </c>
      <c r="K486">
        <v>0</v>
      </c>
      <c r="L486">
        <v>22</v>
      </c>
      <c r="M486">
        <v>100</v>
      </c>
      <c r="N486">
        <v>80</v>
      </c>
    </row>
    <row r="487" spans="1:14" x14ac:dyDescent="0.25">
      <c r="A487" t="s">
        <v>344</v>
      </c>
      <c r="B487" t="s">
        <v>495</v>
      </c>
      <c r="C487" t="s">
        <v>524</v>
      </c>
      <c r="D487" t="s">
        <v>239</v>
      </c>
      <c r="E487">
        <v>2</v>
      </c>
      <c r="F487">
        <v>8</v>
      </c>
      <c r="G487">
        <v>155</v>
      </c>
      <c r="H487">
        <v>12</v>
      </c>
      <c r="I487">
        <v>22.6</v>
      </c>
      <c r="J487">
        <v>10.7</v>
      </c>
      <c r="K487" t="s">
        <v>525</v>
      </c>
      <c r="L487">
        <v>22.7</v>
      </c>
      <c r="M487">
        <v>100</v>
      </c>
    </row>
    <row r="488" spans="1:14" x14ac:dyDescent="0.25">
      <c r="A488" t="s">
        <v>344</v>
      </c>
      <c r="B488" t="s">
        <v>495</v>
      </c>
      <c r="C488" t="s">
        <v>524</v>
      </c>
      <c r="D488" t="s">
        <v>239</v>
      </c>
      <c r="E488">
        <v>2</v>
      </c>
      <c r="F488">
        <v>8</v>
      </c>
      <c r="G488">
        <v>205</v>
      </c>
      <c r="H488">
        <v>12</v>
      </c>
      <c r="I488">
        <v>22.6</v>
      </c>
      <c r="J488">
        <v>10.7</v>
      </c>
      <c r="K488" t="s">
        <v>525</v>
      </c>
      <c r="L488">
        <v>22.7</v>
      </c>
      <c r="M488">
        <v>130</v>
      </c>
    </row>
  </sheetData>
  <conditionalFormatting sqref="A1">
    <cfRule type="cellIs" dxfId="1" priority="1" operator="equal">
      <formula>"Spiker"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08E2A-FE34-4147-A0ED-70206B11301C}">
  <sheetPr>
    <tabColor rgb="FF92D050"/>
  </sheetPr>
  <dimension ref="A1:G5"/>
  <sheetViews>
    <sheetView workbookViewId="0">
      <selection activeCell="K39" sqref="K39"/>
    </sheetView>
  </sheetViews>
  <sheetFormatPr baseColWidth="10" defaultRowHeight="15" x14ac:dyDescent="0.25"/>
  <cols>
    <col min="1" max="1" width="12.85546875" bestFit="1" customWidth="1"/>
    <col min="2" max="2" width="13" bestFit="1" customWidth="1"/>
    <col min="3" max="3" width="21" bestFit="1" customWidth="1"/>
    <col min="4" max="4" width="4" bestFit="1" customWidth="1"/>
    <col min="5" max="5" width="5" bestFit="1" customWidth="1"/>
    <col min="6" max="6" width="5.42578125" bestFit="1" customWidth="1"/>
    <col min="7" max="7" width="4" bestFit="1" customWidth="1"/>
  </cols>
  <sheetData>
    <row r="1" spans="1:7" x14ac:dyDescent="0.25">
      <c r="A1" s="1" t="s">
        <v>0</v>
      </c>
      <c r="B1" s="1" t="s">
        <v>1</v>
      </c>
      <c r="C1" s="1" t="s">
        <v>231</v>
      </c>
      <c r="D1" s="1" t="s">
        <v>303</v>
      </c>
      <c r="E1" s="1" t="s">
        <v>300</v>
      </c>
      <c r="F1" s="1" t="s">
        <v>301</v>
      </c>
      <c r="G1" s="1" t="s">
        <v>302</v>
      </c>
    </row>
    <row r="2" spans="1:7" x14ac:dyDescent="0.25">
      <c r="A2" t="s">
        <v>495</v>
      </c>
      <c r="B2" t="s">
        <v>526</v>
      </c>
      <c r="C2" t="s">
        <v>196</v>
      </c>
      <c r="D2">
        <v>6</v>
      </c>
      <c r="E2">
        <v>7.5</v>
      </c>
      <c r="F2">
        <v>20</v>
      </c>
      <c r="G2">
        <v>4</v>
      </c>
    </row>
    <row r="3" spans="1:7" x14ac:dyDescent="0.25">
      <c r="A3" t="s">
        <v>495</v>
      </c>
      <c r="B3" t="s">
        <v>526</v>
      </c>
      <c r="C3" t="s">
        <v>196</v>
      </c>
      <c r="D3">
        <v>8</v>
      </c>
      <c r="E3">
        <v>8.5</v>
      </c>
      <c r="F3">
        <v>25</v>
      </c>
      <c r="G3">
        <v>5</v>
      </c>
    </row>
    <row r="4" spans="1:7" x14ac:dyDescent="0.25">
      <c r="A4" t="s">
        <v>495</v>
      </c>
      <c r="B4" t="s">
        <v>526</v>
      </c>
      <c r="C4" t="s">
        <v>196</v>
      </c>
      <c r="D4">
        <v>10</v>
      </c>
      <c r="E4">
        <v>11</v>
      </c>
      <c r="F4">
        <v>32</v>
      </c>
      <c r="G4">
        <v>6</v>
      </c>
    </row>
    <row r="5" spans="1:7" x14ac:dyDescent="0.25">
      <c r="A5" t="s">
        <v>495</v>
      </c>
      <c r="B5" t="s">
        <v>526</v>
      </c>
      <c r="C5" t="s">
        <v>196</v>
      </c>
      <c r="D5">
        <v>12</v>
      </c>
      <c r="E5">
        <v>14</v>
      </c>
      <c r="F5">
        <v>37</v>
      </c>
      <c r="G5">
        <v>7.5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5B73C-616B-43FB-A7FD-2E95CF208CBB}">
  <sheetPr>
    <tabColor theme="5" tint="-0.499984740745262"/>
  </sheetPr>
  <dimension ref="A1:P100"/>
  <sheetViews>
    <sheetView workbookViewId="0">
      <pane ySplit="1" topLeftCell="A2" activePane="bottomLeft" state="frozen"/>
      <selection pane="bottomLeft" activeCell="O99" sqref="O99"/>
    </sheetView>
  </sheetViews>
  <sheetFormatPr baseColWidth="10" defaultRowHeight="15" x14ac:dyDescent="0.25"/>
  <cols>
    <col min="3" max="3" width="21.5703125" bestFit="1" customWidth="1"/>
    <col min="4" max="4" width="43" bestFit="1" customWidth="1"/>
  </cols>
  <sheetData>
    <row r="1" spans="1:16" ht="45" x14ac:dyDescent="0.25">
      <c r="A1" s="74" t="s">
        <v>1</v>
      </c>
      <c r="B1" s="74" t="s">
        <v>424</v>
      </c>
      <c r="C1" s="74" t="s">
        <v>468</v>
      </c>
      <c r="D1" s="75" t="s">
        <v>469</v>
      </c>
      <c r="E1" s="75" t="s">
        <v>232</v>
      </c>
      <c r="F1" s="74" t="s">
        <v>18</v>
      </c>
      <c r="G1" s="74" t="s">
        <v>20</v>
      </c>
      <c r="H1" s="74" t="s">
        <v>22</v>
      </c>
      <c r="I1" s="75" t="s">
        <v>215</v>
      </c>
      <c r="J1" s="75" t="s">
        <v>214</v>
      </c>
      <c r="K1" s="75" t="s">
        <v>171</v>
      </c>
      <c r="L1" s="75" t="s">
        <v>172</v>
      </c>
      <c r="M1" s="74" t="s">
        <v>325</v>
      </c>
      <c r="N1" s="74" t="s">
        <v>326</v>
      </c>
      <c r="O1" s="74" t="s">
        <v>414</v>
      </c>
      <c r="P1" s="74" t="s">
        <v>471</v>
      </c>
    </row>
    <row r="2" spans="1:16" x14ac:dyDescent="0.25">
      <c r="A2" t="s">
        <v>344</v>
      </c>
      <c r="B2" t="s">
        <v>496</v>
      </c>
      <c r="C2" t="s">
        <v>499</v>
      </c>
      <c r="D2" t="s">
        <v>497</v>
      </c>
      <c r="E2">
        <v>2</v>
      </c>
      <c r="F2">
        <v>8</v>
      </c>
      <c r="G2">
        <v>80</v>
      </c>
      <c r="H2">
        <v>15.1</v>
      </c>
      <c r="I2" s="55">
        <f>0.15*600*F2^2.6/1000</f>
        <v>20.057484978342696</v>
      </c>
      <c r="J2">
        <v>12</v>
      </c>
      <c r="K2">
        <v>8</v>
      </c>
      <c r="L2">
        <v>17</v>
      </c>
      <c r="M2">
        <f>G2-15</f>
        <v>65</v>
      </c>
    </row>
    <row r="3" spans="1:16" x14ac:dyDescent="0.25">
      <c r="A3" t="s">
        <v>344</v>
      </c>
      <c r="B3" t="s">
        <v>496</v>
      </c>
      <c r="C3" t="s">
        <v>499</v>
      </c>
      <c r="D3" t="s">
        <v>497</v>
      </c>
      <c r="E3">
        <v>2</v>
      </c>
      <c r="F3">
        <v>8</v>
      </c>
      <c r="G3">
        <v>100</v>
      </c>
      <c r="H3">
        <v>15.1</v>
      </c>
      <c r="I3" s="55">
        <f t="shared" ref="I3:I24" si="0">0.15*600*F3^2.6/1000</f>
        <v>20.057484978342696</v>
      </c>
      <c r="J3">
        <v>12</v>
      </c>
      <c r="K3">
        <v>8</v>
      </c>
      <c r="L3">
        <v>17</v>
      </c>
      <c r="M3">
        <f t="shared" ref="M3:M66" si="1">G3-15</f>
        <v>85</v>
      </c>
    </row>
    <row r="4" spans="1:16" x14ac:dyDescent="0.25">
      <c r="A4" t="s">
        <v>344</v>
      </c>
      <c r="B4" t="s">
        <v>496</v>
      </c>
      <c r="C4" t="s">
        <v>499</v>
      </c>
      <c r="D4" t="s">
        <v>497</v>
      </c>
      <c r="E4">
        <v>2</v>
      </c>
      <c r="F4">
        <v>8</v>
      </c>
      <c r="G4">
        <v>120</v>
      </c>
      <c r="H4">
        <v>15.1</v>
      </c>
      <c r="I4" s="55">
        <f t="shared" si="0"/>
        <v>20.057484978342696</v>
      </c>
      <c r="J4">
        <v>12</v>
      </c>
      <c r="K4">
        <v>8</v>
      </c>
      <c r="L4">
        <v>17</v>
      </c>
      <c r="M4">
        <f t="shared" si="1"/>
        <v>105</v>
      </c>
    </row>
    <row r="5" spans="1:16" x14ac:dyDescent="0.25">
      <c r="A5" t="s">
        <v>344</v>
      </c>
      <c r="B5" t="s">
        <v>496</v>
      </c>
      <c r="C5" t="s">
        <v>499</v>
      </c>
      <c r="D5" t="s">
        <v>497</v>
      </c>
      <c r="E5">
        <v>2</v>
      </c>
      <c r="F5">
        <v>8</v>
      </c>
      <c r="G5">
        <v>140</v>
      </c>
      <c r="H5">
        <v>15.1</v>
      </c>
      <c r="I5" s="55">
        <f t="shared" si="0"/>
        <v>20.057484978342696</v>
      </c>
      <c r="J5">
        <v>12</v>
      </c>
      <c r="K5">
        <v>8</v>
      </c>
      <c r="L5">
        <v>17</v>
      </c>
      <c r="M5">
        <f t="shared" si="1"/>
        <v>125</v>
      </c>
    </row>
    <row r="6" spans="1:16" x14ac:dyDescent="0.25">
      <c r="A6" t="s">
        <v>344</v>
      </c>
      <c r="B6" t="s">
        <v>496</v>
      </c>
      <c r="C6" t="s">
        <v>499</v>
      </c>
      <c r="D6" t="s">
        <v>497</v>
      </c>
      <c r="E6">
        <v>2</v>
      </c>
      <c r="F6">
        <v>8</v>
      </c>
      <c r="G6">
        <v>160</v>
      </c>
      <c r="H6">
        <v>15.1</v>
      </c>
      <c r="I6" s="55">
        <f t="shared" si="0"/>
        <v>20.057484978342696</v>
      </c>
      <c r="J6">
        <v>12</v>
      </c>
      <c r="K6">
        <v>8</v>
      </c>
      <c r="L6">
        <v>17</v>
      </c>
      <c r="M6">
        <f t="shared" si="1"/>
        <v>145</v>
      </c>
    </row>
    <row r="7" spans="1:16" x14ac:dyDescent="0.25">
      <c r="A7" t="s">
        <v>344</v>
      </c>
      <c r="B7" t="s">
        <v>496</v>
      </c>
      <c r="C7" t="s">
        <v>499</v>
      </c>
      <c r="D7" t="s">
        <v>497</v>
      </c>
      <c r="E7">
        <v>2</v>
      </c>
      <c r="F7">
        <v>8</v>
      </c>
      <c r="G7">
        <v>180</v>
      </c>
      <c r="H7">
        <v>15.1</v>
      </c>
      <c r="I7" s="55">
        <f t="shared" si="0"/>
        <v>20.057484978342696</v>
      </c>
      <c r="J7">
        <v>12</v>
      </c>
      <c r="K7">
        <v>8</v>
      </c>
      <c r="L7">
        <v>17</v>
      </c>
      <c r="M7">
        <f t="shared" si="1"/>
        <v>165</v>
      </c>
    </row>
    <row r="8" spans="1:16" x14ac:dyDescent="0.25">
      <c r="A8" t="s">
        <v>344</v>
      </c>
      <c r="B8" t="s">
        <v>496</v>
      </c>
      <c r="C8" t="s">
        <v>499</v>
      </c>
      <c r="D8" t="s">
        <v>497</v>
      </c>
      <c r="E8">
        <v>2</v>
      </c>
      <c r="F8">
        <v>8</v>
      </c>
      <c r="G8">
        <v>200</v>
      </c>
      <c r="H8">
        <v>15.1</v>
      </c>
      <c r="I8" s="55">
        <f t="shared" si="0"/>
        <v>20.057484978342696</v>
      </c>
      <c r="J8">
        <v>12</v>
      </c>
      <c r="K8">
        <v>8</v>
      </c>
      <c r="L8">
        <v>17</v>
      </c>
      <c r="M8">
        <f t="shared" si="1"/>
        <v>185</v>
      </c>
    </row>
    <row r="9" spans="1:16" x14ac:dyDescent="0.25">
      <c r="A9" t="s">
        <v>344</v>
      </c>
      <c r="B9" t="s">
        <v>496</v>
      </c>
      <c r="C9" t="s">
        <v>499</v>
      </c>
      <c r="D9" t="s">
        <v>497</v>
      </c>
      <c r="E9">
        <v>2</v>
      </c>
      <c r="F9">
        <v>8</v>
      </c>
      <c r="G9">
        <v>220</v>
      </c>
      <c r="H9">
        <v>15.1</v>
      </c>
      <c r="I9" s="55">
        <f t="shared" si="0"/>
        <v>20.057484978342696</v>
      </c>
      <c r="J9">
        <v>12</v>
      </c>
      <c r="K9">
        <v>8</v>
      </c>
      <c r="L9">
        <v>17</v>
      </c>
      <c r="M9">
        <f t="shared" si="1"/>
        <v>205</v>
      </c>
    </row>
    <row r="10" spans="1:16" x14ac:dyDescent="0.25">
      <c r="A10" t="s">
        <v>344</v>
      </c>
      <c r="B10" t="s">
        <v>496</v>
      </c>
      <c r="C10" t="s">
        <v>499</v>
      </c>
      <c r="D10" t="s">
        <v>497</v>
      </c>
      <c r="E10">
        <v>2</v>
      </c>
      <c r="F10">
        <v>8</v>
      </c>
      <c r="G10">
        <v>240</v>
      </c>
      <c r="H10">
        <v>15.1</v>
      </c>
      <c r="I10" s="55">
        <f t="shared" si="0"/>
        <v>20.057484978342696</v>
      </c>
      <c r="J10">
        <v>12</v>
      </c>
      <c r="K10">
        <v>8</v>
      </c>
      <c r="L10">
        <v>17</v>
      </c>
      <c r="M10">
        <f t="shared" si="1"/>
        <v>225</v>
      </c>
    </row>
    <row r="11" spans="1:16" x14ac:dyDescent="0.25">
      <c r="A11" t="s">
        <v>344</v>
      </c>
      <c r="B11" t="s">
        <v>496</v>
      </c>
      <c r="C11" t="s">
        <v>499</v>
      </c>
      <c r="D11" t="s">
        <v>497</v>
      </c>
      <c r="E11">
        <v>2</v>
      </c>
      <c r="F11">
        <v>8</v>
      </c>
      <c r="G11">
        <v>260</v>
      </c>
      <c r="H11">
        <v>15.1</v>
      </c>
      <c r="I11" s="55">
        <f t="shared" si="0"/>
        <v>20.057484978342696</v>
      </c>
      <c r="J11">
        <v>12</v>
      </c>
      <c r="K11">
        <v>8</v>
      </c>
      <c r="L11">
        <v>17</v>
      </c>
      <c r="M11">
        <f t="shared" si="1"/>
        <v>245</v>
      </c>
    </row>
    <row r="12" spans="1:16" x14ac:dyDescent="0.25">
      <c r="A12" t="s">
        <v>344</v>
      </c>
      <c r="B12" t="s">
        <v>496</v>
      </c>
      <c r="C12" t="s">
        <v>499</v>
      </c>
      <c r="D12" t="s">
        <v>497</v>
      </c>
      <c r="E12">
        <v>2</v>
      </c>
      <c r="F12">
        <v>8</v>
      </c>
      <c r="G12">
        <v>280</v>
      </c>
      <c r="H12">
        <v>15.1</v>
      </c>
      <c r="I12" s="55">
        <f t="shared" si="0"/>
        <v>20.057484978342696</v>
      </c>
      <c r="J12">
        <v>12</v>
      </c>
      <c r="K12">
        <v>8</v>
      </c>
      <c r="L12">
        <v>17</v>
      </c>
      <c r="M12">
        <f t="shared" si="1"/>
        <v>265</v>
      </c>
    </row>
    <row r="13" spans="1:16" x14ac:dyDescent="0.25">
      <c r="A13" t="s">
        <v>344</v>
      </c>
      <c r="B13" t="s">
        <v>496</v>
      </c>
      <c r="C13" t="s">
        <v>499</v>
      </c>
      <c r="D13" t="s">
        <v>497</v>
      </c>
      <c r="E13">
        <v>2</v>
      </c>
      <c r="F13">
        <v>8</v>
      </c>
      <c r="G13">
        <v>300</v>
      </c>
      <c r="H13">
        <v>15.1</v>
      </c>
      <c r="I13" s="55">
        <f t="shared" si="0"/>
        <v>20.057484978342696</v>
      </c>
      <c r="J13">
        <v>12</v>
      </c>
      <c r="K13">
        <v>8</v>
      </c>
      <c r="L13">
        <v>17</v>
      </c>
      <c r="M13">
        <f t="shared" si="1"/>
        <v>285</v>
      </c>
    </row>
    <row r="14" spans="1:16" x14ac:dyDescent="0.25">
      <c r="A14" t="s">
        <v>344</v>
      </c>
      <c r="B14" t="s">
        <v>496</v>
      </c>
      <c r="C14" t="s">
        <v>499</v>
      </c>
      <c r="D14" t="s">
        <v>497</v>
      </c>
      <c r="E14">
        <v>2</v>
      </c>
      <c r="F14">
        <v>8</v>
      </c>
      <c r="G14">
        <v>325</v>
      </c>
      <c r="H14">
        <v>15.1</v>
      </c>
      <c r="I14" s="55">
        <f t="shared" si="0"/>
        <v>20.057484978342696</v>
      </c>
      <c r="J14">
        <v>12</v>
      </c>
      <c r="K14">
        <v>8</v>
      </c>
      <c r="L14">
        <v>17</v>
      </c>
      <c r="M14">
        <f t="shared" si="1"/>
        <v>310</v>
      </c>
    </row>
    <row r="15" spans="1:16" x14ac:dyDescent="0.25">
      <c r="A15" t="s">
        <v>344</v>
      </c>
      <c r="B15" t="s">
        <v>496</v>
      </c>
      <c r="C15" t="s">
        <v>499</v>
      </c>
      <c r="D15" t="s">
        <v>497</v>
      </c>
      <c r="E15">
        <v>2</v>
      </c>
      <c r="F15">
        <v>8</v>
      </c>
      <c r="G15">
        <v>350</v>
      </c>
      <c r="H15">
        <v>15.1</v>
      </c>
      <c r="I15" s="55">
        <f t="shared" si="0"/>
        <v>20.057484978342696</v>
      </c>
      <c r="J15">
        <v>12</v>
      </c>
      <c r="K15">
        <v>8</v>
      </c>
      <c r="L15">
        <v>17</v>
      </c>
      <c r="M15">
        <f t="shared" si="1"/>
        <v>335</v>
      </c>
    </row>
    <row r="16" spans="1:16" x14ac:dyDescent="0.25">
      <c r="A16" t="s">
        <v>344</v>
      </c>
      <c r="B16" t="s">
        <v>496</v>
      </c>
      <c r="C16" t="s">
        <v>499</v>
      </c>
      <c r="D16" t="s">
        <v>497</v>
      </c>
      <c r="E16">
        <v>2</v>
      </c>
      <c r="F16">
        <v>8</v>
      </c>
      <c r="G16">
        <v>375</v>
      </c>
      <c r="H16">
        <v>15.1</v>
      </c>
      <c r="I16" s="55">
        <f t="shared" si="0"/>
        <v>20.057484978342696</v>
      </c>
      <c r="J16">
        <v>12</v>
      </c>
      <c r="K16">
        <v>8</v>
      </c>
      <c r="L16">
        <v>17</v>
      </c>
      <c r="M16">
        <f t="shared" si="1"/>
        <v>360</v>
      </c>
    </row>
    <row r="17" spans="1:13" x14ac:dyDescent="0.25">
      <c r="A17" t="s">
        <v>344</v>
      </c>
      <c r="B17" t="s">
        <v>496</v>
      </c>
      <c r="C17" t="s">
        <v>499</v>
      </c>
      <c r="D17" t="s">
        <v>497</v>
      </c>
      <c r="E17">
        <v>2</v>
      </c>
      <c r="F17">
        <v>8</v>
      </c>
      <c r="G17">
        <v>400</v>
      </c>
      <c r="H17">
        <v>15.1</v>
      </c>
      <c r="I17" s="55">
        <f t="shared" si="0"/>
        <v>20.057484978342696</v>
      </c>
      <c r="J17">
        <v>12</v>
      </c>
      <c r="K17">
        <v>8</v>
      </c>
      <c r="L17">
        <v>17</v>
      </c>
      <c r="M17">
        <f t="shared" si="1"/>
        <v>385</v>
      </c>
    </row>
    <row r="18" spans="1:13" x14ac:dyDescent="0.25">
      <c r="A18" t="s">
        <v>344</v>
      </c>
      <c r="B18" t="s">
        <v>496</v>
      </c>
      <c r="C18" t="s">
        <v>499</v>
      </c>
      <c r="D18" t="s">
        <v>497</v>
      </c>
      <c r="E18">
        <v>2</v>
      </c>
      <c r="F18">
        <v>8</v>
      </c>
      <c r="G18">
        <v>425</v>
      </c>
      <c r="H18">
        <v>15.1</v>
      </c>
      <c r="I18" s="55">
        <f t="shared" si="0"/>
        <v>20.057484978342696</v>
      </c>
      <c r="J18">
        <v>12</v>
      </c>
      <c r="K18">
        <v>8</v>
      </c>
      <c r="L18">
        <v>17</v>
      </c>
      <c r="M18">
        <f t="shared" si="1"/>
        <v>410</v>
      </c>
    </row>
    <row r="19" spans="1:13" x14ac:dyDescent="0.25">
      <c r="A19" t="s">
        <v>344</v>
      </c>
      <c r="B19" t="s">
        <v>496</v>
      </c>
      <c r="C19" t="s">
        <v>499</v>
      </c>
      <c r="D19" t="s">
        <v>497</v>
      </c>
      <c r="E19">
        <v>2</v>
      </c>
      <c r="F19">
        <v>8</v>
      </c>
      <c r="G19">
        <v>450</v>
      </c>
      <c r="H19">
        <v>15.1</v>
      </c>
      <c r="I19" s="55">
        <f t="shared" si="0"/>
        <v>20.057484978342696</v>
      </c>
      <c r="J19">
        <v>12</v>
      </c>
      <c r="K19">
        <v>8</v>
      </c>
      <c r="L19">
        <v>17</v>
      </c>
      <c r="M19">
        <f t="shared" si="1"/>
        <v>435</v>
      </c>
    </row>
    <row r="20" spans="1:13" x14ac:dyDescent="0.25">
      <c r="A20" t="s">
        <v>344</v>
      </c>
      <c r="B20" t="s">
        <v>496</v>
      </c>
      <c r="C20" t="s">
        <v>499</v>
      </c>
      <c r="D20" t="s">
        <v>497</v>
      </c>
      <c r="E20">
        <v>2</v>
      </c>
      <c r="F20">
        <v>8</v>
      </c>
      <c r="G20">
        <v>475</v>
      </c>
      <c r="H20">
        <v>15.1</v>
      </c>
      <c r="I20" s="55">
        <f t="shared" si="0"/>
        <v>20.057484978342696</v>
      </c>
      <c r="J20">
        <v>12</v>
      </c>
      <c r="K20">
        <v>8</v>
      </c>
      <c r="L20">
        <v>17</v>
      </c>
      <c r="M20">
        <f t="shared" si="1"/>
        <v>460</v>
      </c>
    </row>
    <row r="21" spans="1:13" x14ac:dyDescent="0.25">
      <c r="A21" t="s">
        <v>344</v>
      </c>
      <c r="B21" t="s">
        <v>496</v>
      </c>
      <c r="C21" t="s">
        <v>499</v>
      </c>
      <c r="D21" t="s">
        <v>497</v>
      </c>
      <c r="E21">
        <v>2</v>
      </c>
      <c r="F21">
        <v>8</v>
      </c>
      <c r="G21">
        <v>500</v>
      </c>
      <c r="H21">
        <v>15.1</v>
      </c>
      <c r="I21" s="55">
        <f t="shared" si="0"/>
        <v>20.057484978342696</v>
      </c>
      <c r="J21">
        <v>12</v>
      </c>
      <c r="K21">
        <v>8</v>
      </c>
      <c r="L21">
        <v>17</v>
      </c>
      <c r="M21">
        <f t="shared" si="1"/>
        <v>485</v>
      </c>
    </row>
    <row r="22" spans="1:13" x14ac:dyDescent="0.25">
      <c r="A22" t="s">
        <v>344</v>
      </c>
      <c r="B22" t="s">
        <v>496</v>
      </c>
      <c r="C22" t="s">
        <v>499</v>
      </c>
      <c r="D22" t="s">
        <v>497</v>
      </c>
      <c r="E22">
        <v>2</v>
      </c>
      <c r="F22">
        <v>8</v>
      </c>
      <c r="G22">
        <v>550</v>
      </c>
      <c r="H22">
        <v>15.1</v>
      </c>
      <c r="I22" s="55">
        <f t="shared" si="0"/>
        <v>20.057484978342696</v>
      </c>
      <c r="J22">
        <v>12</v>
      </c>
      <c r="K22">
        <v>8</v>
      </c>
      <c r="L22">
        <v>17</v>
      </c>
      <c r="M22">
        <f t="shared" si="1"/>
        <v>535</v>
      </c>
    </row>
    <row r="23" spans="1:13" x14ac:dyDescent="0.25">
      <c r="A23" t="s">
        <v>344</v>
      </c>
      <c r="B23" t="s">
        <v>496</v>
      </c>
      <c r="C23" t="s">
        <v>499</v>
      </c>
      <c r="D23" t="s">
        <v>497</v>
      </c>
      <c r="E23">
        <v>2</v>
      </c>
      <c r="F23">
        <v>8</v>
      </c>
      <c r="G23">
        <v>600</v>
      </c>
      <c r="H23">
        <v>15.1</v>
      </c>
      <c r="I23" s="55">
        <f t="shared" si="0"/>
        <v>20.057484978342696</v>
      </c>
      <c r="J23">
        <v>12</v>
      </c>
      <c r="K23">
        <v>8</v>
      </c>
      <c r="L23">
        <v>17</v>
      </c>
      <c r="M23">
        <f t="shared" si="1"/>
        <v>585</v>
      </c>
    </row>
    <row r="24" spans="1:13" x14ac:dyDescent="0.25">
      <c r="A24" t="s">
        <v>344</v>
      </c>
      <c r="B24" t="s">
        <v>496</v>
      </c>
      <c r="C24" t="s">
        <v>499</v>
      </c>
      <c r="D24" t="s">
        <v>497</v>
      </c>
      <c r="E24">
        <v>2</v>
      </c>
      <c r="F24">
        <v>10</v>
      </c>
      <c r="G24">
        <v>100</v>
      </c>
      <c r="H24">
        <v>18.600000000000001</v>
      </c>
      <c r="I24" s="55">
        <f t="shared" si="0"/>
        <v>35.829645349814783</v>
      </c>
      <c r="J24">
        <v>11.5</v>
      </c>
      <c r="K24">
        <v>8</v>
      </c>
      <c r="L24">
        <v>28</v>
      </c>
      <c r="M24">
        <f t="shared" si="1"/>
        <v>85</v>
      </c>
    </row>
    <row r="25" spans="1:13" x14ac:dyDescent="0.25">
      <c r="A25" t="s">
        <v>344</v>
      </c>
      <c r="B25" t="s">
        <v>496</v>
      </c>
      <c r="C25" t="s">
        <v>499</v>
      </c>
      <c r="D25" t="s">
        <v>497</v>
      </c>
      <c r="E25">
        <v>2</v>
      </c>
      <c r="F25">
        <v>10</v>
      </c>
      <c r="G25">
        <v>120</v>
      </c>
      <c r="H25">
        <v>18.600000000000001</v>
      </c>
      <c r="I25" s="55">
        <f t="shared" ref="I25:I88" si="2">0.15*600*F25^2.6/1000</f>
        <v>35.829645349814783</v>
      </c>
      <c r="J25">
        <v>11.5</v>
      </c>
      <c r="K25">
        <v>8</v>
      </c>
      <c r="L25">
        <v>28</v>
      </c>
      <c r="M25">
        <f t="shared" si="1"/>
        <v>105</v>
      </c>
    </row>
    <row r="26" spans="1:13" x14ac:dyDescent="0.25">
      <c r="A26" t="s">
        <v>344</v>
      </c>
      <c r="B26" t="s">
        <v>496</v>
      </c>
      <c r="C26" t="s">
        <v>499</v>
      </c>
      <c r="D26" t="s">
        <v>497</v>
      </c>
      <c r="E26">
        <v>2</v>
      </c>
      <c r="F26">
        <v>10</v>
      </c>
      <c r="G26">
        <v>140</v>
      </c>
      <c r="H26">
        <v>18.600000000000001</v>
      </c>
      <c r="I26" s="55">
        <f t="shared" si="2"/>
        <v>35.829645349814783</v>
      </c>
      <c r="J26">
        <v>11.5</v>
      </c>
      <c r="K26">
        <v>8</v>
      </c>
      <c r="L26">
        <v>28</v>
      </c>
      <c r="M26">
        <f t="shared" si="1"/>
        <v>125</v>
      </c>
    </row>
    <row r="27" spans="1:13" x14ac:dyDescent="0.25">
      <c r="A27" t="s">
        <v>344</v>
      </c>
      <c r="B27" t="s">
        <v>496</v>
      </c>
      <c r="C27" t="s">
        <v>499</v>
      </c>
      <c r="D27" t="s">
        <v>497</v>
      </c>
      <c r="E27">
        <v>2</v>
      </c>
      <c r="F27">
        <v>10</v>
      </c>
      <c r="G27">
        <v>160</v>
      </c>
      <c r="H27">
        <v>18.600000000000001</v>
      </c>
      <c r="I27" s="55">
        <f t="shared" si="2"/>
        <v>35.829645349814783</v>
      </c>
      <c r="J27">
        <v>11.5</v>
      </c>
      <c r="K27">
        <v>8</v>
      </c>
      <c r="L27">
        <v>28</v>
      </c>
      <c r="M27">
        <f t="shared" si="1"/>
        <v>145</v>
      </c>
    </row>
    <row r="28" spans="1:13" x14ac:dyDescent="0.25">
      <c r="A28" t="s">
        <v>344</v>
      </c>
      <c r="B28" t="s">
        <v>496</v>
      </c>
      <c r="C28" t="s">
        <v>499</v>
      </c>
      <c r="D28" t="s">
        <v>497</v>
      </c>
      <c r="E28">
        <v>2</v>
      </c>
      <c r="F28">
        <v>10</v>
      </c>
      <c r="G28">
        <v>180</v>
      </c>
      <c r="H28">
        <v>18.600000000000001</v>
      </c>
      <c r="I28" s="55">
        <f t="shared" si="2"/>
        <v>35.829645349814783</v>
      </c>
      <c r="J28">
        <v>11.5</v>
      </c>
      <c r="K28">
        <v>8</v>
      </c>
      <c r="L28">
        <v>28</v>
      </c>
      <c r="M28">
        <f t="shared" si="1"/>
        <v>165</v>
      </c>
    </row>
    <row r="29" spans="1:13" x14ac:dyDescent="0.25">
      <c r="A29" t="s">
        <v>344</v>
      </c>
      <c r="B29" t="s">
        <v>496</v>
      </c>
      <c r="C29" t="s">
        <v>499</v>
      </c>
      <c r="D29" t="s">
        <v>497</v>
      </c>
      <c r="E29">
        <v>2</v>
      </c>
      <c r="F29">
        <v>10</v>
      </c>
      <c r="G29">
        <v>200</v>
      </c>
      <c r="H29">
        <v>18.600000000000001</v>
      </c>
      <c r="I29" s="55">
        <f t="shared" si="2"/>
        <v>35.829645349814783</v>
      </c>
      <c r="J29">
        <v>11.5</v>
      </c>
      <c r="K29">
        <v>8</v>
      </c>
      <c r="L29">
        <v>28</v>
      </c>
      <c r="M29">
        <f t="shared" si="1"/>
        <v>185</v>
      </c>
    </row>
    <row r="30" spans="1:13" x14ac:dyDescent="0.25">
      <c r="A30" t="s">
        <v>344</v>
      </c>
      <c r="B30" t="s">
        <v>496</v>
      </c>
      <c r="C30" t="s">
        <v>499</v>
      </c>
      <c r="D30" t="s">
        <v>497</v>
      </c>
      <c r="E30">
        <v>2</v>
      </c>
      <c r="F30">
        <v>10</v>
      </c>
      <c r="G30">
        <v>220</v>
      </c>
      <c r="H30">
        <v>18.600000000000001</v>
      </c>
      <c r="I30" s="55">
        <f t="shared" si="2"/>
        <v>35.829645349814783</v>
      </c>
      <c r="J30">
        <v>11.5</v>
      </c>
      <c r="K30">
        <v>8</v>
      </c>
      <c r="L30">
        <v>28</v>
      </c>
      <c r="M30">
        <f t="shared" si="1"/>
        <v>205</v>
      </c>
    </row>
    <row r="31" spans="1:13" x14ac:dyDescent="0.25">
      <c r="A31" t="s">
        <v>344</v>
      </c>
      <c r="B31" t="s">
        <v>496</v>
      </c>
      <c r="C31" t="s">
        <v>499</v>
      </c>
      <c r="D31" t="s">
        <v>497</v>
      </c>
      <c r="E31">
        <v>2</v>
      </c>
      <c r="F31">
        <v>10</v>
      </c>
      <c r="G31">
        <v>240</v>
      </c>
      <c r="H31">
        <v>18.600000000000001</v>
      </c>
      <c r="I31" s="55">
        <f t="shared" si="2"/>
        <v>35.829645349814783</v>
      </c>
      <c r="J31">
        <v>11.5</v>
      </c>
      <c r="K31">
        <v>8</v>
      </c>
      <c r="L31">
        <v>28</v>
      </c>
      <c r="M31">
        <f t="shared" si="1"/>
        <v>225</v>
      </c>
    </row>
    <row r="32" spans="1:13" x14ac:dyDescent="0.25">
      <c r="A32" t="s">
        <v>344</v>
      </c>
      <c r="B32" t="s">
        <v>496</v>
      </c>
      <c r="C32" t="s">
        <v>499</v>
      </c>
      <c r="D32" t="s">
        <v>497</v>
      </c>
      <c r="E32">
        <v>2</v>
      </c>
      <c r="F32">
        <v>10</v>
      </c>
      <c r="G32">
        <v>260</v>
      </c>
      <c r="H32">
        <v>18.600000000000001</v>
      </c>
      <c r="I32" s="55">
        <f t="shared" si="2"/>
        <v>35.829645349814783</v>
      </c>
      <c r="J32">
        <v>11.5</v>
      </c>
      <c r="K32">
        <v>8</v>
      </c>
      <c r="L32">
        <v>28</v>
      </c>
      <c r="M32">
        <f t="shared" si="1"/>
        <v>245</v>
      </c>
    </row>
    <row r="33" spans="1:13" x14ac:dyDescent="0.25">
      <c r="A33" t="s">
        <v>344</v>
      </c>
      <c r="B33" t="s">
        <v>496</v>
      </c>
      <c r="C33" t="s">
        <v>499</v>
      </c>
      <c r="D33" t="s">
        <v>497</v>
      </c>
      <c r="E33">
        <v>2</v>
      </c>
      <c r="F33">
        <v>10</v>
      </c>
      <c r="G33">
        <v>280</v>
      </c>
      <c r="H33">
        <v>18.600000000000001</v>
      </c>
      <c r="I33" s="55">
        <f t="shared" si="2"/>
        <v>35.829645349814783</v>
      </c>
      <c r="J33">
        <v>11.5</v>
      </c>
      <c r="K33">
        <v>8</v>
      </c>
      <c r="L33">
        <v>28</v>
      </c>
      <c r="M33">
        <f t="shared" si="1"/>
        <v>265</v>
      </c>
    </row>
    <row r="34" spans="1:13" x14ac:dyDescent="0.25">
      <c r="A34" t="s">
        <v>344</v>
      </c>
      <c r="B34" t="s">
        <v>496</v>
      </c>
      <c r="C34" t="s">
        <v>499</v>
      </c>
      <c r="D34" t="s">
        <v>497</v>
      </c>
      <c r="E34">
        <v>2</v>
      </c>
      <c r="F34">
        <v>10</v>
      </c>
      <c r="G34">
        <v>300</v>
      </c>
      <c r="H34">
        <v>18.600000000000001</v>
      </c>
      <c r="I34" s="55">
        <f t="shared" si="2"/>
        <v>35.829645349814783</v>
      </c>
      <c r="J34">
        <v>11.5</v>
      </c>
      <c r="K34">
        <v>8</v>
      </c>
      <c r="L34">
        <v>28</v>
      </c>
      <c r="M34">
        <f t="shared" si="1"/>
        <v>285</v>
      </c>
    </row>
    <row r="35" spans="1:13" x14ac:dyDescent="0.25">
      <c r="A35" t="s">
        <v>344</v>
      </c>
      <c r="B35" t="s">
        <v>496</v>
      </c>
      <c r="C35" t="s">
        <v>499</v>
      </c>
      <c r="D35" t="s">
        <v>497</v>
      </c>
      <c r="E35">
        <v>2</v>
      </c>
      <c r="F35">
        <v>10</v>
      </c>
      <c r="G35">
        <v>325</v>
      </c>
      <c r="H35">
        <v>18.600000000000001</v>
      </c>
      <c r="I35" s="55">
        <f t="shared" si="2"/>
        <v>35.829645349814783</v>
      </c>
      <c r="J35">
        <v>11.5</v>
      </c>
      <c r="K35">
        <v>8</v>
      </c>
      <c r="L35">
        <v>28</v>
      </c>
      <c r="M35">
        <f t="shared" si="1"/>
        <v>310</v>
      </c>
    </row>
    <row r="36" spans="1:13" x14ac:dyDescent="0.25">
      <c r="A36" t="s">
        <v>344</v>
      </c>
      <c r="B36" t="s">
        <v>496</v>
      </c>
      <c r="C36" t="s">
        <v>499</v>
      </c>
      <c r="D36" t="s">
        <v>497</v>
      </c>
      <c r="E36">
        <v>2</v>
      </c>
      <c r="F36">
        <v>10</v>
      </c>
      <c r="G36">
        <v>350</v>
      </c>
      <c r="H36">
        <v>18.600000000000001</v>
      </c>
      <c r="I36" s="55">
        <f t="shared" si="2"/>
        <v>35.829645349814783</v>
      </c>
      <c r="J36">
        <v>11.5</v>
      </c>
      <c r="K36">
        <v>8</v>
      </c>
      <c r="L36">
        <v>28</v>
      </c>
      <c r="M36">
        <f t="shared" si="1"/>
        <v>335</v>
      </c>
    </row>
    <row r="37" spans="1:13" x14ac:dyDescent="0.25">
      <c r="A37" t="s">
        <v>344</v>
      </c>
      <c r="B37" t="s">
        <v>496</v>
      </c>
      <c r="C37" t="s">
        <v>499</v>
      </c>
      <c r="D37" t="s">
        <v>497</v>
      </c>
      <c r="E37">
        <v>2</v>
      </c>
      <c r="F37">
        <v>10</v>
      </c>
      <c r="G37">
        <v>375</v>
      </c>
      <c r="H37">
        <v>18.600000000000001</v>
      </c>
      <c r="I37" s="55">
        <f t="shared" si="2"/>
        <v>35.829645349814783</v>
      </c>
      <c r="J37">
        <v>11.5</v>
      </c>
      <c r="K37">
        <v>8</v>
      </c>
      <c r="L37">
        <v>28</v>
      </c>
      <c r="M37">
        <f t="shared" si="1"/>
        <v>360</v>
      </c>
    </row>
    <row r="38" spans="1:13" x14ac:dyDescent="0.25">
      <c r="A38" t="s">
        <v>344</v>
      </c>
      <c r="B38" t="s">
        <v>496</v>
      </c>
      <c r="C38" t="s">
        <v>499</v>
      </c>
      <c r="D38" t="s">
        <v>497</v>
      </c>
      <c r="E38">
        <v>2</v>
      </c>
      <c r="F38">
        <v>10</v>
      </c>
      <c r="G38">
        <v>400</v>
      </c>
      <c r="H38">
        <v>18.600000000000001</v>
      </c>
      <c r="I38" s="55">
        <f t="shared" si="2"/>
        <v>35.829645349814783</v>
      </c>
      <c r="J38">
        <v>11.5</v>
      </c>
      <c r="K38">
        <v>8</v>
      </c>
      <c r="L38">
        <v>28</v>
      </c>
      <c r="M38">
        <f t="shared" si="1"/>
        <v>385</v>
      </c>
    </row>
    <row r="39" spans="1:13" x14ac:dyDescent="0.25">
      <c r="A39" t="s">
        <v>344</v>
      </c>
      <c r="B39" t="s">
        <v>496</v>
      </c>
      <c r="C39" t="s">
        <v>499</v>
      </c>
      <c r="D39" t="s">
        <v>497</v>
      </c>
      <c r="E39">
        <v>2</v>
      </c>
      <c r="F39">
        <v>10</v>
      </c>
      <c r="G39">
        <v>425</v>
      </c>
      <c r="H39">
        <v>18.600000000000001</v>
      </c>
      <c r="I39" s="55">
        <f t="shared" si="2"/>
        <v>35.829645349814783</v>
      </c>
      <c r="J39">
        <v>11.5</v>
      </c>
      <c r="K39">
        <v>8</v>
      </c>
      <c r="L39">
        <v>28</v>
      </c>
      <c r="M39">
        <f t="shared" si="1"/>
        <v>410</v>
      </c>
    </row>
    <row r="40" spans="1:13" x14ac:dyDescent="0.25">
      <c r="A40" t="s">
        <v>344</v>
      </c>
      <c r="B40" t="s">
        <v>496</v>
      </c>
      <c r="C40" t="s">
        <v>499</v>
      </c>
      <c r="D40" t="s">
        <v>497</v>
      </c>
      <c r="E40">
        <v>2</v>
      </c>
      <c r="F40">
        <v>10</v>
      </c>
      <c r="G40">
        <v>450</v>
      </c>
      <c r="H40">
        <v>18.600000000000001</v>
      </c>
      <c r="I40" s="55">
        <f t="shared" si="2"/>
        <v>35.829645349814783</v>
      </c>
      <c r="J40">
        <v>11.5</v>
      </c>
      <c r="K40">
        <v>8</v>
      </c>
      <c r="L40">
        <v>28</v>
      </c>
      <c r="M40">
        <f t="shared" si="1"/>
        <v>435</v>
      </c>
    </row>
    <row r="41" spans="1:13" x14ac:dyDescent="0.25">
      <c r="A41" t="s">
        <v>344</v>
      </c>
      <c r="B41" t="s">
        <v>496</v>
      </c>
      <c r="C41" t="s">
        <v>499</v>
      </c>
      <c r="D41" t="s">
        <v>497</v>
      </c>
      <c r="E41">
        <v>2</v>
      </c>
      <c r="F41">
        <v>10</v>
      </c>
      <c r="G41">
        <v>500</v>
      </c>
      <c r="H41">
        <v>18.600000000000001</v>
      </c>
      <c r="I41" s="55">
        <f t="shared" si="2"/>
        <v>35.829645349814783</v>
      </c>
      <c r="J41">
        <v>11.5</v>
      </c>
      <c r="K41">
        <v>8</v>
      </c>
      <c r="L41">
        <v>28</v>
      </c>
      <c r="M41">
        <f t="shared" si="1"/>
        <v>485</v>
      </c>
    </row>
    <row r="42" spans="1:13" x14ac:dyDescent="0.25">
      <c r="A42" t="s">
        <v>344</v>
      </c>
      <c r="B42" t="s">
        <v>496</v>
      </c>
      <c r="C42" t="s">
        <v>499</v>
      </c>
      <c r="D42" t="s">
        <v>497</v>
      </c>
      <c r="E42">
        <v>2</v>
      </c>
      <c r="F42">
        <v>10</v>
      </c>
      <c r="G42">
        <v>550</v>
      </c>
      <c r="H42">
        <v>18.600000000000001</v>
      </c>
      <c r="I42" s="55">
        <f t="shared" si="2"/>
        <v>35.829645349814783</v>
      </c>
      <c r="J42">
        <v>11.5</v>
      </c>
      <c r="K42">
        <v>8</v>
      </c>
      <c r="L42">
        <v>28</v>
      </c>
      <c r="M42">
        <f t="shared" si="1"/>
        <v>535</v>
      </c>
    </row>
    <row r="43" spans="1:13" x14ac:dyDescent="0.25">
      <c r="A43" t="s">
        <v>344</v>
      </c>
      <c r="B43" t="s">
        <v>496</v>
      </c>
      <c r="C43" t="s">
        <v>499</v>
      </c>
      <c r="D43" t="s">
        <v>497</v>
      </c>
      <c r="E43">
        <v>2</v>
      </c>
      <c r="F43">
        <v>10</v>
      </c>
      <c r="G43">
        <v>600</v>
      </c>
      <c r="H43">
        <v>18.600000000000001</v>
      </c>
      <c r="I43" s="55">
        <f t="shared" si="2"/>
        <v>35.829645349814783</v>
      </c>
      <c r="J43">
        <v>11.5</v>
      </c>
      <c r="K43">
        <v>8</v>
      </c>
      <c r="L43">
        <v>28</v>
      </c>
      <c r="M43">
        <f t="shared" si="1"/>
        <v>585</v>
      </c>
    </row>
    <row r="44" spans="1:13" x14ac:dyDescent="0.25">
      <c r="A44" t="s">
        <v>344</v>
      </c>
      <c r="B44" t="s">
        <v>496</v>
      </c>
      <c r="C44" t="s">
        <v>499</v>
      </c>
      <c r="D44" t="s">
        <v>497</v>
      </c>
      <c r="E44">
        <v>2</v>
      </c>
      <c r="F44">
        <v>10</v>
      </c>
      <c r="G44">
        <v>650</v>
      </c>
      <c r="H44">
        <v>18.600000000000001</v>
      </c>
      <c r="I44" s="55">
        <f t="shared" si="2"/>
        <v>35.829645349814783</v>
      </c>
      <c r="J44">
        <v>11.5</v>
      </c>
      <c r="K44">
        <v>8</v>
      </c>
      <c r="L44">
        <v>28</v>
      </c>
      <c r="M44">
        <f t="shared" si="1"/>
        <v>635</v>
      </c>
    </row>
    <row r="45" spans="1:13" x14ac:dyDescent="0.25">
      <c r="A45" t="s">
        <v>344</v>
      </c>
      <c r="B45" t="s">
        <v>496</v>
      </c>
      <c r="C45" t="s">
        <v>499</v>
      </c>
      <c r="D45" t="s">
        <v>497</v>
      </c>
      <c r="E45">
        <v>2</v>
      </c>
      <c r="F45">
        <v>10</v>
      </c>
      <c r="G45">
        <v>700</v>
      </c>
      <c r="H45">
        <v>18.600000000000001</v>
      </c>
      <c r="I45" s="55">
        <f t="shared" si="2"/>
        <v>35.829645349814783</v>
      </c>
      <c r="J45">
        <v>11.5</v>
      </c>
      <c r="K45">
        <v>8</v>
      </c>
      <c r="L45">
        <v>28</v>
      </c>
      <c r="M45">
        <f t="shared" si="1"/>
        <v>685</v>
      </c>
    </row>
    <row r="46" spans="1:13" x14ac:dyDescent="0.25">
      <c r="A46" t="s">
        <v>344</v>
      </c>
      <c r="B46" t="s">
        <v>496</v>
      </c>
      <c r="C46" t="s">
        <v>499</v>
      </c>
      <c r="D46" t="s">
        <v>497</v>
      </c>
      <c r="E46">
        <v>2</v>
      </c>
      <c r="F46">
        <v>10</v>
      </c>
      <c r="G46">
        <v>750</v>
      </c>
      <c r="H46">
        <v>18.600000000000001</v>
      </c>
      <c r="I46" s="55">
        <f t="shared" si="2"/>
        <v>35.829645349814783</v>
      </c>
      <c r="J46">
        <v>11.5</v>
      </c>
      <c r="K46">
        <v>8</v>
      </c>
      <c r="L46">
        <v>28</v>
      </c>
      <c r="M46">
        <f t="shared" si="1"/>
        <v>735</v>
      </c>
    </row>
    <row r="47" spans="1:13" x14ac:dyDescent="0.25">
      <c r="A47" t="s">
        <v>344</v>
      </c>
      <c r="B47" t="s">
        <v>496</v>
      </c>
      <c r="C47" t="s">
        <v>499</v>
      </c>
      <c r="D47" t="s">
        <v>497</v>
      </c>
      <c r="E47">
        <v>2</v>
      </c>
      <c r="F47">
        <v>10</v>
      </c>
      <c r="G47">
        <v>800</v>
      </c>
      <c r="H47">
        <v>18.600000000000001</v>
      </c>
      <c r="I47" s="55">
        <f t="shared" si="2"/>
        <v>35.829645349814783</v>
      </c>
      <c r="J47">
        <v>11.5</v>
      </c>
      <c r="K47">
        <v>8</v>
      </c>
      <c r="L47">
        <v>28</v>
      </c>
      <c r="M47">
        <f t="shared" si="1"/>
        <v>785</v>
      </c>
    </row>
    <row r="48" spans="1:13" x14ac:dyDescent="0.25">
      <c r="A48" t="s">
        <v>344</v>
      </c>
      <c r="B48" t="s">
        <v>496</v>
      </c>
      <c r="C48" t="s">
        <v>499</v>
      </c>
      <c r="D48" t="s">
        <v>497</v>
      </c>
      <c r="E48">
        <v>2</v>
      </c>
      <c r="F48">
        <v>12</v>
      </c>
      <c r="G48">
        <v>200</v>
      </c>
      <c r="H48">
        <v>18.600000000000001</v>
      </c>
      <c r="I48" s="55">
        <f t="shared" si="2"/>
        <v>57.559067465202105</v>
      </c>
      <c r="J48">
        <v>11</v>
      </c>
      <c r="K48">
        <v>8</v>
      </c>
      <c r="L48">
        <v>38</v>
      </c>
      <c r="M48">
        <f t="shared" si="1"/>
        <v>185</v>
      </c>
    </row>
    <row r="49" spans="1:13" x14ac:dyDescent="0.25">
      <c r="A49" t="s">
        <v>344</v>
      </c>
      <c r="B49" t="s">
        <v>496</v>
      </c>
      <c r="C49" t="s">
        <v>499</v>
      </c>
      <c r="D49" t="s">
        <v>497</v>
      </c>
      <c r="E49">
        <v>2</v>
      </c>
      <c r="F49">
        <v>12</v>
      </c>
      <c r="G49">
        <v>240</v>
      </c>
      <c r="H49">
        <v>18.600000000000001</v>
      </c>
      <c r="I49" s="55">
        <f t="shared" si="2"/>
        <v>57.559067465202105</v>
      </c>
      <c r="J49">
        <v>11</v>
      </c>
      <c r="K49">
        <v>8</v>
      </c>
      <c r="L49">
        <v>38</v>
      </c>
      <c r="M49">
        <f t="shared" si="1"/>
        <v>225</v>
      </c>
    </row>
    <row r="50" spans="1:13" x14ac:dyDescent="0.25">
      <c r="A50" t="s">
        <v>344</v>
      </c>
      <c r="B50" t="s">
        <v>496</v>
      </c>
      <c r="C50" t="s">
        <v>499</v>
      </c>
      <c r="D50" t="s">
        <v>497</v>
      </c>
      <c r="E50">
        <v>2</v>
      </c>
      <c r="F50">
        <v>12</v>
      </c>
      <c r="G50">
        <v>280</v>
      </c>
      <c r="H50">
        <v>18.600000000000001</v>
      </c>
      <c r="I50" s="55">
        <f t="shared" si="2"/>
        <v>57.559067465202105</v>
      </c>
      <c r="J50">
        <v>11</v>
      </c>
      <c r="K50">
        <v>8</v>
      </c>
      <c r="L50">
        <v>38</v>
      </c>
      <c r="M50">
        <f t="shared" si="1"/>
        <v>265</v>
      </c>
    </row>
    <row r="51" spans="1:13" x14ac:dyDescent="0.25">
      <c r="A51" t="s">
        <v>344</v>
      </c>
      <c r="B51" t="s">
        <v>496</v>
      </c>
      <c r="C51" t="s">
        <v>499</v>
      </c>
      <c r="D51" t="s">
        <v>497</v>
      </c>
      <c r="E51">
        <v>2</v>
      </c>
      <c r="F51">
        <v>12</v>
      </c>
      <c r="G51">
        <v>300</v>
      </c>
      <c r="H51">
        <v>18.600000000000001</v>
      </c>
      <c r="I51" s="55">
        <f t="shared" si="2"/>
        <v>57.559067465202105</v>
      </c>
      <c r="J51">
        <v>11</v>
      </c>
      <c r="K51">
        <v>8</v>
      </c>
      <c r="L51">
        <v>38</v>
      </c>
      <c r="M51">
        <f t="shared" si="1"/>
        <v>285</v>
      </c>
    </row>
    <row r="52" spans="1:13" x14ac:dyDescent="0.25">
      <c r="A52" t="s">
        <v>344</v>
      </c>
      <c r="B52" t="s">
        <v>496</v>
      </c>
      <c r="C52" t="s">
        <v>499</v>
      </c>
      <c r="D52" t="s">
        <v>497</v>
      </c>
      <c r="E52">
        <v>2</v>
      </c>
      <c r="F52">
        <v>12</v>
      </c>
      <c r="G52">
        <v>350</v>
      </c>
      <c r="H52">
        <v>18.600000000000001</v>
      </c>
      <c r="I52" s="55">
        <f t="shared" si="2"/>
        <v>57.559067465202105</v>
      </c>
      <c r="J52">
        <v>11</v>
      </c>
      <c r="K52">
        <v>8</v>
      </c>
      <c r="L52">
        <v>38</v>
      </c>
      <c r="M52">
        <f t="shared" si="1"/>
        <v>335</v>
      </c>
    </row>
    <row r="53" spans="1:13" x14ac:dyDescent="0.25">
      <c r="A53" t="s">
        <v>344</v>
      </c>
      <c r="B53" t="s">
        <v>496</v>
      </c>
      <c r="C53" t="s">
        <v>499</v>
      </c>
      <c r="D53" t="s">
        <v>497</v>
      </c>
      <c r="E53">
        <v>2</v>
      </c>
      <c r="F53">
        <v>12</v>
      </c>
      <c r="G53">
        <v>400</v>
      </c>
      <c r="H53">
        <v>18.600000000000001</v>
      </c>
      <c r="I53" s="55">
        <f t="shared" si="2"/>
        <v>57.559067465202105</v>
      </c>
      <c r="J53">
        <v>11</v>
      </c>
      <c r="K53">
        <v>8</v>
      </c>
      <c r="L53">
        <v>38</v>
      </c>
      <c r="M53">
        <f t="shared" si="1"/>
        <v>385</v>
      </c>
    </row>
    <row r="54" spans="1:13" x14ac:dyDescent="0.25">
      <c r="A54" t="s">
        <v>344</v>
      </c>
      <c r="B54" t="s">
        <v>496</v>
      </c>
      <c r="C54" t="s">
        <v>499</v>
      </c>
      <c r="D54" t="s">
        <v>497</v>
      </c>
      <c r="E54">
        <v>2</v>
      </c>
      <c r="F54">
        <v>12</v>
      </c>
      <c r="G54">
        <v>450</v>
      </c>
      <c r="H54">
        <v>18.600000000000001</v>
      </c>
      <c r="I54" s="55">
        <f t="shared" si="2"/>
        <v>57.559067465202105</v>
      </c>
      <c r="J54">
        <v>11</v>
      </c>
      <c r="K54">
        <v>8</v>
      </c>
      <c r="L54">
        <v>38</v>
      </c>
      <c r="M54">
        <f t="shared" si="1"/>
        <v>435</v>
      </c>
    </row>
    <row r="55" spans="1:13" x14ac:dyDescent="0.25">
      <c r="A55" t="s">
        <v>344</v>
      </c>
      <c r="B55" t="s">
        <v>496</v>
      </c>
      <c r="C55" t="s">
        <v>499</v>
      </c>
      <c r="D55" t="s">
        <v>497</v>
      </c>
      <c r="E55">
        <v>2</v>
      </c>
      <c r="F55">
        <v>12</v>
      </c>
      <c r="G55">
        <v>500</v>
      </c>
      <c r="H55">
        <v>18.600000000000001</v>
      </c>
      <c r="I55" s="55">
        <f t="shared" si="2"/>
        <v>57.559067465202105</v>
      </c>
      <c r="J55">
        <v>11</v>
      </c>
      <c r="K55">
        <v>8</v>
      </c>
      <c r="L55">
        <v>38</v>
      </c>
      <c r="M55">
        <f t="shared" si="1"/>
        <v>485</v>
      </c>
    </row>
    <row r="56" spans="1:13" x14ac:dyDescent="0.25">
      <c r="A56" t="s">
        <v>344</v>
      </c>
      <c r="B56" t="s">
        <v>496</v>
      </c>
      <c r="C56" t="s">
        <v>499</v>
      </c>
      <c r="D56" t="s">
        <v>497</v>
      </c>
      <c r="E56">
        <v>2</v>
      </c>
      <c r="F56">
        <v>12</v>
      </c>
      <c r="G56">
        <v>550</v>
      </c>
      <c r="H56">
        <v>18.600000000000001</v>
      </c>
      <c r="I56" s="55">
        <f t="shared" si="2"/>
        <v>57.559067465202105</v>
      </c>
      <c r="J56">
        <v>11</v>
      </c>
      <c r="K56">
        <v>8</v>
      </c>
      <c r="L56">
        <v>38</v>
      </c>
      <c r="M56">
        <f t="shared" si="1"/>
        <v>535</v>
      </c>
    </row>
    <row r="57" spans="1:13" x14ac:dyDescent="0.25">
      <c r="A57" t="s">
        <v>344</v>
      </c>
      <c r="B57" t="s">
        <v>496</v>
      </c>
      <c r="C57" t="s">
        <v>499</v>
      </c>
      <c r="D57" t="s">
        <v>497</v>
      </c>
      <c r="E57">
        <v>2</v>
      </c>
      <c r="F57">
        <v>12</v>
      </c>
      <c r="G57">
        <v>600</v>
      </c>
      <c r="H57">
        <v>18.600000000000001</v>
      </c>
      <c r="I57" s="55">
        <f t="shared" si="2"/>
        <v>57.559067465202105</v>
      </c>
      <c r="J57">
        <v>11</v>
      </c>
      <c r="K57">
        <v>8</v>
      </c>
      <c r="L57">
        <v>38</v>
      </c>
      <c r="M57">
        <f t="shared" si="1"/>
        <v>585</v>
      </c>
    </row>
    <row r="58" spans="1:13" x14ac:dyDescent="0.25">
      <c r="A58" t="s">
        <v>344</v>
      </c>
      <c r="B58" t="s">
        <v>496</v>
      </c>
      <c r="C58" t="s">
        <v>498</v>
      </c>
      <c r="D58" t="s">
        <v>497</v>
      </c>
      <c r="E58">
        <v>3</v>
      </c>
      <c r="F58">
        <v>8</v>
      </c>
      <c r="G58">
        <v>100</v>
      </c>
      <c r="H58">
        <v>15.1</v>
      </c>
      <c r="I58" s="55">
        <f t="shared" si="2"/>
        <v>20.057484978342696</v>
      </c>
      <c r="J58">
        <v>12</v>
      </c>
      <c r="K58">
        <v>8</v>
      </c>
      <c r="L58">
        <v>13</v>
      </c>
      <c r="M58">
        <f t="shared" si="1"/>
        <v>85</v>
      </c>
    </row>
    <row r="59" spans="1:13" x14ac:dyDescent="0.25">
      <c r="A59" t="s">
        <v>344</v>
      </c>
      <c r="B59" t="s">
        <v>496</v>
      </c>
      <c r="C59" t="s">
        <v>498</v>
      </c>
      <c r="D59" t="s">
        <v>497</v>
      </c>
      <c r="E59">
        <v>3</v>
      </c>
      <c r="F59">
        <v>8</v>
      </c>
      <c r="G59">
        <v>120</v>
      </c>
      <c r="H59">
        <v>15.1</v>
      </c>
      <c r="I59" s="55">
        <f t="shared" si="2"/>
        <v>20.057484978342696</v>
      </c>
      <c r="J59">
        <v>12</v>
      </c>
      <c r="K59">
        <v>8</v>
      </c>
      <c r="L59">
        <v>13</v>
      </c>
      <c r="M59">
        <f t="shared" si="1"/>
        <v>105</v>
      </c>
    </row>
    <row r="60" spans="1:13" x14ac:dyDescent="0.25">
      <c r="A60" t="s">
        <v>344</v>
      </c>
      <c r="B60" t="s">
        <v>496</v>
      </c>
      <c r="C60" t="s">
        <v>498</v>
      </c>
      <c r="D60" t="s">
        <v>497</v>
      </c>
      <c r="E60">
        <v>3</v>
      </c>
      <c r="F60">
        <v>8</v>
      </c>
      <c r="G60">
        <v>140</v>
      </c>
      <c r="H60">
        <v>15.1</v>
      </c>
      <c r="I60" s="55">
        <f t="shared" si="2"/>
        <v>20.057484978342696</v>
      </c>
      <c r="J60">
        <v>12</v>
      </c>
      <c r="K60">
        <v>8</v>
      </c>
      <c r="L60">
        <v>13</v>
      </c>
      <c r="M60">
        <f t="shared" si="1"/>
        <v>125</v>
      </c>
    </row>
    <row r="61" spans="1:13" x14ac:dyDescent="0.25">
      <c r="A61" t="s">
        <v>344</v>
      </c>
      <c r="B61" t="s">
        <v>496</v>
      </c>
      <c r="C61" t="s">
        <v>498</v>
      </c>
      <c r="D61" t="s">
        <v>497</v>
      </c>
      <c r="E61">
        <v>3</v>
      </c>
      <c r="F61">
        <v>8</v>
      </c>
      <c r="G61">
        <v>160</v>
      </c>
      <c r="H61">
        <v>15.1</v>
      </c>
      <c r="I61" s="55">
        <f t="shared" si="2"/>
        <v>20.057484978342696</v>
      </c>
      <c r="J61">
        <v>12</v>
      </c>
      <c r="K61">
        <v>8</v>
      </c>
      <c r="L61">
        <v>13</v>
      </c>
      <c r="M61">
        <f t="shared" si="1"/>
        <v>145</v>
      </c>
    </row>
    <row r="62" spans="1:13" x14ac:dyDescent="0.25">
      <c r="A62" t="s">
        <v>344</v>
      </c>
      <c r="B62" t="s">
        <v>496</v>
      </c>
      <c r="C62" t="s">
        <v>498</v>
      </c>
      <c r="D62" t="s">
        <v>497</v>
      </c>
      <c r="E62">
        <v>3</v>
      </c>
      <c r="F62">
        <v>8</v>
      </c>
      <c r="G62">
        <v>180</v>
      </c>
      <c r="H62">
        <v>15.1</v>
      </c>
      <c r="I62" s="55">
        <f t="shared" si="2"/>
        <v>20.057484978342696</v>
      </c>
      <c r="J62">
        <v>12</v>
      </c>
      <c r="K62">
        <v>8</v>
      </c>
      <c r="L62">
        <v>13</v>
      </c>
      <c r="M62">
        <f t="shared" si="1"/>
        <v>165</v>
      </c>
    </row>
    <row r="63" spans="1:13" x14ac:dyDescent="0.25">
      <c r="A63" t="s">
        <v>344</v>
      </c>
      <c r="B63" t="s">
        <v>496</v>
      </c>
      <c r="C63" t="s">
        <v>498</v>
      </c>
      <c r="D63" t="s">
        <v>497</v>
      </c>
      <c r="E63">
        <v>3</v>
      </c>
      <c r="F63">
        <v>8</v>
      </c>
      <c r="G63">
        <v>200</v>
      </c>
      <c r="H63">
        <v>15.1</v>
      </c>
      <c r="I63" s="55">
        <f t="shared" si="2"/>
        <v>20.057484978342696</v>
      </c>
      <c r="J63">
        <v>12</v>
      </c>
      <c r="K63">
        <v>8</v>
      </c>
      <c r="L63">
        <v>13</v>
      </c>
      <c r="M63">
        <f t="shared" si="1"/>
        <v>185</v>
      </c>
    </row>
    <row r="64" spans="1:13" x14ac:dyDescent="0.25">
      <c r="A64" t="s">
        <v>344</v>
      </c>
      <c r="B64" t="s">
        <v>496</v>
      </c>
      <c r="C64" t="s">
        <v>498</v>
      </c>
      <c r="D64" t="s">
        <v>497</v>
      </c>
      <c r="E64">
        <v>3</v>
      </c>
      <c r="F64">
        <v>8</v>
      </c>
      <c r="G64">
        <v>220</v>
      </c>
      <c r="H64">
        <v>15.1</v>
      </c>
      <c r="I64" s="55">
        <f t="shared" si="2"/>
        <v>20.057484978342696</v>
      </c>
      <c r="J64">
        <v>12</v>
      </c>
      <c r="K64">
        <v>8</v>
      </c>
      <c r="L64">
        <v>13</v>
      </c>
      <c r="M64">
        <f t="shared" si="1"/>
        <v>205</v>
      </c>
    </row>
    <row r="65" spans="1:13" x14ac:dyDescent="0.25">
      <c r="A65" t="s">
        <v>344</v>
      </c>
      <c r="B65" t="s">
        <v>496</v>
      </c>
      <c r="C65" t="s">
        <v>498</v>
      </c>
      <c r="D65" t="s">
        <v>497</v>
      </c>
      <c r="E65">
        <v>3</v>
      </c>
      <c r="F65">
        <v>8</v>
      </c>
      <c r="G65">
        <v>240</v>
      </c>
      <c r="H65">
        <v>15.1</v>
      </c>
      <c r="I65" s="55">
        <f t="shared" si="2"/>
        <v>20.057484978342696</v>
      </c>
      <c r="J65">
        <v>12</v>
      </c>
      <c r="K65">
        <v>8</v>
      </c>
      <c r="L65">
        <v>13</v>
      </c>
      <c r="M65">
        <f t="shared" si="1"/>
        <v>225</v>
      </c>
    </row>
    <row r="66" spans="1:13" x14ac:dyDescent="0.25">
      <c r="A66" t="s">
        <v>344</v>
      </c>
      <c r="B66" t="s">
        <v>496</v>
      </c>
      <c r="C66" t="s">
        <v>498</v>
      </c>
      <c r="D66" t="s">
        <v>497</v>
      </c>
      <c r="E66">
        <v>3</v>
      </c>
      <c r="F66">
        <v>8</v>
      </c>
      <c r="G66">
        <v>260</v>
      </c>
      <c r="H66">
        <v>15.1</v>
      </c>
      <c r="I66" s="55">
        <f t="shared" si="2"/>
        <v>20.057484978342696</v>
      </c>
      <c r="J66">
        <v>12</v>
      </c>
      <c r="K66">
        <v>8</v>
      </c>
      <c r="L66">
        <v>13</v>
      </c>
      <c r="M66">
        <f t="shared" si="1"/>
        <v>245</v>
      </c>
    </row>
    <row r="67" spans="1:13" x14ac:dyDescent="0.25">
      <c r="A67" t="s">
        <v>344</v>
      </c>
      <c r="B67" t="s">
        <v>496</v>
      </c>
      <c r="C67" t="s">
        <v>498</v>
      </c>
      <c r="D67" t="s">
        <v>497</v>
      </c>
      <c r="E67">
        <v>3</v>
      </c>
      <c r="F67">
        <v>8</v>
      </c>
      <c r="G67">
        <v>280</v>
      </c>
      <c r="H67">
        <v>15.1</v>
      </c>
      <c r="I67" s="55">
        <f t="shared" si="2"/>
        <v>20.057484978342696</v>
      </c>
      <c r="J67">
        <v>12</v>
      </c>
      <c r="K67">
        <v>8</v>
      </c>
      <c r="L67">
        <v>13</v>
      </c>
      <c r="M67">
        <f t="shared" ref="M67:M100" si="3">G67-15</f>
        <v>265</v>
      </c>
    </row>
    <row r="68" spans="1:13" x14ac:dyDescent="0.25">
      <c r="A68" t="s">
        <v>344</v>
      </c>
      <c r="B68" t="s">
        <v>496</v>
      </c>
      <c r="C68" t="s">
        <v>498</v>
      </c>
      <c r="D68" t="s">
        <v>497</v>
      </c>
      <c r="E68">
        <v>3</v>
      </c>
      <c r="F68">
        <v>8</v>
      </c>
      <c r="G68">
        <v>300</v>
      </c>
      <c r="H68">
        <v>15.1</v>
      </c>
      <c r="I68" s="55">
        <f t="shared" si="2"/>
        <v>20.057484978342696</v>
      </c>
      <c r="J68">
        <v>12</v>
      </c>
      <c r="K68">
        <v>8</v>
      </c>
      <c r="L68">
        <v>13</v>
      </c>
      <c r="M68">
        <f t="shared" si="3"/>
        <v>285</v>
      </c>
    </row>
    <row r="69" spans="1:13" x14ac:dyDescent="0.25">
      <c r="A69" t="s">
        <v>344</v>
      </c>
      <c r="B69" t="s">
        <v>496</v>
      </c>
      <c r="C69" t="s">
        <v>498</v>
      </c>
      <c r="D69" t="s">
        <v>497</v>
      </c>
      <c r="E69">
        <v>3</v>
      </c>
      <c r="F69">
        <v>8</v>
      </c>
      <c r="G69">
        <v>325</v>
      </c>
      <c r="H69">
        <v>15.1</v>
      </c>
      <c r="I69" s="55">
        <f t="shared" si="2"/>
        <v>20.057484978342696</v>
      </c>
      <c r="J69">
        <v>12</v>
      </c>
      <c r="K69">
        <v>8</v>
      </c>
      <c r="L69">
        <v>13</v>
      </c>
      <c r="M69">
        <f t="shared" si="3"/>
        <v>310</v>
      </c>
    </row>
    <row r="70" spans="1:13" x14ac:dyDescent="0.25">
      <c r="A70" t="s">
        <v>344</v>
      </c>
      <c r="B70" t="s">
        <v>496</v>
      </c>
      <c r="C70" t="s">
        <v>498</v>
      </c>
      <c r="D70" t="s">
        <v>497</v>
      </c>
      <c r="E70">
        <v>3</v>
      </c>
      <c r="F70">
        <v>8</v>
      </c>
      <c r="G70">
        <v>350</v>
      </c>
      <c r="H70">
        <v>15.1</v>
      </c>
      <c r="I70" s="55">
        <f t="shared" si="2"/>
        <v>20.057484978342696</v>
      </c>
      <c r="J70">
        <v>12</v>
      </c>
      <c r="K70">
        <v>8</v>
      </c>
      <c r="L70">
        <v>13</v>
      </c>
      <c r="M70">
        <f t="shared" si="3"/>
        <v>335</v>
      </c>
    </row>
    <row r="71" spans="1:13" x14ac:dyDescent="0.25">
      <c r="A71" t="s">
        <v>344</v>
      </c>
      <c r="B71" t="s">
        <v>496</v>
      </c>
      <c r="C71" t="s">
        <v>498</v>
      </c>
      <c r="D71" t="s">
        <v>497</v>
      </c>
      <c r="E71">
        <v>3</v>
      </c>
      <c r="F71">
        <v>8</v>
      </c>
      <c r="G71">
        <v>375</v>
      </c>
      <c r="H71">
        <v>15.1</v>
      </c>
      <c r="I71" s="55">
        <f t="shared" si="2"/>
        <v>20.057484978342696</v>
      </c>
      <c r="J71">
        <v>12</v>
      </c>
      <c r="K71">
        <v>8</v>
      </c>
      <c r="L71">
        <v>13</v>
      </c>
      <c r="M71">
        <f t="shared" si="3"/>
        <v>360</v>
      </c>
    </row>
    <row r="72" spans="1:13" x14ac:dyDescent="0.25">
      <c r="A72" t="s">
        <v>344</v>
      </c>
      <c r="B72" t="s">
        <v>496</v>
      </c>
      <c r="C72" t="s">
        <v>498</v>
      </c>
      <c r="D72" t="s">
        <v>497</v>
      </c>
      <c r="E72">
        <v>3</v>
      </c>
      <c r="F72">
        <v>8</v>
      </c>
      <c r="G72">
        <v>400</v>
      </c>
      <c r="H72">
        <v>15.1</v>
      </c>
      <c r="I72" s="55">
        <f t="shared" si="2"/>
        <v>20.057484978342696</v>
      </c>
      <c r="J72">
        <v>12</v>
      </c>
      <c r="K72">
        <v>8</v>
      </c>
      <c r="L72">
        <v>13</v>
      </c>
      <c r="M72">
        <f t="shared" si="3"/>
        <v>385</v>
      </c>
    </row>
    <row r="73" spans="1:13" x14ac:dyDescent="0.25">
      <c r="A73" t="s">
        <v>344</v>
      </c>
      <c r="B73" t="s">
        <v>496</v>
      </c>
      <c r="C73" t="s">
        <v>500</v>
      </c>
      <c r="D73" t="s">
        <v>497</v>
      </c>
      <c r="E73">
        <v>3</v>
      </c>
      <c r="F73">
        <v>8</v>
      </c>
      <c r="G73">
        <v>100</v>
      </c>
      <c r="H73">
        <v>15.1</v>
      </c>
      <c r="I73" s="55">
        <f t="shared" si="2"/>
        <v>20.057484978342696</v>
      </c>
      <c r="J73">
        <v>12</v>
      </c>
      <c r="K73">
        <v>8</v>
      </c>
      <c r="L73">
        <v>13</v>
      </c>
      <c r="M73">
        <f t="shared" si="3"/>
        <v>85</v>
      </c>
    </row>
    <row r="74" spans="1:13" x14ac:dyDescent="0.25">
      <c r="A74" t="s">
        <v>344</v>
      </c>
      <c r="B74" t="s">
        <v>496</v>
      </c>
      <c r="C74" t="s">
        <v>500</v>
      </c>
      <c r="D74" t="s">
        <v>497</v>
      </c>
      <c r="E74">
        <v>3</v>
      </c>
      <c r="F74">
        <v>8</v>
      </c>
      <c r="G74">
        <v>120</v>
      </c>
      <c r="H74">
        <v>15.1</v>
      </c>
      <c r="I74" s="55">
        <f t="shared" si="2"/>
        <v>20.057484978342696</v>
      </c>
      <c r="J74">
        <v>12</v>
      </c>
      <c r="K74">
        <v>8</v>
      </c>
      <c r="L74">
        <v>13</v>
      </c>
      <c r="M74">
        <f t="shared" si="3"/>
        <v>105</v>
      </c>
    </row>
    <row r="75" spans="1:13" x14ac:dyDescent="0.25">
      <c r="A75" t="s">
        <v>344</v>
      </c>
      <c r="B75" t="s">
        <v>496</v>
      </c>
      <c r="C75" t="s">
        <v>500</v>
      </c>
      <c r="D75" t="s">
        <v>497</v>
      </c>
      <c r="E75">
        <v>3</v>
      </c>
      <c r="F75">
        <v>8</v>
      </c>
      <c r="G75">
        <v>140</v>
      </c>
      <c r="H75">
        <v>15.1</v>
      </c>
      <c r="I75" s="55">
        <f t="shared" si="2"/>
        <v>20.057484978342696</v>
      </c>
      <c r="J75">
        <v>12</v>
      </c>
      <c r="K75">
        <v>8</v>
      </c>
      <c r="L75">
        <v>13</v>
      </c>
      <c r="M75">
        <f t="shared" si="3"/>
        <v>125</v>
      </c>
    </row>
    <row r="76" spans="1:13" x14ac:dyDescent="0.25">
      <c r="A76" t="s">
        <v>344</v>
      </c>
      <c r="B76" t="s">
        <v>496</v>
      </c>
      <c r="C76" t="s">
        <v>500</v>
      </c>
      <c r="D76" t="s">
        <v>497</v>
      </c>
      <c r="E76">
        <v>3</v>
      </c>
      <c r="F76">
        <v>8</v>
      </c>
      <c r="G76">
        <v>160</v>
      </c>
      <c r="H76">
        <v>15.1</v>
      </c>
      <c r="I76" s="55">
        <f t="shared" si="2"/>
        <v>20.057484978342696</v>
      </c>
      <c r="J76">
        <v>12</v>
      </c>
      <c r="K76">
        <v>8</v>
      </c>
      <c r="L76">
        <v>13</v>
      </c>
      <c r="M76">
        <f t="shared" si="3"/>
        <v>145</v>
      </c>
    </row>
    <row r="77" spans="1:13" x14ac:dyDescent="0.25">
      <c r="A77" t="s">
        <v>344</v>
      </c>
      <c r="B77" t="s">
        <v>496</v>
      </c>
      <c r="C77" t="s">
        <v>500</v>
      </c>
      <c r="D77" t="s">
        <v>497</v>
      </c>
      <c r="E77">
        <v>3</v>
      </c>
      <c r="F77">
        <v>8</v>
      </c>
      <c r="G77">
        <v>180</v>
      </c>
      <c r="H77">
        <v>15.1</v>
      </c>
      <c r="I77" s="55">
        <f t="shared" si="2"/>
        <v>20.057484978342696</v>
      </c>
      <c r="J77">
        <v>12</v>
      </c>
      <c r="K77">
        <v>8</v>
      </c>
      <c r="L77">
        <v>13</v>
      </c>
      <c r="M77">
        <f t="shared" si="3"/>
        <v>165</v>
      </c>
    </row>
    <row r="78" spans="1:13" x14ac:dyDescent="0.25">
      <c r="A78" t="s">
        <v>344</v>
      </c>
      <c r="B78" t="s">
        <v>496</v>
      </c>
      <c r="C78" t="s">
        <v>500</v>
      </c>
      <c r="D78" t="s">
        <v>497</v>
      </c>
      <c r="E78">
        <v>3</v>
      </c>
      <c r="F78">
        <v>8</v>
      </c>
      <c r="G78">
        <v>200</v>
      </c>
      <c r="H78">
        <v>15.1</v>
      </c>
      <c r="I78" s="55">
        <f t="shared" si="2"/>
        <v>20.057484978342696</v>
      </c>
      <c r="J78">
        <v>12</v>
      </c>
      <c r="K78">
        <v>8</v>
      </c>
      <c r="L78">
        <v>13</v>
      </c>
      <c r="M78">
        <f t="shared" si="3"/>
        <v>185</v>
      </c>
    </row>
    <row r="79" spans="1:13" x14ac:dyDescent="0.25">
      <c r="A79" t="s">
        <v>344</v>
      </c>
      <c r="B79" t="s">
        <v>496</v>
      </c>
      <c r="C79" t="s">
        <v>500</v>
      </c>
      <c r="D79" t="s">
        <v>497</v>
      </c>
      <c r="E79">
        <v>3</v>
      </c>
      <c r="F79">
        <v>8</v>
      </c>
      <c r="G79">
        <v>220</v>
      </c>
      <c r="H79">
        <v>15.1</v>
      </c>
      <c r="I79" s="55">
        <f t="shared" si="2"/>
        <v>20.057484978342696</v>
      </c>
      <c r="J79">
        <v>12</v>
      </c>
      <c r="K79">
        <v>8</v>
      </c>
      <c r="L79">
        <v>13</v>
      </c>
      <c r="M79">
        <f t="shared" si="3"/>
        <v>205</v>
      </c>
    </row>
    <row r="80" spans="1:13" x14ac:dyDescent="0.25">
      <c r="A80" t="s">
        <v>344</v>
      </c>
      <c r="B80" t="s">
        <v>496</v>
      </c>
      <c r="C80" t="s">
        <v>500</v>
      </c>
      <c r="D80" t="s">
        <v>497</v>
      </c>
      <c r="E80">
        <v>3</v>
      </c>
      <c r="F80">
        <v>8</v>
      </c>
      <c r="G80">
        <v>240</v>
      </c>
      <c r="H80">
        <v>15.1</v>
      </c>
      <c r="I80" s="55">
        <f t="shared" si="2"/>
        <v>20.057484978342696</v>
      </c>
      <c r="J80">
        <v>12</v>
      </c>
      <c r="K80">
        <v>8</v>
      </c>
      <c r="L80">
        <v>13</v>
      </c>
      <c r="M80">
        <f t="shared" si="3"/>
        <v>225</v>
      </c>
    </row>
    <row r="81" spans="1:13" x14ac:dyDescent="0.25">
      <c r="A81" t="s">
        <v>344</v>
      </c>
      <c r="B81" t="s">
        <v>496</v>
      </c>
      <c r="C81" t="s">
        <v>500</v>
      </c>
      <c r="D81" t="s">
        <v>497</v>
      </c>
      <c r="E81">
        <v>3</v>
      </c>
      <c r="F81">
        <v>8</v>
      </c>
      <c r="G81">
        <v>260</v>
      </c>
      <c r="H81">
        <v>15.1</v>
      </c>
      <c r="I81" s="55">
        <f t="shared" si="2"/>
        <v>20.057484978342696</v>
      </c>
      <c r="J81">
        <v>12</v>
      </c>
      <c r="K81">
        <v>8</v>
      </c>
      <c r="L81">
        <v>13</v>
      </c>
      <c r="M81">
        <f t="shared" si="3"/>
        <v>245</v>
      </c>
    </row>
    <row r="82" spans="1:13" x14ac:dyDescent="0.25">
      <c r="A82" t="s">
        <v>344</v>
      </c>
      <c r="B82" t="s">
        <v>496</v>
      </c>
      <c r="C82" t="s">
        <v>500</v>
      </c>
      <c r="D82" t="s">
        <v>497</v>
      </c>
      <c r="E82">
        <v>3</v>
      </c>
      <c r="F82">
        <v>8</v>
      </c>
      <c r="G82">
        <v>280</v>
      </c>
      <c r="H82">
        <v>15.1</v>
      </c>
      <c r="I82" s="55">
        <f t="shared" si="2"/>
        <v>20.057484978342696</v>
      </c>
      <c r="J82">
        <v>12</v>
      </c>
      <c r="K82">
        <v>8</v>
      </c>
      <c r="L82">
        <v>13</v>
      </c>
      <c r="M82">
        <f t="shared" si="3"/>
        <v>265</v>
      </c>
    </row>
    <row r="83" spans="1:13" x14ac:dyDescent="0.25">
      <c r="A83" t="s">
        <v>344</v>
      </c>
      <c r="B83" t="s">
        <v>496</v>
      </c>
      <c r="C83" t="s">
        <v>500</v>
      </c>
      <c r="D83" t="s">
        <v>497</v>
      </c>
      <c r="E83">
        <v>3</v>
      </c>
      <c r="F83">
        <v>8</v>
      </c>
      <c r="G83">
        <v>300</v>
      </c>
      <c r="H83">
        <v>15.1</v>
      </c>
      <c r="I83" s="55">
        <f t="shared" si="2"/>
        <v>20.057484978342696</v>
      </c>
      <c r="J83">
        <v>12</v>
      </c>
      <c r="K83">
        <v>8</v>
      </c>
      <c r="L83">
        <v>13</v>
      </c>
      <c r="M83">
        <f t="shared" si="3"/>
        <v>285</v>
      </c>
    </row>
    <row r="84" spans="1:13" x14ac:dyDescent="0.25">
      <c r="A84" t="s">
        <v>344</v>
      </c>
      <c r="B84" t="s">
        <v>496</v>
      </c>
      <c r="C84" t="s">
        <v>500</v>
      </c>
      <c r="D84" t="s">
        <v>497</v>
      </c>
      <c r="E84">
        <v>3</v>
      </c>
      <c r="F84">
        <v>8</v>
      </c>
      <c r="G84">
        <v>325</v>
      </c>
      <c r="H84">
        <v>15.1</v>
      </c>
      <c r="I84" s="55">
        <f t="shared" si="2"/>
        <v>20.057484978342696</v>
      </c>
      <c r="J84">
        <v>12</v>
      </c>
      <c r="K84">
        <v>8</v>
      </c>
      <c r="L84">
        <v>13</v>
      </c>
      <c r="M84">
        <f t="shared" si="3"/>
        <v>310</v>
      </c>
    </row>
    <row r="85" spans="1:13" x14ac:dyDescent="0.25">
      <c r="A85" t="s">
        <v>344</v>
      </c>
      <c r="B85" t="s">
        <v>496</v>
      </c>
      <c r="C85" t="s">
        <v>500</v>
      </c>
      <c r="D85" t="s">
        <v>497</v>
      </c>
      <c r="E85">
        <v>3</v>
      </c>
      <c r="F85">
        <v>8</v>
      </c>
      <c r="G85">
        <v>350</v>
      </c>
      <c r="H85">
        <v>15.1</v>
      </c>
      <c r="I85" s="55">
        <f t="shared" si="2"/>
        <v>20.057484978342696</v>
      </c>
      <c r="J85">
        <v>12</v>
      </c>
      <c r="K85">
        <v>8</v>
      </c>
      <c r="L85">
        <v>13</v>
      </c>
      <c r="M85">
        <f t="shared" si="3"/>
        <v>335</v>
      </c>
    </row>
    <row r="86" spans="1:13" x14ac:dyDescent="0.25">
      <c r="A86" t="s">
        <v>344</v>
      </c>
      <c r="B86" t="s">
        <v>496</v>
      </c>
      <c r="C86" t="s">
        <v>500</v>
      </c>
      <c r="D86" t="s">
        <v>497</v>
      </c>
      <c r="E86">
        <v>3</v>
      </c>
      <c r="F86">
        <v>8</v>
      </c>
      <c r="G86">
        <v>375</v>
      </c>
      <c r="H86">
        <v>15.1</v>
      </c>
      <c r="I86" s="55">
        <f t="shared" si="2"/>
        <v>20.057484978342696</v>
      </c>
      <c r="J86">
        <v>12</v>
      </c>
      <c r="K86">
        <v>8</v>
      </c>
      <c r="L86">
        <v>13</v>
      </c>
      <c r="M86">
        <f t="shared" si="3"/>
        <v>360</v>
      </c>
    </row>
    <row r="87" spans="1:13" x14ac:dyDescent="0.25">
      <c r="A87" t="s">
        <v>344</v>
      </c>
      <c r="B87" t="s">
        <v>496</v>
      </c>
      <c r="C87" t="s">
        <v>500</v>
      </c>
      <c r="D87" t="s">
        <v>497</v>
      </c>
      <c r="E87">
        <v>3</v>
      </c>
      <c r="F87">
        <v>8</v>
      </c>
      <c r="G87">
        <v>400</v>
      </c>
      <c r="H87">
        <v>15.1</v>
      </c>
      <c r="I87" s="55">
        <f t="shared" si="2"/>
        <v>20.057484978342696</v>
      </c>
      <c r="J87">
        <v>12</v>
      </c>
      <c r="K87">
        <v>8</v>
      </c>
      <c r="L87">
        <v>13</v>
      </c>
      <c r="M87">
        <f t="shared" si="3"/>
        <v>385</v>
      </c>
    </row>
    <row r="88" spans="1:13" x14ac:dyDescent="0.25">
      <c r="A88" t="s">
        <v>344</v>
      </c>
      <c r="B88" t="s">
        <v>496</v>
      </c>
      <c r="C88" t="s">
        <v>500</v>
      </c>
      <c r="D88" t="s">
        <v>497</v>
      </c>
      <c r="E88">
        <v>3</v>
      </c>
      <c r="F88">
        <v>10</v>
      </c>
      <c r="G88">
        <v>160</v>
      </c>
      <c r="H88">
        <v>18.600000000000001</v>
      </c>
      <c r="I88" s="55">
        <f t="shared" si="2"/>
        <v>35.829645349814783</v>
      </c>
      <c r="J88">
        <v>11.5</v>
      </c>
      <c r="K88">
        <v>8</v>
      </c>
      <c r="L88">
        <v>20</v>
      </c>
      <c r="M88">
        <f t="shared" si="3"/>
        <v>145</v>
      </c>
    </row>
    <row r="89" spans="1:13" x14ac:dyDescent="0.25">
      <c r="A89" t="s">
        <v>344</v>
      </c>
      <c r="B89" t="s">
        <v>496</v>
      </c>
      <c r="C89" t="s">
        <v>500</v>
      </c>
      <c r="D89" t="s">
        <v>497</v>
      </c>
      <c r="E89">
        <v>3</v>
      </c>
      <c r="F89">
        <v>10</v>
      </c>
      <c r="G89">
        <v>200</v>
      </c>
      <c r="H89">
        <v>18.600000000000001</v>
      </c>
      <c r="I89" s="55">
        <f t="shared" ref="I89:I100" si="4">0.15*600*F89^2.6/1000</f>
        <v>35.829645349814783</v>
      </c>
      <c r="J89">
        <v>11.5</v>
      </c>
      <c r="K89">
        <v>8</v>
      </c>
      <c r="L89">
        <v>20</v>
      </c>
      <c r="M89">
        <f t="shared" si="3"/>
        <v>185</v>
      </c>
    </row>
    <row r="90" spans="1:13" x14ac:dyDescent="0.25">
      <c r="A90" t="s">
        <v>344</v>
      </c>
      <c r="B90" t="s">
        <v>496</v>
      </c>
      <c r="C90" t="s">
        <v>500</v>
      </c>
      <c r="D90" t="s">
        <v>497</v>
      </c>
      <c r="E90">
        <v>3</v>
      </c>
      <c r="F90">
        <v>10</v>
      </c>
      <c r="G90">
        <v>220</v>
      </c>
      <c r="H90">
        <v>18.600000000000001</v>
      </c>
      <c r="I90" s="55">
        <f t="shared" si="4"/>
        <v>35.829645349814783</v>
      </c>
      <c r="J90">
        <v>11.5</v>
      </c>
      <c r="K90">
        <v>8</v>
      </c>
      <c r="L90">
        <v>20</v>
      </c>
      <c r="M90">
        <f t="shared" si="3"/>
        <v>205</v>
      </c>
    </row>
    <row r="91" spans="1:13" x14ac:dyDescent="0.25">
      <c r="A91" t="s">
        <v>344</v>
      </c>
      <c r="B91" t="s">
        <v>496</v>
      </c>
      <c r="C91" t="s">
        <v>500</v>
      </c>
      <c r="D91" t="s">
        <v>497</v>
      </c>
      <c r="E91">
        <v>3</v>
      </c>
      <c r="F91">
        <v>10</v>
      </c>
      <c r="G91">
        <v>240</v>
      </c>
      <c r="H91">
        <v>18.600000000000001</v>
      </c>
      <c r="I91" s="55">
        <f t="shared" si="4"/>
        <v>35.829645349814783</v>
      </c>
      <c r="J91">
        <v>11.5</v>
      </c>
      <c r="K91">
        <v>8</v>
      </c>
      <c r="L91">
        <v>20</v>
      </c>
      <c r="M91">
        <f t="shared" si="3"/>
        <v>225</v>
      </c>
    </row>
    <row r="92" spans="1:13" x14ac:dyDescent="0.25">
      <c r="A92" t="s">
        <v>344</v>
      </c>
      <c r="B92" t="s">
        <v>496</v>
      </c>
      <c r="C92" t="s">
        <v>500</v>
      </c>
      <c r="D92" t="s">
        <v>497</v>
      </c>
      <c r="E92">
        <v>3</v>
      </c>
      <c r="F92">
        <v>10</v>
      </c>
      <c r="G92">
        <v>260</v>
      </c>
      <c r="H92">
        <v>18.600000000000001</v>
      </c>
      <c r="I92" s="55">
        <f t="shared" si="4"/>
        <v>35.829645349814783</v>
      </c>
      <c r="J92">
        <v>11.5</v>
      </c>
      <c r="K92">
        <v>8</v>
      </c>
      <c r="L92">
        <v>20</v>
      </c>
      <c r="M92">
        <f t="shared" si="3"/>
        <v>245</v>
      </c>
    </row>
    <row r="93" spans="1:13" x14ac:dyDescent="0.25">
      <c r="A93" t="s">
        <v>344</v>
      </c>
      <c r="B93" t="s">
        <v>496</v>
      </c>
      <c r="C93" t="s">
        <v>500</v>
      </c>
      <c r="D93" t="s">
        <v>497</v>
      </c>
      <c r="E93">
        <v>3</v>
      </c>
      <c r="F93">
        <v>10</v>
      </c>
      <c r="G93">
        <v>280</v>
      </c>
      <c r="H93">
        <v>18.600000000000001</v>
      </c>
      <c r="I93" s="55">
        <f t="shared" si="4"/>
        <v>35.829645349814783</v>
      </c>
      <c r="J93">
        <v>11.5</v>
      </c>
      <c r="K93">
        <v>8</v>
      </c>
      <c r="L93">
        <v>20</v>
      </c>
      <c r="M93">
        <f t="shared" si="3"/>
        <v>265</v>
      </c>
    </row>
    <row r="94" spans="1:13" x14ac:dyDescent="0.25">
      <c r="A94" t="s">
        <v>344</v>
      </c>
      <c r="B94" t="s">
        <v>496</v>
      </c>
      <c r="C94" t="s">
        <v>500</v>
      </c>
      <c r="D94" t="s">
        <v>497</v>
      </c>
      <c r="E94">
        <v>3</v>
      </c>
      <c r="F94">
        <v>10</v>
      </c>
      <c r="G94">
        <v>300</v>
      </c>
      <c r="H94">
        <v>18.600000000000001</v>
      </c>
      <c r="I94" s="55">
        <f t="shared" si="4"/>
        <v>35.829645349814783</v>
      </c>
      <c r="J94">
        <v>11.5</v>
      </c>
      <c r="K94">
        <v>8</v>
      </c>
      <c r="L94">
        <v>20</v>
      </c>
      <c r="M94">
        <f t="shared" si="3"/>
        <v>285</v>
      </c>
    </row>
    <row r="95" spans="1:13" x14ac:dyDescent="0.25">
      <c r="A95" t="s">
        <v>344</v>
      </c>
      <c r="B95" t="s">
        <v>496</v>
      </c>
      <c r="C95" t="s">
        <v>500</v>
      </c>
      <c r="D95" t="s">
        <v>497</v>
      </c>
      <c r="E95">
        <v>3</v>
      </c>
      <c r="F95">
        <v>10</v>
      </c>
      <c r="G95">
        <v>350</v>
      </c>
      <c r="H95">
        <v>18.600000000000001</v>
      </c>
      <c r="I95" s="55">
        <f t="shared" si="4"/>
        <v>35.829645349814783</v>
      </c>
      <c r="J95">
        <v>11.5</v>
      </c>
      <c r="K95">
        <v>8</v>
      </c>
      <c r="L95">
        <v>20</v>
      </c>
      <c r="M95">
        <f t="shared" si="3"/>
        <v>335</v>
      </c>
    </row>
    <row r="96" spans="1:13" x14ac:dyDescent="0.25">
      <c r="A96" t="s">
        <v>344</v>
      </c>
      <c r="B96" t="s">
        <v>496</v>
      </c>
      <c r="C96" t="s">
        <v>500</v>
      </c>
      <c r="D96" t="s">
        <v>497</v>
      </c>
      <c r="E96">
        <v>3</v>
      </c>
      <c r="F96">
        <v>10</v>
      </c>
      <c r="G96">
        <v>400</v>
      </c>
      <c r="H96">
        <v>18.600000000000001</v>
      </c>
      <c r="I96" s="55">
        <f t="shared" si="4"/>
        <v>35.829645349814783</v>
      </c>
      <c r="J96">
        <v>11.5</v>
      </c>
      <c r="K96">
        <v>8</v>
      </c>
      <c r="L96">
        <v>20</v>
      </c>
      <c r="M96">
        <f t="shared" si="3"/>
        <v>385</v>
      </c>
    </row>
    <row r="97" spans="1:13" x14ac:dyDescent="0.25">
      <c r="A97" t="s">
        <v>344</v>
      </c>
      <c r="B97" t="s">
        <v>496</v>
      </c>
      <c r="C97" t="s">
        <v>500</v>
      </c>
      <c r="D97" t="s">
        <v>497</v>
      </c>
      <c r="E97">
        <v>3</v>
      </c>
      <c r="F97">
        <v>12</v>
      </c>
      <c r="G97">
        <v>400</v>
      </c>
      <c r="H97">
        <v>18.600000000000001</v>
      </c>
      <c r="I97" s="55">
        <f t="shared" si="4"/>
        <v>57.559067465202105</v>
      </c>
      <c r="J97">
        <v>11</v>
      </c>
      <c r="K97">
        <v>8</v>
      </c>
      <c r="L97">
        <v>28</v>
      </c>
      <c r="M97">
        <f t="shared" si="3"/>
        <v>385</v>
      </c>
    </row>
    <row r="98" spans="1:13" x14ac:dyDescent="0.25">
      <c r="A98" t="s">
        <v>344</v>
      </c>
      <c r="B98" t="s">
        <v>496</v>
      </c>
      <c r="C98" t="s">
        <v>500</v>
      </c>
      <c r="D98" t="s">
        <v>497</v>
      </c>
      <c r="E98">
        <v>3</v>
      </c>
      <c r="F98">
        <v>12</v>
      </c>
      <c r="G98">
        <v>450</v>
      </c>
      <c r="H98">
        <v>18.600000000000001</v>
      </c>
      <c r="I98" s="55">
        <f t="shared" si="4"/>
        <v>57.559067465202105</v>
      </c>
      <c r="J98">
        <v>11</v>
      </c>
      <c r="K98">
        <v>8</v>
      </c>
      <c r="L98">
        <v>28</v>
      </c>
      <c r="M98">
        <f t="shared" si="3"/>
        <v>435</v>
      </c>
    </row>
    <row r="99" spans="1:13" x14ac:dyDescent="0.25">
      <c r="A99" t="s">
        <v>344</v>
      </c>
      <c r="B99" t="s">
        <v>496</v>
      </c>
      <c r="C99" t="s">
        <v>500</v>
      </c>
      <c r="D99" t="s">
        <v>497</v>
      </c>
      <c r="E99">
        <v>3</v>
      </c>
      <c r="F99">
        <v>12</v>
      </c>
      <c r="G99">
        <v>500</v>
      </c>
      <c r="H99">
        <v>18.600000000000001</v>
      </c>
      <c r="I99" s="55">
        <f t="shared" si="4"/>
        <v>57.559067465202105</v>
      </c>
      <c r="J99">
        <v>11</v>
      </c>
      <c r="K99">
        <v>8</v>
      </c>
      <c r="L99">
        <v>28</v>
      </c>
      <c r="M99">
        <f t="shared" si="3"/>
        <v>485</v>
      </c>
    </row>
    <row r="100" spans="1:13" x14ac:dyDescent="0.25">
      <c r="A100" t="s">
        <v>344</v>
      </c>
      <c r="B100" t="s">
        <v>496</v>
      </c>
      <c r="C100" t="s">
        <v>500</v>
      </c>
      <c r="D100" t="s">
        <v>497</v>
      </c>
      <c r="E100">
        <v>3</v>
      </c>
      <c r="F100">
        <v>12</v>
      </c>
      <c r="G100">
        <v>550</v>
      </c>
      <c r="H100">
        <v>18.600000000000001</v>
      </c>
      <c r="I100" s="55">
        <f t="shared" si="4"/>
        <v>57.559067465202105</v>
      </c>
      <c r="J100">
        <v>11</v>
      </c>
      <c r="K100">
        <v>8</v>
      </c>
      <c r="L100">
        <v>28</v>
      </c>
      <c r="M100">
        <f t="shared" si="3"/>
        <v>535</v>
      </c>
    </row>
  </sheetData>
  <conditionalFormatting sqref="A1">
    <cfRule type="cellIs" dxfId="0" priority="1" operator="equal">
      <formula>"Spiker"</formula>
    </cfRule>
  </conditionalFormatting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090AC-BF65-4F8D-9773-C6E3049F0C7F}">
  <sheetPr>
    <tabColor theme="3" tint="-0.249977111117893"/>
  </sheetPr>
  <dimension ref="A1:W79"/>
  <sheetViews>
    <sheetView topLeftCell="A4" workbookViewId="0">
      <pane ySplit="900" activePane="bottomLeft"/>
      <selection activeCell="S5" sqref="S5"/>
      <selection pane="bottomLeft" activeCell="A38" sqref="A38"/>
    </sheetView>
  </sheetViews>
  <sheetFormatPr baseColWidth="10" defaultRowHeight="15" x14ac:dyDescent="0.25"/>
  <cols>
    <col min="3" max="3" width="5.7109375" bestFit="1" customWidth="1"/>
    <col min="4" max="4" width="18.85546875" bestFit="1" customWidth="1"/>
    <col min="5" max="5" width="19.140625" bestFit="1" customWidth="1"/>
  </cols>
  <sheetData>
    <row r="1" spans="1:23" x14ac:dyDescent="0.25">
      <c r="A1" s="58" t="s">
        <v>424</v>
      </c>
      <c r="B1" s="58" t="s">
        <v>1</v>
      </c>
      <c r="C1" s="58" t="s">
        <v>455</v>
      </c>
      <c r="D1" s="58" t="s">
        <v>433</v>
      </c>
      <c r="E1" s="58" t="s">
        <v>232</v>
      </c>
      <c r="F1" s="58" t="s">
        <v>425</v>
      </c>
      <c r="G1" s="58" t="s">
        <v>19</v>
      </c>
      <c r="H1" s="58" t="s">
        <v>426</v>
      </c>
      <c r="I1" s="58" t="s">
        <v>427</v>
      </c>
      <c r="J1" s="58" t="s">
        <v>428</v>
      </c>
      <c r="K1" s="58" t="s">
        <v>430</v>
      </c>
      <c r="L1" s="58" t="s">
        <v>431</v>
      </c>
      <c r="M1" s="58" t="s">
        <v>432</v>
      </c>
      <c r="N1" s="58" t="s">
        <v>436</v>
      </c>
      <c r="O1" s="58" t="s">
        <v>437</v>
      </c>
      <c r="P1" s="58" t="s">
        <v>431</v>
      </c>
      <c r="Q1" s="58" t="s">
        <v>432</v>
      </c>
      <c r="R1" s="58" t="s">
        <v>438</v>
      </c>
      <c r="S1" s="58" t="s">
        <v>439</v>
      </c>
      <c r="T1" s="58" t="s">
        <v>440</v>
      </c>
      <c r="U1" s="58" t="s">
        <v>441</v>
      </c>
      <c r="V1" s="58" t="s">
        <v>442</v>
      </c>
    </row>
    <row r="2" spans="1:23" x14ac:dyDescent="0.25">
      <c r="A2" s="58"/>
      <c r="B2" s="58"/>
      <c r="C2" s="58"/>
      <c r="D2" s="58"/>
      <c r="E2" s="58"/>
      <c r="F2" s="58" t="s">
        <v>447</v>
      </c>
      <c r="G2" s="58" t="s">
        <v>448</v>
      </c>
      <c r="H2" s="58" t="s">
        <v>449</v>
      </c>
      <c r="I2" s="58" t="s">
        <v>450</v>
      </c>
      <c r="J2" s="58" t="s">
        <v>451</v>
      </c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</row>
    <row r="3" spans="1:23" x14ac:dyDescent="0.25">
      <c r="A3" t="s">
        <v>453</v>
      </c>
      <c r="B3" t="s">
        <v>443</v>
      </c>
      <c r="C3">
        <v>2</v>
      </c>
      <c r="D3" t="s">
        <v>444</v>
      </c>
      <c r="E3">
        <v>2</v>
      </c>
      <c r="F3">
        <v>50</v>
      </c>
      <c r="G3">
        <v>17</v>
      </c>
      <c r="H3">
        <v>6</v>
      </c>
      <c r="I3">
        <v>13</v>
      </c>
      <c r="J3">
        <v>1</v>
      </c>
      <c r="N3">
        <v>18</v>
      </c>
      <c r="O3">
        <v>30</v>
      </c>
      <c r="P3">
        <v>75</v>
      </c>
      <c r="Q3">
        <v>60</v>
      </c>
      <c r="R3">
        <v>75</v>
      </c>
      <c r="S3">
        <v>75</v>
      </c>
      <c r="T3">
        <v>40</v>
      </c>
      <c r="U3">
        <v>30</v>
      </c>
      <c r="V3">
        <v>6.3</v>
      </c>
      <c r="W3" t="s">
        <v>420</v>
      </c>
    </row>
    <row r="4" spans="1:23" x14ac:dyDescent="0.25">
      <c r="A4" t="s">
        <v>453</v>
      </c>
      <c r="B4" t="s">
        <v>443</v>
      </c>
      <c r="C4">
        <v>2</v>
      </c>
      <c r="D4" t="s">
        <v>444</v>
      </c>
      <c r="E4">
        <v>2</v>
      </c>
      <c r="F4">
        <v>62</v>
      </c>
      <c r="G4">
        <v>21</v>
      </c>
      <c r="H4">
        <v>7.4</v>
      </c>
      <c r="I4">
        <v>16</v>
      </c>
      <c r="J4">
        <v>1.2</v>
      </c>
      <c r="N4">
        <v>23</v>
      </c>
      <c r="O4">
        <v>37</v>
      </c>
      <c r="P4">
        <v>93</v>
      </c>
      <c r="Q4">
        <v>75</v>
      </c>
      <c r="R4">
        <v>93</v>
      </c>
      <c r="S4">
        <v>93</v>
      </c>
      <c r="T4">
        <v>50</v>
      </c>
      <c r="U4">
        <v>38</v>
      </c>
      <c r="V4">
        <v>8.6999999999999993</v>
      </c>
      <c r="W4" t="s">
        <v>420</v>
      </c>
    </row>
    <row r="5" spans="1:23" x14ac:dyDescent="0.25">
      <c r="A5" t="s">
        <v>453</v>
      </c>
      <c r="B5" t="s">
        <v>443</v>
      </c>
      <c r="C5">
        <v>2</v>
      </c>
      <c r="D5" t="s">
        <v>444</v>
      </c>
      <c r="E5">
        <v>2</v>
      </c>
      <c r="F5">
        <v>75</v>
      </c>
      <c r="G5">
        <v>26</v>
      </c>
      <c r="H5">
        <v>9.1</v>
      </c>
      <c r="I5">
        <v>19.5</v>
      </c>
      <c r="J5">
        <v>1.3</v>
      </c>
      <c r="N5">
        <v>28</v>
      </c>
      <c r="O5">
        <v>46</v>
      </c>
      <c r="P5">
        <v>113</v>
      </c>
      <c r="Q5">
        <v>90</v>
      </c>
      <c r="R5">
        <v>113</v>
      </c>
      <c r="S5">
        <v>113</v>
      </c>
      <c r="T5">
        <v>60</v>
      </c>
      <c r="U5">
        <v>45</v>
      </c>
      <c r="V5">
        <v>11.6</v>
      </c>
      <c r="W5" t="s">
        <v>420</v>
      </c>
    </row>
    <row r="6" spans="1:23" x14ac:dyDescent="0.25">
      <c r="A6" t="s">
        <v>453</v>
      </c>
      <c r="B6" t="s">
        <v>443</v>
      </c>
      <c r="C6">
        <v>2</v>
      </c>
      <c r="D6" t="s">
        <v>444</v>
      </c>
      <c r="E6">
        <v>2</v>
      </c>
      <c r="F6">
        <v>95</v>
      </c>
      <c r="G6">
        <v>33</v>
      </c>
      <c r="H6">
        <v>11.3</v>
      </c>
      <c r="I6">
        <v>24</v>
      </c>
      <c r="J6">
        <v>1.4</v>
      </c>
      <c r="N6">
        <v>34</v>
      </c>
      <c r="O6">
        <v>57</v>
      </c>
      <c r="P6">
        <v>143</v>
      </c>
      <c r="Q6">
        <v>114</v>
      </c>
      <c r="R6">
        <v>143</v>
      </c>
      <c r="S6">
        <v>143</v>
      </c>
      <c r="T6">
        <v>76</v>
      </c>
      <c r="U6">
        <v>57</v>
      </c>
      <c r="V6">
        <v>16.600000000000001</v>
      </c>
      <c r="W6" t="s">
        <v>420</v>
      </c>
    </row>
    <row r="7" spans="1:23" x14ac:dyDescent="0.25">
      <c r="A7" t="s">
        <v>453</v>
      </c>
      <c r="B7" t="s">
        <v>443</v>
      </c>
      <c r="C7">
        <v>2</v>
      </c>
      <c r="D7" t="s">
        <v>444</v>
      </c>
      <c r="E7">
        <v>2</v>
      </c>
      <c r="F7">
        <v>117</v>
      </c>
      <c r="G7">
        <v>48</v>
      </c>
      <c r="H7">
        <v>14.3</v>
      </c>
      <c r="I7">
        <v>30</v>
      </c>
      <c r="J7">
        <v>1.5</v>
      </c>
      <c r="N7">
        <v>43</v>
      </c>
      <c r="O7">
        <v>72</v>
      </c>
      <c r="P7">
        <v>176</v>
      </c>
      <c r="Q7">
        <v>141</v>
      </c>
      <c r="R7">
        <v>176</v>
      </c>
      <c r="S7">
        <v>176</v>
      </c>
      <c r="T7">
        <v>94</v>
      </c>
      <c r="U7">
        <v>71</v>
      </c>
      <c r="V7">
        <v>22.7</v>
      </c>
      <c r="W7" t="s">
        <v>420</v>
      </c>
    </row>
    <row r="8" spans="1:23" x14ac:dyDescent="0.25">
      <c r="A8" t="s">
        <v>453</v>
      </c>
      <c r="B8" t="s">
        <v>443</v>
      </c>
      <c r="C8">
        <v>2</v>
      </c>
      <c r="D8" t="s">
        <v>444</v>
      </c>
      <c r="E8">
        <v>2</v>
      </c>
      <c r="F8">
        <v>140</v>
      </c>
      <c r="G8">
        <v>60</v>
      </c>
      <c r="H8">
        <v>14.5</v>
      </c>
      <c r="I8">
        <v>31</v>
      </c>
      <c r="J8">
        <v>2</v>
      </c>
      <c r="N8">
        <v>44</v>
      </c>
      <c r="O8">
        <v>73</v>
      </c>
      <c r="P8">
        <v>210</v>
      </c>
      <c r="Q8">
        <v>168</v>
      </c>
      <c r="R8">
        <v>210</v>
      </c>
      <c r="S8">
        <v>210</v>
      </c>
      <c r="T8">
        <v>112</v>
      </c>
      <c r="U8">
        <v>84</v>
      </c>
      <c r="V8">
        <v>29.8</v>
      </c>
      <c r="W8" t="s">
        <v>420</v>
      </c>
    </row>
    <row r="9" spans="1:23" x14ac:dyDescent="0.25">
      <c r="A9" t="s">
        <v>453</v>
      </c>
      <c r="B9" t="s">
        <v>443</v>
      </c>
      <c r="C9">
        <v>2</v>
      </c>
      <c r="D9" t="s">
        <v>444</v>
      </c>
      <c r="E9">
        <v>2</v>
      </c>
      <c r="F9">
        <v>165</v>
      </c>
      <c r="G9">
        <v>70</v>
      </c>
      <c r="H9">
        <v>15.5</v>
      </c>
      <c r="I9">
        <v>33</v>
      </c>
      <c r="J9">
        <v>2</v>
      </c>
      <c r="N9">
        <v>47</v>
      </c>
      <c r="O9">
        <v>78</v>
      </c>
      <c r="P9">
        <v>248</v>
      </c>
      <c r="Q9">
        <v>198</v>
      </c>
      <c r="R9">
        <v>248</v>
      </c>
      <c r="S9">
        <v>248</v>
      </c>
      <c r="T9">
        <v>132</v>
      </c>
      <c r="U9">
        <v>99</v>
      </c>
      <c r="V9">
        <v>38.1</v>
      </c>
      <c r="W9" t="s">
        <v>420</v>
      </c>
    </row>
    <row r="10" spans="1:23" x14ac:dyDescent="0.25">
      <c r="A10" t="s">
        <v>453</v>
      </c>
      <c r="B10" t="s">
        <v>123</v>
      </c>
      <c r="C10">
        <v>1</v>
      </c>
      <c r="D10" t="s">
        <v>434</v>
      </c>
      <c r="E10">
        <v>2</v>
      </c>
      <c r="F10">
        <v>50</v>
      </c>
      <c r="G10">
        <v>10.4</v>
      </c>
      <c r="H10">
        <v>5.6</v>
      </c>
      <c r="I10">
        <v>6.6</v>
      </c>
      <c r="J10">
        <v>1</v>
      </c>
      <c r="N10">
        <v>17</v>
      </c>
      <c r="O10">
        <v>28</v>
      </c>
      <c r="P10">
        <v>75</v>
      </c>
      <c r="Q10">
        <v>60</v>
      </c>
      <c r="R10">
        <v>75</v>
      </c>
      <c r="S10">
        <v>75</v>
      </c>
      <c r="T10">
        <v>40</v>
      </c>
      <c r="U10">
        <v>30</v>
      </c>
      <c r="V10">
        <v>6.4</v>
      </c>
      <c r="W10" t="s">
        <v>420</v>
      </c>
    </row>
    <row r="11" spans="1:23" x14ac:dyDescent="0.25">
      <c r="A11" t="s">
        <v>453</v>
      </c>
      <c r="B11" t="s">
        <v>123</v>
      </c>
      <c r="C11">
        <v>1</v>
      </c>
      <c r="D11" t="s">
        <v>434</v>
      </c>
      <c r="E11">
        <v>2</v>
      </c>
      <c r="F11">
        <v>50</v>
      </c>
      <c r="G11">
        <v>12.4</v>
      </c>
      <c r="H11">
        <v>5.6</v>
      </c>
      <c r="I11">
        <v>6.6</v>
      </c>
      <c r="J11">
        <v>1</v>
      </c>
      <c r="N11">
        <v>17</v>
      </c>
      <c r="O11">
        <v>28</v>
      </c>
      <c r="P11">
        <v>75</v>
      </c>
      <c r="Q11">
        <v>60</v>
      </c>
      <c r="R11">
        <v>75</v>
      </c>
      <c r="S11">
        <v>75</v>
      </c>
      <c r="T11">
        <v>40</v>
      </c>
      <c r="U11">
        <v>30</v>
      </c>
      <c r="V11">
        <v>6.4</v>
      </c>
      <c r="W11" t="s">
        <v>420</v>
      </c>
    </row>
    <row r="12" spans="1:23" x14ac:dyDescent="0.25">
      <c r="A12" t="s">
        <v>453</v>
      </c>
      <c r="B12" t="s">
        <v>123</v>
      </c>
      <c r="C12">
        <v>1</v>
      </c>
      <c r="D12" t="s">
        <v>434</v>
      </c>
      <c r="E12">
        <v>2</v>
      </c>
      <c r="F12">
        <v>50</v>
      </c>
      <c r="G12">
        <v>16.399999999999999</v>
      </c>
      <c r="H12">
        <v>5.6</v>
      </c>
      <c r="I12">
        <v>6.6</v>
      </c>
      <c r="J12">
        <v>1</v>
      </c>
      <c r="N12">
        <v>17</v>
      </c>
      <c r="O12">
        <v>28</v>
      </c>
      <c r="P12">
        <v>75</v>
      </c>
      <c r="Q12">
        <v>60</v>
      </c>
      <c r="R12">
        <v>75</v>
      </c>
      <c r="S12">
        <v>75</v>
      </c>
      <c r="T12">
        <v>40</v>
      </c>
      <c r="U12">
        <v>30</v>
      </c>
      <c r="V12">
        <v>6.4</v>
      </c>
      <c r="W12" t="s">
        <v>420</v>
      </c>
    </row>
    <row r="13" spans="1:23" x14ac:dyDescent="0.25">
      <c r="A13" t="s">
        <v>453</v>
      </c>
      <c r="B13" t="s">
        <v>123</v>
      </c>
      <c r="C13">
        <v>1</v>
      </c>
      <c r="D13" t="s">
        <v>434</v>
      </c>
      <c r="E13">
        <v>2</v>
      </c>
      <c r="F13">
        <v>50</v>
      </c>
      <c r="G13">
        <v>20.399999999999999</v>
      </c>
      <c r="H13">
        <v>5.6</v>
      </c>
      <c r="I13">
        <v>6.6</v>
      </c>
      <c r="J13">
        <v>1</v>
      </c>
      <c r="N13">
        <v>17</v>
      </c>
      <c r="O13">
        <v>28</v>
      </c>
      <c r="P13">
        <v>75</v>
      </c>
      <c r="Q13">
        <v>60</v>
      </c>
      <c r="R13">
        <v>75</v>
      </c>
      <c r="S13">
        <v>75</v>
      </c>
      <c r="T13">
        <v>40</v>
      </c>
      <c r="U13">
        <v>30</v>
      </c>
      <c r="V13">
        <v>6.4</v>
      </c>
      <c r="W13" t="s">
        <v>420</v>
      </c>
    </row>
    <row r="14" spans="1:23" x14ac:dyDescent="0.25">
      <c r="A14" t="s">
        <v>453</v>
      </c>
      <c r="B14" t="s">
        <v>123</v>
      </c>
      <c r="C14">
        <v>1</v>
      </c>
      <c r="D14" t="s">
        <v>434</v>
      </c>
      <c r="E14">
        <v>2</v>
      </c>
      <c r="F14">
        <v>62</v>
      </c>
      <c r="G14">
        <v>12.4</v>
      </c>
      <c r="H14">
        <v>7.5</v>
      </c>
      <c r="I14">
        <v>8.6999999999999993</v>
      </c>
      <c r="J14">
        <v>1.2</v>
      </c>
      <c r="N14">
        <v>23</v>
      </c>
      <c r="O14">
        <v>38</v>
      </c>
      <c r="P14">
        <v>93</v>
      </c>
      <c r="Q14">
        <v>75</v>
      </c>
      <c r="R14">
        <v>93</v>
      </c>
      <c r="S14">
        <v>93</v>
      </c>
      <c r="T14">
        <v>50</v>
      </c>
      <c r="U14">
        <v>38</v>
      </c>
      <c r="V14">
        <v>8.8000000000000007</v>
      </c>
      <c r="W14" t="s">
        <v>420</v>
      </c>
    </row>
    <row r="15" spans="1:23" x14ac:dyDescent="0.25">
      <c r="A15" t="s">
        <v>453</v>
      </c>
      <c r="B15" t="s">
        <v>123</v>
      </c>
      <c r="C15">
        <v>1</v>
      </c>
      <c r="D15" t="s">
        <v>434</v>
      </c>
      <c r="E15">
        <v>2</v>
      </c>
      <c r="F15">
        <v>62</v>
      </c>
      <c r="G15">
        <v>16.399999999999999</v>
      </c>
      <c r="H15">
        <v>7.5</v>
      </c>
      <c r="I15">
        <v>8.6999999999999993</v>
      </c>
      <c r="J15">
        <v>1.2</v>
      </c>
      <c r="N15">
        <v>23</v>
      </c>
      <c r="O15">
        <v>38</v>
      </c>
      <c r="P15">
        <v>93</v>
      </c>
      <c r="Q15">
        <v>75</v>
      </c>
      <c r="R15">
        <v>93</v>
      </c>
      <c r="S15">
        <v>93</v>
      </c>
      <c r="T15">
        <v>50</v>
      </c>
      <c r="U15">
        <v>38</v>
      </c>
      <c r="V15">
        <v>8.8000000000000007</v>
      </c>
      <c r="W15" t="s">
        <v>420</v>
      </c>
    </row>
    <row r="16" spans="1:23" x14ac:dyDescent="0.25">
      <c r="A16" t="s">
        <v>453</v>
      </c>
      <c r="B16" t="s">
        <v>123</v>
      </c>
      <c r="C16">
        <v>1</v>
      </c>
      <c r="D16" t="s">
        <v>434</v>
      </c>
      <c r="E16">
        <v>2</v>
      </c>
      <c r="F16">
        <v>62</v>
      </c>
      <c r="G16">
        <v>20.399999999999999</v>
      </c>
      <c r="H16">
        <v>7.5</v>
      </c>
      <c r="I16">
        <v>8.6999999999999993</v>
      </c>
      <c r="J16">
        <v>1.2</v>
      </c>
      <c r="N16">
        <v>23</v>
      </c>
      <c r="O16">
        <v>38</v>
      </c>
      <c r="P16">
        <v>93</v>
      </c>
      <c r="Q16">
        <v>75</v>
      </c>
      <c r="R16">
        <v>93</v>
      </c>
      <c r="S16">
        <v>93</v>
      </c>
      <c r="T16">
        <v>50</v>
      </c>
      <c r="U16">
        <v>38</v>
      </c>
      <c r="V16">
        <v>8.8000000000000007</v>
      </c>
      <c r="W16" t="s">
        <v>420</v>
      </c>
    </row>
    <row r="17" spans="1:23" x14ac:dyDescent="0.25">
      <c r="A17" t="s">
        <v>453</v>
      </c>
      <c r="B17" t="s">
        <v>123</v>
      </c>
      <c r="C17">
        <v>1</v>
      </c>
      <c r="D17" t="s">
        <v>434</v>
      </c>
      <c r="E17">
        <v>2</v>
      </c>
      <c r="F17">
        <v>75</v>
      </c>
      <c r="G17">
        <v>12.4</v>
      </c>
      <c r="H17">
        <v>9.1999999999999993</v>
      </c>
      <c r="I17">
        <v>10.4</v>
      </c>
      <c r="J17">
        <v>1.3</v>
      </c>
      <c r="N17">
        <v>28</v>
      </c>
      <c r="O17">
        <v>46</v>
      </c>
      <c r="P17">
        <v>113</v>
      </c>
      <c r="Q17">
        <v>90</v>
      </c>
      <c r="R17">
        <v>113</v>
      </c>
      <c r="S17">
        <v>113</v>
      </c>
      <c r="T17">
        <v>60</v>
      </c>
      <c r="U17">
        <v>45</v>
      </c>
      <c r="V17">
        <v>11.7</v>
      </c>
      <c r="W17" t="s">
        <v>420</v>
      </c>
    </row>
    <row r="18" spans="1:23" x14ac:dyDescent="0.25">
      <c r="A18" t="s">
        <v>453</v>
      </c>
      <c r="B18" t="s">
        <v>123</v>
      </c>
      <c r="C18">
        <v>1</v>
      </c>
      <c r="D18" t="s">
        <v>434</v>
      </c>
      <c r="E18">
        <v>2</v>
      </c>
      <c r="F18">
        <v>75</v>
      </c>
      <c r="G18">
        <v>16.399999999999999</v>
      </c>
      <c r="H18">
        <v>9.1999999999999993</v>
      </c>
      <c r="I18">
        <v>10.4</v>
      </c>
      <c r="J18">
        <v>1.3</v>
      </c>
      <c r="N18">
        <v>28</v>
      </c>
      <c r="O18">
        <v>46</v>
      </c>
      <c r="P18">
        <v>113</v>
      </c>
      <c r="Q18">
        <v>90</v>
      </c>
      <c r="R18">
        <v>113</v>
      </c>
      <c r="S18">
        <v>113</v>
      </c>
      <c r="T18">
        <v>60</v>
      </c>
      <c r="U18">
        <v>45</v>
      </c>
      <c r="V18">
        <v>11.7</v>
      </c>
      <c r="W18" t="s">
        <v>420</v>
      </c>
    </row>
    <row r="19" spans="1:23" x14ac:dyDescent="0.25">
      <c r="A19" t="s">
        <v>453</v>
      </c>
      <c r="B19" t="s">
        <v>123</v>
      </c>
      <c r="C19">
        <v>1</v>
      </c>
      <c r="D19" t="s">
        <v>434</v>
      </c>
      <c r="E19">
        <v>2</v>
      </c>
      <c r="F19">
        <v>75</v>
      </c>
      <c r="G19">
        <v>18.399999999999999</v>
      </c>
      <c r="H19">
        <v>9.1999999999999993</v>
      </c>
      <c r="I19">
        <v>10.4</v>
      </c>
      <c r="J19">
        <v>1.3</v>
      </c>
      <c r="N19">
        <v>28</v>
      </c>
      <c r="O19">
        <v>46</v>
      </c>
      <c r="P19">
        <v>113</v>
      </c>
      <c r="Q19">
        <v>90</v>
      </c>
      <c r="R19">
        <v>113</v>
      </c>
      <c r="S19">
        <v>113</v>
      </c>
      <c r="T19">
        <v>60</v>
      </c>
      <c r="U19">
        <v>45</v>
      </c>
      <c r="V19">
        <v>11.7</v>
      </c>
      <c r="W19" t="s">
        <v>420</v>
      </c>
    </row>
    <row r="20" spans="1:23" x14ac:dyDescent="0.25">
      <c r="A20" t="s">
        <v>453</v>
      </c>
      <c r="B20" t="s">
        <v>123</v>
      </c>
      <c r="C20">
        <v>1</v>
      </c>
      <c r="D20" t="s">
        <v>434</v>
      </c>
      <c r="E20">
        <v>2</v>
      </c>
      <c r="F20">
        <v>75</v>
      </c>
      <c r="G20">
        <v>20.399999999999999</v>
      </c>
      <c r="H20">
        <v>9.1999999999999993</v>
      </c>
      <c r="I20">
        <v>10.4</v>
      </c>
      <c r="J20">
        <v>1.3</v>
      </c>
      <c r="N20">
        <v>28</v>
      </c>
      <c r="O20">
        <v>46</v>
      </c>
      <c r="P20">
        <v>113</v>
      </c>
      <c r="Q20">
        <v>90</v>
      </c>
      <c r="R20">
        <v>113</v>
      </c>
      <c r="S20">
        <v>113</v>
      </c>
      <c r="T20">
        <v>60</v>
      </c>
      <c r="U20">
        <v>45</v>
      </c>
      <c r="V20">
        <v>11.7</v>
      </c>
      <c r="W20" t="s">
        <v>420</v>
      </c>
    </row>
    <row r="21" spans="1:23" x14ac:dyDescent="0.25">
      <c r="A21" t="s">
        <v>453</v>
      </c>
      <c r="B21" t="s">
        <v>123</v>
      </c>
      <c r="C21">
        <v>1</v>
      </c>
      <c r="D21" t="s">
        <v>434</v>
      </c>
      <c r="E21">
        <v>2</v>
      </c>
      <c r="F21">
        <v>75</v>
      </c>
      <c r="G21">
        <v>22.4</v>
      </c>
      <c r="H21">
        <v>9.1999999999999993</v>
      </c>
      <c r="I21">
        <v>10.4</v>
      </c>
      <c r="J21">
        <v>1.3</v>
      </c>
      <c r="N21">
        <v>28</v>
      </c>
      <c r="O21">
        <v>46</v>
      </c>
      <c r="P21">
        <v>113</v>
      </c>
      <c r="Q21">
        <v>90</v>
      </c>
      <c r="R21">
        <v>113</v>
      </c>
      <c r="S21">
        <v>113</v>
      </c>
      <c r="T21">
        <v>60</v>
      </c>
      <c r="U21">
        <v>45</v>
      </c>
      <c r="V21">
        <v>11.7</v>
      </c>
      <c r="W21" t="s">
        <v>420</v>
      </c>
    </row>
    <row r="22" spans="1:23" x14ac:dyDescent="0.25">
      <c r="A22" t="s">
        <v>453</v>
      </c>
      <c r="B22" t="s">
        <v>123</v>
      </c>
      <c r="C22">
        <v>1</v>
      </c>
      <c r="D22" t="s">
        <v>434</v>
      </c>
      <c r="E22">
        <v>2</v>
      </c>
      <c r="F22">
        <v>75</v>
      </c>
      <c r="G22">
        <v>24.4</v>
      </c>
      <c r="H22">
        <v>9.1999999999999993</v>
      </c>
      <c r="I22">
        <v>10.4</v>
      </c>
      <c r="J22">
        <v>1.3</v>
      </c>
      <c r="N22">
        <v>28</v>
      </c>
      <c r="O22">
        <v>46</v>
      </c>
      <c r="P22">
        <v>113</v>
      </c>
      <c r="Q22">
        <v>90</v>
      </c>
      <c r="R22">
        <v>113</v>
      </c>
      <c r="S22">
        <v>113</v>
      </c>
      <c r="T22">
        <v>60</v>
      </c>
      <c r="U22">
        <v>45</v>
      </c>
      <c r="V22">
        <v>11.7</v>
      </c>
      <c r="W22" t="s">
        <v>420</v>
      </c>
    </row>
    <row r="23" spans="1:23" x14ac:dyDescent="0.25">
      <c r="A23" t="s">
        <v>453</v>
      </c>
      <c r="B23" t="s">
        <v>123</v>
      </c>
      <c r="C23">
        <v>1</v>
      </c>
      <c r="D23" t="s">
        <v>434</v>
      </c>
      <c r="E23">
        <v>2</v>
      </c>
      <c r="F23">
        <v>95</v>
      </c>
      <c r="G23">
        <v>16.399999999999999</v>
      </c>
      <c r="H23">
        <v>11.4</v>
      </c>
      <c r="I23">
        <v>12.7</v>
      </c>
      <c r="J23">
        <v>1.4</v>
      </c>
      <c r="N23">
        <v>35</v>
      </c>
      <c r="O23">
        <v>57</v>
      </c>
      <c r="P23">
        <v>143</v>
      </c>
      <c r="Q23">
        <v>114</v>
      </c>
      <c r="R23">
        <v>143</v>
      </c>
      <c r="S23">
        <v>143</v>
      </c>
      <c r="T23">
        <v>76</v>
      </c>
      <c r="U23">
        <v>57</v>
      </c>
      <c r="V23">
        <v>16.7</v>
      </c>
      <c r="W23" t="s">
        <v>420</v>
      </c>
    </row>
    <row r="24" spans="1:23" x14ac:dyDescent="0.25">
      <c r="A24" t="s">
        <v>453</v>
      </c>
      <c r="B24" t="s">
        <v>123</v>
      </c>
      <c r="C24">
        <v>1</v>
      </c>
      <c r="D24" t="s">
        <v>434</v>
      </c>
      <c r="E24">
        <v>2</v>
      </c>
      <c r="F24">
        <v>95</v>
      </c>
      <c r="G24">
        <v>20.399999999999999</v>
      </c>
      <c r="H24">
        <v>11.4</v>
      </c>
      <c r="I24">
        <v>12.7</v>
      </c>
      <c r="J24">
        <v>1.4</v>
      </c>
      <c r="N24">
        <v>35</v>
      </c>
      <c r="O24">
        <v>57</v>
      </c>
      <c r="P24">
        <v>143</v>
      </c>
      <c r="Q24">
        <v>114</v>
      </c>
      <c r="R24">
        <v>143</v>
      </c>
      <c r="S24">
        <v>143</v>
      </c>
      <c r="T24">
        <v>76</v>
      </c>
      <c r="U24">
        <v>57</v>
      </c>
      <c r="V24">
        <v>16.7</v>
      </c>
      <c r="W24" t="s">
        <v>420</v>
      </c>
    </row>
    <row r="25" spans="1:23" x14ac:dyDescent="0.25">
      <c r="A25" t="s">
        <v>453</v>
      </c>
      <c r="B25" t="s">
        <v>123</v>
      </c>
      <c r="C25">
        <v>1</v>
      </c>
      <c r="D25" t="s">
        <v>434</v>
      </c>
      <c r="E25">
        <v>2</v>
      </c>
      <c r="F25">
        <v>95</v>
      </c>
      <c r="G25">
        <v>22.4</v>
      </c>
      <c r="H25">
        <v>11.4</v>
      </c>
      <c r="I25">
        <v>12.7</v>
      </c>
      <c r="J25">
        <v>1.4</v>
      </c>
      <c r="N25">
        <v>35</v>
      </c>
      <c r="O25">
        <v>57</v>
      </c>
      <c r="P25">
        <v>143</v>
      </c>
      <c r="Q25">
        <v>114</v>
      </c>
      <c r="R25">
        <v>143</v>
      </c>
      <c r="S25">
        <v>143</v>
      </c>
      <c r="T25">
        <v>76</v>
      </c>
      <c r="U25">
        <v>57</v>
      </c>
      <c r="V25">
        <v>16.7</v>
      </c>
      <c r="W25" t="s">
        <v>420</v>
      </c>
    </row>
    <row r="26" spans="1:23" x14ac:dyDescent="0.25">
      <c r="A26" t="s">
        <v>453</v>
      </c>
      <c r="B26" t="s">
        <v>123</v>
      </c>
      <c r="C26">
        <v>1</v>
      </c>
      <c r="D26" t="s">
        <v>434</v>
      </c>
      <c r="E26">
        <v>2</v>
      </c>
      <c r="F26">
        <v>95</v>
      </c>
      <c r="G26">
        <v>24.4</v>
      </c>
      <c r="H26">
        <v>11.4</v>
      </c>
      <c r="I26">
        <v>12.7</v>
      </c>
      <c r="J26">
        <v>1.4</v>
      </c>
      <c r="N26">
        <v>35</v>
      </c>
      <c r="O26">
        <v>57</v>
      </c>
      <c r="P26">
        <v>143</v>
      </c>
      <c r="Q26">
        <v>114</v>
      </c>
      <c r="R26">
        <v>143</v>
      </c>
      <c r="S26">
        <v>143</v>
      </c>
      <c r="T26">
        <v>76</v>
      </c>
      <c r="U26">
        <v>57</v>
      </c>
      <c r="V26">
        <v>16.7</v>
      </c>
      <c r="W26" t="s">
        <v>420</v>
      </c>
    </row>
    <row r="27" spans="1:23" x14ac:dyDescent="0.25">
      <c r="A27" t="s">
        <v>453</v>
      </c>
      <c r="B27" t="s">
        <v>123</v>
      </c>
      <c r="C27">
        <v>1</v>
      </c>
      <c r="D27" t="s">
        <v>434</v>
      </c>
      <c r="E27">
        <v>2</v>
      </c>
      <c r="F27">
        <v>95</v>
      </c>
      <c r="G27">
        <v>26.4</v>
      </c>
      <c r="H27">
        <v>11.4</v>
      </c>
      <c r="I27">
        <v>12.7</v>
      </c>
      <c r="J27">
        <v>1.4</v>
      </c>
      <c r="N27">
        <v>35</v>
      </c>
      <c r="O27">
        <v>57</v>
      </c>
      <c r="P27">
        <v>143</v>
      </c>
      <c r="Q27">
        <v>114</v>
      </c>
      <c r="R27">
        <v>143</v>
      </c>
      <c r="S27">
        <v>143</v>
      </c>
      <c r="T27">
        <v>76</v>
      </c>
      <c r="U27">
        <v>57</v>
      </c>
      <c r="V27">
        <v>16.7</v>
      </c>
      <c r="W27" t="s">
        <v>420</v>
      </c>
    </row>
    <row r="28" spans="1:23" x14ac:dyDescent="0.25">
      <c r="A28" t="s">
        <v>453</v>
      </c>
      <c r="B28" t="s">
        <v>123</v>
      </c>
      <c r="C28">
        <v>1</v>
      </c>
      <c r="D28" t="s">
        <v>434</v>
      </c>
      <c r="E28">
        <v>2</v>
      </c>
      <c r="F28">
        <v>117</v>
      </c>
      <c r="G28">
        <v>16.399999999999999</v>
      </c>
      <c r="H28">
        <v>14.5</v>
      </c>
      <c r="I28">
        <v>16</v>
      </c>
      <c r="J28">
        <v>1.5</v>
      </c>
      <c r="N28">
        <v>44</v>
      </c>
      <c r="O28">
        <v>73</v>
      </c>
      <c r="P28">
        <v>176</v>
      </c>
      <c r="Q28">
        <v>141</v>
      </c>
      <c r="R28">
        <v>176</v>
      </c>
      <c r="S28">
        <v>176</v>
      </c>
      <c r="T28">
        <v>94</v>
      </c>
      <c r="U28">
        <v>71</v>
      </c>
      <c r="V28">
        <v>22.8</v>
      </c>
      <c r="W28" t="s">
        <v>420</v>
      </c>
    </row>
    <row r="29" spans="1:23" x14ac:dyDescent="0.25">
      <c r="A29" t="s">
        <v>453</v>
      </c>
      <c r="B29" t="s">
        <v>123</v>
      </c>
      <c r="C29">
        <v>1</v>
      </c>
      <c r="D29" t="s">
        <v>434</v>
      </c>
      <c r="E29">
        <v>2</v>
      </c>
      <c r="F29">
        <v>117</v>
      </c>
      <c r="G29">
        <v>20.399999999999999</v>
      </c>
      <c r="H29">
        <v>14.5</v>
      </c>
      <c r="I29">
        <v>16</v>
      </c>
      <c r="J29">
        <v>1.5</v>
      </c>
      <c r="N29">
        <v>44</v>
      </c>
      <c r="O29">
        <v>73</v>
      </c>
      <c r="P29">
        <v>176</v>
      </c>
      <c r="Q29">
        <v>141</v>
      </c>
      <c r="R29">
        <v>176</v>
      </c>
      <c r="S29">
        <v>176</v>
      </c>
      <c r="T29">
        <v>94</v>
      </c>
      <c r="U29">
        <v>71</v>
      </c>
      <c r="V29">
        <v>22.8</v>
      </c>
      <c r="W29" t="s">
        <v>420</v>
      </c>
    </row>
    <row r="30" spans="1:23" x14ac:dyDescent="0.25">
      <c r="A30" t="s">
        <v>453</v>
      </c>
      <c r="B30" t="s">
        <v>123</v>
      </c>
      <c r="C30">
        <v>1</v>
      </c>
      <c r="D30" t="s">
        <v>434</v>
      </c>
      <c r="E30">
        <v>2</v>
      </c>
      <c r="F30">
        <v>117</v>
      </c>
      <c r="G30">
        <v>22.4</v>
      </c>
      <c r="H30">
        <v>14.5</v>
      </c>
      <c r="I30">
        <v>16</v>
      </c>
      <c r="J30">
        <v>1.5</v>
      </c>
      <c r="N30">
        <v>44</v>
      </c>
      <c r="O30">
        <v>73</v>
      </c>
      <c r="P30">
        <v>176</v>
      </c>
      <c r="Q30">
        <v>141</v>
      </c>
      <c r="R30">
        <v>176</v>
      </c>
      <c r="S30">
        <v>176</v>
      </c>
      <c r="T30">
        <v>94</v>
      </c>
      <c r="U30">
        <v>71</v>
      </c>
      <c r="V30">
        <v>22.8</v>
      </c>
      <c r="W30" t="s">
        <v>420</v>
      </c>
    </row>
    <row r="31" spans="1:23" x14ac:dyDescent="0.25">
      <c r="A31" t="s">
        <v>453</v>
      </c>
      <c r="B31" t="s">
        <v>123</v>
      </c>
      <c r="C31">
        <v>1</v>
      </c>
      <c r="D31" t="s">
        <v>434</v>
      </c>
      <c r="E31">
        <v>2</v>
      </c>
      <c r="F31">
        <v>117</v>
      </c>
      <c r="G31">
        <v>24.4</v>
      </c>
      <c r="H31">
        <v>14.5</v>
      </c>
      <c r="I31">
        <v>16</v>
      </c>
      <c r="J31">
        <v>1.5</v>
      </c>
      <c r="N31">
        <v>44</v>
      </c>
      <c r="O31">
        <v>73</v>
      </c>
      <c r="P31">
        <v>176</v>
      </c>
      <c r="Q31">
        <v>141</v>
      </c>
      <c r="R31">
        <v>176</v>
      </c>
      <c r="S31">
        <v>176</v>
      </c>
      <c r="T31">
        <v>94</v>
      </c>
      <c r="U31">
        <v>71</v>
      </c>
      <c r="V31">
        <v>22.8</v>
      </c>
      <c r="W31" t="s">
        <v>420</v>
      </c>
    </row>
    <row r="32" spans="1:23" x14ac:dyDescent="0.25">
      <c r="A32" t="s">
        <v>453</v>
      </c>
      <c r="B32" t="s">
        <v>156</v>
      </c>
      <c r="C32">
        <v>2</v>
      </c>
      <c r="D32" t="s">
        <v>445</v>
      </c>
      <c r="E32">
        <v>2</v>
      </c>
      <c r="F32" s="71">
        <f>SQRT(L32*M32)</f>
        <v>97.416631023660429</v>
      </c>
      <c r="G32">
        <v>26</v>
      </c>
      <c r="H32">
        <v>13.3</v>
      </c>
      <c r="I32">
        <v>28</v>
      </c>
      <c r="J32">
        <v>1.5</v>
      </c>
      <c r="K32">
        <v>16</v>
      </c>
      <c r="L32">
        <v>73</v>
      </c>
      <c r="M32">
        <v>130</v>
      </c>
      <c r="N32">
        <v>40</v>
      </c>
      <c r="O32">
        <v>67</v>
      </c>
      <c r="P32">
        <v>146</v>
      </c>
      <c r="Q32">
        <v>117</v>
      </c>
      <c r="R32">
        <v>146</v>
      </c>
      <c r="S32">
        <v>146</v>
      </c>
      <c r="T32">
        <v>78</v>
      </c>
      <c r="U32">
        <v>59</v>
      </c>
      <c r="V32">
        <v>17.100000000000001</v>
      </c>
      <c r="W32" t="s">
        <v>420</v>
      </c>
    </row>
    <row r="33" spans="1:23" x14ac:dyDescent="0.25">
      <c r="A33" t="s">
        <v>453</v>
      </c>
      <c r="B33" t="s">
        <v>91</v>
      </c>
      <c r="C33">
        <v>1</v>
      </c>
      <c r="D33" t="s">
        <v>435</v>
      </c>
      <c r="E33">
        <v>2</v>
      </c>
      <c r="F33" s="71">
        <f t="shared" ref="F33:F36" si="0">SQRT(L33*M33)</f>
        <v>97.416631023660429</v>
      </c>
      <c r="G33">
        <v>16.399999999999999</v>
      </c>
      <c r="H33">
        <v>13.3</v>
      </c>
      <c r="I33">
        <v>14.8</v>
      </c>
      <c r="J33">
        <v>1.5</v>
      </c>
      <c r="K33">
        <v>16</v>
      </c>
      <c r="L33">
        <v>73</v>
      </c>
      <c r="M33">
        <v>130</v>
      </c>
      <c r="N33">
        <v>40</v>
      </c>
      <c r="O33">
        <v>67</v>
      </c>
      <c r="P33">
        <v>146</v>
      </c>
      <c r="Q33">
        <v>117</v>
      </c>
      <c r="R33">
        <v>146</v>
      </c>
      <c r="S33">
        <v>146</v>
      </c>
      <c r="T33">
        <v>78</v>
      </c>
      <c r="U33">
        <v>59</v>
      </c>
      <c r="V33">
        <v>17.3</v>
      </c>
      <c r="W33" t="s">
        <v>420</v>
      </c>
    </row>
    <row r="34" spans="1:23" x14ac:dyDescent="0.25">
      <c r="A34" t="s">
        <v>453</v>
      </c>
      <c r="B34" t="s">
        <v>91</v>
      </c>
      <c r="C34">
        <v>1</v>
      </c>
      <c r="D34" t="s">
        <v>435</v>
      </c>
      <c r="E34">
        <v>2</v>
      </c>
      <c r="F34" s="71">
        <f t="shared" si="0"/>
        <v>97.416631023660429</v>
      </c>
      <c r="G34">
        <v>20.399999999999999</v>
      </c>
      <c r="H34">
        <v>13.3</v>
      </c>
      <c r="I34">
        <v>14.8</v>
      </c>
      <c r="J34">
        <v>1.5</v>
      </c>
      <c r="K34">
        <v>16</v>
      </c>
      <c r="L34">
        <v>73</v>
      </c>
      <c r="M34">
        <v>130</v>
      </c>
      <c r="N34">
        <v>40</v>
      </c>
      <c r="O34">
        <v>67</v>
      </c>
      <c r="P34">
        <v>146</v>
      </c>
      <c r="Q34">
        <v>117</v>
      </c>
      <c r="R34">
        <v>146</v>
      </c>
      <c r="S34">
        <v>146</v>
      </c>
      <c r="T34">
        <v>78</v>
      </c>
      <c r="U34">
        <v>59</v>
      </c>
      <c r="V34">
        <v>17.3</v>
      </c>
      <c r="W34" t="s">
        <v>420</v>
      </c>
    </row>
    <row r="35" spans="1:23" x14ac:dyDescent="0.25">
      <c r="A35" t="s">
        <v>453</v>
      </c>
      <c r="B35" t="s">
        <v>91</v>
      </c>
      <c r="C35">
        <v>1</v>
      </c>
      <c r="D35" t="s">
        <v>435</v>
      </c>
      <c r="E35">
        <v>2</v>
      </c>
      <c r="F35" s="71">
        <f t="shared" si="0"/>
        <v>97.416631023660429</v>
      </c>
      <c r="G35">
        <v>22.4</v>
      </c>
      <c r="H35">
        <v>13.3</v>
      </c>
      <c r="I35">
        <v>14.8</v>
      </c>
      <c r="J35">
        <v>1.5</v>
      </c>
      <c r="K35">
        <v>16</v>
      </c>
      <c r="L35">
        <v>73</v>
      </c>
      <c r="M35">
        <v>130</v>
      </c>
      <c r="N35">
        <v>40</v>
      </c>
      <c r="O35">
        <v>67</v>
      </c>
      <c r="P35">
        <v>146</v>
      </c>
      <c r="Q35">
        <v>117</v>
      </c>
      <c r="R35">
        <v>146</v>
      </c>
      <c r="S35">
        <v>146</v>
      </c>
      <c r="T35">
        <v>78</v>
      </c>
      <c r="U35">
        <v>59</v>
      </c>
      <c r="V35">
        <v>17.3</v>
      </c>
      <c r="W35" t="s">
        <v>420</v>
      </c>
    </row>
    <row r="36" spans="1:23" x14ac:dyDescent="0.25">
      <c r="A36" t="s">
        <v>453</v>
      </c>
      <c r="B36" t="s">
        <v>91</v>
      </c>
      <c r="C36">
        <v>1</v>
      </c>
      <c r="D36" t="s">
        <v>435</v>
      </c>
      <c r="E36">
        <v>2</v>
      </c>
      <c r="F36" s="71">
        <f t="shared" si="0"/>
        <v>97.416631023660429</v>
      </c>
      <c r="G36">
        <v>24.4</v>
      </c>
      <c r="H36">
        <v>13.3</v>
      </c>
      <c r="I36">
        <v>14.8</v>
      </c>
      <c r="J36">
        <v>1.5</v>
      </c>
      <c r="K36">
        <v>16</v>
      </c>
      <c r="L36">
        <v>73</v>
      </c>
      <c r="M36">
        <v>130</v>
      </c>
      <c r="N36">
        <v>40</v>
      </c>
      <c r="O36">
        <v>67</v>
      </c>
      <c r="P36">
        <v>146</v>
      </c>
      <c r="Q36">
        <v>117</v>
      </c>
      <c r="R36">
        <v>146</v>
      </c>
      <c r="S36">
        <v>146</v>
      </c>
      <c r="T36">
        <v>78</v>
      </c>
      <c r="U36">
        <v>59</v>
      </c>
      <c r="V36">
        <v>17.3</v>
      </c>
      <c r="W36" t="s">
        <v>420</v>
      </c>
    </row>
    <row r="37" spans="1:23" x14ac:dyDescent="0.25">
      <c r="A37" t="s">
        <v>453</v>
      </c>
      <c r="B37" t="s">
        <v>429</v>
      </c>
      <c r="C37">
        <v>2</v>
      </c>
      <c r="D37" t="s">
        <v>446</v>
      </c>
      <c r="E37">
        <v>2</v>
      </c>
      <c r="F37">
        <v>100</v>
      </c>
      <c r="G37">
        <v>40</v>
      </c>
      <c r="H37">
        <v>7.3</v>
      </c>
      <c r="I37">
        <v>16</v>
      </c>
      <c r="J37">
        <v>1.4</v>
      </c>
      <c r="N37">
        <v>22</v>
      </c>
      <c r="O37">
        <v>37</v>
      </c>
      <c r="P37">
        <v>150</v>
      </c>
      <c r="Q37">
        <v>120</v>
      </c>
      <c r="R37">
        <v>150</v>
      </c>
      <c r="S37">
        <v>150</v>
      </c>
      <c r="T37">
        <v>80</v>
      </c>
      <c r="U37">
        <v>60</v>
      </c>
      <c r="V37">
        <v>18</v>
      </c>
      <c r="W37" t="s">
        <v>420</v>
      </c>
    </row>
    <row r="38" spans="1:23" x14ac:dyDescent="0.25">
      <c r="A38" t="s">
        <v>453</v>
      </c>
      <c r="B38" t="s">
        <v>429</v>
      </c>
      <c r="C38">
        <v>2</v>
      </c>
      <c r="D38" t="s">
        <v>446</v>
      </c>
      <c r="E38">
        <v>2</v>
      </c>
      <c r="F38">
        <v>130</v>
      </c>
      <c r="G38">
        <v>52</v>
      </c>
      <c r="H38">
        <v>9.3000000000000007</v>
      </c>
      <c r="I38">
        <v>20</v>
      </c>
      <c r="J38">
        <v>1.5</v>
      </c>
      <c r="N38">
        <v>28</v>
      </c>
      <c r="O38">
        <v>47</v>
      </c>
      <c r="P38">
        <v>195</v>
      </c>
      <c r="Q38">
        <v>156</v>
      </c>
      <c r="R38">
        <v>195</v>
      </c>
      <c r="S38">
        <v>195</v>
      </c>
      <c r="T38">
        <v>104</v>
      </c>
      <c r="U38">
        <v>78</v>
      </c>
      <c r="V38">
        <v>26.6</v>
      </c>
      <c r="W38" t="s">
        <v>420</v>
      </c>
    </row>
    <row r="39" spans="1:23" x14ac:dyDescent="0.25">
      <c r="A39" t="s">
        <v>453</v>
      </c>
      <c r="B39" t="s">
        <v>452</v>
      </c>
      <c r="C39">
        <v>2</v>
      </c>
      <c r="D39" t="s">
        <v>444</v>
      </c>
      <c r="E39">
        <v>2</v>
      </c>
      <c r="F39">
        <v>38</v>
      </c>
      <c r="G39">
        <v>10.5</v>
      </c>
      <c r="I39">
        <v>12</v>
      </c>
      <c r="J39">
        <v>0.9</v>
      </c>
      <c r="P39">
        <v>57</v>
      </c>
      <c r="Q39">
        <v>51</v>
      </c>
      <c r="R39">
        <v>83</v>
      </c>
      <c r="S39">
        <v>83</v>
      </c>
      <c r="T39">
        <v>25</v>
      </c>
      <c r="U39">
        <v>25</v>
      </c>
    </row>
    <row r="40" spans="1:23" x14ac:dyDescent="0.25">
      <c r="A40" t="s">
        <v>453</v>
      </c>
      <c r="B40" t="s">
        <v>452</v>
      </c>
      <c r="C40">
        <v>2</v>
      </c>
      <c r="D40" t="s">
        <v>444</v>
      </c>
      <c r="E40">
        <v>2</v>
      </c>
      <c r="F40">
        <v>38</v>
      </c>
      <c r="G40">
        <v>14.5</v>
      </c>
      <c r="I40">
        <v>12</v>
      </c>
      <c r="J40">
        <v>0.9</v>
      </c>
      <c r="P40">
        <v>57</v>
      </c>
      <c r="Q40">
        <v>51</v>
      </c>
      <c r="R40">
        <v>83</v>
      </c>
      <c r="S40">
        <v>83</v>
      </c>
      <c r="T40">
        <v>25</v>
      </c>
      <c r="U40">
        <v>25</v>
      </c>
    </row>
    <row r="41" spans="1:23" x14ac:dyDescent="0.25">
      <c r="A41" t="s">
        <v>453</v>
      </c>
      <c r="B41" t="s">
        <v>452</v>
      </c>
      <c r="C41">
        <v>2</v>
      </c>
      <c r="D41" t="s">
        <v>444</v>
      </c>
      <c r="E41">
        <v>2</v>
      </c>
      <c r="F41">
        <v>50</v>
      </c>
      <c r="G41">
        <v>12.5</v>
      </c>
      <c r="I41">
        <v>15</v>
      </c>
      <c r="J41">
        <v>0.9</v>
      </c>
      <c r="P41">
        <v>76</v>
      </c>
      <c r="Q41">
        <v>64</v>
      </c>
      <c r="R41">
        <v>89</v>
      </c>
      <c r="S41">
        <v>89</v>
      </c>
      <c r="T41">
        <v>32</v>
      </c>
      <c r="U41">
        <v>32</v>
      </c>
    </row>
    <row r="42" spans="1:23" x14ac:dyDescent="0.25">
      <c r="A42" t="s">
        <v>453</v>
      </c>
      <c r="B42" t="s">
        <v>452</v>
      </c>
      <c r="C42">
        <v>2</v>
      </c>
      <c r="D42" t="s">
        <v>444</v>
      </c>
      <c r="E42">
        <v>2</v>
      </c>
      <c r="F42">
        <v>50</v>
      </c>
      <c r="G42">
        <v>14.5</v>
      </c>
      <c r="I42">
        <v>15</v>
      </c>
      <c r="J42">
        <v>0.9</v>
      </c>
      <c r="P42">
        <v>76</v>
      </c>
      <c r="Q42">
        <v>64</v>
      </c>
      <c r="R42">
        <v>89</v>
      </c>
      <c r="S42">
        <v>89</v>
      </c>
      <c r="T42">
        <v>32</v>
      </c>
      <c r="U42">
        <v>32</v>
      </c>
    </row>
    <row r="43" spans="1:23" x14ac:dyDescent="0.25">
      <c r="A43" t="s">
        <v>453</v>
      </c>
      <c r="B43" t="s">
        <v>452</v>
      </c>
      <c r="C43">
        <v>2</v>
      </c>
      <c r="D43" t="s">
        <v>444</v>
      </c>
      <c r="E43">
        <v>2</v>
      </c>
      <c r="F43">
        <v>63</v>
      </c>
      <c r="G43">
        <v>12.5</v>
      </c>
      <c r="I43">
        <v>18.5</v>
      </c>
      <c r="J43">
        <v>1.2</v>
      </c>
      <c r="P43">
        <v>95</v>
      </c>
      <c r="Q43">
        <v>76</v>
      </c>
      <c r="R43">
        <v>95</v>
      </c>
      <c r="S43">
        <v>95</v>
      </c>
      <c r="T43">
        <v>37</v>
      </c>
      <c r="U43">
        <v>37</v>
      </c>
    </row>
    <row r="44" spans="1:23" x14ac:dyDescent="0.25">
      <c r="A44" t="s">
        <v>453</v>
      </c>
      <c r="B44" t="s">
        <v>452</v>
      </c>
      <c r="C44">
        <v>2</v>
      </c>
      <c r="D44" t="s">
        <v>444</v>
      </c>
      <c r="E44">
        <v>2</v>
      </c>
      <c r="F44">
        <v>63</v>
      </c>
      <c r="G44">
        <v>14.5</v>
      </c>
      <c r="I44">
        <v>18.5</v>
      </c>
      <c r="J44">
        <v>1.2</v>
      </c>
      <c r="P44">
        <v>95</v>
      </c>
      <c r="Q44">
        <v>76</v>
      </c>
      <c r="R44">
        <v>95</v>
      </c>
      <c r="S44">
        <v>95</v>
      </c>
      <c r="T44">
        <v>37</v>
      </c>
      <c r="U44">
        <v>37</v>
      </c>
    </row>
    <row r="45" spans="1:23" x14ac:dyDescent="0.25">
      <c r="A45" t="s">
        <v>453</v>
      </c>
      <c r="B45" t="s">
        <v>452</v>
      </c>
      <c r="C45">
        <v>2</v>
      </c>
      <c r="D45" t="s">
        <v>444</v>
      </c>
      <c r="E45">
        <v>2</v>
      </c>
      <c r="F45">
        <v>75</v>
      </c>
      <c r="G45">
        <v>12.5</v>
      </c>
      <c r="I45">
        <v>20.5</v>
      </c>
      <c r="J45">
        <v>1.2</v>
      </c>
      <c r="P45">
        <v>114</v>
      </c>
      <c r="Q45">
        <v>89</v>
      </c>
      <c r="R45">
        <v>102</v>
      </c>
      <c r="S45">
        <v>102</v>
      </c>
      <c r="T45">
        <v>44</v>
      </c>
      <c r="U45">
        <v>44</v>
      </c>
    </row>
    <row r="46" spans="1:23" x14ac:dyDescent="0.25">
      <c r="A46" t="s">
        <v>453</v>
      </c>
      <c r="B46" t="s">
        <v>452</v>
      </c>
      <c r="C46">
        <v>2</v>
      </c>
      <c r="D46" t="s">
        <v>444</v>
      </c>
      <c r="E46">
        <v>2</v>
      </c>
      <c r="F46">
        <v>75</v>
      </c>
      <c r="G46">
        <v>14.5</v>
      </c>
      <c r="I46">
        <v>20.5</v>
      </c>
      <c r="J46">
        <v>1.2</v>
      </c>
      <c r="P46">
        <v>114</v>
      </c>
      <c r="Q46">
        <v>89</v>
      </c>
      <c r="R46">
        <v>102</v>
      </c>
      <c r="S46">
        <v>102</v>
      </c>
      <c r="T46">
        <v>44</v>
      </c>
      <c r="U46">
        <v>44</v>
      </c>
    </row>
    <row r="47" spans="1:23" x14ac:dyDescent="0.25">
      <c r="A47" t="s">
        <v>453</v>
      </c>
      <c r="B47" t="s">
        <v>454</v>
      </c>
      <c r="C47">
        <v>1</v>
      </c>
      <c r="D47" t="s">
        <v>434</v>
      </c>
      <c r="E47">
        <v>2</v>
      </c>
      <c r="F47">
        <v>38</v>
      </c>
      <c r="G47">
        <v>10.5</v>
      </c>
      <c r="I47">
        <v>6.5</v>
      </c>
      <c r="J47">
        <v>0.9</v>
      </c>
      <c r="P47">
        <v>57</v>
      </c>
      <c r="Q47">
        <v>51</v>
      </c>
      <c r="R47">
        <v>83</v>
      </c>
      <c r="S47">
        <v>83</v>
      </c>
      <c r="T47">
        <v>25</v>
      </c>
      <c r="U47">
        <v>25</v>
      </c>
    </row>
    <row r="48" spans="1:23" x14ac:dyDescent="0.25">
      <c r="A48" t="s">
        <v>453</v>
      </c>
      <c r="B48" t="s">
        <v>454</v>
      </c>
      <c r="C48">
        <v>1</v>
      </c>
      <c r="D48" t="s">
        <v>434</v>
      </c>
      <c r="E48">
        <v>2</v>
      </c>
      <c r="F48">
        <v>38</v>
      </c>
      <c r="G48">
        <v>14.5</v>
      </c>
      <c r="I48">
        <v>6.5</v>
      </c>
      <c r="J48">
        <v>0.9</v>
      </c>
      <c r="P48">
        <v>57</v>
      </c>
      <c r="Q48">
        <v>51</v>
      </c>
      <c r="R48">
        <v>83</v>
      </c>
      <c r="S48">
        <v>83</v>
      </c>
      <c r="T48">
        <v>25</v>
      </c>
      <c r="U48">
        <v>25</v>
      </c>
    </row>
    <row r="49" spans="1:21" x14ac:dyDescent="0.25">
      <c r="A49" t="s">
        <v>453</v>
      </c>
      <c r="B49" t="s">
        <v>454</v>
      </c>
      <c r="C49">
        <v>1</v>
      </c>
      <c r="D49" t="s">
        <v>434</v>
      </c>
      <c r="E49">
        <v>2</v>
      </c>
      <c r="F49">
        <v>50</v>
      </c>
      <c r="G49">
        <v>12.5</v>
      </c>
      <c r="I49">
        <v>8</v>
      </c>
      <c r="J49">
        <v>0.9</v>
      </c>
      <c r="P49">
        <v>76</v>
      </c>
      <c r="Q49">
        <v>64</v>
      </c>
      <c r="R49">
        <v>89</v>
      </c>
      <c r="S49">
        <v>89</v>
      </c>
      <c r="T49">
        <v>32</v>
      </c>
      <c r="U49">
        <v>32</v>
      </c>
    </row>
    <row r="50" spans="1:21" x14ac:dyDescent="0.25">
      <c r="A50" t="s">
        <v>453</v>
      </c>
      <c r="B50" t="s">
        <v>454</v>
      </c>
      <c r="C50">
        <v>1</v>
      </c>
      <c r="D50" t="s">
        <v>434</v>
      </c>
      <c r="E50">
        <v>2</v>
      </c>
      <c r="F50">
        <v>50</v>
      </c>
      <c r="G50">
        <v>14.5</v>
      </c>
      <c r="I50">
        <v>8</v>
      </c>
      <c r="J50">
        <v>0.9</v>
      </c>
      <c r="P50">
        <v>76</v>
      </c>
      <c r="Q50">
        <v>64</v>
      </c>
      <c r="R50">
        <v>89</v>
      </c>
      <c r="S50">
        <v>89</v>
      </c>
      <c r="T50">
        <v>32</v>
      </c>
      <c r="U50">
        <v>32</v>
      </c>
    </row>
    <row r="51" spans="1:21" x14ac:dyDescent="0.25">
      <c r="A51" t="s">
        <v>453</v>
      </c>
      <c r="B51" t="s">
        <v>454</v>
      </c>
      <c r="C51">
        <v>1</v>
      </c>
      <c r="D51" t="s">
        <v>434</v>
      </c>
      <c r="E51">
        <v>2</v>
      </c>
      <c r="F51">
        <v>63</v>
      </c>
      <c r="G51">
        <v>12.5</v>
      </c>
      <c r="I51">
        <v>10</v>
      </c>
      <c r="J51">
        <v>1.2</v>
      </c>
      <c r="P51">
        <v>95</v>
      </c>
      <c r="Q51">
        <v>76</v>
      </c>
      <c r="R51">
        <v>95</v>
      </c>
      <c r="S51">
        <v>95</v>
      </c>
      <c r="T51">
        <v>37</v>
      </c>
      <c r="U51">
        <v>37</v>
      </c>
    </row>
    <row r="52" spans="1:21" x14ac:dyDescent="0.25">
      <c r="A52" t="s">
        <v>453</v>
      </c>
      <c r="B52" t="s">
        <v>454</v>
      </c>
      <c r="C52">
        <v>1</v>
      </c>
      <c r="D52" t="s">
        <v>434</v>
      </c>
      <c r="E52">
        <v>2</v>
      </c>
      <c r="F52">
        <v>63</v>
      </c>
      <c r="G52">
        <v>14.5</v>
      </c>
      <c r="I52">
        <v>10</v>
      </c>
      <c r="J52">
        <v>1.2</v>
      </c>
      <c r="P52">
        <v>95</v>
      </c>
      <c r="Q52">
        <v>76</v>
      </c>
      <c r="R52">
        <v>95</v>
      </c>
      <c r="S52">
        <v>95</v>
      </c>
      <c r="T52">
        <v>37</v>
      </c>
      <c r="U52">
        <v>37</v>
      </c>
    </row>
    <row r="53" spans="1:21" x14ac:dyDescent="0.25">
      <c r="A53" t="s">
        <v>453</v>
      </c>
      <c r="B53" t="s">
        <v>454</v>
      </c>
      <c r="C53">
        <v>1</v>
      </c>
      <c r="D53" t="s">
        <v>434</v>
      </c>
      <c r="E53">
        <v>2</v>
      </c>
      <c r="F53">
        <v>75</v>
      </c>
      <c r="G53">
        <v>12.5</v>
      </c>
      <c r="I53">
        <v>10.5</v>
      </c>
      <c r="J53">
        <v>1.2</v>
      </c>
      <c r="P53">
        <v>114</v>
      </c>
      <c r="Q53">
        <v>89</v>
      </c>
      <c r="R53">
        <v>102</v>
      </c>
      <c r="S53">
        <v>102</v>
      </c>
      <c r="T53">
        <v>44</v>
      </c>
      <c r="U53">
        <v>44</v>
      </c>
    </row>
    <row r="54" spans="1:21" x14ac:dyDescent="0.25">
      <c r="A54" t="s">
        <v>453</v>
      </c>
      <c r="B54" t="s">
        <v>454</v>
      </c>
      <c r="C54">
        <v>1</v>
      </c>
      <c r="D54" t="s">
        <v>434</v>
      </c>
      <c r="E54">
        <v>2</v>
      </c>
      <c r="F54">
        <v>75</v>
      </c>
      <c r="G54">
        <v>14.5</v>
      </c>
      <c r="I54">
        <v>10.5</v>
      </c>
      <c r="J54">
        <v>1.2</v>
      </c>
      <c r="P54">
        <v>114</v>
      </c>
      <c r="Q54">
        <v>89</v>
      </c>
      <c r="R54">
        <v>102</v>
      </c>
      <c r="S54">
        <v>102</v>
      </c>
      <c r="T54">
        <v>44</v>
      </c>
      <c r="U54">
        <v>44</v>
      </c>
    </row>
    <row r="55" spans="1:21" x14ac:dyDescent="0.25">
      <c r="A55" t="s">
        <v>453</v>
      </c>
      <c r="B55" t="s">
        <v>456</v>
      </c>
      <c r="C55">
        <v>1</v>
      </c>
      <c r="D55" t="s">
        <v>457</v>
      </c>
      <c r="E55">
        <v>2</v>
      </c>
      <c r="F55">
        <v>38</v>
      </c>
      <c r="G55">
        <v>10.5</v>
      </c>
      <c r="I55">
        <v>12</v>
      </c>
      <c r="J55">
        <v>1.2</v>
      </c>
    </row>
    <row r="56" spans="1:21" x14ac:dyDescent="0.25">
      <c r="A56" t="s">
        <v>453</v>
      </c>
      <c r="B56" t="s">
        <v>456</v>
      </c>
      <c r="C56">
        <v>1</v>
      </c>
      <c r="D56" t="s">
        <v>457</v>
      </c>
      <c r="E56">
        <v>2</v>
      </c>
      <c r="F56">
        <v>38</v>
      </c>
      <c r="G56">
        <v>14.5</v>
      </c>
      <c r="I56">
        <v>12</v>
      </c>
      <c r="J56">
        <v>1.2</v>
      </c>
    </row>
    <row r="57" spans="1:21" x14ac:dyDescent="0.25">
      <c r="A57" t="s">
        <v>453</v>
      </c>
      <c r="B57" t="s">
        <v>456</v>
      </c>
      <c r="C57">
        <v>1</v>
      </c>
      <c r="D57" t="s">
        <v>457</v>
      </c>
      <c r="E57">
        <v>2</v>
      </c>
      <c r="F57">
        <v>50</v>
      </c>
      <c r="G57">
        <v>12.5</v>
      </c>
      <c r="I57">
        <v>14</v>
      </c>
      <c r="J57">
        <v>1.2</v>
      </c>
    </row>
    <row r="58" spans="1:21" x14ac:dyDescent="0.25">
      <c r="A58" t="s">
        <v>453</v>
      </c>
      <c r="B58" t="s">
        <v>456</v>
      </c>
      <c r="C58">
        <v>1</v>
      </c>
      <c r="D58" t="s">
        <v>457</v>
      </c>
      <c r="E58">
        <v>2</v>
      </c>
      <c r="F58">
        <v>50</v>
      </c>
      <c r="G58">
        <v>14.5</v>
      </c>
      <c r="I58">
        <v>14</v>
      </c>
      <c r="J58">
        <v>1.2</v>
      </c>
    </row>
    <row r="59" spans="1:21" x14ac:dyDescent="0.25">
      <c r="A59" t="s">
        <v>453</v>
      </c>
      <c r="B59" t="s">
        <v>456</v>
      </c>
      <c r="C59">
        <v>1</v>
      </c>
      <c r="D59" t="s">
        <v>457</v>
      </c>
      <c r="E59">
        <v>2</v>
      </c>
      <c r="F59">
        <v>63</v>
      </c>
      <c r="G59">
        <v>12.5</v>
      </c>
      <c r="I59">
        <v>17</v>
      </c>
      <c r="J59">
        <v>1.2</v>
      </c>
    </row>
    <row r="60" spans="1:21" x14ac:dyDescent="0.25">
      <c r="A60" t="s">
        <v>453</v>
      </c>
      <c r="B60" t="s">
        <v>456</v>
      </c>
      <c r="C60">
        <v>1</v>
      </c>
      <c r="D60" t="s">
        <v>457</v>
      </c>
      <c r="E60">
        <v>2</v>
      </c>
      <c r="F60">
        <v>63</v>
      </c>
      <c r="G60">
        <v>14.5</v>
      </c>
      <c r="I60">
        <v>17</v>
      </c>
      <c r="J60">
        <v>1.2</v>
      </c>
    </row>
    <row r="61" spans="1:21" x14ac:dyDescent="0.25">
      <c r="A61" t="s">
        <v>453</v>
      </c>
      <c r="B61" t="s">
        <v>456</v>
      </c>
      <c r="C61">
        <v>1</v>
      </c>
      <c r="D61" t="s">
        <v>457</v>
      </c>
      <c r="E61">
        <v>2</v>
      </c>
      <c r="F61">
        <v>75</v>
      </c>
      <c r="G61">
        <v>12.5</v>
      </c>
      <c r="I61">
        <v>20</v>
      </c>
      <c r="J61">
        <v>1.6</v>
      </c>
    </row>
    <row r="62" spans="1:21" x14ac:dyDescent="0.25">
      <c r="A62" t="s">
        <v>453</v>
      </c>
      <c r="B62" t="s">
        <v>456</v>
      </c>
      <c r="C62">
        <v>1</v>
      </c>
      <c r="D62" t="s">
        <v>457</v>
      </c>
      <c r="E62">
        <v>2</v>
      </c>
      <c r="F62">
        <v>75</v>
      </c>
      <c r="G62">
        <v>14.5</v>
      </c>
      <c r="I62">
        <v>20</v>
      </c>
      <c r="J62">
        <v>1.6</v>
      </c>
    </row>
    <row r="63" spans="1:21" x14ac:dyDescent="0.25">
      <c r="A63" t="s">
        <v>453</v>
      </c>
      <c r="B63" t="s">
        <v>458</v>
      </c>
      <c r="C63">
        <v>1</v>
      </c>
      <c r="D63" t="s">
        <v>459</v>
      </c>
      <c r="E63">
        <v>2</v>
      </c>
      <c r="F63">
        <v>38</v>
      </c>
      <c r="G63">
        <v>10.5</v>
      </c>
      <c r="I63">
        <v>7</v>
      </c>
      <c r="J63">
        <v>1.2</v>
      </c>
    </row>
    <row r="64" spans="1:21" x14ac:dyDescent="0.25">
      <c r="A64" t="s">
        <v>453</v>
      </c>
      <c r="B64" t="s">
        <v>458</v>
      </c>
      <c r="C64">
        <v>1</v>
      </c>
      <c r="D64" t="s">
        <v>459</v>
      </c>
      <c r="E64">
        <v>2</v>
      </c>
      <c r="F64">
        <v>38</v>
      </c>
      <c r="G64">
        <v>14.5</v>
      </c>
      <c r="I64">
        <v>7</v>
      </c>
      <c r="J64">
        <v>1.2</v>
      </c>
    </row>
    <row r="65" spans="1:10" x14ac:dyDescent="0.25">
      <c r="A65" t="s">
        <v>453</v>
      </c>
      <c r="B65" t="s">
        <v>458</v>
      </c>
      <c r="C65">
        <v>1</v>
      </c>
      <c r="D65" t="s">
        <v>459</v>
      </c>
      <c r="E65">
        <v>2</v>
      </c>
      <c r="F65">
        <v>50</v>
      </c>
      <c r="G65">
        <v>12.5</v>
      </c>
      <c r="I65">
        <v>8</v>
      </c>
      <c r="J65">
        <v>1.2</v>
      </c>
    </row>
    <row r="66" spans="1:10" x14ac:dyDescent="0.25">
      <c r="A66" t="s">
        <v>453</v>
      </c>
      <c r="B66" t="s">
        <v>458</v>
      </c>
      <c r="C66">
        <v>1</v>
      </c>
      <c r="D66" t="s">
        <v>459</v>
      </c>
      <c r="E66">
        <v>2</v>
      </c>
      <c r="F66">
        <v>50</v>
      </c>
      <c r="G66">
        <v>14.5</v>
      </c>
      <c r="I66">
        <v>8</v>
      </c>
      <c r="J66">
        <v>1.2</v>
      </c>
    </row>
    <row r="67" spans="1:10" x14ac:dyDescent="0.25">
      <c r="A67" t="s">
        <v>453</v>
      </c>
      <c r="B67" t="s">
        <v>458</v>
      </c>
      <c r="C67">
        <v>1</v>
      </c>
      <c r="D67" t="s">
        <v>459</v>
      </c>
      <c r="E67">
        <v>2</v>
      </c>
      <c r="F67">
        <v>63</v>
      </c>
      <c r="G67">
        <v>12.5</v>
      </c>
      <c r="I67">
        <v>9</v>
      </c>
      <c r="J67">
        <v>1.2</v>
      </c>
    </row>
    <row r="68" spans="1:10" x14ac:dyDescent="0.25">
      <c r="A68" t="s">
        <v>453</v>
      </c>
      <c r="B68" t="s">
        <v>458</v>
      </c>
      <c r="C68">
        <v>1</v>
      </c>
      <c r="D68" t="s">
        <v>459</v>
      </c>
      <c r="E68">
        <v>2</v>
      </c>
      <c r="F68">
        <v>63</v>
      </c>
      <c r="G68">
        <v>14.5</v>
      </c>
      <c r="I68">
        <v>9</v>
      </c>
      <c r="J68">
        <v>1.2</v>
      </c>
    </row>
    <row r="69" spans="1:10" x14ac:dyDescent="0.25">
      <c r="A69" t="s">
        <v>453</v>
      </c>
      <c r="B69" t="s">
        <v>458</v>
      </c>
      <c r="C69">
        <v>1</v>
      </c>
      <c r="D69" t="s">
        <v>459</v>
      </c>
      <c r="E69">
        <v>2</v>
      </c>
      <c r="F69">
        <v>75</v>
      </c>
      <c r="G69">
        <v>12.5</v>
      </c>
      <c r="I69">
        <v>10</v>
      </c>
      <c r="J69">
        <v>1.6</v>
      </c>
    </row>
    <row r="70" spans="1:10" x14ac:dyDescent="0.25">
      <c r="A70" t="s">
        <v>453</v>
      </c>
      <c r="B70" t="s">
        <v>458</v>
      </c>
      <c r="C70">
        <v>1</v>
      </c>
      <c r="D70" t="s">
        <v>459</v>
      </c>
      <c r="E70">
        <v>2</v>
      </c>
      <c r="F70">
        <v>75</v>
      </c>
      <c r="G70">
        <v>14.5</v>
      </c>
      <c r="I70">
        <v>10</v>
      </c>
      <c r="J70">
        <v>1.6</v>
      </c>
    </row>
    <row r="71" spans="1:10" x14ac:dyDescent="0.25">
      <c r="A71" t="s">
        <v>453</v>
      </c>
      <c r="B71" t="s">
        <v>460</v>
      </c>
      <c r="C71">
        <v>2</v>
      </c>
      <c r="D71" t="s">
        <v>444</v>
      </c>
      <c r="E71">
        <v>2</v>
      </c>
      <c r="F71">
        <v>50</v>
      </c>
      <c r="G71">
        <v>30.5</v>
      </c>
      <c r="I71">
        <v>27</v>
      </c>
      <c r="J71">
        <v>3</v>
      </c>
    </row>
    <row r="72" spans="1:10" x14ac:dyDescent="0.25">
      <c r="A72" t="s">
        <v>453</v>
      </c>
      <c r="B72" t="s">
        <v>460</v>
      </c>
      <c r="C72">
        <v>2</v>
      </c>
      <c r="D72" t="s">
        <v>444</v>
      </c>
      <c r="E72">
        <v>2</v>
      </c>
      <c r="F72">
        <v>65</v>
      </c>
      <c r="G72">
        <v>35.5</v>
      </c>
      <c r="I72">
        <v>27</v>
      </c>
      <c r="J72">
        <v>3</v>
      </c>
    </row>
    <row r="73" spans="1:10" x14ac:dyDescent="0.25">
      <c r="A73" t="s">
        <v>453</v>
      </c>
      <c r="B73" t="s">
        <v>460</v>
      </c>
      <c r="C73">
        <v>2</v>
      </c>
      <c r="D73" t="s">
        <v>444</v>
      </c>
      <c r="E73">
        <v>2</v>
      </c>
      <c r="F73">
        <v>80</v>
      </c>
      <c r="G73">
        <v>49.5</v>
      </c>
      <c r="I73">
        <v>27</v>
      </c>
      <c r="J73">
        <v>3</v>
      </c>
    </row>
    <row r="74" spans="1:10" x14ac:dyDescent="0.25">
      <c r="A74" t="s">
        <v>453</v>
      </c>
      <c r="B74" t="s">
        <v>460</v>
      </c>
      <c r="C74">
        <v>2</v>
      </c>
      <c r="D74" t="s">
        <v>444</v>
      </c>
      <c r="E74">
        <v>2</v>
      </c>
      <c r="F74">
        <v>95</v>
      </c>
      <c r="G74">
        <v>65.5</v>
      </c>
      <c r="I74">
        <v>27</v>
      </c>
      <c r="J74">
        <v>3</v>
      </c>
    </row>
    <row r="75" spans="1:10" x14ac:dyDescent="0.25">
      <c r="A75" t="s">
        <v>453</v>
      </c>
      <c r="B75" t="s">
        <v>460</v>
      </c>
      <c r="C75">
        <v>2</v>
      </c>
      <c r="D75" t="s">
        <v>444</v>
      </c>
      <c r="E75">
        <v>2</v>
      </c>
      <c r="F75">
        <v>115</v>
      </c>
      <c r="G75">
        <v>85.5</v>
      </c>
      <c r="I75">
        <v>27</v>
      </c>
      <c r="J75">
        <v>3</v>
      </c>
    </row>
    <row r="76" spans="1:10" x14ac:dyDescent="0.25">
      <c r="A76" t="s">
        <v>453</v>
      </c>
      <c r="B76" t="s">
        <v>461</v>
      </c>
      <c r="C76">
        <v>1</v>
      </c>
      <c r="D76" t="s">
        <v>434</v>
      </c>
      <c r="E76">
        <v>2</v>
      </c>
      <c r="F76">
        <v>50</v>
      </c>
      <c r="G76">
        <v>12.5</v>
      </c>
      <c r="I76">
        <v>15</v>
      </c>
      <c r="J76">
        <v>3</v>
      </c>
    </row>
    <row r="77" spans="1:10" x14ac:dyDescent="0.25">
      <c r="A77" t="s">
        <v>453</v>
      </c>
      <c r="B77" t="s">
        <v>461</v>
      </c>
      <c r="C77">
        <v>1</v>
      </c>
      <c r="D77" t="s">
        <v>434</v>
      </c>
      <c r="E77">
        <v>2</v>
      </c>
      <c r="F77">
        <v>65</v>
      </c>
      <c r="G77">
        <v>16.5</v>
      </c>
      <c r="I77">
        <v>15</v>
      </c>
      <c r="J77">
        <v>3</v>
      </c>
    </row>
    <row r="78" spans="1:10" x14ac:dyDescent="0.25">
      <c r="A78" t="s">
        <v>453</v>
      </c>
      <c r="B78" t="s">
        <v>461</v>
      </c>
      <c r="C78">
        <v>1</v>
      </c>
      <c r="D78" t="s">
        <v>434</v>
      </c>
      <c r="E78">
        <v>2</v>
      </c>
      <c r="F78">
        <v>80</v>
      </c>
      <c r="G78">
        <v>20.5</v>
      </c>
      <c r="I78">
        <v>15</v>
      </c>
      <c r="J78">
        <v>3</v>
      </c>
    </row>
    <row r="79" spans="1:10" x14ac:dyDescent="0.25">
      <c r="A79" t="s">
        <v>453</v>
      </c>
      <c r="B79" t="s">
        <v>461</v>
      </c>
      <c r="C79">
        <v>1</v>
      </c>
      <c r="D79" t="s">
        <v>434</v>
      </c>
      <c r="E79">
        <v>2</v>
      </c>
      <c r="F79">
        <v>95</v>
      </c>
      <c r="G79">
        <v>24.5</v>
      </c>
      <c r="I79">
        <v>15</v>
      </c>
      <c r="J79">
        <v>3</v>
      </c>
    </row>
  </sheetData>
  <autoFilter ref="A1:W54" xr:uid="{F6D090AC-BF65-4F8D-9773-C6E3049F0C7F}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22</vt:i4>
      </vt:variant>
    </vt:vector>
  </HeadingPairs>
  <TitlesOfParts>
    <vt:vector size="22" baseType="lpstr">
      <vt:lpstr>TimberFasteners</vt:lpstr>
      <vt:lpstr>Washers</vt:lpstr>
      <vt:lpstr>BoltGrades</vt:lpstr>
      <vt:lpstr>DIN 571</vt:lpstr>
      <vt:lpstr>Dowels</vt:lpstr>
      <vt:lpstr>ESSVE Screws</vt:lpstr>
      <vt:lpstr>Eurotec Screws</vt:lpstr>
      <vt:lpstr>ISO 4014 Bolts</vt:lpstr>
      <vt:lpstr>Motek screws</vt:lpstr>
      <vt:lpstr>Rothoblaas Nails</vt:lpstr>
      <vt:lpstr>Rothoblaas Screws</vt:lpstr>
      <vt:lpstr>Rothoblaas Bolts</vt:lpstr>
      <vt:lpstr>Rothoblaas Washers</vt:lpstr>
      <vt:lpstr>Rothoblaas Sharp Metal</vt:lpstr>
      <vt:lpstr>Simpson SplitRing</vt:lpstr>
      <vt:lpstr>Strongtie Nails</vt:lpstr>
      <vt:lpstr>Strongtie Screws (utgått)</vt:lpstr>
      <vt:lpstr>Strongtie Screws</vt:lpstr>
      <vt:lpstr>Schmid Screws</vt:lpstr>
      <vt:lpstr>Schmid Washers</vt:lpstr>
      <vt:lpstr>Spax Screws</vt:lpstr>
      <vt:lpstr>ToothedPlateConnectors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</dc:creator>
  <cp:lastModifiedBy>Andreas Wolfgang Zieritz</cp:lastModifiedBy>
  <dcterms:created xsi:type="dcterms:W3CDTF">2018-10-24T19:23:47Z</dcterms:created>
  <dcterms:modified xsi:type="dcterms:W3CDTF">2026-09-18T07:39:49Z</dcterms:modified>
</cp:coreProperties>
</file>